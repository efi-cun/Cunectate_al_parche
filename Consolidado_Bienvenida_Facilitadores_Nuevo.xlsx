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Bienvenida Facilitadores/"/>
    </mc:Choice>
  </mc:AlternateContent>
  <xr:revisionPtr revIDLastSave="4" documentId="11_3D51DBB3E10348EF6672D5C17293E9A85A9DBC0A" xr6:coauthVersionLast="47" xr6:coauthVersionMax="47" xr10:uidLastSave="{6AF8D603-EAF0-4DC3-97DC-FD4F3192FACF}"/>
  <bookViews>
    <workbookView xWindow="-120" yWindow="-120" windowWidth="29040" windowHeight="15720" activeTab="2" xr2:uid="{00000000-000D-0000-FFFF-FFFF00000000}"/>
  </bookViews>
  <sheets>
    <sheet name="Consolidado_Unicos" sheetId="1" r:id="rId1"/>
    <sheet name="Duplicados" sheetId="2" r:id="rId2"/>
    <sheet name="Busqueda_por_Nombre" sheetId="3" r:id="rId3"/>
    <sheet name="PLANTA_BASE" sheetId="4" r:id="rId4"/>
    <sheet name="Faltantes_Planta" sheetId="5" r:id="rId5"/>
    <sheet name="Resumen_y_Graficos" sheetId="6" r:id="rId6"/>
  </sheets>
  <definedNames>
    <definedName name="_xlnm._FilterDatabase" localSheetId="2" hidden="1">Busqueda_por_Nombre!$F$1:$F$47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H1501" i="2"/>
  <c r="G1501" i="2"/>
  <c r="F1501" i="2"/>
  <c r="E1501" i="2"/>
  <c r="D1501" i="2"/>
  <c r="C1501" i="2"/>
  <c r="A1501" i="2"/>
  <c r="H1500" i="2"/>
  <c r="G1500" i="2"/>
  <c r="F1500" i="2"/>
  <c r="E1500" i="2"/>
  <c r="D1500" i="2"/>
  <c r="C1500" i="2"/>
  <c r="A1500" i="2"/>
  <c r="H1499" i="2"/>
  <c r="G1499" i="2"/>
  <c r="F1499" i="2"/>
  <c r="E1499" i="2"/>
  <c r="D1499" i="2"/>
  <c r="C1499" i="2"/>
  <c r="A1499" i="2"/>
  <c r="H1498" i="2"/>
  <c r="G1498" i="2"/>
  <c r="F1498" i="2"/>
  <c r="E1498" i="2"/>
  <c r="D1498" i="2"/>
  <c r="C1498" i="2"/>
  <c r="A1498" i="2"/>
  <c r="H1497" i="2"/>
  <c r="G1497" i="2"/>
  <c r="F1497" i="2"/>
  <c r="E1497" i="2"/>
  <c r="D1497" i="2"/>
  <c r="C1497" i="2"/>
  <c r="A1497" i="2"/>
  <c r="H1496" i="2"/>
  <c r="G1496" i="2"/>
  <c r="F1496" i="2"/>
  <c r="E1496" i="2"/>
  <c r="D1496" i="2"/>
  <c r="C1496" i="2"/>
  <c r="A1496" i="2"/>
  <c r="H1495" i="2"/>
  <c r="G1495" i="2"/>
  <c r="F1495" i="2"/>
  <c r="E1495" i="2"/>
  <c r="D1495" i="2"/>
  <c r="C1495" i="2"/>
  <c r="A1495" i="2"/>
  <c r="H1494" i="2"/>
  <c r="G1494" i="2"/>
  <c r="F1494" i="2"/>
  <c r="E1494" i="2"/>
  <c r="D1494" i="2"/>
  <c r="C1494" i="2"/>
  <c r="A1494" i="2"/>
  <c r="H1493" i="2"/>
  <c r="G1493" i="2"/>
  <c r="F1493" i="2"/>
  <c r="E1493" i="2"/>
  <c r="D1493" i="2"/>
  <c r="C1493" i="2"/>
  <c r="A1493" i="2"/>
  <c r="H1492" i="2"/>
  <c r="G1492" i="2"/>
  <c r="F1492" i="2"/>
  <c r="E1492" i="2"/>
  <c r="D1492" i="2"/>
  <c r="C1492" i="2"/>
  <c r="A1492" i="2"/>
  <c r="H1491" i="2"/>
  <c r="G1491" i="2"/>
  <c r="F1491" i="2"/>
  <c r="E1491" i="2"/>
  <c r="D1491" i="2"/>
  <c r="C1491" i="2"/>
  <c r="A1491" i="2"/>
  <c r="H1490" i="2"/>
  <c r="G1490" i="2"/>
  <c r="F1490" i="2"/>
  <c r="E1490" i="2"/>
  <c r="D1490" i="2"/>
  <c r="C1490" i="2"/>
  <c r="A1490" i="2"/>
  <c r="H1489" i="2"/>
  <c r="G1489" i="2"/>
  <c r="F1489" i="2"/>
  <c r="E1489" i="2"/>
  <c r="D1489" i="2"/>
  <c r="C1489" i="2"/>
  <c r="A1489" i="2"/>
  <c r="H1488" i="2"/>
  <c r="G1488" i="2"/>
  <c r="F1488" i="2"/>
  <c r="E1488" i="2"/>
  <c r="D1488" i="2"/>
  <c r="C1488" i="2"/>
  <c r="A1488" i="2"/>
  <c r="H1487" i="2"/>
  <c r="G1487" i="2"/>
  <c r="F1487" i="2"/>
  <c r="E1487" i="2"/>
  <c r="D1487" i="2"/>
  <c r="C1487" i="2"/>
  <c r="A1487" i="2"/>
  <c r="H1486" i="2"/>
  <c r="G1486" i="2"/>
  <c r="F1486" i="2"/>
  <c r="E1486" i="2"/>
  <c r="D1486" i="2"/>
  <c r="C1486" i="2"/>
  <c r="A1486" i="2"/>
  <c r="H1485" i="2"/>
  <c r="G1485" i="2"/>
  <c r="F1485" i="2"/>
  <c r="E1485" i="2"/>
  <c r="D1485" i="2"/>
  <c r="C1485" i="2"/>
  <c r="A1485" i="2"/>
  <c r="H1484" i="2"/>
  <c r="G1484" i="2"/>
  <c r="F1484" i="2"/>
  <c r="E1484" i="2"/>
  <c r="D1484" i="2"/>
  <c r="C1484" i="2"/>
  <c r="A1484" i="2"/>
  <c r="H1483" i="2"/>
  <c r="G1483" i="2"/>
  <c r="F1483" i="2"/>
  <c r="E1483" i="2"/>
  <c r="D1483" i="2"/>
  <c r="C1483" i="2"/>
  <c r="A1483" i="2"/>
  <c r="H1482" i="2"/>
  <c r="G1482" i="2"/>
  <c r="F1482" i="2"/>
  <c r="E1482" i="2"/>
  <c r="D1482" i="2"/>
  <c r="C1482" i="2"/>
  <c r="A1482" i="2"/>
  <c r="H1481" i="2"/>
  <c r="G1481" i="2"/>
  <c r="F1481" i="2"/>
  <c r="E1481" i="2"/>
  <c r="D1481" i="2"/>
  <c r="C1481" i="2"/>
  <c r="A1481" i="2"/>
  <c r="H1480" i="2"/>
  <c r="G1480" i="2"/>
  <c r="F1480" i="2"/>
  <c r="E1480" i="2"/>
  <c r="D1480" i="2"/>
  <c r="C1480" i="2"/>
  <c r="A1480" i="2"/>
  <c r="H1479" i="2"/>
  <c r="G1479" i="2"/>
  <c r="F1479" i="2"/>
  <c r="E1479" i="2"/>
  <c r="D1479" i="2"/>
  <c r="C1479" i="2"/>
  <c r="A1479" i="2"/>
  <c r="H1478" i="2"/>
  <c r="G1478" i="2"/>
  <c r="F1478" i="2"/>
  <c r="E1478" i="2"/>
  <c r="D1478" i="2"/>
  <c r="C1478" i="2"/>
  <c r="A1478" i="2"/>
  <c r="H1477" i="2"/>
  <c r="G1477" i="2"/>
  <c r="F1477" i="2"/>
  <c r="E1477" i="2"/>
  <c r="D1477" i="2"/>
  <c r="C1477" i="2"/>
  <c r="A1477" i="2"/>
  <c r="H1476" i="2"/>
  <c r="G1476" i="2"/>
  <c r="F1476" i="2"/>
  <c r="E1476" i="2"/>
  <c r="D1476" i="2"/>
  <c r="C1476" i="2"/>
  <c r="A1476" i="2"/>
  <c r="H1475" i="2"/>
  <c r="G1475" i="2"/>
  <c r="F1475" i="2"/>
  <c r="E1475" i="2"/>
  <c r="D1475" i="2"/>
  <c r="C1475" i="2"/>
  <c r="A1475" i="2"/>
  <c r="H1474" i="2"/>
  <c r="G1474" i="2"/>
  <c r="F1474" i="2"/>
  <c r="E1474" i="2"/>
  <c r="D1474" i="2"/>
  <c r="C1474" i="2"/>
  <c r="A1474" i="2"/>
  <c r="H1473" i="2"/>
  <c r="G1473" i="2"/>
  <c r="F1473" i="2"/>
  <c r="E1473" i="2"/>
  <c r="D1473" i="2"/>
  <c r="C1473" i="2"/>
  <c r="A1473" i="2"/>
  <c r="H1472" i="2"/>
  <c r="G1472" i="2"/>
  <c r="F1472" i="2"/>
  <c r="E1472" i="2"/>
  <c r="D1472" i="2"/>
  <c r="C1472" i="2"/>
  <c r="A1472" i="2"/>
  <c r="H1471" i="2"/>
  <c r="G1471" i="2"/>
  <c r="F1471" i="2"/>
  <c r="E1471" i="2"/>
  <c r="D1471" i="2"/>
  <c r="C1471" i="2"/>
  <c r="A1471" i="2"/>
  <c r="H1470" i="2"/>
  <c r="G1470" i="2"/>
  <c r="F1470" i="2"/>
  <c r="E1470" i="2"/>
  <c r="D1470" i="2"/>
  <c r="C1470" i="2"/>
  <c r="A1470" i="2"/>
  <c r="H1469" i="2"/>
  <c r="G1469" i="2"/>
  <c r="F1469" i="2"/>
  <c r="E1469" i="2"/>
  <c r="D1469" i="2"/>
  <c r="C1469" i="2"/>
  <c r="A1469" i="2"/>
  <c r="H1468" i="2"/>
  <c r="G1468" i="2"/>
  <c r="F1468" i="2"/>
  <c r="E1468" i="2"/>
  <c r="D1468" i="2"/>
  <c r="C1468" i="2"/>
  <c r="A1468" i="2"/>
  <c r="H1467" i="2"/>
  <c r="G1467" i="2"/>
  <c r="F1467" i="2"/>
  <c r="E1467" i="2"/>
  <c r="D1467" i="2"/>
  <c r="C1467" i="2"/>
  <c r="A1467" i="2"/>
  <c r="H1466" i="2"/>
  <c r="G1466" i="2"/>
  <c r="F1466" i="2"/>
  <c r="E1466" i="2"/>
  <c r="D1466" i="2"/>
  <c r="C1466" i="2"/>
  <c r="A1466" i="2"/>
  <c r="H1465" i="2"/>
  <c r="G1465" i="2"/>
  <c r="F1465" i="2"/>
  <c r="E1465" i="2"/>
  <c r="D1465" i="2"/>
  <c r="C1465" i="2"/>
  <c r="A1465" i="2"/>
  <c r="H1464" i="2"/>
  <c r="G1464" i="2"/>
  <c r="F1464" i="2"/>
  <c r="E1464" i="2"/>
  <c r="D1464" i="2"/>
  <c r="C1464" i="2"/>
  <c r="A1464" i="2"/>
  <c r="H1463" i="2"/>
  <c r="G1463" i="2"/>
  <c r="F1463" i="2"/>
  <c r="E1463" i="2"/>
  <c r="D1463" i="2"/>
  <c r="C1463" i="2"/>
  <c r="A1463" i="2"/>
  <c r="H1462" i="2"/>
  <c r="G1462" i="2"/>
  <c r="F1462" i="2"/>
  <c r="E1462" i="2"/>
  <c r="D1462" i="2"/>
  <c r="C1462" i="2"/>
  <c r="A1462" i="2"/>
  <c r="H1461" i="2"/>
  <c r="G1461" i="2"/>
  <c r="F1461" i="2"/>
  <c r="E1461" i="2"/>
  <c r="D1461" i="2"/>
  <c r="C1461" i="2"/>
  <c r="A1461" i="2"/>
  <c r="H1460" i="2"/>
  <c r="G1460" i="2"/>
  <c r="F1460" i="2"/>
  <c r="E1460" i="2"/>
  <c r="D1460" i="2"/>
  <c r="C1460" i="2"/>
  <c r="A1460" i="2"/>
  <c r="H1459" i="2"/>
  <c r="G1459" i="2"/>
  <c r="F1459" i="2"/>
  <c r="E1459" i="2"/>
  <c r="D1459" i="2"/>
  <c r="C1459" i="2"/>
  <c r="A1459" i="2"/>
  <c r="H1458" i="2"/>
  <c r="G1458" i="2"/>
  <c r="F1458" i="2"/>
  <c r="E1458" i="2"/>
  <c r="D1458" i="2"/>
  <c r="C1458" i="2"/>
  <c r="A1458" i="2"/>
  <c r="H1457" i="2"/>
  <c r="G1457" i="2"/>
  <c r="F1457" i="2"/>
  <c r="E1457" i="2"/>
  <c r="D1457" i="2"/>
  <c r="C1457" i="2"/>
  <c r="A1457" i="2"/>
  <c r="H1456" i="2"/>
  <c r="G1456" i="2"/>
  <c r="F1456" i="2"/>
  <c r="E1456" i="2"/>
  <c r="D1456" i="2"/>
  <c r="C1456" i="2"/>
  <c r="A1456" i="2"/>
  <c r="H1455" i="2"/>
  <c r="G1455" i="2"/>
  <c r="F1455" i="2"/>
  <c r="E1455" i="2"/>
  <c r="D1455" i="2"/>
  <c r="C1455" i="2"/>
  <c r="A1455" i="2"/>
  <c r="H1454" i="2"/>
  <c r="G1454" i="2"/>
  <c r="F1454" i="2"/>
  <c r="E1454" i="2"/>
  <c r="D1454" i="2"/>
  <c r="C1454" i="2"/>
  <c r="A1454" i="2"/>
  <c r="H1453" i="2"/>
  <c r="G1453" i="2"/>
  <c r="F1453" i="2"/>
  <c r="E1453" i="2"/>
  <c r="D1453" i="2"/>
  <c r="C1453" i="2"/>
  <c r="A1453" i="2"/>
  <c r="H1452" i="2"/>
  <c r="G1452" i="2"/>
  <c r="F1452" i="2"/>
  <c r="E1452" i="2"/>
  <c r="D1452" i="2"/>
  <c r="C1452" i="2"/>
  <c r="A1452" i="2"/>
  <c r="H1451" i="2"/>
  <c r="G1451" i="2"/>
  <c r="F1451" i="2"/>
  <c r="E1451" i="2"/>
  <c r="D1451" i="2"/>
  <c r="C1451" i="2"/>
  <c r="A1451" i="2"/>
  <c r="H1450" i="2"/>
  <c r="G1450" i="2"/>
  <c r="F1450" i="2"/>
  <c r="E1450" i="2"/>
  <c r="D1450" i="2"/>
  <c r="C1450" i="2"/>
  <c r="A1450" i="2"/>
  <c r="H1449" i="2"/>
  <c r="G1449" i="2"/>
  <c r="F1449" i="2"/>
  <c r="E1449" i="2"/>
  <c r="D1449" i="2"/>
  <c r="C1449" i="2"/>
  <c r="A1449" i="2"/>
  <c r="H1448" i="2"/>
  <c r="G1448" i="2"/>
  <c r="F1448" i="2"/>
  <c r="E1448" i="2"/>
  <c r="D1448" i="2"/>
  <c r="C1448" i="2"/>
  <c r="A1448" i="2"/>
  <c r="H1447" i="2"/>
  <c r="G1447" i="2"/>
  <c r="F1447" i="2"/>
  <c r="E1447" i="2"/>
  <c r="D1447" i="2"/>
  <c r="C1447" i="2"/>
  <c r="A1447" i="2"/>
  <c r="H1446" i="2"/>
  <c r="G1446" i="2"/>
  <c r="F1446" i="2"/>
  <c r="E1446" i="2"/>
  <c r="D1446" i="2"/>
  <c r="C1446" i="2"/>
  <c r="A1446" i="2"/>
  <c r="H1445" i="2"/>
  <c r="G1445" i="2"/>
  <c r="F1445" i="2"/>
  <c r="E1445" i="2"/>
  <c r="D1445" i="2"/>
  <c r="C1445" i="2"/>
  <c r="A1445" i="2"/>
  <c r="H1444" i="2"/>
  <c r="G1444" i="2"/>
  <c r="F1444" i="2"/>
  <c r="E1444" i="2"/>
  <c r="D1444" i="2"/>
  <c r="C1444" i="2"/>
  <c r="A1444" i="2"/>
  <c r="H1443" i="2"/>
  <c r="G1443" i="2"/>
  <c r="F1443" i="2"/>
  <c r="E1443" i="2"/>
  <c r="D1443" i="2"/>
  <c r="C1443" i="2"/>
  <c r="A1443" i="2"/>
  <c r="H1442" i="2"/>
  <c r="G1442" i="2"/>
  <c r="F1442" i="2"/>
  <c r="E1442" i="2"/>
  <c r="D1442" i="2"/>
  <c r="C1442" i="2"/>
  <c r="A1442" i="2"/>
  <c r="H1441" i="2"/>
  <c r="G1441" i="2"/>
  <c r="F1441" i="2"/>
  <c r="E1441" i="2"/>
  <c r="D1441" i="2"/>
  <c r="C1441" i="2"/>
  <c r="A1441" i="2"/>
  <c r="H1440" i="2"/>
  <c r="G1440" i="2"/>
  <c r="F1440" i="2"/>
  <c r="E1440" i="2"/>
  <c r="D1440" i="2"/>
  <c r="C1440" i="2"/>
  <c r="A1440" i="2"/>
  <c r="H1439" i="2"/>
  <c r="G1439" i="2"/>
  <c r="F1439" i="2"/>
  <c r="E1439" i="2"/>
  <c r="D1439" i="2"/>
  <c r="C1439" i="2"/>
  <c r="A1439" i="2"/>
  <c r="H1438" i="2"/>
  <c r="G1438" i="2"/>
  <c r="F1438" i="2"/>
  <c r="E1438" i="2"/>
  <c r="D1438" i="2"/>
  <c r="C1438" i="2"/>
  <c r="A1438" i="2"/>
  <c r="H1437" i="2"/>
  <c r="G1437" i="2"/>
  <c r="F1437" i="2"/>
  <c r="E1437" i="2"/>
  <c r="D1437" i="2"/>
  <c r="C1437" i="2"/>
  <c r="A1437" i="2"/>
  <c r="H1436" i="2"/>
  <c r="G1436" i="2"/>
  <c r="F1436" i="2"/>
  <c r="E1436" i="2"/>
  <c r="D1436" i="2"/>
  <c r="C1436" i="2"/>
  <c r="A1436" i="2"/>
  <c r="H1435" i="2"/>
  <c r="G1435" i="2"/>
  <c r="F1435" i="2"/>
  <c r="E1435" i="2"/>
  <c r="D1435" i="2"/>
  <c r="C1435" i="2"/>
  <c r="A1435" i="2"/>
  <c r="H1434" i="2"/>
  <c r="G1434" i="2"/>
  <c r="F1434" i="2"/>
  <c r="E1434" i="2"/>
  <c r="D1434" i="2"/>
  <c r="C1434" i="2"/>
  <c r="A1434" i="2"/>
  <c r="H1433" i="2"/>
  <c r="G1433" i="2"/>
  <c r="F1433" i="2"/>
  <c r="E1433" i="2"/>
  <c r="D1433" i="2"/>
  <c r="C1433" i="2"/>
  <c r="A1433" i="2"/>
  <c r="H1432" i="2"/>
  <c r="G1432" i="2"/>
  <c r="F1432" i="2"/>
  <c r="E1432" i="2"/>
  <c r="D1432" i="2"/>
  <c r="C1432" i="2"/>
  <c r="A1432" i="2"/>
  <c r="H1431" i="2"/>
  <c r="G1431" i="2"/>
  <c r="F1431" i="2"/>
  <c r="E1431" i="2"/>
  <c r="D1431" i="2"/>
  <c r="C1431" i="2"/>
  <c r="A1431" i="2"/>
  <c r="H1430" i="2"/>
  <c r="G1430" i="2"/>
  <c r="F1430" i="2"/>
  <c r="E1430" i="2"/>
  <c r="D1430" i="2"/>
  <c r="C1430" i="2"/>
  <c r="A1430" i="2"/>
  <c r="H1429" i="2"/>
  <c r="G1429" i="2"/>
  <c r="F1429" i="2"/>
  <c r="E1429" i="2"/>
  <c r="D1429" i="2"/>
  <c r="C1429" i="2"/>
  <c r="A1429" i="2"/>
  <c r="H1428" i="2"/>
  <c r="G1428" i="2"/>
  <c r="F1428" i="2"/>
  <c r="E1428" i="2"/>
  <c r="D1428" i="2"/>
  <c r="C1428" i="2"/>
  <c r="A1428" i="2"/>
  <c r="H1427" i="2"/>
  <c r="G1427" i="2"/>
  <c r="F1427" i="2"/>
  <c r="E1427" i="2"/>
  <c r="D1427" i="2"/>
  <c r="C1427" i="2"/>
  <c r="A1427" i="2"/>
  <c r="H1426" i="2"/>
  <c r="G1426" i="2"/>
  <c r="F1426" i="2"/>
  <c r="E1426" i="2"/>
  <c r="D1426" i="2"/>
  <c r="C1426" i="2"/>
  <c r="A1426" i="2"/>
  <c r="H1425" i="2"/>
  <c r="G1425" i="2"/>
  <c r="F1425" i="2"/>
  <c r="E1425" i="2"/>
  <c r="D1425" i="2"/>
  <c r="C1425" i="2"/>
  <c r="A1425" i="2"/>
  <c r="H1424" i="2"/>
  <c r="G1424" i="2"/>
  <c r="F1424" i="2"/>
  <c r="E1424" i="2"/>
  <c r="D1424" i="2"/>
  <c r="C1424" i="2"/>
  <c r="A1424" i="2"/>
  <c r="H1423" i="2"/>
  <c r="G1423" i="2"/>
  <c r="F1423" i="2"/>
  <c r="E1423" i="2"/>
  <c r="D1423" i="2"/>
  <c r="C1423" i="2"/>
  <c r="A1423" i="2"/>
  <c r="H1422" i="2"/>
  <c r="G1422" i="2"/>
  <c r="F1422" i="2"/>
  <c r="E1422" i="2"/>
  <c r="D1422" i="2"/>
  <c r="C1422" i="2"/>
  <c r="A1422" i="2"/>
  <c r="H1421" i="2"/>
  <c r="G1421" i="2"/>
  <c r="F1421" i="2"/>
  <c r="E1421" i="2"/>
  <c r="D1421" i="2"/>
  <c r="C1421" i="2"/>
  <c r="A1421" i="2"/>
  <c r="H1420" i="2"/>
  <c r="G1420" i="2"/>
  <c r="F1420" i="2"/>
  <c r="E1420" i="2"/>
  <c r="D1420" i="2"/>
  <c r="C1420" i="2"/>
  <c r="A1420" i="2"/>
  <c r="H1419" i="2"/>
  <c r="G1419" i="2"/>
  <c r="F1419" i="2"/>
  <c r="E1419" i="2"/>
  <c r="D1419" i="2"/>
  <c r="C1419" i="2"/>
  <c r="A1419" i="2"/>
  <c r="H1418" i="2"/>
  <c r="G1418" i="2"/>
  <c r="F1418" i="2"/>
  <c r="E1418" i="2"/>
  <c r="D1418" i="2"/>
  <c r="C1418" i="2"/>
  <c r="A1418" i="2"/>
  <c r="H1417" i="2"/>
  <c r="G1417" i="2"/>
  <c r="F1417" i="2"/>
  <c r="E1417" i="2"/>
  <c r="D1417" i="2"/>
  <c r="C1417" i="2"/>
  <c r="A1417" i="2"/>
  <c r="H1416" i="2"/>
  <c r="G1416" i="2"/>
  <c r="F1416" i="2"/>
  <c r="E1416" i="2"/>
  <c r="D1416" i="2"/>
  <c r="C1416" i="2"/>
  <c r="A1416" i="2"/>
  <c r="H1415" i="2"/>
  <c r="G1415" i="2"/>
  <c r="F1415" i="2"/>
  <c r="E1415" i="2"/>
  <c r="D1415" i="2"/>
  <c r="C1415" i="2"/>
  <c r="A1415" i="2"/>
  <c r="H1414" i="2"/>
  <c r="G1414" i="2"/>
  <c r="F1414" i="2"/>
  <c r="E1414" i="2"/>
  <c r="D1414" i="2"/>
  <c r="C1414" i="2"/>
  <c r="A1414" i="2"/>
  <c r="H1413" i="2"/>
  <c r="G1413" i="2"/>
  <c r="F1413" i="2"/>
  <c r="E1413" i="2"/>
  <c r="D1413" i="2"/>
  <c r="C1413" i="2"/>
  <c r="A1413" i="2"/>
  <c r="H1412" i="2"/>
  <c r="G1412" i="2"/>
  <c r="F1412" i="2"/>
  <c r="E1412" i="2"/>
  <c r="D1412" i="2"/>
  <c r="C1412" i="2"/>
  <c r="A1412" i="2"/>
  <c r="H1411" i="2"/>
  <c r="G1411" i="2"/>
  <c r="F1411" i="2"/>
  <c r="E1411" i="2"/>
  <c r="D1411" i="2"/>
  <c r="C1411" i="2"/>
  <c r="A1411" i="2"/>
  <c r="H1410" i="2"/>
  <c r="G1410" i="2"/>
  <c r="F1410" i="2"/>
  <c r="E1410" i="2"/>
  <c r="D1410" i="2"/>
  <c r="C1410" i="2"/>
  <c r="A1410" i="2"/>
  <c r="H1409" i="2"/>
  <c r="G1409" i="2"/>
  <c r="F1409" i="2"/>
  <c r="E1409" i="2"/>
  <c r="D1409" i="2"/>
  <c r="C1409" i="2"/>
  <c r="A1409" i="2"/>
  <c r="H1408" i="2"/>
  <c r="G1408" i="2"/>
  <c r="F1408" i="2"/>
  <c r="E1408" i="2"/>
  <c r="D1408" i="2"/>
  <c r="C1408" i="2"/>
  <c r="A1408" i="2"/>
  <c r="H1407" i="2"/>
  <c r="G1407" i="2"/>
  <c r="F1407" i="2"/>
  <c r="E1407" i="2"/>
  <c r="D1407" i="2"/>
  <c r="C1407" i="2"/>
  <c r="A1407" i="2"/>
  <c r="H1406" i="2"/>
  <c r="G1406" i="2"/>
  <c r="F1406" i="2"/>
  <c r="E1406" i="2"/>
  <c r="D1406" i="2"/>
  <c r="C1406" i="2"/>
  <c r="A1406" i="2"/>
  <c r="H1405" i="2"/>
  <c r="G1405" i="2"/>
  <c r="F1405" i="2"/>
  <c r="E1405" i="2"/>
  <c r="D1405" i="2"/>
  <c r="C1405" i="2"/>
  <c r="A1405" i="2"/>
  <c r="H1404" i="2"/>
  <c r="G1404" i="2"/>
  <c r="F1404" i="2"/>
  <c r="E1404" i="2"/>
  <c r="D1404" i="2"/>
  <c r="C1404" i="2"/>
  <c r="A1404" i="2"/>
  <c r="H1403" i="2"/>
  <c r="G1403" i="2"/>
  <c r="F1403" i="2"/>
  <c r="E1403" i="2"/>
  <c r="D1403" i="2"/>
  <c r="C1403" i="2"/>
  <c r="A1403" i="2"/>
  <c r="H1402" i="2"/>
  <c r="G1402" i="2"/>
  <c r="F1402" i="2"/>
  <c r="E1402" i="2"/>
  <c r="D1402" i="2"/>
  <c r="C1402" i="2"/>
  <c r="A1402" i="2"/>
  <c r="H1401" i="2"/>
  <c r="G1401" i="2"/>
  <c r="F1401" i="2"/>
  <c r="E1401" i="2"/>
  <c r="D1401" i="2"/>
  <c r="C1401" i="2"/>
  <c r="A1401" i="2"/>
  <c r="H1400" i="2"/>
  <c r="G1400" i="2"/>
  <c r="F1400" i="2"/>
  <c r="E1400" i="2"/>
  <c r="D1400" i="2"/>
  <c r="C1400" i="2"/>
  <c r="A1400" i="2"/>
  <c r="H1399" i="2"/>
  <c r="G1399" i="2"/>
  <c r="F1399" i="2"/>
  <c r="E1399" i="2"/>
  <c r="D1399" i="2"/>
  <c r="C1399" i="2"/>
  <c r="A1399" i="2"/>
  <c r="H1398" i="2"/>
  <c r="G1398" i="2"/>
  <c r="F1398" i="2"/>
  <c r="E1398" i="2"/>
  <c r="D1398" i="2"/>
  <c r="C1398" i="2"/>
  <c r="A1398" i="2"/>
  <c r="H1397" i="2"/>
  <c r="G1397" i="2"/>
  <c r="F1397" i="2"/>
  <c r="E1397" i="2"/>
  <c r="D1397" i="2"/>
  <c r="C1397" i="2"/>
  <c r="A1397" i="2"/>
  <c r="H1396" i="2"/>
  <c r="G1396" i="2"/>
  <c r="F1396" i="2"/>
  <c r="E1396" i="2"/>
  <c r="D1396" i="2"/>
  <c r="C1396" i="2"/>
  <c r="A1396" i="2"/>
  <c r="H1395" i="2"/>
  <c r="G1395" i="2"/>
  <c r="F1395" i="2"/>
  <c r="E1395" i="2"/>
  <c r="D1395" i="2"/>
  <c r="C1395" i="2"/>
  <c r="A1395" i="2"/>
  <c r="H1394" i="2"/>
  <c r="G1394" i="2"/>
  <c r="F1394" i="2"/>
  <c r="E1394" i="2"/>
  <c r="D1394" i="2"/>
  <c r="C1394" i="2"/>
  <c r="A1394" i="2"/>
  <c r="H1393" i="2"/>
  <c r="G1393" i="2"/>
  <c r="F1393" i="2"/>
  <c r="E1393" i="2"/>
  <c r="D1393" i="2"/>
  <c r="C1393" i="2"/>
  <c r="A1393" i="2"/>
  <c r="H1392" i="2"/>
  <c r="G1392" i="2"/>
  <c r="F1392" i="2"/>
  <c r="E1392" i="2"/>
  <c r="D1392" i="2"/>
  <c r="C1392" i="2"/>
  <c r="A1392" i="2"/>
  <c r="H1391" i="2"/>
  <c r="G1391" i="2"/>
  <c r="F1391" i="2"/>
  <c r="E1391" i="2"/>
  <c r="D1391" i="2"/>
  <c r="C1391" i="2"/>
  <c r="A1391" i="2"/>
  <c r="H1390" i="2"/>
  <c r="G1390" i="2"/>
  <c r="F1390" i="2"/>
  <c r="E1390" i="2"/>
  <c r="D1390" i="2"/>
  <c r="C1390" i="2"/>
  <c r="A1390" i="2"/>
  <c r="H1389" i="2"/>
  <c r="G1389" i="2"/>
  <c r="F1389" i="2"/>
  <c r="E1389" i="2"/>
  <c r="D1389" i="2"/>
  <c r="C1389" i="2"/>
  <c r="A1389" i="2"/>
  <c r="H1388" i="2"/>
  <c r="G1388" i="2"/>
  <c r="F1388" i="2"/>
  <c r="E1388" i="2"/>
  <c r="D1388" i="2"/>
  <c r="C1388" i="2"/>
  <c r="A1388" i="2"/>
  <c r="H1387" i="2"/>
  <c r="G1387" i="2"/>
  <c r="F1387" i="2"/>
  <c r="E1387" i="2"/>
  <c r="D1387" i="2"/>
  <c r="C1387" i="2"/>
  <c r="A1387" i="2"/>
  <c r="H1386" i="2"/>
  <c r="G1386" i="2"/>
  <c r="F1386" i="2"/>
  <c r="E1386" i="2"/>
  <c r="D1386" i="2"/>
  <c r="C1386" i="2"/>
  <c r="A1386" i="2"/>
  <c r="H1385" i="2"/>
  <c r="G1385" i="2"/>
  <c r="F1385" i="2"/>
  <c r="E1385" i="2"/>
  <c r="D1385" i="2"/>
  <c r="C1385" i="2"/>
  <c r="A1385" i="2"/>
  <c r="H1384" i="2"/>
  <c r="G1384" i="2"/>
  <c r="F1384" i="2"/>
  <c r="E1384" i="2"/>
  <c r="D1384" i="2"/>
  <c r="C1384" i="2"/>
  <c r="A1384" i="2"/>
  <c r="H1383" i="2"/>
  <c r="G1383" i="2"/>
  <c r="F1383" i="2"/>
  <c r="E1383" i="2"/>
  <c r="D1383" i="2"/>
  <c r="C1383" i="2"/>
  <c r="A1383" i="2"/>
  <c r="H1382" i="2"/>
  <c r="G1382" i="2"/>
  <c r="F1382" i="2"/>
  <c r="E1382" i="2"/>
  <c r="D1382" i="2"/>
  <c r="C1382" i="2"/>
  <c r="A1382" i="2"/>
  <c r="H1381" i="2"/>
  <c r="G1381" i="2"/>
  <c r="F1381" i="2"/>
  <c r="E1381" i="2"/>
  <c r="D1381" i="2"/>
  <c r="C1381" i="2"/>
  <c r="A1381" i="2"/>
  <c r="H1380" i="2"/>
  <c r="G1380" i="2"/>
  <c r="F1380" i="2"/>
  <c r="E1380" i="2"/>
  <c r="D1380" i="2"/>
  <c r="C1380" i="2"/>
  <c r="A1380" i="2"/>
  <c r="H1379" i="2"/>
  <c r="G1379" i="2"/>
  <c r="F1379" i="2"/>
  <c r="E1379" i="2"/>
  <c r="D1379" i="2"/>
  <c r="C1379" i="2"/>
  <c r="A1379" i="2"/>
  <c r="H1378" i="2"/>
  <c r="G1378" i="2"/>
  <c r="F1378" i="2"/>
  <c r="E1378" i="2"/>
  <c r="D1378" i="2"/>
  <c r="C1378" i="2"/>
  <c r="A1378" i="2"/>
  <c r="H1377" i="2"/>
  <c r="G1377" i="2"/>
  <c r="F1377" i="2"/>
  <c r="E1377" i="2"/>
  <c r="D1377" i="2"/>
  <c r="C1377" i="2"/>
  <c r="A1377" i="2"/>
  <c r="H1376" i="2"/>
  <c r="G1376" i="2"/>
  <c r="F1376" i="2"/>
  <c r="E1376" i="2"/>
  <c r="D1376" i="2"/>
  <c r="C1376" i="2"/>
  <c r="A1376" i="2"/>
  <c r="H1375" i="2"/>
  <c r="G1375" i="2"/>
  <c r="F1375" i="2"/>
  <c r="E1375" i="2"/>
  <c r="D1375" i="2"/>
  <c r="C1375" i="2"/>
  <c r="A1375" i="2"/>
  <c r="H1374" i="2"/>
  <c r="G1374" i="2"/>
  <c r="F1374" i="2"/>
  <c r="E1374" i="2"/>
  <c r="D1374" i="2"/>
  <c r="C1374" i="2"/>
  <c r="A1374" i="2"/>
  <c r="H1373" i="2"/>
  <c r="G1373" i="2"/>
  <c r="F1373" i="2"/>
  <c r="E1373" i="2"/>
  <c r="D1373" i="2"/>
  <c r="C1373" i="2"/>
  <c r="A1373" i="2"/>
  <c r="H1372" i="2"/>
  <c r="G1372" i="2"/>
  <c r="F1372" i="2"/>
  <c r="E1372" i="2"/>
  <c r="D1372" i="2"/>
  <c r="C1372" i="2"/>
  <c r="A1372" i="2"/>
  <c r="H1371" i="2"/>
  <c r="G1371" i="2"/>
  <c r="F1371" i="2"/>
  <c r="E1371" i="2"/>
  <c r="D1371" i="2"/>
  <c r="C1371" i="2"/>
  <c r="A1371" i="2"/>
  <c r="H1370" i="2"/>
  <c r="G1370" i="2"/>
  <c r="F1370" i="2"/>
  <c r="E1370" i="2"/>
  <c r="D1370" i="2"/>
  <c r="C1370" i="2"/>
  <c r="A1370" i="2"/>
  <c r="H1369" i="2"/>
  <c r="G1369" i="2"/>
  <c r="F1369" i="2"/>
  <c r="E1369" i="2"/>
  <c r="D1369" i="2"/>
  <c r="C1369" i="2"/>
  <c r="A1369" i="2"/>
  <c r="H1368" i="2"/>
  <c r="G1368" i="2"/>
  <c r="F1368" i="2"/>
  <c r="E1368" i="2"/>
  <c r="D1368" i="2"/>
  <c r="C1368" i="2"/>
  <c r="A1368" i="2"/>
  <c r="H1367" i="2"/>
  <c r="G1367" i="2"/>
  <c r="F1367" i="2"/>
  <c r="E1367" i="2"/>
  <c r="D1367" i="2"/>
  <c r="C1367" i="2"/>
  <c r="A1367" i="2"/>
  <c r="H1366" i="2"/>
  <c r="G1366" i="2"/>
  <c r="F1366" i="2"/>
  <c r="E1366" i="2"/>
  <c r="D1366" i="2"/>
  <c r="C1366" i="2"/>
  <c r="A1366" i="2"/>
  <c r="H1365" i="2"/>
  <c r="G1365" i="2"/>
  <c r="F1365" i="2"/>
  <c r="E1365" i="2"/>
  <c r="D1365" i="2"/>
  <c r="C1365" i="2"/>
  <c r="A1365" i="2"/>
  <c r="H1364" i="2"/>
  <c r="G1364" i="2"/>
  <c r="F1364" i="2"/>
  <c r="E1364" i="2"/>
  <c r="D1364" i="2"/>
  <c r="C1364" i="2"/>
  <c r="A1364" i="2"/>
  <c r="H1363" i="2"/>
  <c r="G1363" i="2"/>
  <c r="F1363" i="2"/>
  <c r="E1363" i="2"/>
  <c r="D1363" i="2"/>
  <c r="C1363" i="2"/>
  <c r="A1363" i="2"/>
  <c r="H1362" i="2"/>
  <c r="G1362" i="2"/>
  <c r="F1362" i="2"/>
  <c r="E1362" i="2"/>
  <c r="D1362" i="2"/>
  <c r="C1362" i="2"/>
  <c r="A1362" i="2"/>
  <c r="H1361" i="2"/>
  <c r="G1361" i="2"/>
  <c r="F1361" i="2"/>
  <c r="E1361" i="2"/>
  <c r="D1361" i="2"/>
  <c r="C1361" i="2"/>
  <c r="A1361" i="2"/>
  <c r="H1360" i="2"/>
  <c r="G1360" i="2"/>
  <c r="F1360" i="2"/>
  <c r="E1360" i="2"/>
  <c r="D1360" i="2"/>
  <c r="C1360" i="2"/>
  <c r="A1360" i="2"/>
  <c r="H1359" i="2"/>
  <c r="G1359" i="2"/>
  <c r="F1359" i="2"/>
  <c r="E1359" i="2"/>
  <c r="D1359" i="2"/>
  <c r="C1359" i="2"/>
  <c r="A1359" i="2"/>
  <c r="H1358" i="2"/>
  <c r="G1358" i="2"/>
  <c r="F1358" i="2"/>
  <c r="E1358" i="2"/>
  <c r="D1358" i="2"/>
  <c r="C1358" i="2"/>
  <c r="A1358" i="2"/>
  <c r="H1357" i="2"/>
  <c r="G1357" i="2"/>
  <c r="F1357" i="2"/>
  <c r="E1357" i="2"/>
  <c r="D1357" i="2"/>
  <c r="C1357" i="2"/>
  <c r="A1357" i="2"/>
  <c r="H1356" i="2"/>
  <c r="G1356" i="2"/>
  <c r="F1356" i="2"/>
  <c r="E1356" i="2"/>
  <c r="D1356" i="2"/>
  <c r="C1356" i="2"/>
  <c r="A1356" i="2"/>
  <c r="H1355" i="2"/>
  <c r="G1355" i="2"/>
  <c r="F1355" i="2"/>
  <c r="E1355" i="2"/>
  <c r="D1355" i="2"/>
  <c r="C1355" i="2"/>
  <c r="A1355" i="2"/>
  <c r="H1354" i="2"/>
  <c r="G1354" i="2"/>
  <c r="F1354" i="2"/>
  <c r="E1354" i="2"/>
  <c r="D1354" i="2"/>
  <c r="C1354" i="2"/>
  <c r="A1354" i="2"/>
  <c r="H1353" i="2"/>
  <c r="G1353" i="2"/>
  <c r="F1353" i="2"/>
  <c r="E1353" i="2"/>
  <c r="D1353" i="2"/>
  <c r="C1353" i="2"/>
  <c r="A1353" i="2"/>
  <c r="H1352" i="2"/>
  <c r="G1352" i="2"/>
  <c r="F1352" i="2"/>
  <c r="E1352" i="2"/>
  <c r="D1352" i="2"/>
  <c r="C1352" i="2"/>
  <c r="A1352" i="2"/>
  <c r="H1351" i="2"/>
  <c r="G1351" i="2"/>
  <c r="F1351" i="2"/>
  <c r="E1351" i="2"/>
  <c r="D1351" i="2"/>
  <c r="C1351" i="2"/>
  <c r="A1351" i="2"/>
  <c r="H1350" i="2"/>
  <c r="G1350" i="2"/>
  <c r="F1350" i="2"/>
  <c r="E1350" i="2"/>
  <c r="D1350" i="2"/>
  <c r="C1350" i="2"/>
  <c r="A1350" i="2"/>
  <c r="H1349" i="2"/>
  <c r="G1349" i="2"/>
  <c r="F1349" i="2"/>
  <c r="E1349" i="2"/>
  <c r="D1349" i="2"/>
  <c r="C1349" i="2"/>
  <c r="A1349" i="2"/>
  <c r="H1348" i="2"/>
  <c r="G1348" i="2"/>
  <c r="F1348" i="2"/>
  <c r="E1348" i="2"/>
  <c r="D1348" i="2"/>
  <c r="C1348" i="2"/>
  <c r="A1348" i="2"/>
  <c r="H1347" i="2"/>
  <c r="G1347" i="2"/>
  <c r="F1347" i="2"/>
  <c r="E1347" i="2"/>
  <c r="D1347" i="2"/>
  <c r="C1347" i="2"/>
  <c r="A1347" i="2"/>
  <c r="H1346" i="2"/>
  <c r="G1346" i="2"/>
  <c r="F1346" i="2"/>
  <c r="E1346" i="2"/>
  <c r="D1346" i="2"/>
  <c r="C1346" i="2"/>
  <c r="A1346" i="2"/>
  <c r="H1345" i="2"/>
  <c r="G1345" i="2"/>
  <c r="F1345" i="2"/>
  <c r="E1345" i="2"/>
  <c r="D1345" i="2"/>
  <c r="C1345" i="2"/>
  <c r="A1345" i="2"/>
  <c r="H1344" i="2"/>
  <c r="G1344" i="2"/>
  <c r="F1344" i="2"/>
  <c r="E1344" i="2"/>
  <c r="D1344" i="2"/>
  <c r="C1344" i="2"/>
  <c r="A1344" i="2"/>
  <c r="H1343" i="2"/>
  <c r="G1343" i="2"/>
  <c r="F1343" i="2"/>
  <c r="E1343" i="2"/>
  <c r="D1343" i="2"/>
  <c r="C1343" i="2"/>
  <c r="A1343" i="2"/>
  <c r="H1342" i="2"/>
  <c r="G1342" i="2"/>
  <c r="F1342" i="2"/>
  <c r="E1342" i="2"/>
  <c r="D1342" i="2"/>
  <c r="C1342" i="2"/>
  <c r="A1342" i="2"/>
  <c r="H1341" i="2"/>
  <c r="G1341" i="2"/>
  <c r="F1341" i="2"/>
  <c r="E1341" i="2"/>
  <c r="D1341" i="2"/>
  <c r="C1341" i="2"/>
  <c r="A1341" i="2"/>
  <c r="H1340" i="2"/>
  <c r="G1340" i="2"/>
  <c r="F1340" i="2"/>
  <c r="E1340" i="2"/>
  <c r="D1340" i="2"/>
  <c r="C1340" i="2"/>
  <c r="A1340" i="2"/>
  <c r="H1339" i="2"/>
  <c r="G1339" i="2"/>
  <c r="F1339" i="2"/>
  <c r="E1339" i="2"/>
  <c r="D1339" i="2"/>
  <c r="C1339" i="2"/>
  <c r="A1339" i="2"/>
  <c r="H1338" i="2"/>
  <c r="G1338" i="2"/>
  <c r="F1338" i="2"/>
  <c r="E1338" i="2"/>
  <c r="D1338" i="2"/>
  <c r="C1338" i="2"/>
  <c r="A1338" i="2"/>
  <c r="H1337" i="2"/>
  <c r="G1337" i="2"/>
  <c r="F1337" i="2"/>
  <c r="E1337" i="2"/>
  <c r="D1337" i="2"/>
  <c r="C1337" i="2"/>
  <c r="A1337" i="2"/>
  <c r="H1336" i="2"/>
  <c r="G1336" i="2"/>
  <c r="F1336" i="2"/>
  <c r="E1336" i="2"/>
  <c r="D1336" i="2"/>
  <c r="C1336" i="2"/>
  <c r="A1336" i="2"/>
  <c r="H1335" i="2"/>
  <c r="G1335" i="2"/>
  <c r="F1335" i="2"/>
  <c r="E1335" i="2"/>
  <c r="D1335" i="2"/>
  <c r="C1335" i="2"/>
  <c r="A1335" i="2"/>
  <c r="H1334" i="2"/>
  <c r="G1334" i="2"/>
  <c r="F1334" i="2"/>
  <c r="E1334" i="2"/>
  <c r="D1334" i="2"/>
  <c r="C1334" i="2"/>
  <c r="A1334" i="2"/>
  <c r="H1333" i="2"/>
  <c r="G1333" i="2"/>
  <c r="F1333" i="2"/>
  <c r="E1333" i="2"/>
  <c r="D1333" i="2"/>
  <c r="C1333" i="2"/>
  <c r="A1333" i="2"/>
  <c r="H1332" i="2"/>
  <c r="G1332" i="2"/>
  <c r="F1332" i="2"/>
  <c r="E1332" i="2"/>
  <c r="D1332" i="2"/>
  <c r="C1332" i="2"/>
  <c r="A1332" i="2"/>
  <c r="H1331" i="2"/>
  <c r="G1331" i="2"/>
  <c r="F1331" i="2"/>
  <c r="E1331" i="2"/>
  <c r="D1331" i="2"/>
  <c r="C1331" i="2"/>
  <c r="A1331" i="2"/>
  <c r="H1330" i="2"/>
  <c r="G1330" i="2"/>
  <c r="F1330" i="2"/>
  <c r="E1330" i="2"/>
  <c r="D1330" i="2"/>
  <c r="C1330" i="2"/>
  <c r="A1330" i="2"/>
  <c r="H1329" i="2"/>
  <c r="G1329" i="2"/>
  <c r="F1329" i="2"/>
  <c r="E1329" i="2"/>
  <c r="D1329" i="2"/>
  <c r="C1329" i="2"/>
  <c r="A1329" i="2"/>
  <c r="H1328" i="2"/>
  <c r="G1328" i="2"/>
  <c r="F1328" i="2"/>
  <c r="E1328" i="2"/>
  <c r="D1328" i="2"/>
  <c r="C1328" i="2"/>
  <c r="A1328" i="2"/>
  <c r="H1327" i="2"/>
  <c r="G1327" i="2"/>
  <c r="F1327" i="2"/>
  <c r="E1327" i="2"/>
  <c r="D1327" i="2"/>
  <c r="C1327" i="2"/>
  <c r="A1327" i="2"/>
  <c r="H1326" i="2"/>
  <c r="G1326" i="2"/>
  <c r="F1326" i="2"/>
  <c r="E1326" i="2"/>
  <c r="D1326" i="2"/>
  <c r="C1326" i="2"/>
  <c r="A1326" i="2"/>
  <c r="H1325" i="2"/>
  <c r="G1325" i="2"/>
  <c r="F1325" i="2"/>
  <c r="E1325" i="2"/>
  <c r="D1325" i="2"/>
  <c r="C1325" i="2"/>
  <c r="A1325" i="2"/>
  <c r="H1324" i="2"/>
  <c r="G1324" i="2"/>
  <c r="F1324" i="2"/>
  <c r="E1324" i="2"/>
  <c r="D1324" i="2"/>
  <c r="C1324" i="2"/>
  <c r="A1324" i="2"/>
  <c r="H1323" i="2"/>
  <c r="G1323" i="2"/>
  <c r="F1323" i="2"/>
  <c r="E1323" i="2"/>
  <c r="D1323" i="2"/>
  <c r="C1323" i="2"/>
  <c r="A1323" i="2"/>
  <c r="H1322" i="2"/>
  <c r="G1322" i="2"/>
  <c r="F1322" i="2"/>
  <c r="E1322" i="2"/>
  <c r="D1322" i="2"/>
  <c r="C1322" i="2"/>
  <c r="A1322" i="2"/>
  <c r="H1321" i="2"/>
  <c r="G1321" i="2"/>
  <c r="F1321" i="2"/>
  <c r="E1321" i="2"/>
  <c r="D1321" i="2"/>
  <c r="C1321" i="2"/>
  <c r="A1321" i="2"/>
  <c r="H1320" i="2"/>
  <c r="G1320" i="2"/>
  <c r="F1320" i="2"/>
  <c r="E1320" i="2"/>
  <c r="D1320" i="2"/>
  <c r="C1320" i="2"/>
  <c r="A1320" i="2"/>
  <c r="H1319" i="2"/>
  <c r="G1319" i="2"/>
  <c r="F1319" i="2"/>
  <c r="E1319" i="2"/>
  <c r="D1319" i="2"/>
  <c r="C1319" i="2"/>
  <c r="A1319" i="2"/>
  <c r="H1318" i="2"/>
  <c r="G1318" i="2"/>
  <c r="F1318" i="2"/>
  <c r="E1318" i="2"/>
  <c r="D1318" i="2"/>
  <c r="C1318" i="2"/>
  <c r="A1318" i="2"/>
  <c r="H1317" i="2"/>
  <c r="G1317" i="2"/>
  <c r="F1317" i="2"/>
  <c r="E1317" i="2"/>
  <c r="D1317" i="2"/>
  <c r="C1317" i="2"/>
  <c r="A1317" i="2"/>
  <c r="H1316" i="2"/>
  <c r="G1316" i="2"/>
  <c r="F1316" i="2"/>
  <c r="E1316" i="2"/>
  <c r="D1316" i="2"/>
  <c r="C1316" i="2"/>
  <c r="A1316" i="2"/>
  <c r="H1315" i="2"/>
  <c r="G1315" i="2"/>
  <c r="F1315" i="2"/>
  <c r="E1315" i="2"/>
  <c r="D1315" i="2"/>
  <c r="C1315" i="2"/>
  <c r="A1315" i="2"/>
  <c r="H1314" i="2"/>
  <c r="G1314" i="2"/>
  <c r="F1314" i="2"/>
  <c r="E1314" i="2"/>
  <c r="D1314" i="2"/>
  <c r="C1314" i="2"/>
  <c r="A1314" i="2"/>
  <c r="H1313" i="2"/>
  <c r="G1313" i="2"/>
  <c r="F1313" i="2"/>
  <c r="E1313" i="2"/>
  <c r="D1313" i="2"/>
  <c r="C1313" i="2"/>
  <c r="A1313" i="2"/>
  <c r="H1312" i="2"/>
  <c r="G1312" i="2"/>
  <c r="F1312" i="2"/>
  <c r="E1312" i="2"/>
  <c r="D1312" i="2"/>
  <c r="C1312" i="2"/>
  <c r="A1312" i="2"/>
  <c r="H1311" i="2"/>
  <c r="G1311" i="2"/>
  <c r="F1311" i="2"/>
  <c r="E1311" i="2"/>
  <c r="D1311" i="2"/>
  <c r="C1311" i="2"/>
  <c r="A1311" i="2"/>
  <c r="H1310" i="2"/>
  <c r="G1310" i="2"/>
  <c r="F1310" i="2"/>
  <c r="E1310" i="2"/>
  <c r="D1310" i="2"/>
  <c r="C1310" i="2"/>
  <c r="A1310" i="2"/>
  <c r="H1309" i="2"/>
  <c r="G1309" i="2"/>
  <c r="F1309" i="2"/>
  <c r="E1309" i="2"/>
  <c r="D1309" i="2"/>
  <c r="C1309" i="2"/>
  <c r="A1309" i="2"/>
  <c r="H1308" i="2"/>
  <c r="G1308" i="2"/>
  <c r="F1308" i="2"/>
  <c r="E1308" i="2"/>
  <c r="D1308" i="2"/>
  <c r="C1308" i="2"/>
  <c r="A1308" i="2"/>
  <c r="H1307" i="2"/>
  <c r="G1307" i="2"/>
  <c r="F1307" i="2"/>
  <c r="E1307" i="2"/>
  <c r="D1307" i="2"/>
  <c r="C1307" i="2"/>
  <c r="A1307" i="2"/>
  <c r="H1306" i="2"/>
  <c r="G1306" i="2"/>
  <c r="F1306" i="2"/>
  <c r="E1306" i="2"/>
  <c r="D1306" i="2"/>
  <c r="C1306" i="2"/>
  <c r="A1306" i="2"/>
  <c r="H1305" i="2"/>
  <c r="G1305" i="2"/>
  <c r="F1305" i="2"/>
  <c r="E1305" i="2"/>
  <c r="D1305" i="2"/>
  <c r="C1305" i="2"/>
  <c r="A1305" i="2"/>
  <c r="H1304" i="2"/>
  <c r="G1304" i="2"/>
  <c r="F1304" i="2"/>
  <c r="E1304" i="2"/>
  <c r="D1304" i="2"/>
  <c r="C1304" i="2"/>
  <c r="A1304" i="2"/>
  <c r="H1303" i="2"/>
  <c r="G1303" i="2"/>
  <c r="F1303" i="2"/>
  <c r="E1303" i="2"/>
  <c r="D1303" i="2"/>
  <c r="C1303" i="2"/>
  <c r="A1303" i="2"/>
  <c r="H1302" i="2"/>
  <c r="G1302" i="2"/>
  <c r="F1302" i="2"/>
  <c r="E1302" i="2"/>
  <c r="D1302" i="2"/>
  <c r="C1302" i="2"/>
  <c r="A1302" i="2"/>
  <c r="H1301" i="2"/>
  <c r="G1301" i="2"/>
  <c r="F1301" i="2"/>
  <c r="E1301" i="2"/>
  <c r="D1301" i="2"/>
  <c r="C1301" i="2"/>
  <c r="A1301" i="2"/>
  <c r="H1300" i="2"/>
  <c r="G1300" i="2"/>
  <c r="F1300" i="2"/>
  <c r="E1300" i="2"/>
  <c r="D1300" i="2"/>
  <c r="C1300" i="2"/>
  <c r="A1300" i="2"/>
  <c r="H1299" i="2"/>
  <c r="G1299" i="2"/>
  <c r="F1299" i="2"/>
  <c r="E1299" i="2"/>
  <c r="D1299" i="2"/>
  <c r="C1299" i="2"/>
  <c r="A1299" i="2"/>
  <c r="H1298" i="2"/>
  <c r="G1298" i="2"/>
  <c r="F1298" i="2"/>
  <c r="E1298" i="2"/>
  <c r="D1298" i="2"/>
  <c r="C1298" i="2"/>
  <c r="A1298" i="2"/>
  <c r="H1297" i="2"/>
  <c r="G1297" i="2"/>
  <c r="F1297" i="2"/>
  <c r="E1297" i="2"/>
  <c r="D1297" i="2"/>
  <c r="C1297" i="2"/>
  <c r="A1297" i="2"/>
  <c r="H1296" i="2"/>
  <c r="G1296" i="2"/>
  <c r="F1296" i="2"/>
  <c r="E1296" i="2"/>
  <c r="D1296" i="2"/>
  <c r="C1296" i="2"/>
  <c r="A1296" i="2"/>
  <c r="H1295" i="2"/>
  <c r="G1295" i="2"/>
  <c r="F1295" i="2"/>
  <c r="E1295" i="2"/>
  <c r="D1295" i="2"/>
  <c r="C1295" i="2"/>
  <c r="A1295" i="2"/>
  <c r="H1294" i="2"/>
  <c r="G1294" i="2"/>
  <c r="F1294" i="2"/>
  <c r="E1294" i="2"/>
  <c r="D1294" i="2"/>
  <c r="C1294" i="2"/>
  <c r="A1294" i="2"/>
  <c r="H1293" i="2"/>
  <c r="G1293" i="2"/>
  <c r="F1293" i="2"/>
  <c r="E1293" i="2"/>
  <c r="D1293" i="2"/>
  <c r="C1293" i="2"/>
  <c r="A1293" i="2"/>
  <c r="H1292" i="2"/>
  <c r="G1292" i="2"/>
  <c r="F1292" i="2"/>
  <c r="E1292" i="2"/>
  <c r="D1292" i="2"/>
  <c r="C1292" i="2"/>
  <c r="A1292" i="2"/>
  <c r="H1291" i="2"/>
  <c r="G1291" i="2"/>
  <c r="F1291" i="2"/>
  <c r="E1291" i="2"/>
  <c r="D1291" i="2"/>
  <c r="C1291" i="2"/>
  <c r="A1291" i="2"/>
  <c r="H1290" i="2"/>
  <c r="G1290" i="2"/>
  <c r="F1290" i="2"/>
  <c r="E1290" i="2"/>
  <c r="D1290" i="2"/>
  <c r="C1290" i="2"/>
  <c r="A1290" i="2"/>
  <c r="H1289" i="2"/>
  <c r="G1289" i="2"/>
  <c r="F1289" i="2"/>
  <c r="E1289" i="2"/>
  <c r="D1289" i="2"/>
  <c r="C1289" i="2"/>
  <c r="A1289" i="2"/>
  <c r="H1288" i="2"/>
  <c r="G1288" i="2"/>
  <c r="F1288" i="2"/>
  <c r="E1288" i="2"/>
  <c r="D1288" i="2"/>
  <c r="C1288" i="2"/>
  <c r="A1288" i="2"/>
  <c r="H1287" i="2"/>
  <c r="G1287" i="2"/>
  <c r="F1287" i="2"/>
  <c r="E1287" i="2"/>
  <c r="D1287" i="2"/>
  <c r="C1287" i="2"/>
  <c r="A1287" i="2"/>
  <c r="H1286" i="2"/>
  <c r="G1286" i="2"/>
  <c r="F1286" i="2"/>
  <c r="E1286" i="2"/>
  <c r="D1286" i="2"/>
  <c r="C1286" i="2"/>
  <c r="A1286" i="2"/>
  <c r="H1285" i="2"/>
  <c r="G1285" i="2"/>
  <c r="F1285" i="2"/>
  <c r="E1285" i="2"/>
  <c r="D1285" i="2"/>
  <c r="C1285" i="2"/>
  <c r="A1285" i="2"/>
  <c r="H1284" i="2"/>
  <c r="G1284" i="2"/>
  <c r="F1284" i="2"/>
  <c r="E1284" i="2"/>
  <c r="D1284" i="2"/>
  <c r="C1284" i="2"/>
  <c r="A1284" i="2"/>
  <c r="H1283" i="2"/>
  <c r="G1283" i="2"/>
  <c r="F1283" i="2"/>
  <c r="E1283" i="2"/>
  <c r="D1283" i="2"/>
  <c r="C1283" i="2"/>
  <c r="A1283" i="2"/>
  <c r="H1282" i="2"/>
  <c r="G1282" i="2"/>
  <c r="F1282" i="2"/>
  <c r="E1282" i="2"/>
  <c r="D1282" i="2"/>
  <c r="C1282" i="2"/>
  <c r="A1282" i="2"/>
  <c r="H1281" i="2"/>
  <c r="G1281" i="2"/>
  <c r="F1281" i="2"/>
  <c r="E1281" i="2"/>
  <c r="D1281" i="2"/>
  <c r="C1281" i="2"/>
  <c r="A1281" i="2"/>
  <c r="H1280" i="2"/>
  <c r="G1280" i="2"/>
  <c r="F1280" i="2"/>
  <c r="E1280" i="2"/>
  <c r="D1280" i="2"/>
  <c r="C1280" i="2"/>
  <c r="A1280" i="2"/>
  <c r="H1279" i="2"/>
  <c r="G1279" i="2"/>
  <c r="F1279" i="2"/>
  <c r="E1279" i="2"/>
  <c r="D1279" i="2"/>
  <c r="C1279" i="2"/>
  <c r="A1279" i="2"/>
  <c r="H1278" i="2"/>
  <c r="G1278" i="2"/>
  <c r="F1278" i="2"/>
  <c r="E1278" i="2"/>
  <c r="D1278" i="2"/>
  <c r="C1278" i="2"/>
  <c r="A1278" i="2"/>
  <c r="H1277" i="2"/>
  <c r="G1277" i="2"/>
  <c r="F1277" i="2"/>
  <c r="E1277" i="2"/>
  <c r="D1277" i="2"/>
  <c r="C1277" i="2"/>
  <c r="A1277" i="2"/>
  <c r="H1276" i="2"/>
  <c r="G1276" i="2"/>
  <c r="F1276" i="2"/>
  <c r="E1276" i="2"/>
  <c r="D1276" i="2"/>
  <c r="C1276" i="2"/>
  <c r="A1276" i="2"/>
  <c r="H1275" i="2"/>
  <c r="G1275" i="2"/>
  <c r="F1275" i="2"/>
  <c r="E1275" i="2"/>
  <c r="D1275" i="2"/>
  <c r="C1275" i="2"/>
  <c r="A1275" i="2"/>
  <c r="H1274" i="2"/>
  <c r="G1274" i="2"/>
  <c r="F1274" i="2"/>
  <c r="E1274" i="2"/>
  <c r="D1274" i="2"/>
  <c r="C1274" i="2"/>
  <c r="A1274" i="2"/>
  <c r="H1273" i="2"/>
  <c r="G1273" i="2"/>
  <c r="F1273" i="2"/>
  <c r="E1273" i="2"/>
  <c r="D1273" i="2"/>
  <c r="C1273" i="2"/>
  <c r="A1273" i="2"/>
  <c r="H1272" i="2"/>
  <c r="G1272" i="2"/>
  <c r="F1272" i="2"/>
  <c r="E1272" i="2"/>
  <c r="D1272" i="2"/>
  <c r="C1272" i="2"/>
  <c r="A1272" i="2"/>
  <c r="H1271" i="2"/>
  <c r="G1271" i="2"/>
  <c r="F1271" i="2"/>
  <c r="E1271" i="2"/>
  <c r="D1271" i="2"/>
  <c r="C1271" i="2"/>
  <c r="A1271" i="2"/>
  <c r="H1270" i="2"/>
  <c r="G1270" i="2"/>
  <c r="F1270" i="2"/>
  <c r="E1270" i="2"/>
  <c r="D1270" i="2"/>
  <c r="C1270" i="2"/>
  <c r="A1270" i="2"/>
  <c r="H1269" i="2"/>
  <c r="G1269" i="2"/>
  <c r="F1269" i="2"/>
  <c r="E1269" i="2"/>
  <c r="D1269" i="2"/>
  <c r="C1269" i="2"/>
  <c r="A1269" i="2"/>
  <c r="H1268" i="2"/>
  <c r="G1268" i="2"/>
  <c r="F1268" i="2"/>
  <c r="E1268" i="2"/>
  <c r="D1268" i="2"/>
  <c r="C1268" i="2"/>
  <c r="A1268" i="2"/>
  <c r="H1267" i="2"/>
  <c r="G1267" i="2"/>
  <c r="F1267" i="2"/>
  <c r="E1267" i="2"/>
  <c r="D1267" i="2"/>
  <c r="C1267" i="2"/>
  <c r="A1267" i="2"/>
  <c r="H1266" i="2"/>
  <c r="G1266" i="2"/>
  <c r="F1266" i="2"/>
  <c r="E1266" i="2"/>
  <c r="D1266" i="2"/>
  <c r="C1266" i="2"/>
  <c r="A1266" i="2"/>
  <c r="H1265" i="2"/>
  <c r="G1265" i="2"/>
  <c r="F1265" i="2"/>
  <c r="E1265" i="2"/>
  <c r="D1265" i="2"/>
  <c r="C1265" i="2"/>
  <c r="A1265" i="2"/>
  <c r="H1264" i="2"/>
  <c r="G1264" i="2"/>
  <c r="F1264" i="2"/>
  <c r="E1264" i="2"/>
  <c r="D1264" i="2"/>
  <c r="C1264" i="2"/>
  <c r="A1264" i="2"/>
  <c r="H1263" i="2"/>
  <c r="G1263" i="2"/>
  <c r="F1263" i="2"/>
  <c r="E1263" i="2"/>
  <c r="D1263" i="2"/>
  <c r="C1263" i="2"/>
  <c r="A1263" i="2"/>
  <c r="H1262" i="2"/>
  <c r="G1262" i="2"/>
  <c r="F1262" i="2"/>
  <c r="E1262" i="2"/>
  <c r="D1262" i="2"/>
  <c r="C1262" i="2"/>
  <c r="A1262" i="2"/>
  <c r="H1261" i="2"/>
  <c r="G1261" i="2"/>
  <c r="F1261" i="2"/>
  <c r="E1261" i="2"/>
  <c r="D1261" i="2"/>
  <c r="C1261" i="2"/>
  <c r="A1261" i="2"/>
  <c r="H1260" i="2"/>
  <c r="G1260" i="2"/>
  <c r="F1260" i="2"/>
  <c r="E1260" i="2"/>
  <c r="D1260" i="2"/>
  <c r="C1260" i="2"/>
  <c r="A1260" i="2"/>
  <c r="H1259" i="2"/>
  <c r="G1259" i="2"/>
  <c r="F1259" i="2"/>
  <c r="E1259" i="2"/>
  <c r="D1259" i="2"/>
  <c r="C1259" i="2"/>
  <c r="A1259" i="2"/>
  <c r="H1258" i="2"/>
  <c r="G1258" i="2"/>
  <c r="F1258" i="2"/>
  <c r="E1258" i="2"/>
  <c r="D1258" i="2"/>
  <c r="C1258" i="2"/>
  <c r="A1258" i="2"/>
  <c r="H1257" i="2"/>
  <c r="G1257" i="2"/>
  <c r="F1257" i="2"/>
  <c r="E1257" i="2"/>
  <c r="D1257" i="2"/>
  <c r="C1257" i="2"/>
  <c r="A1257" i="2"/>
  <c r="H1256" i="2"/>
  <c r="G1256" i="2"/>
  <c r="F1256" i="2"/>
  <c r="E1256" i="2"/>
  <c r="D1256" i="2"/>
  <c r="C1256" i="2"/>
  <c r="A1256" i="2"/>
  <c r="H1255" i="2"/>
  <c r="G1255" i="2"/>
  <c r="F1255" i="2"/>
  <c r="E1255" i="2"/>
  <c r="D1255" i="2"/>
  <c r="C1255" i="2"/>
  <c r="A1255" i="2"/>
  <c r="H1254" i="2"/>
  <c r="G1254" i="2"/>
  <c r="F1254" i="2"/>
  <c r="E1254" i="2"/>
  <c r="D1254" i="2"/>
  <c r="C1254" i="2"/>
  <c r="A1254" i="2"/>
  <c r="H1253" i="2"/>
  <c r="G1253" i="2"/>
  <c r="F1253" i="2"/>
  <c r="E1253" i="2"/>
  <c r="D1253" i="2"/>
  <c r="C1253" i="2"/>
  <c r="A1253" i="2"/>
  <c r="H1252" i="2"/>
  <c r="G1252" i="2"/>
  <c r="F1252" i="2"/>
  <c r="E1252" i="2"/>
  <c r="D1252" i="2"/>
  <c r="C1252" i="2"/>
  <c r="A1252" i="2"/>
  <c r="H1251" i="2"/>
  <c r="G1251" i="2"/>
  <c r="F1251" i="2"/>
  <c r="E1251" i="2"/>
  <c r="D1251" i="2"/>
  <c r="C1251" i="2"/>
  <c r="A1251" i="2"/>
  <c r="H1250" i="2"/>
  <c r="G1250" i="2"/>
  <c r="F1250" i="2"/>
  <c r="E1250" i="2"/>
  <c r="D1250" i="2"/>
  <c r="C1250" i="2"/>
  <c r="A1250" i="2"/>
  <c r="H1249" i="2"/>
  <c r="G1249" i="2"/>
  <c r="F1249" i="2"/>
  <c r="E1249" i="2"/>
  <c r="D1249" i="2"/>
  <c r="C1249" i="2"/>
  <c r="A1249" i="2"/>
  <c r="H1248" i="2"/>
  <c r="G1248" i="2"/>
  <c r="F1248" i="2"/>
  <c r="E1248" i="2"/>
  <c r="D1248" i="2"/>
  <c r="C1248" i="2"/>
  <c r="A1248" i="2"/>
  <c r="H1247" i="2"/>
  <c r="G1247" i="2"/>
  <c r="F1247" i="2"/>
  <c r="E1247" i="2"/>
  <c r="D1247" i="2"/>
  <c r="C1247" i="2"/>
  <c r="A1247" i="2"/>
  <c r="H1246" i="2"/>
  <c r="G1246" i="2"/>
  <c r="F1246" i="2"/>
  <c r="E1246" i="2"/>
  <c r="D1246" i="2"/>
  <c r="C1246" i="2"/>
  <c r="A1246" i="2"/>
  <c r="H1245" i="2"/>
  <c r="G1245" i="2"/>
  <c r="F1245" i="2"/>
  <c r="E1245" i="2"/>
  <c r="D1245" i="2"/>
  <c r="C1245" i="2"/>
  <c r="A1245" i="2"/>
  <c r="H1244" i="2"/>
  <c r="G1244" i="2"/>
  <c r="F1244" i="2"/>
  <c r="E1244" i="2"/>
  <c r="D1244" i="2"/>
  <c r="C1244" i="2"/>
  <c r="A1244" i="2"/>
  <c r="H1243" i="2"/>
  <c r="G1243" i="2"/>
  <c r="F1243" i="2"/>
  <c r="E1243" i="2"/>
  <c r="D1243" i="2"/>
  <c r="C1243" i="2"/>
  <c r="A1243" i="2"/>
  <c r="H1242" i="2"/>
  <c r="G1242" i="2"/>
  <c r="F1242" i="2"/>
  <c r="E1242" i="2"/>
  <c r="D1242" i="2"/>
  <c r="C1242" i="2"/>
  <c r="A1242" i="2"/>
  <c r="H1241" i="2"/>
  <c r="G1241" i="2"/>
  <c r="F1241" i="2"/>
  <c r="E1241" i="2"/>
  <c r="D1241" i="2"/>
  <c r="C1241" i="2"/>
  <c r="A1241" i="2"/>
  <c r="H1240" i="2"/>
  <c r="G1240" i="2"/>
  <c r="F1240" i="2"/>
  <c r="E1240" i="2"/>
  <c r="D1240" i="2"/>
  <c r="C1240" i="2"/>
  <c r="A1240" i="2"/>
  <c r="H1239" i="2"/>
  <c r="G1239" i="2"/>
  <c r="F1239" i="2"/>
  <c r="E1239" i="2"/>
  <c r="D1239" i="2"/>
  <c r="C1239" i="2"/>
  <c r="A1239" i="2"/>
  <c r="H1238" i="2"/>
  <c r="G1238" i="2"/>
  <c r="F1238" i="2"/>
  <c r="E1238" i="2"/>
  <c r="D1238" i="2"/>
  <c r="C1238" i="2"/>
  <c r="A1238" i="2"/>
  <c r="H1237" i="2"/>
  <c r="G1237" i="2"/>
  <c r="F1237" i="2"/>
  <c r="E1237" i="2"/>
  <c r="D1237" i="2"/>
  <c r="C1237" i="2"/>
  <c r="A1237" i="2"/>
  <c r="H1236" i="2"/>
  <c r="G1236" i="2"/>
  <c r="F1236" i="2"/>
  <c r="E1236" i="2"/>
  <c r="D1236" i="2"/>
  <c r="C1236" i="2"/>
  <c r="A1236" i="2"/>
  <c r="H1235" i="2"/>
  <c r="G1235" i="2"/>
  <c r="F1235" i="2"/>
  <c r="E1235" i="2"/>
  <c r="D1235" i="2"/>
  <c r="C1235" i="2"/>
  <c r="A1235" i="2"/>
  <c r="H1234" i="2"/>
  <c r="G1234" i="2"/>
  <c r="F1234" i="2"/>
  <c r="E1234" i="2"/>
  <c r="D1234" i="2"/>
  <c r="C1234" i="2"/>
  <c r="A1234" i="2"/>
  <c r="H1233" i="2"/>
  <c r="G1233" i="2"/>
  <c r="F1233" i="2"/>
  <c r="E1233" i="2"/>
  <c r="D1233" i="2"/>
  <c r="C1233" i="2"/>
  <c r="A1233" i="2"/>
  <c r="H1232" i="2"/>
  <c r="G1232" i="2"/>
  <c r="F1232" i="2"/>
  <c r="E1232" i="2"/>
  <c r="D1232" i="2"/>
  <c r="C1232" i="2"/>
  <c r="A1232" i="2"/>
  <c r="H1231" i="2"/>
  <c r="G1231" i="2"/>
  <c r="F1231" i="2"/>
  <c r="E1231" i="2"/>
  <c r="D1231" i="2"/>
  <c r="C1231" i="2"/>
  <c r="A1231" i="2"/>
  <c r="H1230" i="2"/>
  <c r="G1230" i="2"/>
  <c r="F1230" i="2"/>
  <c r="E1230" i="2"/>
  <c r="D1230" i="2"/>
  <c r="C1230" i="2"/>
  <c r="A1230" i="2"/>
  <c r="H1229" i="2"/>
  <c r="G1229" i="2"/>
  <c r="F1229" i="2"/>
  <c r="E1229" i="2"/>
  <c r="D1229" i="2"/>
  <c r="C1229" i="2"/>
  <c r="A1229" i="2"/>
  <c r="H1228" i="2"/>
  <c r="G1228" i="2"/>
  <c r="F1228" i="2"/>
  <c r="E1228" i="2"/>
  <c r="D1228" i="2"/>
  <c r="C1228" i="2"/>
  <c r="A1228" i="2"/>
  <c r="H1227" i="2"/>
  <c r="G1227" i="2"/>
  <c r="F1227" i="2"/>
  <c r="E1227" i="2"/>
  <c r="D1227" i="2"/>
  <c r="C1227" i="2"/>
  <c r="A1227" i="2"/>
  <c r="H1226" i="2"/>
  <c r="G1226" i="2"/>
  <c r="F1226" i="2"/>
  <c r="E1226" i="2"/>
  <c r="D1226" i="2"/>
  <c r="C1226" i="2"/>
  <c r="A1226" i="2"/>
  <c r="H1225" i="2"/>
  <c r="G1225" i="2"/>
  <c r="F1225" i="2"/>
  <c r="E1225" i="2"/>
  <c r="D1225" i="2"/>
  <c r="C1225" i="2"/>
  <c r="A1225" i="2"/>
  <c r="H1224" i="2"/>
  <c r="G1224" i="2"/>
  <c r="F1224" i="2"/>
  <c r="E1224" i="2"/>
  <c r="D1224" i="2"/>
  <c r="C1224" i="2"/>
  <c r="A1224" i="2"/>
  <c r="H1223" i="2"/>
  <c r="G1223" i="2"/>
  <c r="F1223" i="2"/>
  <c r="E1223" i="2"/>
  <c r="D1223" i="2"/>
  <c r="C1223" i="2"/>
  <c r="A1223" i="2"/>
  <c r="H1222" i="2"/>
  <c r="G1222" i="2"/>
  <c r="F1222" i="2"/>
  <c r="E1222" i="2"/>
  <c r="D1222" i="2"/>
  <c r="C1222" i="2"/>
  <c r="A1222" i="2"/>
  <c r="H1221" i="2"/>
  <c r="G1221" i="2"/>
  <c r="F1221" i="2"/>
  <c r="E1221" i="2"/>
  <c r="D1221" i="2"/>
  <c r="C1221" i="2"/>
  <c r="A1221" i="2"/>
  <c r="H1220" i="2"/>
  <c r="G1220" i="2"/>
  <c r="F1220" i="2"/>
  <c r="E1220" i="2"/>
  <c r="D1220" i="2"/>
  <c r="C1220" i="2"/>
  <c r="A1220" i="2"/>
  <c r="H1219" i="2"/>
  <c r="G1219" i="2"/>
  <c r="F1219" i="2"/>
  <c r="E1219" i="2"/>
  <c r="D1219" i="2"/>
  <c r="C1219" i="2"/>
  <c r="A1219" i="2"/>
  <c r="H1218" i="2"/>
  <c r="G1218" i="2"/>
  <c r="F1218" i="2"/>
  <c r="E1218" i="2"/>
  <c r="D1218" i="2"/>
  <c r="C1218" i="2"/>
  <c r="A1218" i="2"/>
  <c r="H1217" i="2"/>
  <c r="G1217" i="2"/>
  <c r="F1217" i="2"/>
  <c r="E1217" i="2"/>
  <c r="D1217" i="2"/>
  <c r="C1217" i="2"/>
  <c r="A1217" i="2"/>
  <c r="H1216" i="2"/>
  <c r="G1216" i="2"/>
  <c r="F1216" i="2"/>
  <c r="E1216" i="2"/>
  <c r="D1216" i="2"/>
  <c r="C1216" i="2"/>
  <c r="A1216" i="2"/>
  <c r="H1215" i="2"/>
  <c r="G1215" i="2"/>
  <c r="F1215" i="2"/>
  <c r="E1215" i="2"/>
  <c r="D1215" i="2"/>
  <c r="C1215" i="2"/>
  <c r="A1215" i="2"/>
  <c r="H1214" i="2"/>
  <c r="G1214" i="2"/>
  <c r="F1214" i="2"/>
  <c r="E1214" i="2"/>
  <c r="D1214" i="2"/>
  <c r="C1214" i="2"/>
  <c r="A1214" i="2"/>
  <c r="H1213" i="2"/>
  <c r="G1213" i="2"/>
  <c r="F1213" i="2"/>
  <c r="E1213" i="2"/>
  <c r="D1213" i="2"/>
  <c r="C1213" i="2"/>
  <c r="A1213" i="2"/>
  <c r="H1212" i="2"/>
  <c r="G1212" i="2"/>
  <c r="F1212" i="2"/>
  <c r="E1212" i="2"/>
  <c r="D1212" i="2"/>
  <c r="C1212" i="2"/>
  <c r="A1212" i="2"/>
  <c r="H1211" i="2"/>
  <c r="G1211" i="2"/>
  <c r="F1211" i="2"/>
  <c r="E1211" i="2"/>
  <c r="D1211" i="2"/>
  <c r="C1211" i="2"/>
  <c r="A1211" i="2"/>
  <c r="H1210" i="2"/>
  <c r="G1210" i="2"/>
  <c r="F1210" i="2"/>
  <c r="E1210" i="2"/>
  <c r="D1210" i="2"/>
  <c r="C1210" i="2"/>
  <c r="A1210" i="2"/>
  <c r="H1209" i="2"/>
  <c r="G1209" i="2"/>
  <c r="F1209" i="2"/>
  <c r="E1209" i="2"/>
  <c r="D1209" i="2"/>
  <c r="C1209" i="2"/>
  <c r="A1209" i="2"/>
  <c r="H1208" i="2"/>
  <c r="G1208" i="2"/>
  <c r="F1208" i="2"/>
  <c r="E1208" i="2"/>
  <c r="D1208" i="2"/>
  <c r="C1208" i="2"/>
  <c r="A1208" i="2"/>
  <c r="H1207" i="2"/>
  <c r="G1207" i="2"/>
  <c r="F1207" i="2"/>
  <c r="E1207" i="2"/>
  <c r="D1207" i="2"/>
  <c r="C1207" i="2"/>
  <c r="A1207" i="2"/>
  <c r="H1206" i="2"/>
  <c r="G1206" i="2"/>
  <c r="F1206" i="2"/>
  <c r="E1206" i="2"/>
  <c r="D1206" i="2"/>
  <c r="C1206" i="2"/>
  <c r="A1206" i="2"/>
  <c r="H1205" i="2"/>
  <c r="G1205" i="2"/>
  <c r="F1205" i="2"/>
  <c r="E1205" i="2"/>
  <c r="D1205" i="2"/>
  <c r="C1205" i="2"/>
  <c r="A1205" i="2"/>
  <c r="H1204" i="2"/>
  <c r="G1204" i="2"/>
  <c r="F1204" i="2"/>
  <c r="E1204" i="2"/>
  <c r="D1204" i="2"/>
  <c r="C1204" i="2"/>
  <c r="A1204" i="2"/>
  <c r="H1203" i="2"/>
  <c r="G1203" i="2"/>
  <c r="F1203" i="2"/>
  <c r="E1203" i="2"/>
  <c r="D1203" i="2"/>
  <c r="C1203" i="2"/>
  <c r="A1203" i="2"/>
  <c r="H1202" i="2"/>
  <c r="G1202" i="2"/>
  <c r="F1202" i="2"/>
  <c r="E1202" i="2"/>
  <c r="D1202" i="2"/>
  <c r="C1202" i="2"/>
  <c r="A1202" i="2"/>
  <c r="H1201" i="2"/>
  <c r="G1201" i="2"/>
  <c r="F1201" i="2"/>
  <c r="E1201" i="2"/>
  <c r="D1201" i="2"/>
  <c r="C1201" i="2"/>
  <c r="A1201" i="2"/>
  <c r="H1200" i="2"/>
  <c r="G1200" i="2"/>
  <c r="F1200" i="2"/>
  <c r="E1200" i="2"/>
  <c r="D1200" i="2"/>
  <c r="C1200" i="2"/>
  <c r="A1200" i="2"/>
  <c r="H1199" i="2"/>
  <c r="G1199" i="2"/>
  <c r="F1199" i="2"/>
  <c r="E1199" i="2"/>
  <c r="D1199" i="2"/>
  <c r="C1199" i="2"/>
  <c r="A1199" i="2"/>
  <c r="H1198" i="2"/>
  <c r="G1198" i="2"/>
  <c r="F1198" i="2"/>
  <c r="E1198" i="2"/>
  <c r="D1198" i="2"/>
  <c r="C1198" i="2"/>
  <c r="A1198" i="2"/>
  <c r="H1197" i="2"/>
  <c r="G1197" i="2"/>
  <c r="F1197" i="2"/>
  <c r="E1197" i="2"/>
  <c r="D1197" i="2"/>
  <c r="C1197" i="2"/>
  <c r="A1197" i="2"/>
  <c r="H1196" i="2"/>
  <c r="G1196" i="2"/>
  <c r="F1196" i="2"/>
  <c r="E1196" i="2"/>
  <c r="D1196" i="2"/>
  <c r="C1196" i="2"/>
  <c r="A1196" i="2"/>
  <c r="H1195" i="2"/>
  <c r="G1195" i="2"/>
  <c r="F1195" i="2"/>
  <c r="E1195" i="2"/>
  <c r="D1195" i="2"/>
  <c r="C1195" i="2"/>
  <c r="A1195" i="2"/>
  <c r="H1194" i="2"/>
  <c r="G1194" i="2"/>
  <c r="F1194" i="2"/>
  <c r="E1194" i="2"/>
  <c r="D1194" i="2"/>
  <c r="C1194" i="2"/>
  <c r="A1194" i="2"/>
  <c r="H1193" i="2"/>
  <c r="G1193" i="2"/>
  <c r="F1193" i="2"/>
  <c r="E1193" i="2"/>
  <c r="D1193" i="2"/>
  <c r="C1193" i="2"/>
  <c r="A1193" i="2"/>
  <c r="H1192" i="2"/>
  <c r="G1192" i="2"/>
  <c r="F1192" i="2"/>
  <c r="E1192" i="2"/>
  <c r="D1192" i="2"/>
  <c r="C1192" i="2"/>
  <c r="A1192" i="2"/>
  <c r="H1191" i="2"/>
  <c r="G1191" i="2"/>
  <c r="F1191" i="2"/>
  <c r="E1191" i="2"/>
  <c r="D1191" i="2"/>
  <c r="C1191" i="2"/>
  <c r="A1191" i="2"/>
  <c r="H1190" i="2"/>
  <c r="G1190" i="2"/>
  <c r="F1190" i="2"/>
  <c r="E1190" i="2"/>
  <c r="D1190" i="2"/>
  <c r="C1190" i="2"/>
  <c r="A1190" i="2"/>
  <c r="H1189" i="2"/>
  <c r="G1189" i="2"/>
  <c r="F1189" i="2"/>
  <c r="E1189" i="2"/>
  <c r="D1189" i="2"/>
  <c r="C1189" i="2"/>
  <c r="A1189" i="2"/>
  <c r="H1188" i="2"/>
  <c r="G1188" i="2"/>
  <c r="F1188" i="2"/>
  <c r="E1188" i="2"/>
  <c r="D1188" i="2"/>
  <c r="C1188" i="2"/>
  <c r="A1188" i="2"/>
  <c r="H1187" i="2"/>
  <c r="G1187" i="2"/>
  <c r="F1187" i="2"/>
  <c r="E1187" i="2"/>
  <c r="D1187" i="2"/>
  <c r="C1187" i="2"/>
  <c r="A1187" i="2"/>
  <c r="H1186" i="2"/>
  <c r="G1186" i="2"/>
  <c r="F1186" i="2"/>
  <c r="E1186" i="2"/>
  <c r="D1186" i="2"/>
  <c r="C1186" i="2"/>
  <c r="A1186" i="2"/>
  <c r="H1185" i="2"/>
  <c r="G1185" i="2"/>
  <c r="F1185" i="2"/>
  <c r="E1185" i="2"/>
  <c r="D1185" i="2"/>
  <c r="C1185" i="2"/>
  <c r="A1185" i="2"/>
  <c r="H1184" i="2"/>
  <c r="G1184" i="2"/>
  <c r="F1184" i="2"/>
  <c r="E1184" i="2"/>
  <c r="D1184" i="2"/>
  <c r="C1184" i="2"/>
  <c r="A1184" i="2"/>
  <c r="H1183" i="2"/>
  <c r="G1183" i="2"/>
  <c r="F1183" i="2"/>
  <c r="E1183" i="2"/>
  <c r="D1183" i="2"/>
  <c r="C1183" i="2"/>
  <c r="A1183" i="2"/>
  <c r="H1182" i="2"/>
  <c r="G1182" i="2"/>
  <c r="F1182" i="2"/>
  <c r="E1182" i="2"/>
  <c r="D1182" i="2"/>
  <c r="C1182" i="2"/>
  <c r="A1182" i="2"/>
  <c r="H1181" i="2"/>
  <c r="G1181" i="2"/>
  <c r="F1181" i="2"/>
  <c r="E1181" i="2"/>
  <c r="D1181" i="2"/>
  <c r="C1181" i="2"/>
  <c r="A1181" i="2"/>
  <c r="H1180" i="2"/>
  <c r="G1180" i="2"/>
  <c r="F1180" i="2"/>
  <c r="E1180" i="2"/>
  <c r="D1180" i="2"/>
  <c r="C1180" i="2"/>
  <c r="A1180" i="2"/>
  <c r="H1179" i="2"/>
  <c r="G1179" i="2"/>
  <c r="F1179" i="2"/>
  <c r="E1179" i="2"/>
  <c r="D1179" i="2"/>
  <c r="C1179" i="2"/>
  <c r="A1179" i="2"/>
  <c r="H1178" i="2"/>
  <c r="G1178" i="2"/>
  <c r="F1178" i="2"/>
  <c r="E1178" i="2"/>
  <c r="D1178" i="2"/>
  <c r="C1178" i="2"/>
  <c r="A1178" i="2"/>
  <c r="H1177" i="2"/>
  <c r="G1177" i="2"/>
  <c r="F1177" i="2"/>
  <c r="E1177" i="2"/>
  <c r="D1177" i="2"/>
  <c r="C1177" i="2"/>
  <c r="A1177" i="2"/>
  <c r="H1176" i="2"/>
  <c r="G1176" i="2"/>
  <c r="F1176" i="2"/>
  <c r="E1176" i="2"/>
  <c r="D1176" i="2"/>
  <c r="C1176" i="2"/>
  <c r="A1176" i="2"/>
  <c r="H1175" i="2"/>
  <c r="G1175" i="2"/>
  <c r="F1175" i="2"/>
  <c r="E1175" i="2"/>
  <c r="D1175" i="2"/>
  <c r="C1175" i="2"/>
  <c r="A1175" i="2"/>
  <c r="H1174" i="2"/>
  <c r="G1174" i="2"/>
  <c r="F1174" i="2"/>
  <c r="E1174" i="2"/>
  <c r="D1174" i="2"/>
  <c r="C1174" i="2"/>
  <c r="A1174" i="2"/>
  <c r="H1173" i="2"/>
  <c r="G1173" i="2"/>
  <c r="F1173" i="2"/>
  <c r="E1173" i="2"/>
  <c r="D1173" i="2"/>
  <c r="C1173" i="2"/>
  <c r="A1173" i="2"/>
  <c r="H1172" i="2"/>
  <c r="G1172" i="2"/>
  <c r="F1172" i="2"/>
  <c r="E1172" i="2"/>
  <c r="D1172" i="2"/>
  <c r="C1172" i="2"/>
  <c r="A1172" i="2"/>
  <c r="H1171" i="2"/>
  <c r="G1171" i="2"/>
  <c r="F1171" i="2"/>
  <c r="E1171" i="2"/>
  <c r="D1171" i="2"/>
  <c r="C1171" i="2"/>
  <c r="A1171" i="2"/>
  <c r="H1170" i="2"/>
  <c r="G1170" i="2"/>
  <c r="F1170" i="2"/>
  <c r="E1170" i="2"/>
  <c r="D1170" i="2"/>
  <c r="C1170" i="2"/>
  <c r="A1170" i="2"/>
  <c r="H1169" i="2"/>
  <c r="G1169" i="2"/>
  <c r="F1169" i="2"/>
  <c r="E1169" i="2"/>
  <c r="D1169" i="2"/>
  <c r="C1169" i="2"/>
  <c r="A1169" i="2"/>
  <c r="H1168" i="2"/>
  <c r="G1168" i="2"/>
  <c r="F1168" i="2"/>
  <c r="E1168" i="2"/>
  <c r="D1168" i="2"/>
  <c r="C1168" i="2"/>
  <c r="A1168" i="2"/>
  <c r="H1167" i="2"/>
  <c r="G1167" i="2"/>
  <c r="F1167" i="2"/>
  <c r="E1167" i="2"/>
  <c r="D1167" i="2"/>
  <c r="C1167" i="2"/>
  <c r="A1167" i="2"/>
  <c r="H1166" i="2"/>
  <c r="G1166" i="2"/>
  <c r="F1166" i="2"/>
  <c r="E1166" i="2"/>
  <c r="D1166" i="2"/>
  <c r="C1166" i="2"/>
  <c r="A1166" i="2"/>
  <c r="H1165" i="2"/>
  <c r="G1165" i="2"/>
  <c r="F1165" i="2"/>
  <c r="E1165" i="2"/>
  <c r="D1165" i="2"/>
  <c r="C1165" i="2"/>
  <c r="A1165" i="2"/>
  <c r="H1164" i="2"/>
  <c r="G1164" i="2"/>
  <c r="F1164" i="2"/>
  <c r="E1164" i="2"/>
  <c r="D1164" i="2"/>
  <c r="C1164" i="2"/>
  <c r="A1164" i="2"/>
  <c r="H1163" i="2"/>
  <c r="G1163" i="2"/>
  <c r="F1163" i="2"/>
  <c r="E1163" i="2"/>
  <c r="D1163" i="2"/>
  <c r="C1163" i="2"/>
  <c r="A1163" i="2"/>
  <c r="H1162" i="2"/>
  <c r="G1162" i="2"/>
  <c r="F1162" i="2"/>
  <c r="E1162" i="2"/>
  <c r="D1162" i="2"/>
  <c r="C1162" i="2"/>
  <c r="A1162" i="2"/>
  <c r="H1161" i="2"/>
  <c r="G1161" i="2"/>
  <c r="F1161" i="2"/>
  <c r="E1161" i="2"/>
  <c r="D1161" i="2"/>
  <c r="C1161" i="2"/>
  <c r="A1161" i="2"/>
  <c r="H1160" i="2"/>
  <c r="G1160" i="2"/>
  <c r="F1160" i="2"/>
  <c r="E1160" i="2"/>
  <c r="D1160" i="2"/>
  <c r="C1160" i="2"/>
  <c r="A1160" i="2"/>
  <c r="H1159" i="2"/>
  <c r="G1159" i="2"/>
  <c r="F1159" i="2"/>
  <c r="E1159" i="2"/>
  <c r="D1159" i="2"/>
  <c r="C1159" i="2"/>
  <c r="A1159" i="2"/>
  <c r="H1158" i="2"/>
  <c r="G1158" i="2"/>
  <c r="F1158" i="2"/>
  <c r="E1158" i="2"/>
  <c r="D1158" i="2"/>
  <c r="C1158" i="2"/>
  <c r="A1158" i="2"/>
  <c r="H1157" i="2"/>
  <c r="G1157" i="2"/>
  <c r="F1157" i="2"/>
  <c r="E1157" i="2"/>
  <c r="D1157" i="2"/>
  <c r="C1157" i="2"/>
  <c r="A1157" i="2"/>
  <c r="H1156" i="2"/>
  <c r="G1156" i="2"/>
  <c r="F1156" i="2"/>
  <c r="E1156" i="2"/>
  <c r="D1156" i="2"/>
  <c r="C1156" i="2"/>
  <c r="A1156" i="2"/>
  <c r="H1155" i="2"/>
  <c r="G1155" i="2"/>
  <c r="F1155" i="2"/>
  <c r="E1155" i="2"/>
  <c r="D1155" i="2"/>
  <c r="C1155" i="2"/>
  <c r="A1155" i="2"/>
  <c r="H1154" i="2"/>
  <c r="G1154" i="2"/>
  <c r="F1154" i="2"/>
  <c r="E1154" i="2"/>
  <c r="D1154" i="2"/>
  <c r="C1154" i="2"/>
  <c r="A1154" i="2"/>
  <c r="H1153" i="2"/>
  <c r="G1153" i="2"/>
  <c r="F1153" i="2"/>
  <c r="E1153" i="2"/>
  <c r="D1153" i="2"/>
  <c r="C1153" i="2"/>
  <c r="A1153" i="2"/>
  <c r="H1152" i="2"/>
  <c r="G1152" i="2"/>
  <c r="F1152" i="2"/>
  <c r="E1152" i="2"/>
  <c r="D1152" i="2"/>
  <c r="C1152" i="2"/>
  <c r="A1152" i="2"/>
  <c r="H1151" i="2"/>
  <c r="G1151" i="2"/>
  <c r="F1151" i="2"/>
  <c r="E1151" i="2"/>
  <c r="D1151" i="2"/>
  <c r="C1151" i="2"/>
  <c r="A1151" i="2"/>
  <c r="H1150" i="2"/>
  <c r="G1150" i="2"/>
  <c r="F1150" i="2"/>
  <c r="E1150" i="2"/>
  <c r="D1150" i="2"/>
  <c r="C1150" i="2"/>
  <c r="A1150" i="2"/>
  <c r="H1149" i="2"/>
  <c r="G1149" i="2"/>
  <c r="F1149" i="2"/>
  <c r="E1149" i="2"/>
  <c r="D1149" i="2"/>
  <c r="C1149" i="2"/>
  <c r="A1149" i="2"/>
  <c r="H1148" i="2"/>
  <c r="G1148" i="2"/>
  <c r="F1148" i="2"/>
  <c r="E1148" i="2"/>
  <c r="D1148" i="2"/>
  <c r="C1148" i="2"/>
  <c r="A1148" i="2"/>
  <c r="H1147" i="2"/>
  <c r="G1147" i="2"/>
  <c r="F1147" i="2"/>
  <c r="E1147" i="2"/>
  <c r="D1147" i="2"/>
  <c r="C1147" i="2"/>
  <c r="A1147" i="2"/>
  <c r="H1146" i="2"/>
  <c r="G1146" i="2"/>
  <c r="F1146" i="2"/>
  <c r="E1146" i="2"/>
  <c r="D1146" i="2"/>
  <c r="C1146" i="2"/>
  <c r="A1146" i="2"/>
  <c r="H1145" i="2"/>
  <c r="G1145" i="2"/>
  <c r="F1145" i="2"/>
  <c r="E1145" i="2"/>
  <c r="D1145" i="2"/>
  <c r="C1145" i="2"/>
  <c r="A1145" i="2"/>
  <c r="H1144" i="2"/>
  <c r="G1144" i="2"/>
  <c r="F1144" i="2"/>
  <c r="E1144" i="2"/>
  <c r="D1144" i="2"/>
  <c r="C1144" i="2"/>
  <c r="A1144" i="2"/>
  <c r="H1143" i="2"/>
  <c r="G1143" i="2"/>
  <c r="F1143" i="2"/>
  <c r="E1143" i="2"/>
  <c r="D1143" i="2"/>
  <c r="C1143" i="2"/>
  <c r="A1143" i="2"/>
  <c r="H1142" i="2"/>
  <c r="G1142" i="2"/>
  <c r="F1142" i="2"/>
  <c r="E1142" i="2"/>
  <c r="D1142" i="2"/>
  <c r="C1142" i="2"/>
  <c r="A1142" i="2"/>
  <c r="H1141" i="2"/>
  <c r="G1141" i="2"/>
  <c r="F1141" i="2"/>
  <c r="E1141" i="2"/>
  <c r="D1141" i="2"/>
  <c r="C1141" i="2"/>
  <c r="A1141" i="2"/>
  <c r="H1140" i="2"/>
  <c r="G1140" i="2"/>
  <c r="F1140" i="2"/>
  <c r="E1140" i="2"/>
  <c r="D1140" i="2"/>
  <c r="C1140" i="2"/>
  <c r="A1140" i="2"/>
  <c r="H1139" i="2"/>
  <c r="G1139" i="2"/>
  <c r="F1139" i="2"/>
  <c r="E1139" i="2"/>
  <c r="D1139" i="2"/>
  <c r="C1139" i="2"/>
  <c r="A1139" i="2"/>
  <c r="H1138" i="2"/>
  <c r="G1138" i="2"/>
  <c r="F1138" i="2"/>
  <c r="E1138" i="2"/>
  <c r="D1138" i="2"/>
  <c r="C1138" i="2"/>
  <c r="A1138" i="2"/>
  <c r="H1137" i="2"/>
  <c r="G1137" i="2"/>
  <c r="F1137" i="2"/>
  <c r="E1137" i="2"/>
  <c r="D1137" i="2"/>
  <c r="C1137" i="2"/>
  <c r="A1137" i="2"/>
  <c r="H1136" i="2"/>
  <c r="G1136" i="2"/>
  <c r="F1136" i="2"/>
  <c r="E1136" i="2"/>
  <c r="D1136" i="2"/>
  <c r="C1136" i="2"/>
  <c r="A1136" i="2"/>
  <c r="H1135" i="2"/>
  <c r="G1135" i="2"/>
  <c r="F1135" i="2"/>
  <c r="E1135" i="2"/>
  <c r="D1135" i="2"/>
  <c r="C1135" i="2"/>
  <c r="A1135" i="2"/>
  <c r="H1134" i="2"/>
  <c r="G1134" i="2"/>
  <c r="F1134" i="2"/>
  <c r="E1134" i="2"/>
  <c r="D1134" i="2"/>
  <c r="C1134" i="2"/>
  <c r="A1134" i="2"/>
  <c r="H1133" i="2"/>
  <c r="G1133" i="2"/>
  <c r="F1133" i="2"/>
  <c r="E1133" i="2"/>
  <c r="D1133" i="2"/>
  <c r="C1133" i="2"/>
  <c r="A1133" i="2"/>
  <c r="H1132" i="2"/>
  <c r="G1132" i="2"/>
  <c r="F1132" i="2"/>
  <c r="E1132" i="2"/>
  <c r="D1132" i="2"/>
  <c r="C1132" i="2"/>
  <c r="A1132" i="2"/>
  <c r="H1131" i="2"/>
  <c r="G1131" i="2"/>
  <c r="F1131" i="2"/>
  <c r="E1131" i="2"/>
  <c r="D1131" i="2"/>
  <c r="C1131" i="2"/>
  <c r="A1131" i="2"/>
  <c r="H1130" i="2"/>
  <c r="G1130" i="2"/>
  <c r="F1130" i="2"/>
  <c r="E1130" i="2"/>
  <c r="D1130" i="2"/>
  <c r="C1130" i="2"/>
  <c r="A1130" i="2"/>
  <c r="H1129" i="2"/>
  <c r="G1129" i="2"/>
  <c r="F1129" i="2"/>
  <c r="E1129" i="2"/>
  <c r="D1129" i="2"/>
  <c r="C1129" i="2"/>
  <c r="A1129" i="2"/>
  <c r="H1128" i="2"/>
  <c r="G1128" i="2"/>
  <c r="F1128" i="2"/>
  <c r="E1128" i="2"/>
  <c r="D1128" i="2"/>
  <c r="C1128" i="2"/>
  <c r="A1128" i="2"/>
  <c r="H1127" i="2"/>
  <c r="G1127" i="2"/>
  <c r="F1127" i="2"/>
  <c r="E1127" i="2"/>
  <c r="D1127" i="2"/>
  <c r="C1127" i="2"/>
  <c r="A1127" i="2"/>
  <c r="H1126" i="2"/>
  <c r="G1126" i="2"/>
  <c r="F1126" i="2"/>
  <c r="E1126" i="2"/>
  <c r="D1126" i="2"/>
  <c r="C1126" i="2"/>
  <c r="A1126" i="2"/>
  <c r="H1125" i="2"/>
  <c r="G1125" i="2"/>
  <c r="F1125" i="2"/>
  <c r="E1125" i="2"/>
  <c r="D1125" i="2"/>
  <c r="C1125" i="2"/>
  <c r="A1125" i="2"/>
  <c r="H1124" i="2"/>
  <c r="G1124" i="2"/>
  <c r="F1124" i="2"/>
  <c r="E1124" i="2"/>
  <c r="D1124" i="2"/>
  <c r="C1124" i="2"/>
  <c r="A1124" i="2"/>
  <c r="H1123" i="2"/>
  <c r="G1123" i="2"/>
  <c r="F1123" i="2"/>
  <c r="E1123" i="2"/>
  <c r="D1123" i="2"/>
  <c r="C1123" i="2"/>
  <c r="A1123" i="2"/>
  <c r="H1122" i="2"/>
  <c r="G1122" i="2"/>
  <c r="F1122" i="2"/>
  <c r="E1122" i="2"/>
  <c r="D1122" i="2"/>
  <c r="C1122" i="2"/>
  <c r="A1122" i="2"/>
  <c r="H1121" i="2"/>
  <c r="G1121" i="2"/>
  <c r="F1121" i="2"/>
  <c r="E1121" i="2"/>
  <c r="D1121" i="2"/>
  <c r="C1121" i="2"/>
  <c r="A1121" i="2"/>
  <c r="H1120" i="2"/>
  <c r="G1120" i="2"/>
  <c r="F1120" i="2"/>
  <c r="E1120" i="2"/>
  <c r="D1120" i="2"/>
  <c r="C1120" i="2"/>
  <c r="A1120" i="2"/>
  <c r="H1119" i="2"/>
  <c r="G1119" i="2"/>
  <c r="F1119" i="2"/>
  <c r="E1119" i="2"/>
  <c r="D1119" i="2"/>
  <c r="C1119" i="2"/>
  <c r="A1119" i="2"/>
  <c r="H1118" i="2"/>
  <c r="G1118" i="2"/>
  <c r="F1118" i="2"/>
  <c r="E1118" i="2"/>
  <c r="D1118" i="2"/>
  <c r="C1118" i="2"/>
  <c r="A1118" i="2"/>
  <c r="H1117" i="2"/>
  <c r="G1117" i="2"/>
  <c r="F1117" i="2"/>
  <c r="E1117" i="2"/>
  <c r="D1117" i="2"/>
  <c r="C1117" i="2"/>
  <c r="A1117" i="2"/>
  <c r="H1116" i="2"/>
  <c r="G1116" i="2"/>
  <c r="F1116" i="2"/>
  <c r="E1116" i="2"/>
  <c r="D1116" i="2"/>
  <c r="C1116" i="2"/>
  <c r="A1116" i="2"/>
  <c r="H1115" i="2"/>
  <c r="G1115" i="2"/>
  <c r="F1115" i="2"/>
  <c r="E1115" i="2"/>
  <c r="D1115" i="2"/>
  <c r="C1115" i="2"/>
  <c r="A1115" i="2"/>
  <c r="H1114" i="2"/>
  <c r="G1114" i="2"/>
  <c r="F1114" i="2"/>
  <c r="E1114" i="2"/>
  <c r="D1114" i="2"/>
  <c r="C1114" i="2"/>
  <c r="A1114" i="2"/>
  <c r="H1113" i="2"/>
  <c r="G1113" i="2"/>
  <c r="F1113" i="2"/>
  <c r="E1113" i="2"/>
  <c r="D1113" i="2"/>
  <c r="C1113" i="2"/>
  <c r="A1113" i="2"/>
  <c r="H1112" i="2"/>
  <c r="G1112" i="2"/>
  <c r="F1112" i="2"/>
  <c r="E1112" i="2"/>
  <c r="D1112" i="2"/>
  <c r="C1112" i="2"/>
  <c r="A1112" i="2"/>
  <c r="H1111" i="2"/>
  <c r="G1111" i="2"/>
  <c r="F1111" i="2"/>
  <c r="E1111" i="2"/>
  <c r="D1111" i="2"/>
  <c r="C1111" i="2"/>
  <c r="A1111" i="2"/>
  <c r="H1110" i="2"/>
  <c r="G1110" i="2"/>
  <c r="F1110" i="2"/>
  <c r="E1110" i="2"/>
  <c r="D1110" i="2"/>
  <c r="C1110" i="2"/>
  <c r="A1110" i="2"/>
  <c r="H1109" i="2"/>
  <c r="G1109" i="2"/>
  <c r="F1109" i="2"/>
  <c r="E1109" i="2"/>
  <c r="D1109" i="2"/>
  <c r="C1109" i="2"/>
  <c r="A1109" i="2"/>
  <c r="H1108" i="2"/>
  <c r="G1108" i="2"/>
  <c r="F1108" i="2"/>
  <c r="E1108" i="2"/>
  <c r="D1108" i="2"/>
  <c r="C1108" i="2"/>
  <c r="A1108" i="2"/>
  <c r="H1107" i="2"/>
  <c r="G1107" i="2"/>
  <c r="F1107" i="2"/>
  <c r="E1107" i="2"/>
  <c r="D1107" i="2"/>
  <c r="C1107" i="2"/>
  <c r="A1107" i="2"/>
  <c r="H1106" i="2"/>
  <c r="G1106" i="2"/>
  <c r="F1106" i="2"/>
  <c r="E1106" i="2"/>
  <c r="D1106" i="2"/>
  <c r="C1106" i="2"/>
  <c r="A1106" i="2"/>
  <c r="H1105" i="2"/>
  <c r="G1105" i="2"/>
  <c r="F1105" i="2"/>
  <c r="E1105" i="2"/>
  <c r="D1105" i="2"/>
  <c r="C1105" i="2"/>
  <c r="A1105" i="2"/>
  <c r="H1104" i="2"/>
  <c r="G1104" i="2"/>
  <c r="F1104" i="2"/>
  <c r="E1104" i="2"/>
  <c r="D1104" i="2"/>
  <c r="C1104" i="2"/>
  <c r="A1104" i="2"/>
  <c r="H1103" i="2"/>
  <c r="G1103" i="2"/>
  <c r="F1103" i="2"/>
  <c r="E1103" i="2"/>
  <c r="D1103" i="2"/>
  <c r="C1103" i="2"/>
  <c r="A1103" i="2"/>
  <c r="H1102" i="2"/>
  <c r="G1102" i="2"/>
  <c r="F1102" i="2"/>
  <c r="E1102" i="2"/>
  <c r="D1102" i="2"/>
  <c r="C1102" i="2"/>
  <c r="A1102" i="2"/>
  <c r="H1101" i="2"/>
  <c r="G1101" i="2"/>
  <c r="F1101" i="2"/>
  <c r="E1101" i="2"/>
  <c r="D1101" i="2"/>
  <c r="C1101" i="2"/>
  <c r="A1101" i="2"/>
  <c r="H1100" i="2"/>
  <c r="G1100" i="2"/>
  <c r="F1100" i="2"/>
  <c r="E1100" i="2"/>
  <c r="D1100" i="2"/>
  <c r="C1100" i="2"/>
  <c r="A1100" i="2"/>
  <c r="H1099" i="2"/>
  <c r="G1099" i="2"/>
  <c r="F1099" i="2"/>
  <c r="E1099" i="2"/>
  <c r="D1099" i="2"/>
  <c r="C1099" i="2"/>
  <c r="A1099" i="2"/>
  <c r="H1098" i="2"/>
  <c r="G1098" i="2"/>
  <c r="F1098" i="2"/>
  <c r="E1098" i="2"/>
  <c r="D1098" i="2"/>
  <c r="C1098" i="2"/>
  <c r="A1098" i="2"/>
  <c r="H1097" i="2"/>
  <c r="G1097" i="2"/>
  <c r="F1097" i="2"/>
  <c r="E1097" i="2"/>
  <c r="D1097" i="2"/>
  <c r="C1097" i="2"/>
  <c r="A1097" i="2"/>
  <c r="H1096" i="2"/>
  <c r="G1096" i="2"/>
  <c r="F1096" i="2"/>
  <c r="E1096" i="2"/>
  <c r="D1096" i="2"/>
  <c r="C1096" i="2"/>
  <c r="A1096" i="2"/>
  <c r="H1095" i="2"/>
  <c r="G1095" i="2"/>
  <c r="F1095" i="2"/>
  <c r="E1095" i="2"/>
  <c r="D1095" i="2"/>
  <c r="C1095" i="2"/>
  <c r="A1095" i="2"/>
  <c r="H1094" i="2"/>
  <c r="G1094" i="2"/>
  <c r="F1094" i="2"/>
  <c r="E1094" i="2"/>
  <c r="D1094" i="2"/>
  <c r="C1094" i="2"/>
  <c r="A1094" i="2"/>
  <c r="H1093" i="2"/>
  <c r="G1093" i="2"/>
  <c r="F1093" i="2"/>
  <c r="E1093" i="2"/>
  <c r="D1093" i="2"/>
  <c r="C1093" i="2"/>
  <c r="A1093" i="2"/>
  <c r="H1092" i="2"/>
  <c r="G1092" i="2"/>
  <c r="F1092" i="2"/>
  <c r="E1092" i="2"/>
  <c r="D1092" i="2"/>
  <c r="C1092" i="2"/>
  <c r="A1092" i="2"/>
  <c r="H1091" i="2"/>
  <c r="G1091" i="2"/>
  <c r="F1091" i="2"/>
  <c r="E1091" i="2"/>
  <c r="D1091" i="2"/>
  <c r="C1091" i="2"/>
  <c r="A1091" i="2"/>
  <c r="H1090" i="2"/>
  <c r="G1090" i="2"/>
  <c r="F1090" i="2"/>
  <c r="E1090" i="2"/>
  <c r="D1090" i="2"/>
  <c r="C1090" i="2"/>
  <c r="A1090" i="2"/>
  <c r="H1089" i="2"/>
  <c r="G1089" i="2"/>
  <c r="F1089" i="2"/>
  <c r="E1089" i="2"/>
  <c r="D1089" i="2"/>
  <c r="C1089" i="2"/>
  <c r="A1089" i="2"/>
  <c r="H1088" i="2"/>
  <c r="G1088" i="2"/>
  <c r="F1088" i="2"/>
  <c r="E1088" i="2"/>
  <c r="D1088" i="2"/>
  <c r="C1088" i="2"/>
  <c r="A1088" i="2"/>
  <c r="H1087" i="2"/>
  <c r="G1087" i="2"/>
  <c r="F1087" i="2"/>
  <c r="E1087" i="2"/>
  <c r="D1087" i="2"/>
  <c r="C1087" i="2"/>
  <c r="A1087" i="2"/>
  <c r="H1086" i="2"/>
  <c r="G1086" i="2"/>
  <c r="F1086" i="2"/>
  <c r="E1086" i="2"/>
  <c r="D1086" i="2"/>
  <c r="C1086" i="2"/>
  <c r="A1086" i="2"/>
  <c r="H1085" i="2"/>
  <c r="G1085" i="2"/>
  <c r="F1085" i="2"/>
  <c r="E1085" i="2"/>
  <c r="D1085" i="2"/>
  <c r="C1085" i="2"/>
  <c r="A1085" i="2"/>
  <c r="H1084" i="2"/>
  <c r="G1084" i="2"/>
  <c r="F1084" i="2"/>
  <c r="E1084" i="2"/>
  <c r="D1084" i="2"/>
  <c r="C1084" i="2"/>
  <c r="A1084" i="2"/>
  <c r="H1083" i="2"/>
  <c r="G1083" i="2"/>
  <c r="F1083" i="2"/>
  <c r="E1083" i="2"/>
  <c r="D1083" i="2"/>
  <c r="C1083" i="2"/>
  <c r="A1083" i="2"/>
  <c r="H1082" i="2"/>
  <c r="G1082" i="2"/>
  <c r="F1082" i="2"/>
  <c r="E1082" i="2"/>
  <c r="D1082" i="2"/>
  <c r="C1082" i="2"/>
  <c r="A1082" i="2"/>
  <c r="H1081" i="2"/>
  <c r="G1081" i="2"/>
  <c r="F1081" i="2"/>
  <c r="E1081" i="2"/>
  <c r="D1081" i="2"/>
  <c r="C1081" i="2"/>
  <c r="A1081" i="2"/>
  <c r="H1080" i="2"/>
  <c r="G1080" i="2"/>
  <c r="F1080" i="2"/>
  <c r="E1080" i="2"/>
  <c r="D1080" i="2"/>
  <c r="C1080" i="2"/>
  <c r="A1080" i="2"/>
  <c r="H1079" i="2"/>
  <c r="G1079" i="2"/>
  <c r="F1079" i="2"/>
  <c r="E1079" i="2"/>
  <c r="D1079" i="2"/>
  <c r="C1079" i="2"/>
  <c r="A1079" i="2"/>
  <c r="H1078" i="2"/>
  <c r="G1078" i="2"/>
  <c r="F1078" i="2"/>
  <c r="E1078" i="2"/>
  <c r="D1078" i="2"/>
  <c r="C1078" i="2"/>
  <c r="A1078" i="2"/>
  <c r="H1077" i="2"/>
  <c r="G1077" i="2"/>
  <c r="F1077" i="2"/>
  <c r="E1077" i="2"/>
  <c r="D1077" i="2"/>
  <c r="C1077" i="2"/>
  <c r="A1077" i="2"/>
  <c r="H1076" i="2"/>
  <c r="G1076" i="2"/>
  <c r="F1076" i="2"/>
  <c r="E1076" i="2"/>
  <c r="D1076" i="2"/>
  <c r="C1076" i="2"/>
  <c r="A1076" i="2"/>
  <c r="H1075" i="2"/>
  <c r="G1075" i="2"/>
  <c r="F1075" i="2"/>
  <c r="E1075" i="2"/>
  <c r="D1075" i="2"/>
  <c r="C1075" i="2"/>
  <c r="A1075" i="2"/>
  <c r="H1074" i="2"/>
  <c r="G1074" i="2"/>
  <c r="F1074" i="2"/>
  <c r="E1074" i="2"/>
  <c r="D1074" i="2"/>
  <c r="C1074" i="2"/>
  <c r="A1074" i="2"/>
  <c r="H1073" i="2"/>
  <c r="G1073" i="2"/>
  <c r="F1073" i="2"/>
  <c r="E1073" i="2"/>
  <c r="D1073" i="2"/>
  <c r="C1073" i="2"/>
  <c r="A1073" i="2"/>
  <c r="H1072" i="2"/>
  <c r="G1072" i="2"/>
  <c r="F1072" i="2"/>
  <c r="E1072" i="2"/>
  <c r="D1072" i="2"/>
  <c r="C1072" i="2"/>
  <c r="A1072" i="2"/>
  <c r="H1071" i="2"/>
  <c r="G1071" i="2"/>
  <c r="F1071" i="2"/>
  <c r="E1071" i="2"/>
  <c r="D1071" i="2"/>
  <c r="C1071" i="2"/>
  <c r="A1071" i="2"/>
  <c r="H1070" i="2"/>
  <c r="G1070" i="2"/>
  <c r="F1070" i="2"/>
  <c r="E1070" i="2"/>
  <c r="D1070" i="2"/>
  <c r="C1070" i="2"/>
  <c r="A1070" i="2"/>
  <c r="H1069" i="2"/>
  <c r="G1069" i="2"/>
  <c r="F1069" i="2"/>
  <c r="E1069" i="2"/>
  <c r="D1069" i="2"/>
  <c r="C1069" i="2"/>
  <c r="A1069" i="2"/>
  <c r="H1068" i="2"/>
  <c r="G1068" i="2"/>
  <c r="F1068" i="2"/>
  <c r="E1068" i="2"/>
  <c r="D1068" i="2"/>
  <c r="C1068" i="2"/>
  <c r="A1068" i="2"/>
  <c r="H1067" i="2"/>
  <c r="G1067" i="2"/>
  <c r="F1067" i="2"/>
  <c r="E1067" i="2"/>
  <c r="D1067" i="2"/>
  <c r="C1067" i="2"/>
  <c r="A1067" i="2"/>
  <c r="H1066" i="2"/>
  <c r="G1066" i="2"/>
  <c r="F1066" i="2"/>
  <c r="E1066" i="2"/>
  <c r="D1066" i="2"/>
  <c r="C1066" i="2"/>
  <c r="A1066" i="2"/>
  <c r="H1065" i="2"/>
  <c r="G1065" i="2"/>
  <c r="F1065" i="2"/>
  <c r="E1065" i="2"/>
  <c r="D1065" i="2"/>
  <c r="C1065" i="2"/>
  <c r="A1065" i="2"/>
  <c r="H1064" i="2"/>
  <c r="G1064" i="2"/>
  <c r="F1064" i="2"/>
  <c r="E1064" i="2"/>
  <c r="D1064" i="2"/>
  <c r="C1064" i="2"/>
  <c r="A1064" i="2"/>
  <c r="H1063" i="2"/>
  <c r="G1063" i="2"/>
  <c r="F1063" i="2"/>
  <c r="E1063" i="2"/>
  <c r="D1063" i="2"/>
  <c r="C1063" i="2"/>
  <c r="A1063" i="2"/>
  <c r="H1062" i="2"/>
  <c r="G1062" i="2"/>
  <c r="F1062" i="2"/>
  <c r="E1062" i="2"/>
  <c r="D1062" i="2"/>
  <c r="C1062" i="2"/>
  <c r="A1062" i="2"/>
  <c r="H1061" i="2"/>
  <c r="G1061" i="2"/>
  <c r="F1061" i="2"/>
  <c r="E1061" i="2"/>
  <c r="D1061" i="2"/>
  <c r="C1061" i="2"/>
  <c r="A1061" i="2"/>
  <c r="H1060" i="2"/>
  <c r="G1060" i="2"/>
  <c r="F1060" i="2"/>
  <c r="E1060" i="2"/>
  <c r="D1060" i="2"/>
  <c r="C1060" i="2"/>
  <c r="A1060" i="2"/>
  <c r="H1059" i="2"/>
  <c r="G1059" i="2"/>
  <c r="F1059" i="2"/>
  <c r="E1059" i="2"/>
  <c r="D1059" i="2"/>
  <c r="C1059" i="2"/>
  <c r="A1059" i="2"/>
  <c r="H1058" i="2"/>
  <c r="G1058" i="2"/>
  <c r="F1058" i="2"/>
  <c r="E1058" i="2"/>
  <c r="D1058" i="2"/>
  <c r="C1058" i="2"/>
  <c r="A1058" i="2"/>
  <c r="H1057" i="2"/>
  <c r="G1057" i="2"/>
  <c r="F1057" i="2"/>
  <c r="E1057" i="2"/>
  <c r="D1057" i="2"/>
  <c r="C1057" i="2"/>
  <c r="A1057" i="2"/>
  <c r="H1056" i="2"/>
  <c r="G1056" i="2"/>
  <c r="F1056" i="2"/>
  <c r="E1056" i="2"/>
  <c r="D1056" i="2"/>
  <c r="C1056" i="2"/>
  <c r="A1056" i="2"/>
  <c r="H1055" i="2"/>
  <c r="G1055" i="2"/>
  <c r="F1055" i="2"/>
  <c r="E1055" i="2"/>
  <c r="D1055" i="2"/>
  <c r="C1055" i="2"/>
  <c r="A1055" i="2"/>
  <c r="H1054" i="2"/>
  <c r="G1054" i="2"/>
  <c r="F1054" i="2"/>
  <c r="E1054" i="2"/>
  <c r="D1054" i="2"/>
  <c r="C1054" i="2"/>
  <c r="A1054" i="2"/>
  <c r="H1053" i="2"/>
  <c r="G1053" i="2"/>
  <c r="F1053" i="2"/>
  <c r="E1053" i="2"/>
  <c r="D1053" i="2"/>
  <c r="C1053" i="2"/>
  <c r="A1053" i="2"/>
  <c r="H1052" i="2"/>
  <c r="G1052" i="2"/>
  <c r="F1052" i="2"/>
  <c r="E1052" i="2"/>
  <c r="D1052" i="2"/>
  <c r="C1052" i="2"/>
  <c r="A1052" i="2"/>
  <c r="H1051" i="2"/>
  <c r="G1051" i="2"/>
  <c r="F1051" i="2"/>
  <c r="E1051" i="2"/>
  <c r="D1051" i="2"/>
  <c r="C1051" i="2"/>
  <c r="A1051" i="2"/>
  <c r="H1050" i="2"/>
  <c r="G1050" i="2"/>
  <c r="F1050" i="2"/>
  <c r="E1050" i="2"/>
  <c r="D1050" i="2"/>
  <c r="C1050" i="2"/>
  <c r="A1050" i="2"/>
  <c r="H1049" i="2"/>
  <c r="G1049" i="2"/>
  <c r="F1049" i="2"/>
  <c r="E1049" i="2"/>
  <c r="D1049" i="2"/>
  <c r="C1049" i="2"/>
  <c r="A1049" i="2"/>
  <c r="H1048" i="2"/>
  <c r="G1048" i="2"/>
  <c r="F1048" i="2"/>
  <c r="E1048" i="2"/>
  <c r="D1048" i="2"/>
  <c r="C1048" i="2"/>
  <c r="A1048" i="2"/>
  <c r="H1047" i="2"/>
  <c r="G1047" i="2"/>
  <c r="F1047" i="2"/>
  <c r="E1047" i="2"/>
  <c r="D1047" i="2"/>
  <c r="C1047" i="2"/>
  <c r="A1047" i="2"/>
  <c r="H1046" i="2"/>
  <c r="G1046" i="2"/>
  <c r="F1046" i="2"/>
  <c r="E1046" i="2"/>
  <c r="D1046" i="2"/>
  <c r="C1046" i="2"/>
  <c r="A1046" i="2"/>
  <c r="H1045" i="2"/>
  <c r="G1045" i="2"/>
  <c r="F1045" i="2"/>
  <c r="E1045" i="2"/>
  <c r="D1045" i="2"/>
  <c r="C1045" i="2"/>
  <c r="A1045" i="2"/>
  <c r="H1044" i="2"/>
  <c r="G1044" i="2"/>
  <c r="F1044" i="2"/>
  <c r="E1044" i="2"/>
  <c r="D1044" i="2"/>
  <c r="C1044" i="2"/>
  <c r="A1044" i="2"/>
  <c r="H1043" i="2"/>
  <c r="G1043" i="2"/>
  <c r="F1043" i="2"/>
  <c r="E1043" i="2"/>
  <c r="D1043" i="2"/>
  <c r="C1043" i="2"/>
  <c r="A1043" i="2"/>
  <c r="H1042" i="2"/>
  <c r="G1042" i="2"/>
  <c r="F1042" i="2"/>
  <c r="E1042" i="2"/>
  <c r="D1042" i="2"/>
  <c r="C1042" i="2"/>
  <c r="A1042" i="2"/>
  <c r="H1041" i="2"/>
  <c r="G1041" i="2"/>
  <c r="F1041" i="2"/>
  <c r="E1041" i="2"/>
  <c r="D1041" i="2"/>
  <c r="C1041" i="2"/>
  <c r="A1041" i="2"/>
  <c r="H1040" i="2"/>
  <c r="G1040" i="2"/>
  <c r="F1040" i="2"/>
  <c r="E1040" i="2"/>
  <c r="D1040" i="2"/>
  <c r="C1040" i="2"/>
  <c r="A1040" i="2"/>
  <c r="H1039" i="2"/>
  <c r="G1039" i="2"/>
  <c r="F1039" i="2"/>
  <c r="E1039" i="2"/>
  <c r="D1039" i="2"/>
  <c r="C1039" i="2"/>
  <c r="A1039" i="2"/>
  <c r="H1038" i="2"/>
  <c r="G1038" i="2"/>
  <c r="F1038" i="2"/>
  <c r="E1038" i="2"/>
  <c r="D1038" i="2"/>
  <c r="C1038" i="2"/>
  <c r="A1038" i="2"/>
  <c r="H1037" i="2"/>
  <c r="G1037" i="2"/>
  <c r="F1037" i="2"/>
  <c r="E1037" i="2"/>
  <c r="D1037" i="2"/>
  <c r="C1037" i="2"/>
  <c r="A1037" i="2"/>
  <c r="H1036" i="2"/>
  <c r="G1036" i="2"/>
  <c r="F1036" i="2"/>
  <c r="E1036" i="2"/>
  <c r="D1036" i="2"/>
  <c r="C1036" i="2"/>
  <c r="A1036" i="2"/>
  <c r="H1035" i="2"/>
  <c r="G1035" i="2"/>
  <c r="F1035" i="2"/>
  <c r="E1035" i="2"/>
  <c r="D1035" i="2"/>
  <c r="C1035" i="2"/>
  <c r="A1035" i="2"/>
  <c r="H1034" i="2"/>
  <c r="G1034" i="2"/>
  <c r="F1034" i="2"/>
  <c r="E1034" i="2"/>
  <c r="D1034" i="2"/>
  <c r="C1034" i="2"/>
  <c r="A1034" i="2"/>
  <c r="H1033" i="2"/>
  <c r="G1033" i="2"/>
  <c r="F1033" i="2"/>
  <c r="E1033" i="2"/>
  <c r="D1033" i="2"/>
  <c r="C1033" i="2"/>
  <c r="A1033" i="2"/>
  <c r="H1032" i="2"/>
  <c r="G1032" i="2"/>
  <c r="F1032" i="2"/>
  <c r="E1032" i="2"/>
  <c r="D1032" i="2"/>
  <c r="C1032" i="2"/>
  <c r="A1032" i="2"/>
  <c r="H1031" i="2"/>
  <c r="G1031" i="2"/>
  <c r="F1031" i="2"/>
  <c r="E1031" i="2"/>
  <c r="D1031" i="2"/>
  <c r="C1031" i="2"/>
  <c r="A1031" i="2"/>
  <c r="H1030" i="2"/>
  <c r="G1030" i="2"/>
  <c r="F1030" i="2"/>
  <c r="E1030" i="2"/>
  <c r="D1030" i="2"/>
  <c r="C1030" i="2"/>
  <c r="A1030" i="2"/>
  <c r="H1029" i="2"/>
  <c r="G1029" i="2"/>
  <c r="F1029" i="2"/>
  <c r="E1029" i="2"/>
  <c r="D1029" i="2"/>
  <c r="C1029" i="2"/>
  <c r="A1029" i="2"/>
  <c r="H1028" i="2"/>
  <c r="G1028" i="2"/>
  <c r="F1028" i="2"/>
  <c r="E1028" i="2"/>
  <c r="D1028" i="2"/>
  <c r="C1028" i="2"/>
  <c r="A1028" i="2"/>
  <c r="H1027" i="2"/>
  <c r="G1027" i="2"/>
  <c r="F1027" i="2"/>
  <c r="E1027" i="2"/>
  <c r="D1027" i="2"/>
  <c r="C1027" i="2"/>
  <c r="A1027" i="2"/>
  <c r="H1026" i="2"/>
  <c r="G1026" i="2"/>
  <c r="F1026" i="2"/>
  <c r="E1026" i="2"/>
  <c r="D1026" i="2"/>
  <c r="C1026" i="2"/>
  <c r="A1026" i="2"/>
  <c r="H1025" i="2"/>
  <c r="G1025" i="2"/>
  <c r="F1025" i="2"/>
  <c r="E1025" i="2"/>
  <c r="D1025" i="2"/>
  <c r="C1025" i="2"/>
  <c r="A1025" i="2"/>
  <c r="H1024" i="2"/>
  <c r="G1024" i="2"/>
  <c r="F1024" i="2"/>
  <c r="E1024" i="2"/>
  <c r="D1024" i="2"/>
  <c r="C1024" i="2"/>
  <c r="A1024" i="2"/>
  <c r="H1023" i="2"/>
  <c r="G1023" i="2"/>
  <c r="F1023" i="2"/>
  <c r="E1023" i="2"/>
  <c r="D1023" i="2"/>
  <c r="C1023" i="2"/>
  <c r="A1023" i="2"/>
  <c r="H1022" i="2"/>
  <c r="G1022" i="2"/>
  <c r="F1022" i="2"/>
  <c r="E1022" i="2"/>
  <c r="D1022" i="2"/>
  <c r="C1022" i="2"/>
  <c r="A1022" i="2"/>
  <c r="H1021" i="2"/>
  <c r="G1021" i="2"/>
  <c r="F1021" i="2"/>
  <c r="E1021" i="2"/>
  <c r="D1021" i="2"/>
  <c r="C1021" i="2"/>
  <c r="A1021" i="2"/>
  <c r="H1020" i="2"/>
  <c r="G1020" i="2"/>
  <c r="F1020" i="2"/>
  <c r="E1020" i="2"/>
  <c r="D1020" i="2"/>
  <c r="C1020" i="2"/>
  <c r="A1020" i="2"/>
  <c r="H1019" i="2"/>
  <c r="G1019" i="2"/>
  <c r="F1019" i="2"/>
  <c r="E1019" i="2"/>
  <c r="D1019" i="2"/>
  <c r="C1019" i="2"/>
  <c r="A1019" i="2"/>
  <c r="H1018" i="2"/>
  <c r="G1018" i="2"/>
  <c r="F1018" i="2"/>
  <c r="E1018" i="2"/>
  <c r="D1018" i="2"/>
  <c r="C1018" i="2"/>
  <c r="A1018" i="2"/>
  <c r="H1017" i="2"/>
  <c r="G1017" i="2"/>
  <c r="F1017" i="2"/>
  <c r="E1017" i="2"/>
  <c r="D1017" i="2"/>
  <c r="C1017" i="2"/>
  <c r="A1017" i="2"/>
  <c r="H1016" i="2"/>
  <c r="G1016" i="2"/>
  <c r="F1016" i="2"/>
  <c r="E1016" i="2"/>
  <c r="D1016" i="2"/>
  <c r="C1016" i="2"/>
  <c r="A1016" i="2"/>
  <c r="H1015" i="2"/>
  <c r="G1015" i="2"/>
  <c r="F1015" i="2"/>
  <c r="E1015" i="2"/>
  <c r="D1015" i="2"/>
  <c r="C1015" i="2"/>
  <c r="A1015" i="2"/>
  <c r="H1014" i="2"/>
  <c r="G1014" i="2"/>
  <c r="F1014" i="2"/>
  <c r="E1014" i="2"/>
  <c r="D1014" i="2"/>
  <c r="C1014" i="2"/>
  <c r="A1014" i="2"/>
  <c r="H1013" i="2"/>
  <c r="G1013" i="2"/>
  <c r="F1013" i="2"/>
  <c r="E1013" i="2"/>
  <c r="D1013" i="2"/>
  <c r="C1013" i="2"/>
  <c r="A1013" i="2"/>
  <c r="H1012" i="2"/>
  <c r="G1012" i="2"/>
  <c r="F1012" i="2"/>
  <c r="E1012" i="2"/>
  <c r="D1012" i="2"/>
  <c r="C1012" i="2"/>
  <c r="A1012" i="2"/>
  <c r="H1011" i="2"/>
  <c r="G1011" i="2"/>
  <c r="F1011" i="2"/>
  <c r="E1011" i="2"/>
  <c r="D1011" i="2"/>
  <c r="C1011" i="2"/>
  <c r="A1011" i="2"/>
  <c r="H1010" i="2"/>
  <c r="G1010" i="2"/>
  <c r="F1010" i="2"/>
  <c r="E1010" i="2"/>
  <c r="D1010" i="2"/>
  <c r="C1010" i="2"/>
  <c r="A1010" i="2"/>
  <c r="H1009" i="2"/>
  <c r="G1009" i="2"/>
  <c r="F1009" i="2"/>
  <c r="E1009" i="2"/>
  <c r="D1009" i="2"/>
  <c r="C1009" i="2"/>
  <c r="A1009" i="2"/>
  <c r="H1008" i="2"/>
  <c r="G1008" i="2"/>
  <c r="F1008" i="2"/>
  <c r="E1008" i="2"/>
  <c r="D1008" i="2"/>
  <c r="C1008" i="2"/>
  <c r="A1008" i="2"/>
  <c r="H1007" i="2"/>
  <c r="G1007" i="2"/>
  <c r="F1007" i="2"/>
  <c r="E1007" i="2"/>
  <c r="D1007" i="2"/>
  <c r="C1007" i="2"/>
  <c r="A1007" i="2"/>
  <c r="H1006" i="2"/>
  <c r="G1006" i="2"/>
  <c r="F1006" i="2"/>
  <c r="E1006" i="2"/>
  <c r="D1006" i="2"/>
  <c r="C1006" i="2"/>
  <c r="A1006" i="2"/>
  <c r="H1005" i="2"/>
  <c r="G1005" i="2"/>
  <c r="F1005" i="2"/>
  <c r="E1005" i="2"/>
  <c r="D1005" i="2"/>
  <c r="C1005" i="2"/>
  <c r="A1005" i="2"/>
  <c r="H1004" i="2"/>
  <c r="G1004" i="2"/>
  <c r="F1004" i="2"/>
  <c r="E1004" i="2"/>
  <c r="D1004" i="2"/>
  <c r="C1004" i="2"/>
  <c r="A1004" i="2"/>
  <c r="H1003" i="2"/>
  <c r="G1003" i="2"/>
  <c r="F1003" i="2"/>
  <c r="E1003" i="2"/>
  <c r="D1003" i="2"/>
  <c r="C1003" i="2"/>
  <c r="A1003" i="2"/>
  <c r="H1002" i="2"/>
  <c r="G1002" i="2"/>
  <c r="F1002" i="2"/>
  <c r="E1002" i="2"/>
  <c r="D1002" i="2"/>
  <c r="C1002" i="2"/>
  <c r="A1002" i="2"/>
  <c r="H1001" i="2"/>
  <c r="G1001" i="2"/>
  <c r="F1001" i="2"/>
  <c r="E1001" i="2"/>
  <c r="D1001" i="2"/>
  <c r="C1001" i="2"/>
  <c r="A1001" i="2"/>
  <c r="H1000" i="2"/>
  <c r="G1000" i="2"/>
  <c r="F1000" i="2"/>
  <c r="E1000" i="2"/>
  <c r="D1000" i="2"/>
  <c r="C1000" i="2"/>
  <c r="A1000" i="2"/>
  <c r="H999" i="2"/>
  <c r="G999" i="2"/>
  <c r="F999" i="2"/>
  <c r="E999" i="2"/>
  <c r="D999" i="2"/>
  <c r="C999" i="2"/>
  <c r="A999" i="2"/>
  <c r="H998" i="2"/>
  <c r="G998" i="2"/>
  <c r="F998" i="2"/>
  <c r="E998" i="2"/>
  <c r="D998" i="2"/>
  <c r="C998" i="2"/>
  <c r="A998" i="2"/>
  <c r="H997" i="2"/>
  <c r="G997" i="2"/>
  <c r="F997" i="2"/>
  <c r="E997" i="2"/>
  <c r="D997" i="2"/>
  <c r="C997" i="2"/>
  <c r="A997" i="2"/>
  <c r="H996" i="2"/>
  <c r="G996" i="2"/>
  <c r="F996" i="2"/>
  <c r="E996" i="2"/>
  <c r="D996" i="2"/>
  <c r="C996" i="2"/>
  <c r="A996" i="2"/>
  <c r="H995" i="2"/>
  <c r="G995" i="2"/>
  <c r="F995" i="2"/>
  <c r="E995" i="2"/>
  <c r="D995" i="2"/>
  <c r="C995" i="2"/>
  <c r="A995" i="2"/>
  <c r="H994" i="2"/>
  <c r="G994" i="2"/>
  <c r="F994" i="2"/>
  <c r="E994" i="2"/>
  <c r="D994" i="2"/>
  <c r="C994" i="2"/>
  <c r="A994" i="2"/>
  <c r="H993" i="2"/>
  <c r="G993" i="2"/>
  <c r="F993" i="2"/>
  <c r="E993" i="2"/>
  <c r="D993" i="2"/>
  <c r="C993" i="2"/>
  <c r="A993" i="2"/>
  <c r="H992" i="2"/>
  <c r="G992" i="2"/>
  <c r="F992" i="2"/>
  <c r="E992" i="2"/>
  <c r="D992" i="2"/>
  <c r="C992" i="2"/>
  <c r="A992" i="2"/>
  <c r="H991" i="2"/>
  <c r="G991" i="2"/>
  <c r="F991" i="2"/>
  <c r="E991" i="2"/>
  <c r="D991" i="2"/>
  <c r="C991" i="2"/>
  <c r="A991" i="2"/>
  <c r="H990" i="2"/>
  <c r="G990" i="2"/>
  <c r="F990" i="2"/>
  <c r="E990" i="2"/>
  <c r="D990" i="2"/>
  <c r="C990" i="2"/>
  <c r="A990" i="2"/>
  <c r="H989" i="2"/>
  <c r="G989" i="2"/>
  <c r="F989" i="2"/>
  <c r="E989" i="2"/>
  <c r="D989" i="2"/>
  <c r="C989" i="2"/>
  <c r="A989" i="2"/>
  <c r="H988" i="2"/>
  <c r="G988" i="2"/>
  <c r="F988" i="2"/>
  <c r="E988" i="2"/>
  <c r="D988" i="2"/>
  <c r="C988" i="2"/>
  <c r="A988" i="2"/>
  <c r="H987" i="2"/>
  <c r="G987" i="2"/>
  <c r="F987" i="2"/>
  <c r="E987" i="2"/>
  <c r="D987" i="2"/>
  <c r="C987" i="2"/>
  <c r="A987" i="2"/>
  <c r="H986" i="2"/>
  <c r="G986" i="2"/>
  <c r="F986" i="2"/>
  <c r="E986" i="2"/>
  <c r="D986" i="2"/>
  <c r="C986" i="2"/>
  <c r="A986" i="2"/>
  <c r="H985" i="2"/>
  <c r="G985" i="2"/>
  <c r="F985" i="2"/>
  <c r="E985" i="2"/>
  <c r="D985" i="2"/>
  <c r="C985" i="2"/>
  <c r="A985" i="2"/>
  <c r="H984" i="2"/>
  <c r="G984" i="2"/>
  <c r="F984" i="2"/>
  <c r="E984" i="2"/>
  <c r="D984" i="2"/>
  <c r="C984" i="2"/>
  <c r="A984" i="2"/>
  <c r="H983" i="2"/>
  <c r="G983" i="2"/>
  <c r="F983" i="2"/>
  <c r="E983" i="2"/>
  <c r="D983" i="2"/>
  <c r="C983" i="2"/>
  <c r="A983" i="2"/>
  <c r="H982" i="2"/>
  <c r="G982" i="2"/>
  <c r="F982" i="2"/>
  <c r="E982" i="2"/>
  <c r="D982" i="2"/>
  <c r="C982" i="2"/>
  <c r="A982" i="2"/>
  <c r="H981" i="2"/>
  <c r="G981" i="2"/>
  <c r="F981" i="2"/>
  <c r="E981" i="2"/>
  <c r="D981" i="2"/>
  <c r="C981" i="2"/>
  <c r="A981" i="2"/>
  <c r="H980" i="2"/>
  <c r="G980" i="2"/>
  <c r="F980" i="2"/>
  <c r="E980" i="2"/>
  <c r="D980" i="2"/>
  <c r="C980" i="2"/>
  <c r="A980" i="2"/>
  <c r="H979" i="2"/>
  <c r="G979" i="2"/>
  <c r="F979" i="2"/>
  <c r="E979" i="2"/>
  <c r="D979" i="2"/>
  <c r="C979" i="2"/>
  <c r="A979" i="2"/>
  <c r="H978" i="2"/>
  <c r="G978" i="2"/>
  <c r="F978" i="2"/>
  <c r="E978" i="2"/>
  <c r="D978" i="2"/>
  <c r="C978" i="2"/>
  <c r="A978" i="2"/>
  <c r="H977" i="2"/>
  <c r="G977" i="2"/>
  <c r="F977" i="2"/>
  <c r="E977" i="2"/>
  <c r="D977" i="2"/>
  <c r="C977" i="2"/>
  <c r="A977" i="2"/>
  <c r="H976" i="2"/>
  <c r="G976" i="2"/>
  <c r="F976" i="2"/>
  <c r="E976" i="2"/>
  <c r="D976" i="2"/>
  <c r="C976" i="2"/>
  <c r="A976" i="2"/>
  <c r="H975" i="2"/>
  <c r="G975" i="2"/>
  <c r="F975" i="2"/>
  <c r="E975" i="2"/>
  <c r="D975" i="2"/>
  <c r="C975" i="2"/>
  <c r="A975" i="2"/>
  <c r="H974" i="2"/>
  <c r="G974" i="2"/>
  <c r="F974" i="2"/>
  <c r="E974" i="2"/>
  <c r="D974" i="2"/>
  <c r="C974" i="2"/>
  <c r="A974" i="2"/>
  <c r="H973" i="2"/>
  <c r="G973" i="2"/>
  <c r="F973" i="2"/>
  <c r="E973" i="2"/>
  <c r="D973" i="2"/>
  <c r="C973" i="2"/>
  <c r="A973" i="2"/>
  <c r="H972" i="2"/>
  <c r="G972" i="2"/>
  <c r="F972" i="2"/>
  <c r="E972" i="2"/>
  <c r="D972" i="2"/>
  <c r="C972" i="2"/>
  <c r="A972" i="2"/>
  <c r="H971" i="2"/>
  <c r="G971" i="2"/>
  <c r="F971" i="2"/>
  <c r="E971" i="2"/>
  <c r="D971" i="2"/>
  <c r="C971" i="2"/>
  <c r="A971" i="2"/>
  <c r="H970" i="2"/>
  <c r="G970" i="2"/>
  <c r="F970" i="2"/>
  <c r="E970" i="2"/>
  <c r="D970" i="2"/>
  <c r="C970" i="2"/>
  <c r="A970" i="2"/>
  <c r="H969" i="2"/>
  <c r="G969" i="2"/>
  <c r="F969" i="2"/>
  <c r="E969" i="2"/>
  <c r="D969" i="2"/>
  <c r="C969" i="2"/>
  <c r="A969" i="2"/>
  <c r="H968" i="2"/>
  <c r="G968" i="2"/>
  <c r="F968" i="2"/>
  <c r="E968" i="2"/>
  <c r="D968" i="2"/>
  <c r="C968" i="2"/>
  <c r="A968" i="2"/>
  <c r="H967" i="2"/>
  <c r="G967" i="2"/>
  <c r="F967" i="2"/>
  <c r="E967" i="2"/>
  <c r="D967" i="2"/>
  <c r="C967" i="2"/>
  <c r="A967" i="2"/>
  <c r="H966" i="2"/>
  <c r="G966" i="2"/>
  <c r="F966" i="2"/>
  <c r="E966" i="2"/>
  <c r="D966" i="2"/>
  <c r="C966" i="2"/>
  <c r="A966" i="2"/>
  <c r="H965" i="2"/>
  <c r="G965" i="2"/>
  <c r="F965" i="2"/>
  <c r="E965" i="2"/>
  <c r="D965" i="2"/>
  <c r="C965" i="2"/>
  <c r="A965" i="2"/>
  <c r="H964" i="2"/>
  <c r="G964" i="2"/>
  <c r="F964" i="2"/>
  <c r="E964" i="2"/>
  <c r="D964" i="2"/>
  <c r="C964" i="2"/>
  <c r="A964" i="2"/>
  <c r="H963" i="2"/>
  <c r="G963" i="2"/>
  <c r="F963" i="2"/>
  <c r="E963" i="2"/>
  <c r="D963" i="2"/>
  <c r="C963" i="2"/>
  <c r="A963" i="2"/>
  <c r="H962" i="2"/>
  <c r="G962" i="2"/>
  <c r="F962" i="2"/>
  <c r="E962" i="2"/>
  <c r="D962" i="2"/>
  <c r="C962" i="2"/>
  <c r="A962" i="2"/>
  <c r="H961" i="2"/>
  <c r="G961" i="2"/>
  <c r="F961" i="2"/>
  <c r="E961" i="2"/>
  <c r="D961" i="2"/>
  <c r="C961" i="2"/>
  <c r="A961" i="2"/>
  <c r="H960" i="2"/>
  <c r="G960" i="2"/>
  <c r="F960" i="2"/>
  <c r="E960" i="2"/>
  <c r="D960" i="2"/>
  <c r="C960" i="2"/>
  <c r="A960" i="2"/>
  <c r="H959" i="2"/>
  <c r="G959" i="2"/>
  <c r="F959" i="2"/>
  <c r="E959" i="2"/>
  <c r="D959" i="2"/>
  <c r="C959" i="2"/>
  <c r="A959" i="2"/>
  <c r="H958" i="2"/>
  <c r="G958" i="2"/>
  <c r="F958" i="2"/>
  <c r="E958" i="2"/>
  <c r="D958" i="2"/>
  <c r="C958" i="2"/>
  <c r="A958" i="2"/>
  <c r="H957" i="2"/>
  <c r="G957" i="2"/>
  <c r="F957" i="2"/>
  <c r="E957" i="2"/>
  <c r="D957" i="2"/>
  <c r="C957" i="2"/>
  <c r="A957" i="2"/>
  <c r="H956" i="2"/>
  <c r="G956" i="2"/>
  <c r="F956" i="2"/>
  <c r="E956" i="2"/>
  <c r="D956" i="2"/>
  <c r="C956" i="2"/>
  <c r="A956" i="2"/>
  <c r="H955" i="2"/>
  <c r="G955" i="2"/>
  <c r="F955" i="2"/>
  <c r="E955" i="2"/>
  <c r="D955" i="2"/>
  <c r="C955" i="2"/>
  <c r="A955" i="2"/>
  <c r="H954" i="2"/>
  <c r="G954" i="2"/>
  <c r="F954" i="2"/>
  <c r="E954" i="2"/>
  <c r="D954" i="2"/>
  <c r="C954" i="2"/>
  <c r="A954" i="2"/>
  <c r="H953" i="2"/>
  <c r="G953" i="2"/>
  <c r="F953" i="2"/>
  <c r="E953" i="2"/>
  <c r="D953" i="2"/>
  <c r="C953" i="2"/>
  <c r="A953" i="2"/>
  <c r="H952" i="2"/>
  <c r="G952" i="2"/>
  <c r="F952" i="2"/>
  <c r="E952" i="2"/>
  <c r="D952" i="2"/>
  <c r="C952" i="2"/>
  <c r="A952" i="2"/>
  <c r="H951" i="2"/>
  <c r="G951" i="2"/>
  <c r="F951" i="2"/>
  <c r="E951" i="2"/>
  <c r="D951" i="2"/>
  <c r="C951" i="2"/>
  <c r="A951" i="2"/>
  <c r="H950" i="2"/>
  <c r="G950" i="2"/>
  <c r="F950" i="2"/>
  <c r="E950" i="2"/>
  <c r="D950" i="2"/>
  <c r="C950" i="2"/>
  <c r="A950" i="2"/>
  <c r="H949" i="2"/>
  <c r="G949" i="2"/>
  <c r="F949" i="2"/>
  <c r="E949" i="2"/>
  <c r="D949" i="2"/>
  <c r="C949" i="2"/>
  <c r="A949" i="2"/>
  <c r="H948" i="2"/>
  <c r="G948" i="2"/>
  <c r="F948" i="2"/>
  <c r="E948" i="2"/>
  <c r="D948" i="2"/>
  <c r="C948" i="2"/>
  <c r="A948" i="2"/>
  <c r="H947" i="2"/>
  <c r="G947" i="2"/>
  <c r="F947" i="2"/>
  <c r="E947" i="2"/>
  <c r="D947" i="2"/>
  <c r="C947" i="2"/>
  <c r="A947" i="2"/>
  <c r="H946" i="2"/>
  <c r="G946" i="2"/>
  <c r="F946" i="2"/>
  <c r="E946" i="2"/>
  <c r="D946" i="2"/>
  <c r="C946" i="2"/>
  <c r="A946" i="2"/>
  <c r="H945" i="2"/>
  <c r="G945" i="2"/>
  <c r="F945" i="2"/>
  <c r="E945" i="2"/>
  <c r="D945" i="2"/>
  <c r="C945" i="2"/>
  <c r="A945" i="2"/>
  <c r="H944" i="2"/>
  <c r="G944" i="2"/>
  <c r="F944" i="2"/>
  <c r="E944" i="2"/>
  <c r="D944" i="2"/>
  <c r="C944" i="2"/>
  <c r="A944" i="2"/>
  <c r="H943" i="2"/>
  <c r="G943" i="2"/>
  <c r="F943" i="2"/>
  <c r="E943" i="2"/>
  <c r="D943" i="2"/>
  <c r="C943" i="2"/>
  <c r="A943" i="2"/>
  <c r="H942" i="2"/>
  <c r="G942" i="2"/>
  <c r="F942" i="2"/>
  <c r="E942" i="2"/>
  <c r="D942" i="2"/>
  <c r="C942" i="2"/>
  <c r="A942" i="2"/>
  <c r="H941" i="2"/>
  <c r="G941" i="2"/>
  <c r="F941" i="2"/>
  <c r="E941" i="2"/>
  <c r="D941" i="2"/>
  <c r="C941" i="2"/>
  <c r="A941" i="2"/>
  <c r="H940" i="2"/>
  <c r="G940" i="2"/>
  <c r="F940" i="2"/>
  <c r="E940" i="2"/>
  <c r="D940" i="2"/>
  <c r="C940" i="2"/>
  <c r="A940" i="2"/>
  <c r="H939" i="2"/>
  <c r="G939" i="2"/>
  <c r="F939" i="2"/>
  <c r="E939" i="2"/>
  <c r="D939" i="2"/>
  <c r="C939" i="2"/>
  <c r="A939" i="2"/>
  <c r="H938" i="2"/>
  <c r="G938" i="2"/>
  <c r="F938" i="2"/>
  <c r="E938" i="2"/>
  <c r="D938" i="2"/>
  <c r="C938" i="2"/>
  <c r="A938" i="2"/>
  <c r="H937" i="2"/>
  <c r="G937" i="2"/>
  <c r="F937" i="2"/>
  <c r="E937" i="2"/>
  <c r="D937" i="2"/>
  <c r="C937" i="2"/>
  <c r="A937" i="2"/>
  <c r="H936" i="2"/>
  <c r="G936" i="2"/>
  <c r="F936" i="2"/>
  <c r="E936" i="2"/>
  <c r="D936" i="2"/>
  <c r="C936" i="2"/>
  <c r="A936" i="2"/>
  <c r="H935" i="2"/>
  <c r="G935" i="2"/>
  <c r="F935" i="2"/>
  <c r="E935" i="2"/>
  <c r="D935" i="2"/>
  <c r="C935" i="2"/>
  <c r="A935" i="2"/>
  <c r="H934" i="2"/>
  <c r="G934" i="2"/>
  <c r="F934" i="2"/>
  <c r="E934" i="2"/>
  <c r="D934" i="2"/>
  <c r="C934" i="2"/>
  <c r="A934" i="2"/>
  <c r="H933" i="2"/>
  <c r="G933" i="2"/>
  <c r="F933" i="2"/>
  <c r="E933" i="2"/>
  <c r="D933" i="2"/>
  <c r="C933" i="2"/>
  <c r="A933" i="2"/>
  <c r="H932" i="2"/>
  <c r="G932" i="2"/>
  <c r="F932" i="2"/>
  <c r="E932" i="2"/>
  <c r="D932" i="2"/>
  <c r="C932" i="2"/>
  <c r="A932" i="2"/>
  <c r="H931" i="2"/>
  <c r="G931" i="2"/>
  <c r="F931" i="2"/>
  <c r="E931" i="2"/>
  <c r="D931" i="2"/>
  <c r="C931" i="2"/>
  <c r="A931" i="2"/>
  <c r="H930" i="2"/>
  <c r="G930" i="2"/>
  <c r="F930" i="2"/>
  <c r="E930" i="2"/>
  <c r="D930" i="2"/>
  <c r="C930" i="2"/>
  <c r="A930" i="2"/>
  <c r="H929" i="2"/>
  <c r="G929" i="2"/>
  <c r="F929" i="2"/>
  <c r="E929" i="2"/>
  <c r="D929" i="2"/>
  <c r="C929" i="2"/>
  <c r="A929" i="2"/>
  <c r="H928" i="2"/>
  <c r="G928" i="2"/>
  <c r="F928" i="2"/>
  <c r="E928" i="2"/>
  <c r="D928" i="2"/>
  <c r="C928" i="2"/>
  <c r="A928" i="2"/>
  <c r="H927" i="2"/>
  <c r="G927" i="2"/>
  <c r="F927" i="2"/>
  <c r="E927" i="2"/>
  <c r="D927" i="2"/>
  <c r="C927" i="2"/>
  <c r="A927" i="2"/>
  <c r="H926" i="2"/>
  <c r="G926" i="2"/>
  <c r="F926" i="2"/>
  <c r="E926" i="2"/>
  <c r="D926" i="2"/>
  <c r="C926" i="2"/>
  <c r="A926" i="2"/>
  <c r="H925" i="2"/>
  <c r="G925" i="2"/>
  <c r="F925" i="2"/>
  <c r="E925" i="2"/>
  <c r="D925" i="2"/>
  <c r="C925" i="2"/>
  <c r="A925" i="2"/>
  <c r="H924" i="2"/>
  <c r="G924" i="2"/>
  <c r="F924" i="2"/>
  <c r="E924" i="2"/>
  <c r="D924" i="2"/>
  <c r="C924" i="2"/>
  <c r="A924" i="2"/>
  <c r="H923" i="2"/>
  <c r="G923" i="2"/>
  <c r="F923" i="2"/>
  <c r="E923" i="2"/>
  <c r="D923" i="2"/>
  <c r="C923" i="2"/>
  <c r="A923" i="2"/>
  <c r="H922" i="2"/>
  <c r="G922" i="2"/>
  <c r="F922" i="2"/>
  <c r="E922" i="2"/>
  <c r="D922" i="2"/>
  <c r="C922" i="2"/>
  <c r="A922" i="2"/>
  <c r="H921" i="2"/>
  <c r="G921" i="2"/>
  <c r="F921" i="2"/>
  <c r="E921" i="2"/>
  <c r="D921" i="2"/>
  <c r="C921" i="2"/>
  <c r="A921" i="2"/>
  <c r="H920" i="2"/>
  <c r="G920" i="2"/>
  <c r="F920" i="2"/>
  <c r="E920" i="2"/>
  <c r="D920" i="2"/>
  <c r="C920" i="2"/>
  <c r="A920" i="2"/>
  <c r="H919" i="2"/>
  <c r="G919" i="2"/>
  <c r="F919" i="2"/>
  <c r="E919" i="2"/>
  <c r="D919" i="2"/>
  <c r="C919" i="2"/>
  <c r="A919" i="2"/>
  <c r="H918" i="2"/>
  <c r="G918" i="2"/>
  <c r="F918" i="2"/>
  <c r="E918" i="2"/>
  <c r="D918" i="2"/>
  <c r="C918" i="2"/>
  <c r="A918" i="2"/>
  <c r="H917" i="2"/>
  <c r="G917" i="2"/>
  <c r="F917" i="2"/>
  <c r="E917" i="2"/>
  <c r="D917" i="2"/>
  <c r="C917" i="2"/>
  <c r="A917" i="2"/>
  <c r="H916" i="2"/>
  <c r="G916" i="2"/>
  <c r="F916" i="2"/>
  <c r="E916" i="2"/>
  <c r="D916" i="2"/>
  <c r="C916" i="2"/>
  <c r="A916" i="2"/>
  <c r="H915" i="2"/>
  <c r="G915" i="2"/>
  <c r="F915" i="2"/>
  <c r="E915" i="2"/>
  <c r="D915" i="2"/>
  <c r="C915" i="2"/>
  <c r="A915" i="2"/>
  <c r="H914" i="2"/>
  <c r="G914" i="2"/>
  <c r="F914" i="2"/>
  <c r="E914" i="2"/>
  <c r="D914" i="2"/>
  <c r="C914" i="2"/>
  <c r="A914" i="2"/>
  <c r="H913" i="2"/>
  <c r="G913" i="2"/>
  <c r="F913" i="2"/>
  <c r="E913" i="2"/>
  <c r="D913" i="2"/>
  <c r="C913" i="2"/>
  <c r="A913" i="2"/>
  <c r="H912" i="2"/>
  <c r="G912" i="2"/>
  <c r="F912" i="2"/>
  <c r="E912" i="2"/>
  <c r="D912" i="2"/>
  <c r="C912" i="2"/>
  <c r="A912" i="2"/>
  <c r="H911" i="2"/>
  <c r="G911" i="2"/>
  <c r="F911" i="2"/>
  <c r="E911" i="2"/>
  <c r="D911" i="2"/>
  <c r="C911" i="2"/>
  <c r="A911" i="2"/>
  <c r="H910" i="2"/>
  <c r="G910" i="2"/>
  <c r="F910" i="2"/>
  <c r="E910" i="2"/>
  <c r="D910" i="2"/>
  <c r="C910" i="2"/>
  <c r="A910" i="2"/>
  <c r="H909" i="2"/>
  <c r="G909" i="2"/>
  <c r="F909" i="2"/>
  <c r="E909" i="2"/>
  <c r="D909" i="2"/>
  <c r="C909" i="2"/>
  <c r="A909" i="2"/>
  <c r="H908" i="2"/>
  <c r="G908" i="2"/>
  <c r="F908" i="2"/>
  <c r="E908" i="2"/>
  <c r="D908" i="2"/>
  <c r="C908" i="2"/>
  <c r="A908" i="2"/>
  <c r="H907" i="2"/>
  <c r="G907" i="2"/>
  <c r="F907" i="2"/>
  <c r="E907" i="2"/>
  <c r="D907" i="2"/>
  <c r="C907" i="2"/>
  <c r="A907" i="2"/>
  <c r="H906" i="2"/>
  <c r="G906" i="2"/>
  <c r="F906" i="2"/>
  <c r="E906" i="2"/>
  <c r="D906" i="2"/>
  <c r="C906" i="2"/>
  <c r="A906" i="2"/>
  <c r="H905" i="2"/>
  <c r="G905" i="2"/>
  <c r="F905" i="2"/>
  <c r="E905" i="2"/>
  <c r="D905" i="2"/>
  <c r="C905" i="2"/>
  <c r="A905" i="2"/>
  <c r="H904" i="2"/>
  <c r="G904" i="2"/>
  <c r="F904" i="2"/>
  <c r="E904" i="2"/>
  <c r="D904" i="2"/>
  <c r="C904" i="2"/>
  <c r="A904" i="2"/>
  <c r="H903" i="2"/>
  <c r="G903" i="2"/>
  <c r="F903" i="2"/>
  <c r="E903" i="2"/>
  <c r="D903" i="2"/>
  <c r="C903" i="2"/>
  <c r="A903" i="2"/>
  <c r="H902" i="2"/>
  <c r="G902" i="2"/>
  <c r="F902" i="2"/>
  <c r="E902" i="2"/>
  <c r="D902" i="2"/>
  <c r="C902" i="2"/>
  <c r="A902" i="2"/>
  <c r="H901" i="2"/>
  <c r="G901" i="2"/>
  <c r="F901" i="2"/>
  <c r="E901" i="2"/>
  <c r="D901" i="2"/>
  <c r="C901" i="2"/>
  <c r="A901" i="2"/>
  <c r="H900" i="2"/>
  <c r="G900" i="2"/>
  <c r="F900" i="2"/>
  <c r="E900" i="2"/>
  <c r="D900" i="2"/>
  <c r="C900" i="2"/>
  <c r="A900" i="2"/>
  <c r="H899" i="2"/>
  <c r="G899" i="2"/>
  <c r="F899" i="2"/>
  <c r="E899" i="2"/>
  <c r="D899" i="2"/>
  <c r="C899" i="2"/>
  <c r="A899" i="2"/>
  <c r="H898" i="2"/>
  <c r="G898" i="2"/>
  <c r="F898" i="2"/>
  <c r="E898" i="2"/>
  <c r="D898" i="2"/>
  <c r="C898" i="2"/>
  <c r="A898" i="2"/>
  <c r="H897" i="2"/>
  <c r="G897" i="2"/>
  <c r="F897" i="2"/>
  <c r="E897" i="2"/>
  <c r="D897" i="2"/>
  <c r="C897" i="2"/>
  <c r="A897" i="2"/>
  <c r="H896" i="2"/>
  <c r="G896" i="2"/>
  <c r="F896" i="2"/>
  <c r="E896" i="2"/>
  <c r="D896" i="2"/>
  <c r="C896" i="2"/>
  <c r="A896" i="2"/>
  <c r="H895" i="2"/>
  <c r="G895" i="2"/>
  <c r="F895" i="2"/>
  <c r="E895" i="2"/>
  <c r="D895" i="2"/>
  <c r="C895" i="2"/>
  <c r="A895" i="2"/>
  <c r="H894" i="2"/>
  <c r="G894" i="2"/>
  <c r="F894" i="2"/>
  <c r="E894" i="2"/>
  <c r="D894" i="2"/>
  <c r="C894" i="2"/>
  <c r="A894" i="2"/>
  <c r="H893" i="2"/>
  <c r="G893" i="2"/>
  <c r="F893" i="2"/>
  <c r="E893" i="2"/>
  <c r="D893" i="2"/>
  <c r="C893" i="2"/>
  <c r="A893" i="2"/>
  <c r="H892" i="2"/>
  <c r="G892" i="2"/>
  <c r="F892" i="2"/>
  <c r="E892" i="2"/>
  <c r="D892" i="2"/>
  <c r="C892" i="2"/>
  <c r="A892" i="2"/>
  <c r="H891" i="2"/>
  <c r="G891" i="2"/>
  <c r="F891" i="2"/>
  <c r="E891" i="2"/>
  <c r="D891" i="2"/>
  <c r="C891" i="2"/>
  <c r="A891" i="2"/>
  <c r="H890" i="2"/>
  <c r="G890" i="2"/>
  <c r="F890" i="2"/>
  <c r="E890" i="2"/>
  <c r="D890" i="2"/>
  <c r="C890" i="2"/>
  <c r="A890" i="2"/>
  <c r="H889" i="2"/>
  <c r="G889" i="2"/>
  <c r="F889" i="2"/>
  <c r="E889" i="2"/>
  <c r="D889" i="2"/>
  <c r="C889" i="2"/>
  <c r="A889" i="2"/>
  <c r="H888" i="2"/>
  <c r="G888" i="2"/>
  <c r="F888" i="2"/>
  <c r="E888" i="2"/>
  <c r="D888" i="2"/>
  <c r="C888" i="2"/>
  <c r="A888" i="2"/>
  <c r="H887" i="2"/>
  <c r="G887" i="2"/>
  <c r="F887" i="2"/>
  <c r="E887" i="2"/>
  <c r="D887" i="2"/>
  <c r="C887" i="2"/>
  <c r="A887" i="2"/>
  <c r="H886" i="2"/>
  <c r="G886" i="2"/>
  <c r="F886" i="2"/>
  <c r="E886" i="2"/>
  <c r="D886" i="2"/>
  <c r="C886" i="2"/>
  <c r="A886" i="2"/>
  <c r="H885" i="2"/>
  <c r="G885" i="2"/>
  <c r="F885" i="2"/>
  <c r="E885" i="2"/>
  <c r="D885" i="2"/>
  <c r="C885" i="2"/>
  <c r="A885" i="2"/>
  <c r="H884" i="2"/>
  <c r="G884" i="2"/>
  <c r="F884" i="2"/>
  <c r="E884" i="2"/>
  <c r="D884" i="2"/>
  <c r="C884" i="2"/>
  <c r="A884" i="2"/>
  <c r="H883" i="2"/>
  <c r="G883" i="2"/>
  <c r="F883" i="2"/>
  <c r="E883" i="2"/>
  <c r="D883" i="2"/>
  <c r="C883" i="2"/>
  <c r="A883" i="2"/>
  <c r="H882" i="2"/>
  <c r="G882" i="2"/>
  <c r="F882" i="2"/>
  <c r="E882" i="2"/>
  <c r="D882" i="2"/>
  <c r="C882" i="2"/>
  <c r="A882" i="2"/>
  <c r="H881" i="2"/>
  <c r="G881" i="2"/>
  <c r="F881" i="2"/>
  <c r="E881" i="2"/>
  <c r="D881" i="2"/>
  <c r="C881" i="2"/>
  <c r="A881" i="2"/>
  <c r="H880" i="2"/>
  <c r="G880" i="2"/>
  <c r="F880" i="2"/>
  <c r="E880" i="2"/>
  <c r="D880" i="2"/>
  <c r="C880" i="2"/>
  <c r="A880" i="2"/>
  <c r="H879" i="2"/>
  <c r="G879" i="2"/>
  <c r="F879" i="2"/>
  <c r="E879" i="2"/>
  <c r="D879" i="2"/>
  <c r="C879" i="2"/>
  <c r="A879" i="2"/>
  <c r="H878" i="2"/>
  <c r="G878" i="2"/>
  <c r="F878" i="2"/>
  <c r="E878" i="2"/>
  <c r="D878" i="2"/>
  <c r="C878" i="2"/>
  <c r="A878" i="2"/>
  <c r="H877" i="2"/>
  <c r="G877" i="2"/>
  <c r="F877" i="2"/>
  <c r="E877" i="2"/>
  <c r="D877" i="2"/>
  <c r="C877" i="2"/>
  <c r="A877" i="2"/>
  <c r="H876" i="2"/>
  <c r="G876" i="2"/>
  <c r="F876" i="2"/>
  <c r="E876" i="2"/>
  <c r="D876" i="2"/>
  <c r="C876" i="2"/>
  <c r="A876" i="2"/>
  <c r="H875" i="2"/>
  <c r="G875" i="2"/>
  <c r="F875" i="2"/>
  <c r="E875" i="2"/>
  <c r="D875" i="2"/>
  <c r="C875" i="2"/>
  <c r="A875" i="2"/>
  <c r="H874" i="2"/>
  <c r="G874" i="2"/>
  <c r="F874" i="2"/>
  <c r="E874" i="2"/>
  <c r="D874" i="2"/>
  <c r="C874" i="2"/>
  <c r="A874" i="2"/>
  <c r="H873" i="2"/>
  <c r="G873" i="2"/>
  <c r="F873" i="2"/>
  <c r="E873" i="2"/>
  <c r="D873" i="2"/>
  <c r="C873" i="2"/>
  <c r="A873" i="2"/>
  <c r="H872" i="2"/>
  <c r="G872" i="2"/>
  <c r="F872" i="2"/>
  <c r="E872" i="2"/>
  <c r="D872" i="2"/>
  <c r="C872" i="2"/>
  <c r="A872" i="2"/>
  <c r="H871" i="2"/>
  <c r="G871" i="2"/>
  <c r="F871" i="2"/>
  <c r="E871" i="2"/>
  <c r="D871" i="2"/>
  <c r="C871" i="2"/>
  <c r="A871" i="2"/>
  <c r="H870" i="2"/>
  <c r="G870" i="2"/>
  <c r="F870" i="2"/>
  <c r="E870" i="2"/>
  <c r="D870" i="2"/>
  <c r="C870" i="2"/>
  <c r="A870" i="2"/>
  <c r="H869" i="2"/>
  <c r="G869" i="2"/>
  <c r="F869" i="2"/>
  <c r="E869" i="2"/>
  <c r="D869" i="2"/>
  <c r="C869" i="2"/>
  <c r="A869" i="2"/>
  <c r="H868" i="2"/>
  <c r="G868" i="2"/>
  <c r="F868" i="2"/>
  <c r="E868" i="2"/>
  <c r="D868" i="2"/>
  <c r="C868" i="2"/>
  <c r="A868" i="2"/>
  <c r="H867" i="2"/>
  <c r="G867" i="2"/>
  <c r="F867" i="2"/>
  <c r="E867" i="2"/>
  <c r="D867" i="2"/>
  <c r="C867" i="2"/>
  <c r="A867" i="2"/>
  <c r="H866" i="2"/>
  <c r="G866" i="2"/>
  <c r="F866" i="2"/>
  <c r="E866" i="2"/>
  <c r="D866" i="2"/>
  <c r="C866" i="2"/>
  <c r="A866" i="2"/>
  <c r="H865" i="2"/>
  <c r="G865" i="2"/>
  <c r="F865" i="2"/>
  <c r="E865" i="2"/>
  <c r="D865" i="2"/>
  <c r="C865" i="2"/>
  <c r="A865" i="2"/>
  <c r="H864" i="2"/>
  <c r="G864" i="2"/>
  <c r="F864" i="2"/>
  <c r="E864" i="2"/>
  <c r="D864" i="2"/>
  <c r="C864" i="2"/>
  <c r="A864" i="2"/>
  <c r="H863" i="2"/>
  <c r="G863" i="2"/>
  <c r="F863" i="2"/>
  <c r="E863" i="2"/>
  <c r="D863" i="2"/>
  <c r="C863" i="2"/>
  <c r="A863" i="2"/>
  <c r="H862" i="2"/>
  <c r="G862" i="2"/>
  <c r="F862" i="2"/>
  <c r="E862" i="2"/>
  <c r="D862" i="2"/>
  <c r="C862" i="2"/>
  <c r="A862" i="2"/>
  <c r="H861" i="2"/>
  <c r="G861" i="2"/>
  <c r="F861" i="2"/>
  <c r="E861" i="2"/>
  <c r="D861" i="2"/>
  <c r="C861" i="2"/>
  <c r="A861" i="2"/>
  <c r="H860" i="2"/>
  <c r="G860" i="2"/>
  <c r="F860" i="2"/>
  <c r="E860" i="2"/>
  <c r="D860" i="2"/>
  <c r="C860" i="2"/>
  <c r="A860" i="2"/>
  <c r="H859" i="2"/>
  <c r="G859" i="2"/>
  <c r="F859" i="2"/>
  <c r="E859" i="2"/>
  <c r="D859" i="2"/>
  <c r="C859" i="2"/>
  <c r="A859" i="2"/>
  <c r="H858" i="2"/>
  <c r="G858" i="2"/>
  <c r="F858" i="2"/>
  <c r="E858" i="2"/>
  <c r="D858" i="2"/>
  <c r="C858" i="2"/>
  <c r="A858" i="2"/>
  <c r="H857" i="2"/>
  <c r="G857" i="2"/>
  <c r="F857" i="2"/>
  <c r="E857" i="2"/>
  <c r="D857" i="2"/>
  <c r="C857" i="2"/>
  <c r="A857" i="2"/>
  <c r="H856" i="2"/>
  <c r="G856" i="2"/>
  <c r="F856" i="2"/>
  <c r="E856" i="2"/>
  <c r="D856" i="2"/>
  <c r="C856" i="2"/>
  <c r="A856" i="2"/>
  <c r="H855" i="2"/>
  <c r="G855" i="2"/>
  <c r="F855" i="2"/>
  <c r="E855" i="2"/>
  <c r="D855" i="2"/>
  <c r="C855" i="2"/>
  <c r="A855" i="2"/>
  <c r="H854" i="2"/>
  <c r="G854" i="2"/>
  <c r="F854" i="2"/>
  <c r="E854" i="2"/>
  <c r="D854" i="2"/>
  <c r="C854" i="2"/>
  <c r="A854" i="2"/>
  <c r="H853" i="2"/>
  <c r="G853" i="2"/>
  <c r="F853" i="2"/>
  <c r="E853" i="2"/>
  <c r="D853" i="2"/>
  <c r="C853" i="2"/>
  <c r="A853" i="2"/>
  <c r="H852" i="2"/>
  <c r="G852" i="2"/>
  <c r="F852" i="2"/>
  <c r="E852" i="2"/>
  <c r="D852" i="2"/>
  <c r="C852" i="2"/>
  <c r="A852" i="2"/>
  <c r="H851" i="2"/>
  <c r="G851" i="2"/>
  <c r="F851" i="2"/>
  <c r="E851" i="2"/>
  <c r="D851" i="2"/>
  <c r="C851" i="2"/>
  <c r="A851" i="2"/>
  <c r="H850" i="2"/>
  <c r="G850" i="2"/>
  <c r="F850" i="2"/>
  <c r="E850" i="2"/>
  <c r="D850" i="2"/>
  <c r="C850" i="2"/>
  <c r="A850" i="2"/>
  <c r="H849" i="2"/>
  <c r="G849" i="2"/>
  <c r="F849" i="2"/>
  <c r="E849" i="2"/>
  <c r="D849" i="2"/>
  <c r="C849" i="2"/>
  <c r="A849" i="2"/>
  <c r="H848" i="2"/>
  <c r="G848" i="2"/>
  <c r="F848" i="2"/>
  <c r="E848" i="2"/>
  <c r="D848" i="2"/>
  <c r="C848" i="2"/>
  <c r="A848" i="2"/>
  <c r="H847" i="2"/>
  <c r="G847" i="2"/>
  <c r="F847" i="2"/>
  <c r="E847" i="2"/>
  <c r="D847" i="2"/>
  <c r="C847" i="2"/>
  <c r="A847" i="2"/>
  <c r="H846" i="2"/>
  <c r="G846" i="2"/>
  <c r="F846" i="2"/>
  <c r="E846" i="2"/>
  <c r="D846" i="2"/>
  <c r="C846" i="2"/>
  <c r="A846" i="2"/>
  <c r="H845" i="2"/>
  <c r="G845" i="2"/>
  <c r="F845" i="2"/>
  <c r="E845" i="2"/>
  <c r="D845" i="2"/>
  <c r="C845" i="2"/>
  <c r="A845" i="2"/>
  <c r="H844" i="2"/>
  <c r="G844" i="2"/>
  <c r="F844" i="2"/>
  <c r="E844" i="2"/>
  <c r="D844" i="2"/>
  <c r="C844" i="2"/>
  <c r="A844" i="2"/>
  <c r="H843" i="2"/>
  <c r="G843" i="2"/>
  <c r="F843" i="2"/>
  <c r="E843" i="2"/>
  <c r="D843" i="2"/>
  <c r="C843" i="2"/>
  <c r="A843" i="2"/>
  <c r="H842" i="2"/>
  <c r="G842" i="2"/>
  <c r="F842" i="2"/>
  <c r="E842" i="2"/>
  <c r="D842" i="2"/>
  <c r="C842" i="2"/>
  <c r="A842" i="2"/>
  <c r="H841" i="2"/>
  <c r="G841" i="2"/>
  <c r="F841" i="2"/>
  <c r="E841" i="2"/>
  <c r="D841" i="2"/>
  <c r="C841" i="2"/>
  <c r="A841" i="2"/>
  <c r="H840" i="2"/>
  <c r="G840" i="2"/>
  <c r="F840" i="2"/>
  <c r="E840" i="2"/>
  <c r="D840" i="2"/>
  <c r="C840" i="2"/>
  <c r="A840" i="2"/>
  <c r="H839" i="2"/>
  <c r="G839" i="2"/>
  <c r="F839" i="2"/>
  <c r="E839" i="2"/>
  <c r="D839" i="2"/>
  <c r="C839" i="2"/>
  <c r="A839" i="2"/>
  <c r="H838" i="2"/>
  <c r="G838" i="2"/>
  <c r="F838" i="2"/>
  <c r="E838" i="2"/>
  <c r="D838" i="2"/>
  <c r="C838" i="2"/>
  <c r="A838" i="2"/>
  <c r="H837" i="2"/>
  <c r="G837" i="2"/>
  <c r="F837" i="2"/>
  <c r="E837" i="2"/>
  <c r="D837" i="2"/>
  <c r="C837" i="2"/>
  <c r="A837" i="2"/>
  <c r="H836" i="2"/>
  <c r="G836" i="2"/>
  <c r="F836" i="2"/>
  <c r="E836" i="2"/>
  <c r="D836" i="2"/>
  <c r="C836" i="2"/>
  <c r="A836" i="2"/>
  <c r="H835" i="2"/>
  <c r="G835" i="2"/>
  <c r="F835" i="2"/>
  <c r="E835" i="2"/>
  <c r="D835" i="2"/>
  <c r="C835" i="2"/>
  <c r="A835" i="2"/>
  <c r="H834" i="2"/>
  <c r="G834" i="2"/>
  <c r="F834" i="2"/>
  <c r="E834" i="2"/>
  <c r="D834" i="2"/>
  <c r="C834" i="2"/>
  <c r="A834" i="2"/>
  <c r="H833" i="2"/>
  <c r="G833" i="2"/>
  <c r="F833" i="2"/>
  <c r="E833" i="2"/>
  <c r="D833" i="2"/>
  <c r="C833" i="2"/>
  <c r="A833" i="2"/>
  <c r="H832" i="2"/>
  <c r="G832" i="2"/>
  <c r="F832" i="2"/>
  <c r="E832" i="2"/>
  <c r="D832" i="2"/>
  <c r="C832" i="2"/>
  <c r="A832" i="2"/>
  <c r="H831" i="2"/>
  <c r="G831" i="2"/>
  <c r="F831" i="2"/>
  <c r="E831" i="2"/>
  <c r="D831" i="2"/>
  <c r="C831" i="2"/>
  <c r="A831" i="2"/>
  <c r="H830" i="2"/>
  <c r="G830" i="2"/>
  <c r="F830" i="2"/>
  <c r="E830" i="2"/>
  <c r="D830" i="2"/>
  <c r="C830" i="2"/>
  <c r="A830" i="2"/>
  <c r="H829" i="2"/>
  <c r="G829" i="2"/>
  <c r="F829" i="2"/>
  <c r="E829" i="2"/>
  <c r="D829" i="2"/>
  <c r="C829" i="2"/>
  <c r="A829" i="2"/>
  <c r="H828" i="2"/>
  <c r="G828" i="2"/>
  <c r="F828" i="2"/>
  <c r="E828" i="2"/>
  <c r="D828" i="2"/>
  <c r="C828" i="2"/>
  <c r="A828" i="2"/>
  <c r="H827" i="2"/>
  <c r="G827" i="2"/>
  <c r="F827" i="2"/>
  <c r="E827" i="2"/>
  <c r="D827" i="2"/>
  <c r="C827" i="2"/>
  <c r="A827" i="2"/>
  <c r="H826" i="2"/>
  <c r="G826" i="2"/>
  <c r="F826" i="2"/>
  <c r="E826" i="2"/>
  <c r="D826" i="2"/>
  <c r="C826" i="2"/>
  <c r="A826" i="2"/>
  <c r="H825" i="2"/>
  <c r="G825" i="2"/>
  <c r="F825" i="2"/>
  <c r="E825" i="2"/>
  <c r="D825" i="2"/>
  <c r="C825" i="2"/>
  <c r="A825" i="2"/>
  <c r="H824" i="2"/>
  <c r="G824" i="2"/>
  <c r="F824" i="2"/>
  <c r="E824" i="2"/>
  <c r="D824" i="2"/>
  <c r="C824" i="2"/>
  <c r="A824" i="2"/>
  <c r="H823" i="2"/>
  <c r="G823" i="2"/>
  <c r="F823" i="2"/>
  <c r="E823" i="2"/>
  <c r="D823" i="2"/>
  <c r="C823" i="2"/>
  <c r="A823" i="2"/>
  <c r="H822" i="2"/>
  <c r="G822" i="2"/>
  <c r="F822" i="2"/>
  <c r="E822" i="2"/>
  <c r="D822" i="2"/>
  <c r="C822" i="2"/>
  <c r="A822" i="2"/>
  <c r="H821" i="2"/>
  <c r="G821" i="2"/>
  <c r="F821" i="2"/>
  <c r="E821" i="2"/>
  <c r="D821" i="2"/>
  <c r="C821" i="2"/>
  <c r="A821" i="2"/>
  <c r="H820" i="2"/>
  <c r="G820" i="2"/>
  <c r="F820" i="2"/>
  <c r="E820" i="2"/>
  <c r="D820" i="2"/>
  <c r="C820" i="2"/>
  <c r="A820" i="2"/>
  <c r="H819" i="2"/>
  <c r="G819" i="2"/>
  <c r="F819" i="2"/>
  <c r="E819" i="2"/>
  <c r="D819" i="2"/>
  <c r="C819" i="2"/>
  <c r="A819" i="2"/>
  <c r="H818" i="2"/>
  <c r="G818" i="2"/>
  <c r="F818" i="2"/>
  <c r="E818" i="2"/>
  <c r="D818" i="2"/>
  <c r="C818" i="2"/>
  <c r="A818" i="2"/>
  <c r="H817" i="2"/>
  <c r="G817" i="2"/>
  <c r="F817" i="2"/>
  <c r="E817" i="2"/>
  <c r="D817" i="2"/>
  <c r="C817" i="2"/>
  <c r="A817" i="2"/>
  <c r="H816" i="2"/>
  <c r="G816" i="2"/>
  <c r="F816" i="2"/>
  <c r="E816" i="2"/>
  <c r="D816" i="2"/>
  <c r="C816" i="2"/>
  <c r="A816" i="2"/>
  <c r="H815" i="2"/>
  <c r="G815" i="2"/>
  <c r="F815" i="2"/>
  <c r="E815" i="2"/>
  <c r="D815" i="2"/>
  <c r="C815" i="2"/>
  <c r="A815" i="2"/>
  <c r="H814" i="2"/>
  <c r="G814" i="2"/>
  <c r="F814" i="2"/>
  <c r="E814" i="2"/>
  <c r="D814" i="2"/>
  <c r="C814" i="2"/>
  <c r="A814" i="2"/>
  <c r="H813" i="2"/>
  <c r="G813" i="2"/>
  <c r="F813" i="2"/>
  <c r="E813" i="2"/>
  <c r="D813" i="2"/>
  <c r="C813" i="2"/>
  <c r="A813" i="2"/>
  <c r="H812" i="2"/>
  <c r="G812" i="2"/>
  <c r="F812" i="2"/>
  <c r="E812" i="2"/>
  <c r="D812" i="2"/>
  <c r="C812" i="2"/>
  <c r="A812" i="2"/>
  <c r="H811" i="2"/>
  <c r="G811" i="2"/>
  <c r="F811" i="2"/>
  <c r="E811" i="2"/>
  <c r="D811" i="2"/>
  <c r="C811" i="2"/>
  <c r="A811" i="2"/>
  <c r="H810" i="2"/>
  <c r="G810" i="2"/>
  <c r="F810" i="2"/>
  <c r="E810" i="2"/>
  <c r="D810" i="2"/>
  <c r="C810" i="2"/>
  <c r="A810" i="2"/>
  <c r="H809" i="2"/>
  <c r="G809" i="2"/>
  <c r="F809" i="2"/>
  <c r="E809" i="2"/>
  <c r="D809" i="2"/>
  <c r="C809" i="2"/>
  <c r="A809" i="2"/>
  <c r="H808" i="2"/>
  <c r="G808" i="2"/>
  <c r="F808" i="2"/>
  <c r="E808" i="2"/>
  <c r="D808" i="2"/>
  <c r="C808" i="2"/>
  <c r="A808" i="2"/>
  <c r="H807" i="2"/>
  <c r="G807" i="2"/>
  <c r="F807" i="2"/>
  <c r="E807" i="2"/>
  <c r="D807" i="2"/>
  <c r="C807" i="2"/>
  <c r="A807" i="2"/>
  <c r="H806" i="2"/>
  <c r="G806" i="2"/>
  <c r="F806" i="2"/>
  <c r="E806" i="2"/>
  <c r="D806" i="2"/>
  <c r="C806" i="2"/>
  <c r="A806" i="2"/>
  <c r="H805" i="2"/>
  <c r="G805" i="2"/>
  <c r="F805" i="2"/>
  <c r="E805" i="2"/>
  <c r="D805" i="2"/>
  <c r="C805" i="2"/>
  <c r="A805" i="2"/>
  <c r="H804" i="2"/>
  <c r="G804" i="2"/>
  <c r="F804" i="2"/>
  <c r="E804" i="2"/>
  <c r="D804" i="2"/>
  <c r="C804" i="2"/>
  <c r="A804" i="2"/>
  <c r="H803" i="2"/>
  <c r="G803" i="2"/>
  <c r="F803" i="2"/>
  <c r="E803" i="2"/>
  <c r="D803" i="2"/>
  <c r="C803" i="2"/>
  <c r="A803" i="2"/>
  <c r="H802" i="2"/>
  <c r="G802" i="2"/>
  <c r="F802" i="2"/>
  <c r="E802" i="2"/>
  <c r="D802" i="2"/>
  <c r="C802" i="2"/>
  <c r="A802" i="2"/>
  <c r="H801" i="2"/>
  <c r="G801" i="2"/>
  <c r="F801" i="2"/>
  <c r="E801" i="2"/>
  <c r="D801" i="2"/>
  <c r="C801" i="2"/>
  <c r="A801" i="2"/>
  <c r="H800" i="2"/>
  <c r="G800" i="2"/>
  <c r="F800" i="2"/>
  <c r="E800" i="2"/>
  <c r="D800" i="2"/>
  <c r="C800" i="2"/>
  <c r="A800" i="2"/>
  <c r="H799" i="2"/>
  <c r="G799" i="2"/>
  <c r="F799" i="2"/>
  <c r="E799" i="2"/>
  <c r="D799" i="2"/>
  <c r="C799" i="2"/>
  <c r="A799" i="2"/>
  <c r="H798" i="2"/>
  <c r="G798" i="2"/>
  <c r="F798" i="2"/>
  <c r="E798" i="2"/>
  <c r="D798" i="2"/>
  <c r="C798" i="2"/>
  <c r="A798" i="2"/>
  <c r="H797" i="2"/>
  <c r="G797" i="2"/>
  <c r="F797" i="2"/>
  <c r="E797" i="2"/>
  <c r="D797" i="2"/>
  <c r="C797" i="2"/>
  <c r="A797" i="2"/>
  <c r="H796" i="2"/>
  <c r="G796" i="2"/>
  <c r="F796" i="2"/>
  <c r="E796" i="2"/>
  <c r="D796" i="2"/>
  <c r="C796" i="2"/>
  <c r="A796" i="2"/>
  <c r="H795" i="2"/>
  <c r="G795" i="2"/>
  <c r="F795" i="2"/>
  <c r="E795" i="2"/>
  <c r="D795" i="2"/>
  <c r="C795" i="2"/>
  <c r="A795" i="2"/>
  <c r="H794" i="2"/>
  <c r="G794" i="2"/>
  <c r="F794" i="2"/>
  <c r="E794" i="2"/>
  <c r="D794" i="2"/>
  <c r="C794" i="2"/>
  <c r="A794" i="2"/>
  <c r="H793" i="2"/>
  <c r="G793" i="2"/>
  <c r="F793" i="2"/>
  <c r="E793" i="2"/>
  <c r="D793" i="2"/>
  <c r="C793" i="2"/>
  <c r="A793" i="2"/>
  <c r="H792" i="2"/>
  <c r="G792" i="2"/>
  <c r="F792" i="2"/>
  <c r="E792" i="2"/>
  <c r="D792" i="2"/>
  <c r="C792" i="2"/>
  <c r="A792" i="2"/>
  <c r="H791" i="2"/>
  <c r="G791" i="2"/>
  <c r="F791" i="2"/>
  <c r="E791" i="2"/>
  <c r="D791" i="2"/>
  <c r="C791" i="2"/>
  <c r="A791" i="2"/>
  <c r="H790" i="2"/>
  <c r="G790" i="2"/>
  <c r="F790" i="2"/>
  <c r="E790" i="2"/>
  <c r="D790" i="2"/>
  <c r="C790" i="2"/>
  <c r="A790" i="2"/>
  <c r="H789" i="2"/>
  <c r="G789" i="2"/>
  <c r="F789" i="2"/>
  <c r="E789" i="2"/>
  <c r="D789" i="2"/>
  <c r="C789" i="2"/>
  <c r="A789" i="2"/>
  <c r="H788" i="2"/>
  <c r="G788" i="2"/>
  <c r="F788" i="2"/>
  <c r="E788" i="2"/>
  <c r="D788" i="2"/>
  <c r="C788" i="2"/>
  <c r="A788" i="2"/>
  <c r="H787" i="2"/>
  <c r="G787" i="2"/>
  <c r="F787" i="2"/>
  <c r="E787" i="2"/>
  <c r="D787" i="2"/>
  <c r="C787" i="2"/>
  <c r="A787" i="2"/>
  <c r="H786" i="2"/>
  <c r="G786" i="2"/>
  <c r="F786" i="2"/>
  <c r="E786" i="2"/>
  <c r="D786" i="2"/>
  <c r="C786" i="2"/>
  <c r="A786" i="2"/>
  <c r="H785" i="2"/>
  <c r="G785" i="2"/>
  <c r="F785" i="2"/>
  <c r="E785" i="2"/>
  <c r="D785" i="2"/>
  <c r="C785" i="2"/>
  <c r="A785" i="2"/>
  <c r="H784" i="2"/>
  <c r="G784" i="2"/>
  <c r="F784" i="2"/>
  <c r="E784" i="2"/>
  <c r="D784" i="2"/>
  <c r="C784" i="2"/>
  <c r="A784" i="2"/>
  <c r="H783" i="2"/>
  <c r="G783" i="2"/>
  <c r="F783" i="2"/>
  <c r="E783" i="2"/>
  <c r="D783" i="2"/>
  <c r="C783" i="2"/>
  <c r="A783" i="2"/>
  <c r="H782" i="2"/>
  <c r="G782" i="2"/>
  <c r="F782" i="2"/>
  <c r="E782" i="2"/>
  <c r="D782" i="2"/>
  <c r="C782" i="2"/>
  <c r="A782" i="2"/>
  <c r="H781" i="2"/>
  <c r="G781" i="2"/>
  <c r="F781" i="2"/>
  <c r="E781" i="2"/>
  <c r="D781" i="2"/>
  <c r="C781" i="2"/>
  <c r="A781" i="2"/>
  <c r="H780" i="2"/>
  <c r="G780" i="2"/>
  <c r="F780" i="2"/>
  <c r="E780" i="2"/>
  <c r="D780" i="2"/>
  <c r="C780" i="2"/>
  <c r="A780" i="2"/>
  <c r="H779" i="2"/>
  <c r="G779" i="2"/>
  <c r="F779" i="2"/>
  <c r="E779" i="2"/>
  <c r="D779" i="2"/>
  <c r="C779" i="2"/>
  <c r="A779" i="2"/>
  <c r="H778" i="2"/>
  <c r="G778" i="2"/>
  <c r="F778" i="2"/>
  <c r="E778" i="2"/>
  <c r="D778" i="2"/>
  <c r="C778" i="2"/>
  <c r="A778" i="2"/>
  <c r="H777" i="2"/>
  <c r="G777" i="2"/>
  <c r="F777" i="2"/>
  <c r="E777" i="2"/>
  <c r="D777" i="2"/>
  <c r="C777" i="2"/>
  <c r="A777" i="2"/>
  <c r="H776" i="2"/>
  <c r="G776" i="2"/>
  <c r="F776" i="2"/>
  <c r="E776" i="2"/>
  <c r="D776" i="2"/>
  <c r="C776" i="2"/>
  <c r="A776" i="2"/>
  <c r="H775" i="2"/>
  <c r="G775" i="2"/>
  <c r="F775" i="2"/>
  <c r="E775" i="2"/>
  <c r="D775" i="2"/>
  <c r="C775" i="2"/>
  <c r="A775" i="2"/>
  <c r="H774" i="2"/>
  <c r="G774" i="2"/>
  <c r="F774" i="2"/>
  <c r="E774" i="2"/>
  <c r="D774" i="2"/>
  <c r="C774" i="2"/>
  <c r="A774" i="2"/>
  <c r="H773" i="2"/>
  <c r="G773" i="2"/>
  <c r="F773" i="2"/>
  <c r="E773" i="2"/>
  <c r="D773" i="2"/>
  <c r="C773" i="2"/>
  <c r="A773" i="2"/>
  <c r="H772" i="2"/>
  <c r="G772" i="2"/>
  <c r="F772" i="2"/>
  <c r="E772" i="2"/>
  <c r="D772" i="2"/>
  <c r="C772" i="2"/>
  <c r="A772" i="2"/>
  <c r="H771" i="2"/>
  <c r="G771" i="2"/>
  <c r="F771" i="2"/>
  <c r="E771" i="2"/>
  <c r="D771" i="2"/>
  <c r="C771" i="2"/>
  <c r="A771" i="2"/>
  <c r="H770" i="2"/>
  <c r="G770" i="2"/>
  <c r="F770" i="2"/>
  <c r="E770" i="2"/>
  <c r="D770" i="2"/>
  <c r="C770" i="2"/>
  <c r="A770" i="2"/>
  <c r="H769" i="2"/>
  <c r="G769" i="2"/>
  <c r="F769" i="2"/>
  <c r="E769" i="2"/>
  <c r="D769" i="2"/>
  <c r="C769" i="2"/>
  <c r="A769" i="2"/>
  <c r="H768" i="2"/>
  <c r="G768" i="2"/>
  <c r="F768" i="2"/>
  <c r="E768" i="2"/>
  <c r="D768" i="2"/>
  <c r="C768" i="2"/>
  <c r="A768" i="2"/>
  <c r="H767" i="2"/>
  <c r="G767" i="2"/>
  <c r="F767" i="2"/>
  <c r="E767" i="2"/>
  <c r="D767" i="2"/>
  <c r="C767" i="2"/>
  <c r="A767" i="2"/>
  <c r="H766" i="2"/>
  <c r="G766" i="2"/>
  <c r="F766" i="2"/>
  <c r="E766" i="2"/>
  <c r="D766" i="2"/>
  <c r="C766" i="2"/>
  <c r="A766" i="2"/>
  <c r="H765" i="2"/>
  <c r="G765" i="2"/>
  <c r="F765" i="2"/>
  <c r="E765" i="2"/>
  <c r="D765" i="2"/>
  <c r="C765" i="2"/>
  <c r="A765" i="2"/>
  <c r="H764" i="2"/>
  <c r="G764" i="2"/>
  <c r="F764" i="2"/>
  <c r="E764" i="2"/>
  <c r="D764" i="2"/>
  <c r="C764" i="2"/>
  <c r="A764" i="2"/>
  <c r="H763" i="2"/>
  <c r="G763" i="2"/>
  <c r="F763" i="2"/>
  <c r="E763" i="2"/>
  <c r="D763" i="2"/>
  <c r="C763" i="2"/>
  <c r="A763" i="2"/>
  <c r="H762" i="2"/>
  <c r="G762" i="2"/>
  <c r="F762" i="2"/>
  <c r="E762" i="2"/>
  <c r="D762" i="2"/>
  <c r="C762" i="2"/>
  <c r="A762" i="2"/>
  <c r="H761" i="2"/>
  <c r="G761" i="2"/>
  <c r="F761" i="2"/>
  <c r="E761" i="2"/>
  <c r="D761" i="2"/>
  <c r="C761" i="2"/>
  <c r="A761" i="2"/>
  <c r="H760" i="2"/>
  <c r="G760" i="2"/>
  <c r="F760" i="2"/>
  <c r="E760" i="2"/>
  <c r="D760" i="2"/>
  <c r="C760" i="2"/>
  <c r="A760" i="2"/>
  <c r="H759" i="2"/>
  <c r="G759" i="2"/>
  <c r="F759" i="2"/>
  <c r="E759" i="2"/>
  <c r="D759" i="2"/>
  <c r="C759" i="2"/>
  <c r="A759" i="2"/>
  <c r="H758" i="2"/>
  <c r="G758" i="2"/>
  <c r="F758" i="2"/>
  <c r="E758" i="2"/>
  <c r="D758" i="2"/>
  <c r="C758" i="2"/>
  <c r="A758" i="2"/>
  <c r="H757" i="2"/>
  <c r="G757" i="2"/>
  <c r="F757" i="2"/>
  <c r="E757" i="2"/>
  <c r="D757" i="2"/>
  <c r="C757" i="2"/>
  <c r="A757" i="2"/>
  <c r="H756" i="2"/>
  <c r="G756" i="2"/>
  <c r="F756" i="2"/>
  <c r="E756" i="2"/>
  <c r="D756" i="2"/>
  <c r="C756" i="2"/>
  <c r="A756" i="2"/>
  <c r="H755" i="2"/>
  <c r="G755" i="2"/>
  <c r="F755" i="2"/>
  <c r="E755" i="2"/>
  <c r="D755" i="2"/>
  <c r="C755" i="2"/>
  <c r="A755" i="2"/>
  <c r="H754" i="2"/>
  <c r="G754" i="2"/>
  <c r="F754" i="2"/>
  <c r="E754" i="2"/>
  <c r="D754" i="2"/>
  <c r="C754" i="2"/>
  <c r="A754" i="2"/>
  <c r="H753" i="2"/>
  <c r="G753" i="2"/>
  <c r="F753" i="2"/>
  <c r="E753" i="2"/>
  <c r="D753" i="2"/>
  <c r="C753" i="2"/>
  <c r="A753" i="2"/>
  <c r="H752" i="2"/>
  <c r="G752" i="2"/>
  <c r="F752" i="2"/>
  <c r="E752" i="2"/>
  <c r="D752" i="2"/>
  <c r="C752" i="2"/>
  <c r="A752" i="2"/>
  <c r="H751" i="2"/>
  <c r="G751" i="2"/>
  <c r="F751" i="2"/>
  <c r="E751" i="2"/>
  <c r="D751" i="2"/>
  <c r="C751" i="2"/>
  <c r="A751" i="2"/>
  <c r="H750" i="2"/>
  <c r="G750" i="2"/>
  <c r="F750" i="2"/>
  <c r="E750" i="2"/>
  <c r="D750" i="2"/>
  <c r="C750" i="2"/>
  <c r="A750" i="2"/>
  <c r="H749" i="2"/>
  <c r="G749" i="2"/>
  <c r="F749" i="2"/>
  <c r="E749" i="2"/>
  <c r="D749" i="2"/>
  <c r="C749" i="2"/>
  <c r="A749" i="2"/>
  <c r="H748" i="2"/>
  <c r="G748" i="2"/>
  <c r="F748" i="2"/>
  <c r="E748" i="2"/>
  <c r="D748" i="2"/>
  <c r="C748" i="2"/>
  <c r="A748" i="2"/>
  <c r="H747" i="2"/>
  <c r="G747" i="2"/>
  <c r="F747" i="2"/>
  <c r="E747" i="2"/>
  <c r="D747" i="2"/>
  <c r="C747" i="2"/>
  <c r="A747" i="2"/>
  <c r="H746" i="2"/>
  <c r="G746" i="2"/>
  <c r="F746" i="2"/>
  <c r="E746" i="2"/>
  <c r="D746" i="2"/>
  <c r="C746" i="2"/>
  <c r="A746" i="2"/>
  <c r="H745" i="2"/>
  <c r="G745" i="2"/>
  <c r="F745" i="2"/>
  <c r="E745" i="2"/>
  <c r="D745" i="2"/>
  <c r="C745" i="2"/>
  <c r="A745" i="2"/>
  <c r="H744" i="2"/>
  <c r="G744" i="2"/>
  <c r="F744" i="2"/>
  <c r="E744" i="2"/>
  <c r="D744" i="2"/>
  <c r="C744" i="2"/>
  <c r="A744" i="2"/>
  <c r="H743" i="2"/>
  <c r="G743" i="2"/>
  <c r="F743" i="2"/>
  <c r="E743" i="2"/>
  <c r="D743" i="2"/>
  <c r="C743" i="2"/>
  <c r="A743" i="2"/>
  <c r="H742" i="2"/>
  <c r="G742" i="2"/>
  <c r="F742" i="2"/>
  <c r="E742" i="2"/>
  <c r="D742" i="2"/>
  <c r="C742" i="2"/>
  <c r="A742" i="2"/>
  <c r="H741" i="2"/>
  <c r="G741" i="2"/>
  <c r="F741" i="2"/>
  <c r="E741" i="2"/>
  <c r="D741" i="2"/>
  <c r="C741" i="2"/>
  <c r="A741" i="2"/>
  <c r="H740" i="2"/>
  <c r="G740" i="2"/>
  <c r="F740" i="2"/>
  <c r="E740" i="2"/>
  <c r="D740" i="2"/>
  <c r="C740" i="2"/>
  <c r="A740" i="2"/>
  <c r="H739" i="2"/>
  <c r="G739" i="2"/>
  <c r="F739" i="2"/>
  <c r="E739" i="2"/>
  <c r="D739" i="2"/>
  <c r="C739" i="2"/>
  <c r="A739" i="2"/>
  <c r="H738" i="2"/>
  <c r="G738" i="2"/>
  <c r="F738" i="2"/>
  <c r="E738" i="2"/>
  <c r="D738" i="2"/>
  <c r="C738" i="2"/>
  <c r="A738" i="2"/>
  <c r="H737" i="2"/>
  <c r="G737" i="2"/>
  <c r="F737" i="2"/>
  <c r="E737" i="2"/>
  <c r="D737" i="2"/>
  <c r="C737" i="2"/>
  <c r="A737" i="2"/>
  <c r="H736" i="2"/>
  <c r="G736" i="2"/>
  <c r="F736" i="2"/>
  <c r="E736" i="2"/>
  <c r="D736" i="2"/>
  <c r="C736" i="2"/>
  <c r="A736" i="2"/>
  <c r="H735" i="2"/>
  <c r="G735" i="2"/>
  <c r="F735" i="2"/>
  <c r="E735" i="2"/>
  <c r="D735" i="2"/>
  <c r="C735" i="2"/>
  <c r="A735" i="2"/>
  <c r="H734" i="2"/>
  <c r="G734" i="2"/>
  <c r="F734" i="2"/>
  <c r="E734" i="2"/>
  <c r="D734" i="2"/>
  <c r="C734" i="2"/>
  <c r="A734" i="2"/>
  <c r="H733" i="2"/>
  <c r="G733" i="2"/>
  <c r="F733" i="2"/>
  <c r="E733" i="2"/>
  <c r="D733" i="2"/>
  <c r="C733" i="2"/>
  <c r="A733" i="2"/>
  <c r="H732" i="2"/>
  <c r="G732" i="2"/>
  <c r="F732" i="2"/>
  <c r="E732" i="2"/>
  <c r="D732" i="2"/>
  <c r="C732" i="2"/>
  <c r="A732" i="2"/>
  <c r="H731" i="2"/>
  <c r="G731" i="2"/>
  <c r="F731" i="2"/>
  <c r="E731" i="2"/>
  <c r="D731" i="2"/>
  <c r="C731" i="2"/>
  <c r="A731" i="2"/>
  <c r="H730" i="2"/>
  <c r="G730" i="2"/>
  <c r="F730" i="2"/>
  <c r="E730" i="2"/>
  <c r="D730" i="2"/>
  <c r="C730" i="2"/>
  <c r="A730" i="2"/>
  <c r="H729" i="2"/>
  <c r="G729" i="2"/>
  <c r="F729" i="2"/>
  <c r="E729" i="2"/>
  <c r="D729" i="2"/>
  <c r="C729" i="2"/>
  <c r="A729" i="2"/>
  <c r="H728" i="2"/>
  <c r="G728" i="2"/>
  <c r="F728" i="2"/>
  <c r="E728" i="2"/>
  <c r="D728" i="2"/>
  <c r="C728" i="2"/>
  <c r="A728" i="2"/>
  <c r="H727" i="2"/>
  <c r="G727" i="2"/>
  <c r="F727" i="2"/>
  <c r="E727" i="2"/>
  <c r="D727" i="2"/>
  <c r="C727" i="2"/>
  <c r="A727" i="2"/>
  <c r="H726" i="2"/>
  <c r="G726" i="2"/>
  <c r="F726" i="2"/>
  <c r="E726" i="2"/>
  <c r="D726" i="2"/>
  <c r="C726" i="2"/>
  <c r="A726" i="2"/>
  <c r="H725" i="2"/>
  <c r="G725" i="2"/>
  <c r="F725" i="2"/>
  <c r="E725" i="2"/>
  <c r="D725" i="2"/>
  <c r="C725" i="2"/>
  <c r="A725" i="2"/>
  <c r="H724" i="2"/>
  <c r="G724" i="2"/>
  <c r="F724" i="2"/>
  <c r="E724" i="2"/>
  <c r="D724" i="2"/>
  <c r="C724" i="2"/>
  <c r="A724" i="2"/>
  <c r="H723" i="2"/>
  <c r="G723" i="2"/>
  <c r="F723" i="2"/>
  <c r="E723" i="2"/>
  <c r="D723" i="2"/>
  <c r="C723" i="2"/>
  <c r="A723" i="2"/>
  <c r="H722" i="2"/>
  <c r="G722" i="2"/>
  <c r="F722" i="2"/>
  <c r="E722" i="2"/>
  <c r="D722" i="2"/>
  <c r="C722" i="2"/>
  <c r="A722" i="2"/>
  <c r="H721" i="2"/>
  <c r="G721" i="2"/>
  <c r="F721" i="2"/>
  <c r="E721" i="2"/>
  <c r="D721" i="2"/>
  <c r="C721" i="2"/>
  <c r="A721" i="2"/>
  <c r="H720" i="2"/>
  <c r="G720" i="2"/>
  <c r="F720" i="2"/>
  <c r="E720" i="2"/>
  <c r="D720" i="2"/>
  <c r="C720" i="2"/>
  <c r="A720" i="2"/>
  <c r="H719" i="2"/>
  <c r="G719" i="2"/>
  <c r="F719" i="2"/>
  <c r="E719" i="2"/>
  <c r="D719" i="2"/>
  <c r="C719" i="2"/>
  <c r="A719" i="2"/>
  <c r="H718" i="2"/>
  <c r="G718" i="2"/>
  <c r="F718" i="2"/>
  <c r="E718" i="2"/>
  <c r="D718" i="2"/>
  <c r="C718" i="2"/>
  <c r="A718" i="2"/>
  <c r="H717" i="2"/>
  <c r="G717" i="2"/>
  <c r="F717" i="2"/>
  <c r="E717" i="2"/>
  <c r="D717" i="2"/>
  <c r="C717" i="2"/>
  <c r="A717" i="2"/>
  <c r="H716" i="2"/>
  <c r="G716" i="2"/>
  <c r="F716" i="2"/>
  <c r="E716" i="2"/>
  <c r="D716" i="2"/>
  <c r="C716" i="2"/>
  <c r="A716" i="2"/>
  <c r="H715" i="2"/>
  <c r="G715" i="2"/>
  <c r="F715" i="2"/>
  <c r="E715" i="2"/>
  <c r="D715" i="2"/>
  <c r="C715" i="2"/>
  <c r="A715" i="2"/>
  <c r="H714" i="2"/>
  <c r="G714" i="2"/>
  <c r="F714" i="2"/>
  <c r="E714" i="2"/>
  <c r="D714" i="2"/>
  <c r="C714" i="2"/>
  <c r="A714" i="2"/>
  <c r="H713" i="2"/>
  <c r="G713" i="2"/>
  <c r="F713" i="2"/>
  <c r="E713" i="2"/>
  <c r="D713" i="2"/>
  <c r="C713" i="2"/>
  <c r="A713" i="2"/>
  <c r="H712" i="2"/>
  <c r="G712" i="2"/>
  <c r="F712" i="2"/>
  <c r="E712" i="2"/>
  <c r="D712" i="2"/>
  <c r="C712" i="2"/>
  <c r="A712" i="2"/>
  <c r="H711" i="2"/>
  <c r="G711" i="2"/>
  <c r="F711" i="2"/>
  <c r="E711" i="2"/>
  <c r="D711" i="2"/>
  <c r="C711" i="2"/>
  <c r="A711" i="2"/>
  <c r="H710" i="2"/>
  <c r="G710" i="2"/>
  <c r="F710" i="2"/>
  <c r="E710" i="2"/>
  <c r="D710" i="2"/>
  <c r="C710" i="2"/>
  <c r="A710" i="2"/>
  <c r="H709" i="2"/>
  <c r="G709" i="2"/>
  <c r="F709" i="2"/>
  <c r="E709" i="2"/>
  <c r="D709" i="2"/>
  <c r="C709" i="2"/>
  <c r="A709" i="2"/>
  <c r="H708" i="2"/>
  <c r="G708" i="2"/>
  <c r="F708" i="2"/>
  <c r="E708" i="2"/>
  <c r="D708" i="2"/>
  <c r="C708" i="2"/>
  <c r="A708" i="2"/>
  <c r="H707" i="2"/>
  <c r="G707" i="2"/>
  <c r="F707" i="2"/>
  <c r="E707" i="2"/>
  <c r="D707" i="2"/>
  <c r="C707" i="2"/>
  <c r="A707" i="2"/>
  <c r="H706" i="2"/>
  <c r="G706" i="2"/>
  <c r="F706" i="2"/>
  <c r="E706" i="2"/>
  <c r="D706" i="2"/>
  <c r="C706" i="2"/>
  <c r="A706" i="2"/>
  <c r="H705" i="2"/>
  <c r="G705" i="2"/>
  <c r="F705" i="2"/>
  <c r="E705" i="2"/>
  <c r="D705" i="2"/>
  <c r="C705" i="2"/>
  <c r="A705" i="2"/>
  <c r="H704" i="2"/>
  <c r="G704" i="2"/>
  <c r="F704" i="2"/>
  <c r="E704" i="2"/>
  <c r="D704" i="2"/>
  <c r="C704" i="2"/>
  <c r="A704" i="2"/>
  <c r="H703" i="2"/>
  <c r="G703" i="2"/>
  <c r="F703" i="2"/>
  <c r="E703" i="2"/>
  <c r="D703" i="2"/>
  <c r="C703" i="2"/>
  <c r="A703" i="2"/>
  <c r="H702" i="2"/>
  <c r="G702" i="2"/>
  <c r="F702" i="2"/>
  <c r="E702" i="2"/>
  <c r="D702" i="2"/>
  <c r="C702" i="2"/>
  <c r="A702" i="2"/>
  <c r="H701" i="2"/>
  <c r="G701" i="2"/>
  <c r="F701" i="2"/>
  <c r="E701" i="2"/>
  <c r="D701" i="2"/>
  <c r="C701" i="2"/>
  <c r="A701" i="2"/>
  <c r="H700" i="2"/>
  <c r="G700" i="2"/>
  <c r="F700" i="2"/>
  <c r="E700" i="2"/>
  <c r="D700" i="2"/>
  <c r="C700" i="2"/>
  <c r="A700" i="2"/>
  <c r="H699" i="2"/>
  <c r="G699" i="2"/>
  <c r="F699" i="2"/>
  <c r="E699" i="2"/>
  <c r="D699" i="2"/>
  <c r="C699" i="2"/>
  <c r="A699" i="2"/>
  <c r="H698" i="2"/>
  <c r="G698" i="2"/>
  <c r="F698" i="2"/>
  <c r="E698" i="2"/>
  <c r="D698" i="2"/>
  <c r="C698" i="2"/>
  <c r="A698" i="2"/>
  <c r="H697" i="2"/>
  <c r="G697" i="2"/>
  <c r="F697" i="2"/>
  <c r="E697" i="2"/>
  <c r="D697" i="2"/>
  <c r="C697" i="2"/>
  <c r="A697" i="2"/>
  <c r="H696" i="2"/>
  <c r="G696" i="2"/>
  <c r="F696" i="2"/>
  <c r="E696" i="2"/>
  <c r="D696" i="2"/>
  <c r="C696" i="2"/>
  <c r="A696" i="2"/>
  <c r="H695" i="2"/>
  <c r="G695" i="2"/>
  <c r="F695" i="2"/>
  <c r="E695" i="2"/>
  <c r="D695" i="2"/>
  <c r="C695" i="2"/>
  <c r="A695" i="2"/>
  <c r="H694" i="2"/>
  <c r="G694" i="2"/>
  <c r="F694" i="2"/>
  <c r="E694" i="2"/>
  <c r="D694" i="2"/>
  <c r="C694" i="2"/>
  <c r="A694" i="2"/>
  <c r="H693" i="2"/>
  <c r="G693" i="2"/>
  <c r="F693" i="2"/>
  <c r="E693" i="2"/>
  <c r="D693" i="2"/>
  <c r="C693" i="2"/>
  <c r="A693" i="2"/>
  <c r="H692" i="2"/>
  <c r="G692" i="2"/>
  <c r="F692" i="2"/>
  <c r="E692" i="2"/>
  <c r="D692" i="2"/>
  <c r="C692" i="2"/>
  <c r="A692" i="2"/>
  <c r="H691" i="2"/>
  <c r="G691" i="2"/>
  <c r="F691" i="2"/>
  <c r="E691" i="2"/>
  <c r="D691" i="2"/>
  <c r="C691" i="2"/>
  <c r="A691" i="2"/>
  <c r="H690" i="2"/>
  <c r="G690" i="2"/>
  <c r="F690" i="2"/>
  <c r="E690" i="2"/>
  <c r="D690" i="2"/>
  <c r="C690" i="2"/>
  <c r="A690" i="2"/>
  <c r="H689" i="2"/>
  <c r="G689" i="2"/>
  <c r="F689" i="2"/>
  <c r="E689" i="2"/>
  <c r="D689" i="2"/>
  <c r="C689" i="2"/>
  <c r="A689" i="2"/>
  <c r="H688" i="2"/>
  <c r="G688" i="2"/>
  <c r="F688" i="2"/>
  <c r="E688" i="2"/>
  <c r="D688" i="2"/>
  <c r="C688" i="2"/>
  <c r="A688" i="2"/>
  <c r="H687" i="2"/>
  <c r="G687" i="2"/>
  <c r="F687" i="2"/>
  <c r="E687" i="2"/>
  <c r="D687" i="2"/>
  <c r="C687" i="2"/>
  <c r="A687" i="2"/>
  <c r="H686" i="2"/>
  <c r="G686" i="2"/>
  <c r="F686" i="2"/>
  <c r="E686" i="2"/>
  <c r="D686" i="2"/>
  <c r="C686" i="2"/>
  <c r="A686" i="2"/>
  <c r="H685" i="2"/>
  <c r="G685" i="2"/>
  <c r="F685" i="2"/>
  <c r="E685" i="2"/>
  <c r="D685" i="2"/>
  <c r="C685" i="2"/>
  <c r="A685" i="2"/>
  <c r="H684" i="2"/>
  <c r="G684" i="2"/>
  <c r="F684" i="2"/>
  <c r="E684" i="2"/>
  <c r="D684" i="2"/>
  <c r="C684" i="2"/>
  <c r="A684" i="2"/>
  <c r="H683" i="2"/>
  <c r="G683" i="2"/>
  <c r="F683" i="2"/>
  <c r="E683" i="2"/>
  <c r="D683" i="2"/>
  <c r="C683" i="2"/>
  <c r="A683" i="2"/>
  <c r="H682" i="2"/>
  <c r="G682" i="2"/>
  <c r="F682" i="2"/>
  <c r="E682" i="2"/>
  <c r="D682" i="2"/>
  <c r="C682" i="2"/>
  <c r="A682" i="2"/>
  <c r="H681" i="2"/>
  <c r="G681" i="2"/>
  <c r="F681" i="2"/>
  <c r="E681" i="2"/>
  <c r="D681" i="2"/>
  <c r="C681" i="2"/>
  <c r="A681" i="2"/>
  <c r="H680" i="2"/>
  <c r="G680" i="2"/>
  <c r="F680" i="2"/>
  <c r="E680" i="2"/>
  <c r="D680" i="2"/>
  <c r="C680" i="2"/>
  <c r="A680" i="2"/>
  <c r="H679" i="2"/>
  <c r="G679" i="2"/>
  <c r="F679" i="2"/>
  <c r="E679" i="2"/>
  <c r="D679" i="2"/>
  <c r="C679" i="2"/>
  <c r="A679" i="2"/>
  <c r="H678" i="2"/>
  <c r="G678" i="2"/>
  <c r="F678" i="2"/>
  <c r="E678" i="2"/>
  <c r="D678" i="2"/>
  <c r="C678" i="2"/>
  <c r="A678" i="2"/>
  <c r="H677" i="2"/>
  <c r="G677" i="2"/>
  <c r="F677" i="2"/>
  <c r="E677" i="2"/>
  <c r="D677" i="2"/>
  <c r="C677" i="2"/>
  <c r="A677" i="2"/>
  <c r="H676" i="2"/>
  <c r="G676" i="2"/>
  <c r="F676" i="2"/>
  <c r="E676" i="2"/>
  <c r="D676" i="2"/>
  <c r="C676" i="2"/>
  <c r="A676" i="2"/>
  <c r="H675" i="2"/>
  <c r="G675" i="2"/>
  <c r="F675" i="2"/>
  <c r="E675" i="2"/>
  <c r="D675" i="2"/>
  <c r="C675" i="2"/>
  <c r="A675" i="2"/>
  <c r="H674" i="2"/>
  <c r="G674" i="2"/>
  <c r="F674" i="2"/>
  <c r="E674" i="2"/>
  <c r="D674" i="2"/>
  <c r="C674" i="2"/>
  <c r="A674" i="2"/>
  <c r="H673" i="2"/>
  <c r="G673" i="2"/>
  <c r="F673" i="2"/>
  <c r="E673" i="2"/>
  <c r="D673" i="2"/>
  <c r="C673" i="2"/>
  <c r="A673" i="2"/>
  <c r="H672" i="2"/>
  <c r="G672" i="2"/>
  <c r="F672" i="2"/>
  <c r="E672" i="2"/>
  <c r="D672" i="2"/>
  <c r="C672" i="2"/>
  <c r="A672" i="2"/>
  <c r="H671" i="2"/>
  <c r="G671" i="2"/>
  <c r="F671" i="2"/>
  <c r="E671" i="2"/>
  <c r="D671" i="2"/>
  <c r="C671" i="2"/>
  <c r="A671" i="2"/>
  <c r="H670" i="2"/>
  <c r="G670" i="2"/>
  <c r="F670" i="2"/>
  <c r="E670" i="2"/>
  <c r="D670" i="2"/>
  <c r="C670" i="2"/>
  <c r="A670" i="2"/>
  <c r="H669" i="2"/>
  <c r="G669" i="2"/>
  <c r="F669" i="2"/>
  <c r="E669" i="2"/>
  <c r="D669" i="2"/>
  <c r="C669" i="2"/>
  <c r="A669" i="2"/>
  <c r="H668" i="2"/>
  <c r="G668" i="2"/>
  <c r="F668" i="2"/>
  <c r="E668" i="2"/>
  <c r="D668" i="2"/>
  <c r="C668" i="2"/>
  <c r="A668" i="2"/>
  <c r="H667" i="2"/>
  <c r="G667" i="2"/>
  <c r="F667" i="2"/>
  <c r="E667" i="2"/>
  <c r="D667" i="2"/>
  <c r="C667" i="2"/>
  <c r="A667" i="2"/>
  <c r="H666" i="2"/>
  <c r="G666" i="2"/>
  <c r="F666" i="2"/>
  <c r="E666" i="2"/>
  <c r="D666" i="2"/>
  <c r="C666" i="2"/>
  <c r="A666" i="2"/>
  <c r="H665" i="2"/>
  <c r="G665" i="2"/>
  <c r="F665" i="2"/>
  <c r="E665" i="2"/>
  <c r="D665" i="2"/>
  <c r="C665" i="2"/>
  <c r="A665" i="2"/>
  <c r="H664" i="2"/>
  <c r="G664" i="2"/>
  <c r="F664" i="2"/>
  <c r="E664" i="2"/>
  <c r="D664" i="2"/>
  <c r="C664" i="2"/>
  <c r="A664" i="2"/>
  <c r="H663" i="2"/>
  <c r="G663" i="2"/>
  <c r="F663" i="2"/>
  <c r="E663" i="2"/>
  <c r="D663" i="2"/>
  <c r="C663" i="2"/>
  <c r="A663" i="2"/>
  <c r="H662" i="2"/>
  <c r="G662" i="2"/>
  <c r="F662" i="2"/>
  <c r="E662" i="2"/>
  <c r="D662" i="2"/>
  <c r="C662" i="2"/>
  <c r="A662" i="2"/>
  <c r="H661" i="2"/>
  <c r="G661" i="2"/>
  <c r="F661" i="2"/>
  <c r="E661" i="2"/>
  <c r="D661" i="2"/>
  <c r="C661" i="2"/>
  <c r="A661" i="2"/>
  <c r="H660" i="2"/>
  <c r="G660" i="2"/>
  <c r="F660" i="2"/>
  <c r="E660" i="2"/>
  <c r="D660" i="2"/>
  <c r="C660" i="2"/>
  <c r="A660" i="2"/>
  <c r="H659" i="2"/>
  <c r="G659" i="2"/>
  <c r="F659" i="2"/>
  <c r="E659" i="2"/>
  <c r="D659" i="2"/>
  <c r="C659" i="2"/>
  <c r="A659" i="2"/>
  <c r="H658" i="2"/>
  <c r="G658" i="2"/>
  <c r="F658" i="2"/>
  <c r="E658" i="2"/>
  <c r="D658" i="2"/>
  <c r="C658" i="2"/>
  <c r="A658" i="2"/>
  <c r="H657" i="2"/>
  <c r="G657" i="2"/>
  <c r="F657" i="2"/>
  <c r="E657" i="2"/>
  <c r="D657" i="2"/>
  <c r="C657" i="2"/>
  <c r="A657" i="2"/>
  <c r="H656" i="2"/>
  <c r="G656" i="2"/>
  <c r="F656" i="2"/>
  <c r="E656" i="2"/>
  <c r="D656" i="2"/>
  <c r="C656" i="2"/>
  <c r="A656" i="2"/>
  <c r="H655" i="2"/>
  <c r="G655" i="2"/>
  <c r="F655" i="2"/>
  <c r="E655" i="2"/>
  <c r="D655" i="2"/>
  <c r="C655" i="2"/>
  <c r="A655" i="2"/>
  <c r="H654" i="2"/>
  <c r="G654" i="2"/>
  <c r="F654" i="2"/>
  <c r="E654" i="2"/>
  <c r="D654" i="2"/>
  <c r="C654" i="2"/>
  <c r="A654" i="2"/>
  <c r="H653" i="2"/>
  <c r="G653" i="2"/>
  <c r="F653" i="2"/>
  <c r="E653" i="2"/>
  <c r="D653" i="2"/>
  <c r="C653" i="2"/>
  <c r="A653" i="2"/>
  <c r="H652" i="2"/>
  <c r="G652" i="2"/>
  <c r="F652" i="2"/>
  <c r="E652" i="2"/>
  <c r="D652" i="2"/>
  <c r="C652" i="2"/>
  <c r="A652" i="2"/>
  <c r="H651" i="2"/>
  <c r="G651" i="2"/>
  <c r="F651" i="2"/>
  <c r="E651" i="2"/>
  <c r="D651" i="2"/>
  <c r="C651" i="2"/>
  <c r="A651" i="2"/>
  <c r="H650" i="2"/>
  <c r="G650" i="2"/>
  <c r="F650" i="2"/>
  <c r="E650" i="2"/>
  <c r="D650" i="2"/>
  <c r="C650" i="2"/>
  <c r="A650" i="2"/>
  <c r="H649" i="2"/>
  <c r="G649" i="2"/>
  <c r="F649" i="2"/>
  <c r="E649" i="2"/>
  <c r="D649" i="2"/>
  <c r="C649" i="2"/>
  <c r="A649" i="2"/>
  <c r="H648" i="2"/>
  <c r="G648" i="2"/>
  <c r="F648" i="2"/>
  <c r="E648" i="2"/>
  <c r="D648" i="2"/>
  <c r="C648" i="2"/>
  <c r="A648" i="2"/>
  <c r="H647" i="2"/>
  <c r="G647" i="2"/>
  <c r="F647" i="2"/>
  <c r="E647" i="2"/>
  <c r="D647" i="2"/>
  <c r="C647" i="2"/>
  <c r="A647" i="2"/>
  <c r="H646" i="2"/>
  <c r="G646" i="2"/>
  <c r="F646" i="2"/>
  <c r="E646" i="2"/>
  <c r="D646" i="2"/>
  <c r="C646" i="2"/>
  <c r="A646" i="2"/>
  <c r="H645" i="2"/>
  <c r="G645" i="2"/>
  <c r="F645" i="2"/>
  <c r="E645" i="2"/>
  <c r="D645" i="2"/>
  <c r="C645" i="2"/>
  <c r="A645" i="2"/>
  <c r="H644" i="2"/>
  <c r="G644" i="2"/>
  <c r="F644" i="2"/>
  <c r="E644" i="2"/>
  <c r="D644" i="2"/>
  <c r="C644" i="2"/>
  <c r="A644" i="2"/>
  <c r="H643" i="2"/>
  <c r="G643" i="2"/>
  <c r="F643" i="2"/>
  <c r="E643" i="2"/>
  <c r="D643" i="2"/>
  <c r="C643" i="2"/>
  <c r="A643" i="2"/>
  <c r="H642" i="2"/>
  <c r="G642" i="2"/>
  <c r="F642" i="2"/>
  <c r="E642" i="2"/>
  <c r="D642" i="2"/>
  <c r="C642" i="2"/>
  <c r="A642" i="2"/>
  <c r="H641" i="2"/>
  <c r="G641" i="2"/>
  <c r="F641" i="2"/>
  <c r="E641" i="2"/>
  <c r="D641" i="2"/>
  <c r="C641" i="2"/>
  <c r="A641" i="2"/>
  <c r="H640" i="2"/>
  <c r="G640" i="2"/>
  <c r="F640" i="2"/>
  <c r="E640" i="2"/>
  <c r="D640" i="2"/>
  <c r="C640" i="2"/>
  <c r="A640" i="2"/>
  <c r="H639" i="2"/>
  <c r="G639" i="2"/>
  <c r="F639" i="2"/>
  <c r="E639" i="2"/>
  <c r="D639" i="2"/>
  <c r="C639" i="2"/>
  <c r="A639" i="2"/>
  <c r="H638" i="2"/>
  <c r="G638" i="2"/>
  <c r="F638" i="2"/>
  <c r="E638" i="2"/>
  <c r="D638" i="2"/>
  <c r="C638" i="2"/>
  <c r="A638" i="2"/>
  <c r="H637" i="2"/>
  <c r="G637" i="2"/>
  <c r="F637" i="2"/>
  <c r="E637" i="2"/>
  <c r="D637" i="2"/>
  <c r="C637" i="2"/>
  <c r="A637" i="2"/>
  <c r="H636" i="2"/>
  <c r="G636" i="2"/>
  <c r="F636" i="2"/>
  <c r="E636" i="2"/>
  <c r="D636" i="2"/>
  <c r="C636" i="2"/>
  <c r="A636" i="2"/>
  <c r="H635" i="2"/>
  <c r="G635" i="2"/>
  <c r="F635" i="2"/>
  <c r="E635" i="2"/>
  <c r="D635" i="2"/>
  <c r="C635" i="2"/>
  <c r="A635" i="2"/>
  <c r="H634" i="2"/>
  <c r="G634" i="2"/>
  <c r="F634" i="2"/>
  <c r="E634" i="2"/>
  <c r="D634" i="2"/>
  <c r="C634" i="2"/>
  <c r="A634" i="2"/>
  <c r="H633" i="2"/>
  <c r="G633" i="2"/>
  <c r="F633" i="2"/>
  <c r="E633" i="2"/>
  <c r="D633" i="2"/>
  <c r="C633" i="2"/>
  <c r="A633" i="2"/>
  <c r="H632" i="2"/>
  <c r="G632" i="2"/>
  <c r="F632" i="2"/>
  <c r="E632" i="2"/>
  <c r="D632" i="2"/>
  <c r="C632" i="2"/>
  <c r="A632" i="2"/>
  <c r="H631" i="2"/>
  <c r="G631" i="2"/>
  <c r="F631" i="2"/>
  <c r="E631" i="2"/>
  <c r="D631" i="2"/>
  <c r="C631" i="2"/>
  <c r="A631" i="2"/>
  <c r="H630" i="2"/>
  <c r="G630" i="2"/>
  <c r="F630" i="2"/>
  <c r="E630" i="2"/>
  <c r="D630" i="2"/>
  <c r="C630" i="2"/>
  <c r="A630" i="2"/>
  <c r="H629" i="2"/>
  <c r="G629" i="2"/>
  <c r="F629" i="2"/>
  <c r="E629" i="2"/>
  <c r="D629" i="2"/>
  <c r="C629" i="2"/>
  <c r="A629" i="2"/>
  <c r="H628" i="2"/>
  <c r="G628" i="2"/>
  <c r="F628" i="2"/>
  <c r="E628" i="2"/>
  <c r="D628" i="2"/>
  <c r="C628" i="2"/>
  <c r="A628" i="2"/>
  <c r="H627" i="2"/>
  <c r="G627" i="2"/>
  <c r="F627" i="2"/>
  <c r="E627" i="2"/>
  <c r="D627" i="2"/>
  <c r="C627" i="2"/>
  <c r="A627" i="2"/>
  <c r="H626" i="2"/>
  <c r="G626" i="2"/>
  <c r="F626" i="2"/>
  <c r="E626" i="2"/>
  <c r="D626" i="2"/>
  <c r="C626" i="2"/>
  <c r="A626" i="2"/>
  <c r="H625" i="2"/>
  <c r="G625" i="2"/>
  <c r="F625" i="2"/>
  <c r="E625" i="2"/>
  <c r="D625" i="2"/>
  <c r="C625" i="2"/>
  <c r="A625" i="2"/>
  <c r="H624" i="2"/>
  <c r="G624" i="2"/>
  <c r="F624" i="2"/>
  <c r="E624" i="2"/>
  <c r="D624" i="2"/>
  <c r="C624" i="2"/>
  <c r="A624" i="2"/>
  <c r="H623" i="2"/>
  <c r="G623" i="2"/>
  <c r="F623" i="2"/>
  <c r="E623" i="2"/>
  <c r="D623" i="2"/>
  <c r="C623" i="2"/>
  <c r="A623" i="2"/>
  <c r="H622" i="2"/>
  <c r="G622" i="2"/>
  <c r="F622" i="2"/>
  <c r="E622" i="2"/>
  <c r="D622" i="2"/>
  <c r="C622" i="2"/>
  <c r="A622" i="2"/>
  <c r="H621" i="2"/>
  <c r="G621" i="2"/>
  <c r="F621" i="2"/>
  <c r="E621" i="2"/>
  <c r="D621" i="2"/>
  <c r="C621" i="2"/>
  <c r="A621" i="2"/>
  <c r="H620" i="2"/>
  <c r="G620" i="2"/>
  <c r="F620" i="2"/>
  <c r="E620" i="2"/>
  <c r="D620" i="2"/>
  <c r="C620" i="2"/>
  <c r="A620" i="2"/>
  <c r="H619" i="2"/>
  <c r="G619" i="2"/>
  <c r="F619" i="2"/>
  <c r="E619" i="2"/>
  <c r="D619" i="2"/>
  <c r="C619" i="2"/>
  <c r="A619" i="2"/>
  <c r="H618" i="2"/>
  <c r="G618" i="2"/>
  <c r="F618" i="2"/>
  <c r="E618" i="2"/>
  <c r="D618" i="2"/>
  <c r="C618" i="2"/>
  <c r="A618" i="2"/>
  <c r="H617" i="2"/>
  <c r="G617" i="2"/>
  <c r="F617" i="2"/>
  <c r="E617" i="2"/>
  <c r="D617" i="2"/>
  <c r="C617" i="2"/>
  <c r="A617" i="2"/>
  <c r="H616" i="2"/>
  <c r="G616" i="2"/>
  <c r="F616" i="2"/>
  <c r="E616" i="2"/>
  <c r="D616" i="2"/>
  <c r="C616" i="2"/>
  <c r="A616" i="2"/>
  <c r="H615" i="2"/>
  <c r="G615" i="2"/>
  <c r="F615" i="2"/>
  <c r="E615" i="2"/>
  <c r="D615" i="2"/>
  <c r="C615" i="2"/>
  <c r="A615" i="2"/>
  <c r="H614" i="2"/>
  <c r="G614" i="2"/>
  <c r="F614" i="2"/>
  <c r="E614" i="2"/>
  <c r="D614" i="2"/>
  <c r="C614" i="2"/>
  <c r="A614" i="2"/>
  <c r="H613" i="2"/>
  <c r="G613" i="2"/>
  <c r="F613" i="2"/>
  <c r="E613" i="2"/>
  <c r="D613" i="2"/>
  <c r="C613" i="2"/>
  <c r="A613" i="2"/>
  <c r="H612" i="2"/>
  <c r="G612" i="2"/>
  <c r="F612" i="2"/>
  <c r="E612" i="2"/>
  <c r="D612" i="2"/>
  <c r="C612" i="2"/>
  <c r="A612" i="2"/>
  <c r="H611" i="2"/>
  <c r="G611" i="2"/>
  <c r="F611" i="2"/>
  <c r="E611" i="2"/>
  <c r="D611" i="2"/>
  <c r="C611" i="2"/>
  <c r="A611" i="2"/>
  <c r="H610" i="2"/>
  <c r="G610" i="2"/>
  <c r="F610" i="2"/>
  <c r="E610" i="2"/>
  <c r="D610" i="2"/>
  <c r="C610" i="2"/>
  <c r="A610" i="2"/>
  <c r="H609" i="2"/>
  <c r="G609" i="2"/>
  <c r="F609" i="2"/>
  <c r="E609" i="2"/>
  <c r="D609" i="2"/>
  <c r="C609" i="2"/>
  <c r="A609" i="2"/>
  <c r="H608" i="2"/>
  <c r="G608" i="2"/>
  <c r="F608" i="2"/>
  <c r="E608" i="2"/>
  <c r="D608" i="2"/>
  <c r="C608" i="2"/>
  <c r="A608" i="2"/>
  <c r="H607" i="2"/>
  <c r="G607" i="2"/>
  <c r="F607" i="2"/>
  <c r="E607" i="2"/>
  <c r="D607" i="2"/>
  <c r="C607" i="2"/>
  <c r="A607" i="2"/>
  <c r="H606" i="2"/>
  <c r="G606" i="2"/>
  <c r="F606" i="2"/>
  <c r="E606" i="2"/>
  <c r="D606" i="2"/>
  <c r="C606" i="2"/>
  <c r="A606" i="2"/>
  <c r="H605" i="2"/>
  <c r="G605" i="2"/>
  <c r="F605" i="2"/>
  <c r="E605" i="2"/>
  <c r="D605" i="2"/>
  <c r="C605" i="2"/>
  <c r="A605" i="2"/>
  <c r="H604" i="2"/>
  <c r="G604" i="2"/>
  <c r="F604" i="2"/>
  <c r="E604" i="2"/>
  <c r="D604" i="2"/>
  <c r="C604" i="2"/>
  <c r="A604" i="2"/>
  <c r="H603" i="2"/>
  <c r="G603" i="2"/>
  <c r="F603" i="2"/>
  <c r="E603" i="2"/>
  <c r="D603" i="2"/>
  <c r="C603" i="2"/>
  <c r="A603" i="2"/>
  <c r="H602" i="2"/>
  <c r="G602" i="2"/>
  <c r="F602" i="2"/>
  <c r="E602" i="2"/>
  <c r="D602" i="2"/>
  <c r="C602" i="2"/>
  <c r="A602" i="2"/>
  <c r="H601" i="2"/>
  <c r="G601" i="2"/>
  <c r="F601" i="2"/>
  <c r="E601" i="2"/>
  <c r="D601" i="2"/>
  <c r="C601" i="2"/>
  <c r="A601" i="2"/>
  <c r="H600" i="2"/>
  <c r="G600" i="2"/>
  <c r="F600" i="2"/>
  <c r="E600" i="2"/>
  <c r="D600" i="2"/>
  <c r="C600" i="2"/>
  <c r="A600" i="2"/>
  <c r="H599" i="2"/>
  <c r="G599" i="2"/>
  <c r="F599" i="2"/>
  <c r="E599" i="2"/>
  <c r="D599" i="2"/>
  <c r="C599" i="2"/>
  <c r="A599" i="2"/>
  <c r="H598" i="2"/>
  <c r="G598" i="2"/>
  <c r="F598" i="2"/>
  <c r="E598" i="2"/>
  <c r="D598" i="2"/>
  <c r="C598" i="2"/>
  <c r="A598" i="2"/>
  <c r="H597" i="2"/>
  <c r="G597" i="2"/>
  <c r="F597" i="2"/>
  <c r="E597" i="2"/>
  <c r="D597" i="2"/>
  <c r="C597" i="2"/>
  <c r="A597" i="2"/>
  <c r="H596" i="2"/>
  <c r="G596" i="2"/>
  <c r="F596" i="2"/>
  <c r="E596" i="2"/>
  <c r="D596" i="2"/>
  <c r="C596" i="2"/>
  <c r="A596" i="2"/>
  <c r="H595" i="2"/>
  <c r="G595" i="2"/>
  <c r="F595" i="2"/>
  <c r="E595" i="2"/>
  <c r="D595" i="2"/>
  <c r="C595" i="2"/>
  <c r="A595" i="2"/>
  <c r="H594" i="2"/>
  <c r="G594" i="2"/>
  <c r="F594" i="2"/>
  <c r="E594" i="2"/>
  <c r="D594" i="2"/>
  <c r="C594" i="2"/>
  <c r="A594" i="2"/>
  <c r="H593" i="2"/>
  <c r="G593" i="2"/>
  <c r="F593" i="2"/>
  <c r="E593" i="2"/>
  <c r="D593" i="2"/>
  <c r="C593" i="2"/>
  <c r="A593" i="2"/>
  <c r="H592" i="2"/>
  <c r="G592" i="2"/>
  <c r="F592" i="2"/>
  <c r="E592" i="2"/>
  <c r="D592" i="2"/>
  <c r="C592" i="2"/>
  <c r="A592" i="2"/>
  <c r="H591" i="2"/>
  <c r="G591" i="2"/>
  <c r="F591" i="2"/>
  <c r="E591" i="2"/>
  <c r="D591" i="2"/>
  <c r="C591" i="2"/>
  <c r="A591" i="2"/>
  <c r="H590" i="2"/>
  <c r="G590" i="2"/>
  <c r="F590" i="2"/>
  <c r="E590" i="2"/>
  <c r="D590" i="2"/>
  <c r="C590" i="2"/>
  <c r="A590" i="2"/>
  <c r="H589" i="2"/>
  <c r="G589" i="2"/>
  <c r="F589" i="2"/>
  <c r="E589" i="2"/>
  <c r="D589" i="2"/>
  <c r="C589" i="2"/>
  <c r="A589" i="2"/>
  <c r="H588" i="2"/>
  <c r="G588" i="2"/>
  <c r="F588" i="2"/>
  <c r="E588" i="2"/>
  <c r="D588" i="2"/>
  <c r="C588" i="2"/>
  <c r="A588" i="2"/>
  <c r="H587" i="2"/>
  <c r="G587" i="2"/>
  <c r="F587" i="2"/>
  <c r="E587" i="2"/>
  <c r="D587" i="2"/>
  <c r="C587" i="2"/>
  <c r="A587" i="2"/>
  <c r="H586" i="2"/>
  <c r="G586" i="2"/>
  <c r="F586" i="2"/>
  <c r="E586" i="2"/>
  <c r="D586" i="2"/>
  <c r="C586" i="2"/>
  <c r="A586" i="2"/>
  <c r="H585" i="2"/>
  <c r="G585" i="2"/>
  <c r="F585" i="2"/>
  <c r="E585" i="2"/>
  <c r="D585" i="2"/>
  <c r="C585" i="2"/>
  <c r="A585" i="2"/>
  <c r="H584" i="2"/>
  <c r="G584" i="2"/>
  <c r="F584" i="2"/>
  <c r="E584" i="2"/>
  <c r="D584" i="2"/>
  <c r="C584" i="2"/>
  <c r="A584" i="2"/>
  <c r="H583" i="2"/>
  <c r="G583" i="2"/>
  <c r="F583" i="2"/>
  <c r="E583" i="2"/>
  <c r="D583" i="2"/>
  <c r="C583" i="2"/>
  <c r="A583" i="2"/>
  <c r="H582" i="2"/>
  <c r="G582" i="2"/>
  <c r="F582" i="2"/>
  <c r="E582" i="2"/>
  <c r="D582" i="2"/>
  <c r="C582" i="2"/>
  <c r="A582" i="2"/>
  <c r="H581" i="2"/>
  <c r="G581" i="2"/>
  <c r="F581" i="2"/>
  <c r="E581" i="2"/>
  <c r="D581" i="2"/>
  <c r="C581" i="2"/>
  <c r="A581" i="2"/>
  <c r="H580" i="2"/>
  <c r="G580" i="2"/>
  <c r="F580" i="2"/>
  <c r="E580" i="2"/>
  <c r="D580" i="2"/>
  <c r="C580" i="2"/>
  <c r="A580" i="2"/>
  <c r="H579" i="2"/>
  <c r="G579" i="2"/>
  <c r="F579" i="2"/>
  <c r="E579" i="2"/>
  <c r="D579" i="2"/>
  <c r="C579" i="2"/>
  <c r="A579" i="2"/>
  <c r="H578" i="2"/>
  <c r="G578" i="2"/>
  <c r="F578" i="2"/>
  <c r="E578" i="2"/>
  <c r="D578" i="2"/>
  <c r="C578" i="2"/>
  <c r="A578" i="2"/>
  <c r="H577" i="2"/>
  <c r="G577" i="2"/>
  <c r="F577" i="2"/>
  <c r="E577" i="2"/>
  <c r="D577" i="2"/>
  <c r="C577" i="2"/>
  <c r="A577" i="2"/>
  <c r="H576" i="2"/>
  <c r="G576" i="2"/>
  <c r="F576" i="2"/>
  <c r="E576" i="2"/>
  <c r="D576" i="2"/>
  <c r="C576" i="2"/>
  <c r="A576" i="2"/>
  <c r="H575" i="2"/>
  <c r="G575" i="2"/>
  <c r="F575" i="2"/>
  <c r="E575" i="2"/>
  <c r="D575" i="2"/>
  <c r="C575" i="2"/>
  <c r="A575" i="2"/>
  <c r="H574" i="2"/>
  <c r="G574" i="2"/>
  <c r="F574" i="2"/>
  <c r="E574" i="2"/>
  <c r="D574" i="2"/>
  <c r="C574" i="2"/>
  <c r="A574" i="2"/>
  <c r="H573" i="2"/>
  <c r="G573" i="2"/>
  <c r="F573" i="2"/>
  <c r="E573" i="2"/>
  <c r="D573" i="2"/>
  <c r="C573" i="2"/>
  <c r="A573" i="2"/>
  <c r="H572" i="2"/>
  <c r="G572" i="2"/>
  <c r="F572" i="2"/>
  <c r="E572" i="2"/>
  <c r="D572" i="2"/>
  <c r="C572" i="2"/>
  <c r="A572" i="2"/>
  <c r="H571" i="2"/>
  <c r="G571" i="2"/>
  <c r="F571" i="2"/>
  <c r="E571" i="2"/>
  <c r="D571" i="2"/>
  <c r="C571" i="2"/>
  <c r="A571" i="2"/>
  <c r="H570" i="2"/>
  <c r="G570" i="2"/>
  <c r="F570" i="2"/>
  <c r="E570" i="2"/>
  <c r="D570" i="2"/>
  <c r="C570" i="2"/>
  <c r="A570" i="2"/>
  <c r="H569" i="2"/>
  <c r="G569" i="2"/>
  <c r="F569" i="2"/>
  <c r="E569" i="2"/>
  <c r="D569" i="2"/>
  <c r="C569" i="2"/>
  <c r="A569" i="2"/>
  <c r="H568" i="2"/>
  <c r="G568" i="2"/>
  <c r="F568" i="2"/>
  <c r="E568" i="2"/>
  <c r="D568" i="2"/>
  <c r="C568" i="2"/>
  <c r="A568" i="2"/>
  <c r="H567" i="2"/>
  <c r="G567" i="2"/>
  <c r="F567" i="2"/>
  <c r="E567" i="2"/>
  <c r="D567" i="2"/>
  <c r="C567" i="2"/>
  <c r="A567" i="2"/>
  <c r="H566" i="2"/>
  <c r="G566" i="2"/>
  <c r="F566" i="2"/>
  <c r="E566" i="2"/>
  <c r="D566" i="2"/>
  <c r="C566" i="2"/>
  <c r="A566" i="2"/>
  <c r="H565" i="2"/>
  <c r="G565" i="2"/>
  <c r="F565" i="2"/>
  <c r="E565" i="2"/>
  <c r="D565" i="2"/>
  <c r="C565" i="2"/>
  <c r="A565" i="2"/>
  <c r="H564" i="2"/>
  <c r="G564" i="2"/>
  <c r="F564" i="2"/>
  <c r="E564" i="2"/>
  <c r="D564" i="2"/>
  <c r="C564" i="2"/>
  <c r="A564" i="2"/>
  <c r="H563" i="2"/>
  <c r="G563" i="2"/>
  <c r="F563" i="2"/>
  <c r="E563" i="2"/>
  <c r="D563" i="2"/>
  <c r="C563" i="2"/>
  <c r="A563" i="2"/>
  <c r="H562" i="2"/>
  <c r="G562" i="2"/>
  <c r="F562" i="2"/>
  <c r="E562" i="2"/>
  <c r="D562" i="2"/>
  <c r="C562" i="2"/>
  <c r="A562" i="2"/>
  <c r="H561" i="2"/>
  <c r="G561" i="2"/>
  <c r="F561" i="2"/>
  <c r="E561" i="2"/>
  <c r="D561" i="2"/>
  <c r="C561" i="2"/>
  <c r="A561" i="2"/>
  <c r="H560" i="2"/>
  <c r="G560" i="2"/>
  <c r="F560" i="2"/>
  <c r="E560" i="2"/>
  <c r="D560" i="2"/>
  <c r="C560" i="2"/>
  <c r="A560" i="2"/>
  <c r="H559" i="2"/>
  <c r="G559" i="2"/>
  <c r="F559" i="2"/>
  <c r="E559" i="2"/>
  <c r="D559" i="2"/>
  <c r="C559" i="2"/>
  <c r="A559" i="2"/>
  <c r="H558" i="2"/>
  <c r="G558" i="2"/>
  <c r="F558" i="2"/>
  <c r="E558" i="2"/>
  <c r="D558" i="2"/>
  <c r="C558" i="2"/>
  <c r="A558" i="2"/>
  <c r="H557" i="2"/>
  <c r="G557" i="2"/>
  <c r="F557" i="2"/>
  <c r="E557" i="2"/>
  <c r="D557" i="2"/>
  <c r="C557" i="2"/>
  <c r="A557" i="2"/>
  <c r="H556" i="2"/>
  <c r="G556" i="2"/>
  <c r="F556" i="2"/>
  <c r="E556" i="2"/>
  <c r="D556" i="2"/>
  <c r="C556" i="2"/>
  <c r="A556" i="2"/>
  <c r="H555" i="2"/>
  <c r="G555" i="2"/>
  <c r="F555" i="2"/>
  <c r="E555" i="2"/>
  <c r="D555" i="2"/>
  <c r="C555" i="2"/>
  <c r="A555" i="2"/>
  <c r="H554" i="2"/>
  <c r="G554" i="2"/>
  <c r="F554" i="2"/>
  <c r="E554" i="2"/>
  <c r="D554" i="2"/>
  <c r="C554" i="2"/>
  <c r="A554" i="2"/>
  <c r="H553" i="2"/>
  <c r="G553" i="2"/>
  <c r="F553" i="2"/>
  <c r="E553" i="2"/>
  <c r="D553" i="2"/>
  <c r="C553" i="2"/>
  <c r="A553" i="2"/>
  <c r="H552" i="2"/>
  <c r="G552" i="2"/>
  <c r="F552" i="2"/>
  <c r="E552" i="2"/>
  <c r="D552" i="2"/>
  <c r="C552" i="2"/>
  <c r="A552" i="2"/>
  <c r="H551" i="2"/>
  <c r="G551" i="2"/>
  <c r="F551" i="2"/>
  <c r="E551" i="2"/>
  <c r="D551" i="2"/>
  <c r="C551" i="2"/>
  <c r="A551" i="2"/>
  <c r="H550" i="2"/>
  <c r="G550" i="2"/>
  <c r="F550" i="2"/>
  <c r="E550" i="2"/>
  <c r="D550" i="2"/>
  <c r="C550" i="2"/>
  <c r="A550" i="2"/>
  <c r="H549" i="2"/>
  <c r="G549" i="2"/>
  <c r="F549" i="2"/>
  <c r="E549" i="2"/>
  <c r="D549" i="2"/>
  <c r="C549" i="2"/>
  <c r="A549" i="2"/>
  <c r="H548" i="2"/>
  <c r="G548" i="2"/>
  <c r="F548" i="2"/>
  <c r="E548" i="2"/>
  <c r="D548" i="2"/>
  <c r="C548" i="2"/>
  <c r="A548" i="2"/>
  <c r="H547" i="2"/>
  <c r="G547" i="2"/>
  <c r="F547" i="2"/>
  <c r="E547" i="2"/>
  <c r="D547" i="2"/>
  <c r="C547" i="2"/>
  <c r="A547" i="2"/>
  <c r="H546" i="2"/>
  <c r="G546" i="2"/>
  <c r="F546" i="2"/>
  <c r="E546" i="2"/>
  <c r="D546" i="2"/>
  <c r="C546" i="2"/>
  <c r="A546" i="2"/>
  <c r="H545" i="2"/>
  <c r="G545" i="2"/>
  <c r="F545" i="2"/>
  <c r="E545" i="2"/>
  <c r="D545" i="2"/>
  <c r="C545" i="2"/>
  <c r="A545" i="2"/>
  <c r="H544" i="2"/>
  <c r="G544" i="2"/>
  <c r="F544" i="2"/>
  <c r="E544" i="2"/>
  <c r="D544" i="2"/>
  <c r="C544" i="2"/>
  <c r="A544" i="2"/>
  <c r="H543" i="2"/>
  <c r="G543" i="2"/>
  <c r="F543" i="2"/>
  <c r="E543" i="2"/>
  <c r="D543" i="2"/>
  <c r="C543" i="2"/>
  <c r="A543" i="2"/>
  <c r="H542" i="2"/>
  <c r="G542" i="2"/>
  <c r="F542" i="2"/>
  <c r="E542" i="2"/>
  <c r="D542" i="2"/>
  <c r="C542" i="2"/>
  <c r="A542" i="2"/>
  <c r="H541" i="2"/>
  <c r="G541" i="2"/>
  <c r="F541" i="2"/>
  <c r="E541" i="2"/>
  <c r="D541" i="2"/>
  <c r="C541" i="2"/>
  <c r="A541" i="2"/>
  <c r="H540" i="2"/>
  <c r="G540" i="2"/>
  <c r="F540" i="2"/>
  <c r="E540" i="2"/>
  <c r="D540" i="2"/>
  <c r="C540" i="2"/>
  <c r="A540" i="2"/>
  <c r="H539" i="2"/>
  <c r="G539" i="2"/>
  <c r="F539" i="2"/>
  <c r="E539" i="2"/>
  <c r="D539" i="2"/>
  <c r="C539" i="2"/>
  <c r="A539" i="2"/>
  <c r="H538" i="2"/>
  <c r="G538" i="2"/>
  <c r="F538" i="2"/>
  <c r="E538" i="2"/>
  <c r="D538" i="2"/>
  <c r="C538" i="2"/>
  <c r="A538" i="2"/>
  <c r="H537" i="2"/>
  <c r="G537" i="2"/>
  <c r="F537" i="2"/>
  <c r="E537" i="2"/>
  <c r="D537" i="2"/>
  <c r="C537" i="2"/>
  <c r="A537" i="2"/>
  <c r="H536" i="2"/>
  <c r="G536" i="2"/>
  <c r="F536" i="2"/>
  <c r="E536" i="2"/>
  <c r="D536" i="2"/>
  <c r="C536" i="2"/>
  <c r="A536" i="2"/>
  <c r="H535" i="2"/>
  <c r="G535" i="2"/>
  <c r="F535" i="2"/>
  <c r="E535" i="2"/>
  <c r="D535" i="2"/>
  <c r="C535" i="2"/>
  <c r="A535" i="2"/>
  <c r="H534" i="2"/>
  <c r="G534" i="2"/>
  <c r="F534" i="2"/>
  <c r="E534" i="2"/>
  <c r="D534" i="2"/>
  <c r="C534" i="2"/>
  <c r="A534" i="2"/>
  <c r="H533" i="2"/>
  <c r="G533" i="2"/>
  <c r="F533" i="2"/>
  <c r="E533" i="2"/>
  <c r="D533" i="2"/>
  <c r="C533" i="2"/>
  <c r="A533" i="2"/>
  <c r="H532" i="2"/>
  <c r="G532" i="2"/>
  <c r="F532" i="2"/>
  <c r="E532" i="2"/>
  <c r="D532" i="2"/>
  <c r="C532" i="2"/>
  <c r="A532" i="2"/>
  <c r="H531" i="2"/>
  <c r="G531" i="2"/>
  <c r="F531" i="2"/>
  <c r="E531" i="2"/>
  <c r="D531" i="2"/>
  <c r="C531" i="2"/>
  <c r="A531" i="2"/>
  <c r="H530" i="2"/>
  <c r="G530" i="2"/>
  <c r="F530" i="2"/>
  <c r="E530" i="2"/>
  <c r="D530" i="2"/>
  <c r="C530" i="2"/>
  <c r="A530" i="2"/>
  <c r="H529" i="2"/>
  <c r="G529" i="2"/>
  <c r="F529" i="2"/>
  <c r="E529" i="2"/>
  <c r="D529" i="2"/>
  <c r="C529" i="2"/>
  <c r="A529" i="2"/>
  <c r="H528" i="2"/>
  <c r="G528" i="2"/>
  <c r="F528" i="2"/>
  <c r="E528" i="2"/>
  <c r="D528" i="2"/>
  <c r="C528" i="2"/>
  <c r="A528" i="2"/>
  <c r="H527" i="2"/>
  <c r="G527" i="2"/>
  <c r="F527" i="2"/>
  <c r="E527" i="2"/>
  <c r="D527" i="2"/>
  <c r="C527" i="2"/>
  <c r="A527" i="2"/>
  <c r="H526" i="2"/>
  <c r="G526" i="2"/>
  <c r="F526" i="2"/>
  <c r="E526" i="2"/>
  <c r="D526" i="2"/>
  <c r="C526" i="2"/>
  <c r="A526" i="2"/>
  <c r="H525" i="2"/>
  <c r="G525" i="2"/>
  <c r="F525" i="2"/>
  <c r="E525" i="2"/>
  <c r="D525" i="2"/>
  <c r="C525" i="2"/>
  <c r="A525" i="2"/>
  <c r="H524" i="2"/>
  <c r="G524" i="2"/>
  <c r="F524" i="2"/>
  <c r="E524" i="2"/>
  <c r="D524" i="2"/>
  <c r="C524" i="2"/>
  <c r="A524" i="2"/>
  <c r="H523" i="2"/>
  <c r="G523" i="2"/>
  <c r="F523" i="2"/>
  <c r="E523" i="2"/>
  <c r="D523" i="2"/>
  <c r="C523" i="2"/>
  <c r="A523" i="2"/>
  <c r="H522" i="2"/>
  <c r="G522" i="2"/>
  <c r="F522" i="2"/>
  <c r="E522" i="2"/>
  <c r="D522" i="2"/>
  <c r="C522" i="2"/>
  <c r="A522" i="2"/>
  <c r="H521" i="2"/>
  <c r="G521" i="2"/>
  <c r="F521" i="2"/>
  <c r="E521" i="2"/>
  <c r="D521" i="2"/>
  <c r="C521" i="2"/>
  <c r="A521" i="2"/>
  <c r="H520" i="2"/>
  <c r="G520" i="2"/>
  <c r="F520" i="2"/>
  <c r="E520" i="2"/>
  <c r="D520" i="2"/>
  <c r="C520" i="2"/>
  <c r="A520" i="2"/>
  <c r="H519" i="2"/>
  <c r="G519" i="2"/>
  <c r="F519" i="2"/>
  <c r="E519" i="2"/>
  <c r="D519" i="2"/>
  <c r="C519" i="2"/>
  <c r="A519" i="2"/>
  <c r="H518" i="2"/>
  <c r="G518" i="2"/>
  <c r="F518" i="2"/>
  <c r="E518" i="2"/>
  <c r="D518" i="2"/>
  <c r="C518" i="2"/>
  <c r="A518" i="2"/>
  <c r="H517" i="2"/>
  <c r="G517" i="2"/>
  <c r="F517" i="2"/>
  <c r="E517" i="2"/>
  <c r="D517" i="2"/>
  <c r="C517" i="2"/>
  <c r="A517" i="2"/>
  <c r="H516" i="2"/>
  <c r="G516" i="2"/>
  <c r="F516" i="2"/>
  <c r="E516" i="2"/>
  <c r="D516" i="2"/>
  <c r="C516" i="2"/>
  <c r="A516" i="2"/>
  <c r="H515" i="2"/>
  <c r="G515" i="2"/>
  <c r="F515" i="2"/>
  <c r="E515" i="2"/>
  <c r="D515" i="2"/>
  <c r="C515" i="2"/>
  <c r="A515" i="2"/>
  <c r="H514" i="2"/>
  <c r="G514" i="2"/>
  <c r="F514" i="2"/>
  <c r="E514" i="2"/>
  <c r="D514" i="2"/>
  <c r="C514" i="2"/>
  <c r="A514" i="2"/>
  <c r="H513" i="2"/>
  <c r="G513" i="2"/>
  <c r="F513" i="2"/>
  <c r="E513" i="2"/>
  <c r="D513" i="2"/>
  <c r="C513" i="2"/>
  <c r="A513" i="2"/>
  <c r="H512" i="2"/>
  <c r="G512" i="2"/>
  <c r="F512" i="2"/>
  <c r="E512" i="2"/>
  <c r="D512" i="2"/>
  <c r="C512" i="2"/>
  <c r="A512" i="2"/>
  <c r="H511" i="2"/>
  <c r="G511" i="2"/>
  <c r="F511" i="2"/>
  <c r="E511" i="2"/>
  <c r="D511" i="2"/>
  <c r="C511" i="2"/>
  <c r="A511" i="2"/>
  <c r="H510" i="2"/>
  <c r="G510" i="2"/>
  <c r="F510" i="2"/>
  <c r="E510" i="2"/>
  <c r="D510" i="2"/>
  <c r="C510" i="2"/>
  <c r="A510" i="2"/>
  <c r="H509" i="2"/>
  <c r="G509" i="2"/>
  <c r="F509" i="2"/>
  <c r="E509" i="2"/>
  <c r="D509" i="2"/>
  <c r="C509" i="2"/>
  <c r="A509" i="2"/>
  <c r="H508" i="2"/>
  <c r="G508" i="2"/>
  <c r="F508" i="2"/>
  <c r="E508" i="2"/>
  <c r="D508" i="2"/>
  <c r="C508" i="2"/>
  <c r="A508" i="2"/>
  <c r="H507" i="2"/>
  <c r="G507" i="2"/>
  <c r="F507" i="2"/>
  <c r="E507" i="2"/>
  <c r="D507" i="2"/>
  <c r="C507" i="2"/>
  <c r="A507" i="2"/>
  <c r="H506" i="2"/>
  <c r="G506" i="2"/>
  <c r="F506" i="2"/>
  <c r="E506" i="2"/>
  <c r="D506" i="2"/>
  <c r="C506" i="2"/>
  <c r="A506" i="2"/>
  <c r="H505" i="2"/>
  <c r="G505" i="2"/>
  <c r="F505" i="2"/>
  <c r="E505" i="2"/>
  <c r="D505" i="2"/>
  <c r="C505" i="2"/>
  <c r="A505" i="2"/>
  <c r="H504" i="2"/>
  <c r="G504" i="2"/>
  <c r="F504" i="2"/>
  <c r="E504" i="2"/>
  <c r="D504" i="2"/>
  <c r="C504" i="2"/>
  <c r="A504" i="2"/>
  <c r="H503" i="2"/>
  <c r="G503" i="2"/>
  <c r="F503" i="2"/>
  <c r="E503" i="2"/>
  <c r="D503" i="2"/>
  <c r="C503" i="2"/>
  <c r="A503" i="2"/>
  <c r="H502" i="2"/>
  <c r="G502" i="2"/>
  <c r="F502" i="2"/>
  <c r="E502" i="2"/>
  <c r="D502" i="2"/>
  <c r="C502" i="2"/>
  <c r="A502" i="2"/>
  <c r="H501" i="2"/>
  <c r="G501" i="2"/>
  <c r="F501" i="2"/>
  <c r="E501" i="2"/>
  <c r="D501" i="2"/>
  <c r="C501" i="2"/>
  <c r="A501" i="2"/>
  <c r="H500" i="2"/>
  <c r="G500" i="2"/>
  <c r="F500" i="2"/>
  <c r="E500" i="2"/>
  <c r="D500" i="2"/>
  <c r="C500" i="2"/>
  <c r="A500" i="2"/>
  <c r="H499" i="2"/>
  <c r="G499" i="2"/>
  <c r="F499" i="2"/>
  <c r="E499" i="2"/>
  <c r="D499" i="2"/>
  <c r="C499" i="2"/>
  <c r="A499" i="2"/>
  <c r="H498" i="2"/>
  <c r="G498" i="2"/>
  <c r="F498" i="2"/>
  <c r="E498" i="2"/>
  <c r="D498" i="2"/>
  <c r="C498" i="2"/>
  <c r="A498" i="2"/>
  <c r="H497" i="2"/>
  <c r="G497" i="2"/>
  <c r="F497" i="2"/>
  <c r="E497" i="2"/>
  <c r="D497" i="2"/>
  <c r="C497" i="2"/>
  <c r="A497" i="2"/>
  <c r="H496" i="2"/>
  <c r="G496" i="2"/>
  <c r="F496" i="2"/>
  <c r="E496" i="2"/>
  <c r="D496" i="2"/>
  <c r="C496" i="2"/>
  <c r="A496" i="2"/>
  <c r="H495" i="2"/>
  <c r="G495" i="2"/>
  <c r="F495" i="2"/>
  <c r="E495" i="2"/>
  <c r="D495" i="2"/>
  <c r="C495" i="2"/>
  <c r="A495" i="2"/>
  <c r="H494" i="2"/>
  <c r="G494" i="2"/>
  <c r="F494" i="2"/>
  <c r="E494" i="2"/>
  <c r="D494" i="2"/>
  <c r="C494" i="2"/>
  <c r="A494" i="2"/>
  <c r="H493" i="2"/>
  <c r="G493" i="2"/>
  <c r="F493" i="2"/>
  <c r="E493" i="2"/>
  <c r="D493" i="2"/>
  <c r="C493" i="2"/>
  <c r="A493" i="2"/>
  <c r="H492" i="2"/>
  <c r="G492" i="2"/>
  <c r="F492" i="2"/>
  <c r="E492" i="2"/>
  <c r="D492" i="2"/>
  <c r="C492" i="2"/>
  <c r="A492" i="2"/>
  <c r="H491" i="2"/>
  <c r="G491" i="2"/>
  <c r="F491" i="2"/>
  <c r="E491" i="2"/>
  <c r="D491" i="2"/>
  <c r="C491" i="2"/>
  <c r="A491" i="2"/>
  <c r="H490" i="2"/>
  <c r="G490" i="2"/>
  <c r="F490" i="2"/>
  <c r="E490" i="2"/>
  <c r="D490" i="2"/>
  <c r="C490" i="2"/>
  <c r="A490" i="2"/>
  <c r="H489" i="2"/>
  <c r="G489" i="2"/>
  <c r="F489" i="2"/>
  <c r="E489" i="2"/>
  <c r="D489" i="2"/>
  <c r="C489" i="2"/>
  <c r="A489" i="2"/>
  <c r="H488" i="2"/>
  <c r="G488" i="2"/>
  <c r="F488" i="2"/>
  <c r="E488" i="2"/>
  <c r="D488" i="2"/>
  <c r="C488" i="2"/>
  <c r="A488" i="2"/>
  <c r="H487" i="2"/>
  <c r="G487" i="2"/>
  <c r="F487" i="2"/>
  <c r="E487" i="2"/>
  <c r="D487" i="2"/>
  <c r="C487" i="2"/>
  <c r="A487" i="2"/>
  <c r="H486" i="2"/>
  <c r="G486" i="2"/>
  <c r="F486" i="2"/>
  <c r="E486" i="2"/>
  <c r="D486" i="2"/>
  <c r="C486" i="2"/>
  <c r="A486" i="2"/>
  <c r="H485" i="2"/>
  <c r="G485" i="2"/>
  <c r="F485" i="2"/>
  <c r="E485" i="2"/>
  <c r="D485" i="2"/>
  <c r="C485" i="2"/>
  <c r="A485" i="2"/>
  <c r="H484" i="2"/>
  <c r="G484" i="2"/>
  <c r="F484" i="2"/>
  <c r="E484" i="2"/>
  <c r="D484" i="2"/>
  <c r="C484" i="2"/>
  <c r="A484" i="2"/>
  <c r="H483" i="2"/>
  <c r="G483" i="2"/>
  <c r="F483" i="2"/>
  <c r="E483" i="2"/>
  <c r="D483" i="2"/>
  <c r="C483" i="2"/>
  <c r="A483" i="2"/>
  <c r="H482" i="2"/>
  <c r="G482" i="2"/>
  <c r="F482" i="2"/>
  <c r="E482" i="2"/>
  <c r="D482" i="2"/>
  <c r="C482" i="2"/>
  <c r="A482" i="2"/>
  <c r="H481" i="2"/>
  <c r="G481" i="2"/>
  <c r="F481" i="2"/>
  <c r="E481" i="2"/>
  <c r="D481" i="2"/>
  <c r="C481" i="2"/>
  <c r="A481" i="2"/>
  <c r="H480" i="2"/>
  <c r="G480" i="2"/>
  <c r="F480" i="2"/>
  <c r="E480" i="2"/>
  <c r="D480" i="2"/>
  <c r="C480" i="2"/>
  <c r="A480" i="2"/>
  <c r="H479" i="2"/>
  <c r="G479" i="2"/>
  <c r="F479" i="2"/>
  <c r="E479" i="2"/>
  <c r="D479" i="2"/>
  <c r="C479" i="2"/>
  <c r="A479" i="2"/>
  <c r="H478" i="2"/>
  <c r="G478" i="2"/>
  <c r="F478" i="2"/>
  <c r="E478" i="2"/>
  <c r="D478" i="2"/>
  <c r="C478" i="2"/>
  <c r="A478" i="2"/>
  <c r="H477" i="2"/>
  <c r="G477" i="2"/>
  <c r="F477" i="2"/>
  <c r="E477" i="2"/>
  <c r="D477" i="2"/>
  <c r="C477" i="2"/>
  <c r="A477" i="2"/>
  <c r="H476" i="2"/>
  <c r="G476" i="2"/>
  <c r="F476" i="2"/>
  <c r="E476" i="2"/>
  <c r="D476" i="2"/>
  <c r="C476" i="2"/>
  <c r="A476" i="2"/>
  <c r="H475" i="2"/>
  <c r="G475" i="2"/>
  <c r="F475" i="2"/>
  <c r="E475" i="2"/>
  <c r="D475" i="2"/>
  <c r="C475" i="2"/>
  <c r="A475" i="2"/>
  <c r="H474" i="2"/>
  <c r="G474" i="2"/>
  <c r="F474" i="2"/>
  <c r="E474" i="2"/>
  <c r="D474" i="2"/>
  <c r="C474" i="2"/>
  <c r="A474" i="2"/>
  <c r="H473" i="2"/>
  <c r="G473" i="2"/>
  <c r="F473" i="2"/>
  <c r="E473" i="2"/>
  <c r="D473" i="2"/>
  <c r="C473" i="2"/>
  <c r="A473" i="2"/>
  <c r="H472" i="2"/>
  <c r="G472" i="2"/>
  <c r="F472" i="2"/>
  <c r="E472" i="2"/>
  <c r="D472" i="2"/>
  <c r="C472" i="2"/>
  <c r="A472" i="2"/>
  <c r="H471" i="2"/>
  <c r="G471" i="2"/>
  <c r="F471" i="2"/>
  <c r="E471" i="2"/>
  <c r="D471" i="2"/>
  <c r="C471" i="2"/>
  <c r="A471" i="2"/>
  <c r="H470" i="2"/>
  <c r="G470" i="2"/>
  <c r="F470" i="2"/>
  <c r="E470" i="2"/>
  <c r="D470" i="2"/>
  <c r="C470" i="2"/>
  <c r="A470" i="2"/>
  <c r="H469" i="2"/>
  <c r="G469" i="2"/>
  <c r="F469" i="2"/>
  <c r="E469" i="2"/>
  <c r="D469" i="2"/>
  <c r="C469" i="2"/>
  <c r="A469" i="2"/>
  <c r="H468" i="2"/>
  <c r="G468" i="2"/>
  <c r="F468" i="2"/>
  <c r="E468" i="2"/>
  <c r="D468" i="2"/>
  <c r="C468" i="2"/>
  <c r="A468" i="2"/>
  <c r="H467" i="2"/>
  <c r="G467" i="2"/>
  <c r="F467" i="2"/>
  <c r="E467" i="2"/>
  <c r="D467" i="2"/>
  <c r="C467" i="2"/>
  <c r="A467" i="2"/>
  <c r="H466" i="2"/>
  <c r="G466" i="2"/>
  <c r="F466" i="2"/>
  <c r="E466" i="2"/>
  <c r="D466" i="2"/>
  <c r="C466" i="2"/>
  <c r="A466" i="2"/>
  <c r="H465" i="2"/>
  <c r="G465" i="2"/>
  <c r="F465" i="2"/>
  <c r="E465" i="2"/>
  <c r="D465" i="2"/>
  <c r="C465" i="2"/>
  <c r="A465" i="2"/>
  <c r="H464" i="2"/>
  <c r="G464" i="2"/>
  <c r="F464" i="2"/>
  <c r="E464" i="2"/>
  <c r="D464" i="2"/>
  <c r="C464" i="2"/>
  <c r="A464" i="2"/>
  <c r="H463" i="2"/>
  <c r="G463" i="2"/>
  <c r="F463" i="2"/>
  <c r="E463" i="2"/>
  <c r="D463" i="2"/>
  <c r="C463" i="2"/>
  <c r="A463" i="2"/>
  <c r="H462" i="2"/>
  <c r="G462" i="2"/>
  <c r="F462" i="2"/>
  <c r="E462" i="2"/>
  <c r="D462" i="2"/>
  <c r="C462" i="2"/>
  <c r="A462" i="2"/>
  <c r="H461" i="2"/>
  <c r="G461" i="2"/>
  <c r="F461" i="2"/>
  <c r="E461" i="2"/>
  <c r="D461" i="2"/>
  <c r="C461" i="2"/>
  <c r="A461" i="2"/>
  <c r="H460" i="2"/>
  <c r="G460" i="2"/>
  <c r="F460" i="2"/>
  <c r="E460" i="2"/>
  <c r="D460" i="2"/>
  <c r="C460" i="2"/>
  <c r="A460" i="2"/>
  <c r="H459" i="2"/>
  <c r="G459" i="2"/>
  <c r="F459" i="2"/>
  <c r="E459" i="2"/>
  <c r="D459" i="2"/>
  <c r="C459" i="2"/>
  <c r="A459" i="2"/>
  <c r="H458" i="2"/>
  <c r="G458" i="2"/>
  <c r="F458" i="2"/>
  <c r="E458" i="2"/>
  <c r="D458" i="2"/>
  <c r="C458" i="2"/>
  <c r="A458" i="2"/>
  <c r="H457" i="2"/>
  <c r="G457" i="2"/>
  <c r="F457" i="2"/>
  <c r="E457" i="2"/>
  <c r="D457" i="2"/>
  <c r="C457" i="2"/>
  <c r="A457" i="2"/>
  <c r="H456" i="2"/>
  <c r="G456" i="2"/>
  <c r="F456" i="2"/>
  <c r="E456" i="2"/>
  <c r="D456" i="2"/>
  <c r="C456" i="2"/>
  <c r="A456" i="2"/>
  <c r="H455" i="2"/>
  <c r="G455" i="2"/>
  <c r="F455" i="2"/>
  <c r="E455" i="2"/>
  <c r="D455" i="2"/>
  <c r="C455" i="2"/>
  <c r="A455" i="2"/>
  <c r="H454" i="2"/>
  <c r="G454" i="2"/>
  <c r="F454" i="2"/>
  <c r="E454" i="2"/>
  <c r="D454" i="2"/>
  <c r="C454" i="2"/>
  <c r="A454" i="2"/>
  <c r="H453" i="2"/>
  <c r="G453" i="2"/>
  <c r="F453" i="2"/>
  <c r="E453" i="2"/>
  <c r="D453" i="2"/>
  <c r="C453" i="2"/>
  <c r="A453" i="2"/>
  <c r="H452" i="2"/>
  <c r="G452" i="2"/>
  <c r="F452" i="2"/>
  <c r="E452" i="2"/>
  <c r="D452" i="2"/>
  <c r="C452" i="2"/>
  <c r="A452" i="2"/>
  <c r="H451" i="2"/>
  <c r="G451" i="2"/>
  <c r="F451" i="2"/>
  <c r="E451" i="2"/>
  <c r="D451" i="2"/>
  <c r="C451" i="2"/>
  <c r="A451" i="2"/>
  <c r="H450" i="2"/>
  <c r="G450" i="2"/>
  <c r="F450" i="2"/>
  <c r="E450" i="2"/>
  <c r="D450" i="2"/>
  <c r="C450" i="2"/>
  <c r="A450" i="2"/>
  <c r="H449" i="2"/>
  <c r="G449" i="2"/>
  <c r="F449" i="2"/>
  <c r="E449" i="2"/>
  <c r="D449" i="2"/>
  <c r="C449" i="2"/>
  <c r="A449" i="2"/>
  <c r="H448" i="2"/>
  <c r="G448" i="2"/>
  <c r="F448" i="2"/>
  <c r="E448" i="2"/>
  <c r="D448" i="2"/>
  <c r="C448" i="2"/>
  <c r="A448" i="2"/>
  <c r="H447" i="2"/>
  <c r="G447" i="2"/>
  <c r="F447" i="2"/>
  <c r="E447" i="2"/>
  <c r="D447" i="2"/>
  <c r="C447" i="2"/>
  <c r="A447" i="2"/>
  <c r="H446" i="2"/>
  <c r="G446" i="2"/>
  <c r="F446" i="2"/>
  <c r="E446" i="2"/>
  <c r="D446" i="2"/>
  <c r="C446" i="2"/>
  <c r="A446" i="2"/>
  <c r="H445" i="2"/>
  <c r="G445" i="2"/>
  <c r="F445" i="2"/>
  <c r="E445" i="2"/>
  <c r="D445" i="2"/>
  <c r="C445" i="2"/>
  <c r="A445" i="2"/>
  <c r="H444" i="2"/>
  <c r="G444" i="2"/>
  <c r="F444" i="2"/>
  <c r="E444" i="2"/>
  <c r="D444" i="2"/>
  <c r="C444" i="2"/>
  <c r="A444" i="2"/>
  <c r="H443" i="2"/>
  <c r="G443" i="2"/>
  <c r="F443" i="2"/>
  <c r="E443" i="2"/>
  <c r="D443" i="2"/>
  <c r="C443" i="2"/>
  <c r="A443" i="2"/>
  <c r="H442" i="2"/>
  <c r="G442" i="2"/>
  <c r="F442" i="2"/>
  <c r="E442" i="2"/>
  <c r="D442" i="2"/>
  <c r="C442" i="2"/>
  <c r="A442" i="2"/>
  <c r="H441" i="2"/>
  <c r="G441" i="2"/>
  <c r="F441" i="2"/>
  <c r="E441" i="2"/>
  <c r="D441" i="2"/>
  <c r="C441" i="2"/>
  <c r="A441" i="2"/>
  <c r="H440" i="2"/>
  <c r="G440" i="2"/>
  <c r="F440" i="2"/>
  <c r="E440" i="2"/>
  <c r="D440" i="2"/>
  <c r="C440" i="2"/>
  <c r="A440" i="2"/>
  <c r="H439" i="2"/>
  <c r="G439" i="2"/>
  <c r="F439" i="2"/>
  <c r="E439" i="2"/>
  <c r="D439" i="2"/>
  <c r="C439" i="2"/>
  <c r="A439" i="2"/>
  <c r="H438" i="2"/>
  <c r="G438" i="2"/>
  <c r="F438" i="2"/>
  <c r="E438" i="2"/>
  <c r="D438" i="2"/>
  <c r="C438" i="2"/>
  <c r="A438" i="2"/>
  <c r="H437" i="2"/>
  <c r="G437" i="2"/>
  <c r="F437" i="2"/>
  <c r="E437" i="2"/>
  <c r="D437" i="2"/>
  <c r="C437" i="2"/>
  <c r="A437" i="2"/>
  <c r="H436" i="2"/>
  <c r="G436" i="2"/>
  <c r="F436" i="2"/>
  <c r="E436" i="2"/>
  <c r="D436" i="2"/>
  <c r="C436" i="2"/>
  <c r="A436" i="2"/>
  <c r="H435" i="2"/>
  <c r="G435" i="2"/>
  <c r="F435" i="2"/>
  <c r="E435" i="2"/>
  <c r="D435" i="2"/>
  <c r="C435" i="2"/>
  <c r="A435" i="2"/>
  <c r="H434" i="2"/>
  <c r="G434" i="2"/>
  <c r="F434" i="2"/>
  <c r="E434" i="2"/>
  <c r="D434" i="2"/>
  <c r="C434" i="2"/>
  <c r="A434" i="2"/>
  <c r="H433" i="2"/>
  <c r="G433" i="2"/>
  <c r="F433" i="2"/>
  <c r="E433" i="2"/>
  <c r="D433" i="2"/>
  <c r="C433" i="2"/>
  <c r="A433" i="2"/>
  <c r="H432" i="2"/>
  <c r="G432" i="2"/>
  <c r="F432" i="2"/>
  <c r="E432" i="2"/>
  <c r="D432" i="2"/>
  <c r="C432" i="2"/>
  <c r="A432" i="2"/>
  <c r="H431" i="2"/>
  <c r="G431" i="2"/>
  <c r="F431" i="2"/>
  <c r="E431" i="2"/>
  <c r="D431" i="2"/>
  <c r="C431" i="2"/>
  <c r="A431" i="2"/>
  <c r="H430" i="2"/>
  <c r="G430" i="2"/>
  <c r="F430" i="2"/>
  <c r="E430" i="2"/>
  <c r="D430" i="2"/>
  <c r="C430" i="2"/>
  <c r="A430" i="2"/>
  <c r="H429" i="2"/>
  <c r="G429" i="2"/>
  <c r="F429" i="2"/>
  <c r="E429" i="2"/>
  <c r="D429" i="2"/>
  <c r="C429" i="2"/>
  <c r="A429" i="2"/>
  <c r="H428" i="2"/>
  <c r="G428" i="2"/>
  <c r="F428" i="2"/>
  <c r="E428" i="2"/>
  <c r="D428" i="2"/>
  <c r="C428" i="2"/>
  <c r="A428" i="2"/>
  <c r="H427" i="2"/>
  <c r="G427" i="2"/>
  <c r="F427" i="2"/>
  <c r="E427" i="2"/>
  <c r="D427" i="2"/>
  <c r="C427" i="2"/>
  <c r="A427" i="2"/>
  <c r="H426" i="2"/>
  <c r="G426" i="2"/>
  <c r="F426" i="2"/>
  <c r="E426" i="2"/>
  <c r="D426" i="2"/>
  <c r="C426" i="2"/>
  <c r="A426" i="2"/>
  <c r="H425" i="2"/>
  <c r="G425" i="2"/>
  <c r="F425" i="2"/>
  <c r="E425" i="2"/>
  <c r="D425" i="2"/>
  <c r="C425" i="2"/>
  <c r="A425" i="2"/>
  <c r="H424" i="2"/>
  <c r="G424" i="2"/>
  <c r="F424" i="2"/>
  <c r="E424" i="2"/>
  <c r="D424" i="2"/>
  <c r="C424" i="2"/>
  <c r="A424" i="2"/>
  <c r="H423" i="2"/>
  <c r="G423" i="2"/>
  <c r="F423" i="2"/>
  <c r="E423" i="2"/>
  <c r="D423" i="2"/>
  <c r="C423" i="2"/>
  <c r="A423" i="2"/>
  <c r="H422" i="2"/>
  <c r="G422" i="2"/>
  <c r="F422" i="2"/>
  <c r="E422" i="2"/>
  <c r="D422" i="2"/>
  <c r="C422" i="2"/>
  <c r="A422" i="2"/>
  <c r="H421" i="2"/>
  <c r="G421" i="2"/>
  <c r="F421" i="2"/>
  <c r="E421" i="2"/>
  <c r="D421" i="2"/>
  <c r="C421" i="2"/>
  <c r="A421" i="2"/>
  <c r="H420" i="2"/>
  <c r="G420" i="2"/>
  <c r="F420" i="2"/>
  <c r="E420" i="2"/>
  <c r="D420" i="2"/>
  <c r="C420" i="2"/>
  <c r="A420" i="2"/>
  <c r="H419" i="2"/>
  <c r="G419" i="2"/>
  <c r="F419" i="2"/>
  <c r="E419" i="2"/>
  <c r="D419" i="2"/>
  <c r="C419" i="2"/>
  <c r="A419" i="2"/>
  <c r="H418" i="2"/>
  <c r="G418" i="2"/>
  <c r="F418" i="2"/>
  <c r="E418" i="2"/>
  <c r="D418" i="2"/>
  <c r="C418" i="2"/>
  <c r="A418" i="2"/>
  <c r="H417" i="2"/>
  <c r="G417" i="2"/>
  <c r="F417" i="2"/>
  <c r="E417" i="2"/>
  <c r="D417" i="2"/>
  <c r="C417" i="2"/>
  <c r="A417" i="2"/>
  <c r="H416" i="2"/>
  <c r="G416" i="2"/>
  <c r="F416" i="2"/>
  <c r="E416" i="2"/>
  <c r="D416" i="2"/>
  <c r="C416" i="2"/>
  <c r="A416" i="2"/>
  <c r="H415" i="2"/>
  <c r="G415" i="2"/>
  <c r="F415" i="2"/>
  <c r="E415" i="2"/>
  <c r="D415" i="2"/>
  <c r="C415" i="2"/>
  <c r="A415" i="2"/>
  <c r="H414" i="2"/>
  <c r="G414" i="2"/>
  <c r="F414" i="2"/>
  <c r="E414" i="2"/>
  <c r="D414" i="2"/>
  <c r="C414" i="2"/>
  <c r="A414" i="2"/>
  <c r="H413" i="2"/>
  <c r="G413" i="2"/>
  <c r="F413" i="2"/>
  <c r="E413" i="2"/>
  <c r="D413" i="2"/>
  <c r="C413" i="2"/>
  <c r="A413" i="2"/>
  <c r="H412" i="2"/>
  <c r="G412" i="2"/>
  <c r="F412" i="2"/>
  <c r="E412" i="2"/>
  <c r="D412" i="2"/>
  <c r="C412" i="2"/>
  <c r="A412" i="2"/>
  <c r="H411" i="2"/>
  <c r="G411" i="2"/>
  <c r="F411" i="2"/>
  <c r="E411" i="2"/>
  <c r="D411" i="2"/>
  <c r="C411" i="2"/>
  <c r="A411" i="2"/>
  <c r="H410" i="2"/>
  <c r="G410" i="2"/>
  <c r="F410" i="2"/>
  <c r="E410" i="2"/>
  <c r="D410" i="2"/>
  <c r="C410" i="2"/>
  <c r="A410" i="2"/>
  <c r="H409" i="2"/>
  <c r="G409" i="2"/>
  <c r="F409" i="2"/>
  <c r="E409" i="2"/>
  <c r="D409" i="2"/>
  <c r="C409" i="2"/>
  <c r="A409" i="2"/>
  <c r="H408" i="2"/>
  <c r="G408" i="2"/>
  <c r="F408" i="2"/>
  <c r="E408" i="2"/>
  <c r="D408" i="2"/>
  <c r="C408" i="2"/>
  <c r="A408" i="2"/>
  <c r="H407" i="2"/>
  <c r="G407" i="2"/>
  <c r="F407" i="2"/>
  <c r="E407" i="2"/>
  <c r="D407" i="2"/>
  <c r="C407" i="2"/>
  <c r="A407" i="2"/>
  <c r="H406" i="2"/>
  <c r="G406" i="2"/>
  <c r="F406" i="2"/>
  <c r="E406" i="2"/>
  <c r="D406" i="2"/>
  <c r="C406" i="2"/>
  <c r="A406" i="2"/>
  <c r="H405" i="2"/>
  <c r="G405" i="2"/>
  <c r="F405" i="2"/>
  <c r="E405" i="2"/>
  <c r="D405" i="2"/>
  <c r="C405" i="2"/>
  <c r="A405" i="2"/>
  <c r="H404" i="2"/>
  <c r="G404" i="2"/>
  <c r="F404" i="2"/>
  <c r="E404" i="2"/>
  <c r="D404" i="2"/>
  <c r="C404" i="2"/>
  <c r="A404" i="2"/>
  <c r="H403" i="2"/>
  <c r="G403" i="2"/>
  <c r="F403" i="2"/>
  <c r="E403" i="2"/>
  <c r="D403" i="2"/>
  <c r="C403" i="2"/>
  <c r="A403" i="2"/>
  <c r="H402" i="2"/>
  <c r="G402" i="2"/>
  <c r="F402" i="2"/>
  <c r="E402" i="2"/>
  <c r="D402" i="2"/>
  <c r="C402" i="2"/>
  <c r="A402" i="2"/>
  <c r="H401" i="2"/>
  <c r="G401" i="2"/>
  <c r="F401" i="2"/>
  <c r="E401" i="2"/>
  <c r="D401" i="2"/>
  <c r="C401" i="2"/>
  <c r="A401" i="2"/>
  <c r="H400" i="2"/>
  <c r="G400" i="2"/>
  <c r="F400" i="2"/>
  <c r="E400" i="2"/>
  <c r="D400" i="2"/>
  <c r="C400" i="2"/>
  <c r="A400" i="2"/>
  <c r="H399" i="2"/>
  <c r="G399" i="2"/>
  <c r="F399" i="2"/>
  <c r="E399" i="2"/>
  <c r="D399" i="2"/>
  <c r="C399" i="2"/>
  <c r="A399" i="2"/>
  <c r="H398" i="2"/>
  <c r="G398" i="2"/>
  <c r="F398" i="2"/>
  <c r="E398" i="2"/>
  <c r="D398" i="2"/>
  <c r="C398" i="2"/>
  <c r="A398" i="2"/>
  <c r="H397" i="2"/>
  <c r="G397" i="2"/>
  <c r="F397" i="2"/>
  <c r="E397" i="2"/>
  <c r="D397" i="2"/>
  <c r="C397" i="2"/>
  <c r="A397" i="2"/>
  <c r="H396" i="2"/>
  <c r="G396" i="2"/>
  <c r="F396" i="2"/>
  <c r="E396" i="2"/>
  <c r="D396" i="2"/>
  <c r="C396" i="2"/>
  <c r="A396" i="2"/>
  <c r="H395" i="2"/>
  <c r="G395" i="2"/>
  <c r="F395" i="2"/>
  <c r="E395" i="2"/>
  <c r="D395" i="2"/>
  <c r="C395" i="2"/>
  <c r="A395" i="2"/>
  <c r="H394" i="2"/>
  <c r="G394" i="2"/>
  <c r="F394" i="2"/>
  <c r="E394" i="2"/>
  <c r="D394" i="2"/>
  <c r="C394" i="2"/>
  <c r="A394" i="2"/>
  <c r="H393" i="2"/>
  <c r="G393" i="2"/>
  <c r="F393" i="2"/>
  <c r="E393" i="2"/>
  <c r="D393" i="2"/>
  <c r="C393" i="2"/>
  <c r="A393" i="2"/>
  <c r="H392" i="2"/>
  <c r="G392" i="2"/>
  <c r="F392" i="2"/>
  <c r="E392" i="2"/>
  <c r="D392" i="2"/>
  <c r="C392" i="2"/>
  <c r="A392" i="2"/>
  <c r="H391" i="2"/>
  <c r="G391" i="2"/>
  <c r="F391" i="2"/>
  <c r="E391" i="2"/>
  <c r="D391" i="2"/>
  <c r="C391" i="2"/>
  <c r="A391" i="2"/>
  <c r="H390" i="2"/>
  <c r="G390" i="2"/>
  <c r="F390" i="2"/>
  <c r="E390" i="2"/>
  <c r="D390" i="2"/>
  <c r="C390" i="2"/>
  <c r="A390" i="2"/>
  <c r="H389" i="2"/>
  <c r="G389" i="2"/>
  <c r="F389" i="2"/>
  <c r="E389" i="2"/>
  <c r="D389" i="2"/>
  <c r="C389" i="2"/>
  <c r="A389" i="2"/>
  <c r="H388" i="2"/>
  <c r="G388" i="2"/>
  <c r="F388" i="2"/>
  <c r="E388" i="2"/>
  <c r="D388" i="2"/>
  <c r="C388" i="2"/>
  <c r="A388" i="2"/>
  <c r="H387" i="2"/>
  <c r="G387" i="2"/>
  <c r="F387" i="2"/>
  <c r="E387" i="2"/>
  <c r="D387" i="2"/>
  <c r="C387" i="2"/>
  <c r="A387" i="2"/>
  <c r="H386" i="2"/>
  <c r="G386" i="2"/>
  <c r="F386" i="2"/>
  <c r="E386" i="2"/>
  <c r="D386" i="2"/>
  <c r="C386" i="2"/>
  <c r="A386" i="2"/>
  <c r="H385" i="2"/>
  <c r="G385" i="2"/>
  <c r="F385" i="2"/>
  <c r="E385" i="2"/>
  <c r="D385" i="2"/>
  <c r="C385" i="2"/>
  <c r="A385" i="2"/>
  <c r="H384" i="2"/>
  <c r="G384" i="2"/>
  <c r="F384" i="2"/>
  <c r="E384" i="2"/>
  <c r="D384" i="2"/>
  <c r="C384" i="2"/>
  <c r="A384" i="2"/>
  <c r="H383" i="2"/>
  <c r="G383" i="2"/>
  <c r="F383" i="2"/>
  <c r="E383" i="2"/>
  <c r="D383" i="2"/>
  <c r="C383" i="2"/>
  <c r="A383" i="2"/>
  <c r="H382" i="2"/>
  <c r="G382" i="2"/>
  <c r="F382" i="2"/>
  <c r="E382" i="2"/>
  <c r="D382" i="2"/>
  <c r="C382" i="2"/>
  <c r="A382" i="2"/>
  <c r="H381" i="2"/>
  <c r="G381" i="2"/>
  <c r="F381" i="2"/>
  <c r="E381" i="2"/>
  <c r="D381" i="2"/>
  <c r="C381" i="2"/>
  <c r="A381" i="2"/>
  <c r="H380" i="2"/>
  <c r="G380" i="2"/>
  <c r="F380" i="2"/>
  <c r="E380" i="2"/>
  <c r="D380" i="2"/>
  <c r="C380" i="2"/>
  <c r="A380" i="2"/>
  <c r="H379" i="2"/>
  <c r="G379" i="2"/>
  <c r="F379" i="2"/>
  <c r="E379" i="2"/>
  <c r="D379" i="2"/>
  <c r="C379" i="2"/>
  <c r="A379" i="2"/>
  <c r="H378" i="2"/>
  <c r="G378" i="2"/>
  <c r="F378" i="2"/>
  <c r="E378" i="2"/>
  <c r="D378" i="2"/>
  <c r="C378" i="2"/>
  <c r="A378" i="2"/>
  <c r="H377" i="2"/>
  <c r="G377" i="2"/>
  <c r="F377" i="2"/>
  <c r="E377" i="2"/>
  <c r="D377" i="2"/>
  <c r="C377" i="2"/>
  <c r="A377" i="2"/>
  <c r="H376" i="2"/>
  <c r="G376" i="2"/>
  <c r="F376" i="2"/>
  <c r="E376" i="2"/>
  <c r="D376" i="2"/>
  <c r="C376" i="2"/>
  <c r="A376" i="2"/>
  <c r="H375" i="2"/>
  <c r="G375" i="2"/>
  <c r="F375" i="2"/>
  <c r="E375" i="2"/>
  <c r="D375" i="2"/>
  <c r="C375" i="2"/>
  <c r="A375" i="2"/>
  <c r="H374" i="2"/>
  <c r="G374" i="2"/>
  <c r="F374" i="2"/>
  <c r="E374" i="2"/>
  <c r="D374" i="2"/>
  <c r="C374" i="2"/>
  <c r="A374" i="2"/>
  <c r="H373" i="2"/>
  <c r="G373" i="2"/>
  <c r="F373" i="2"/>
  <c r="E373" i="2"/>
  <c r="D373" i="2"/>
  <c r="C373" i="2"/>
  <c r="A373" i="2"/>
  <c r="H372" i="2"/>
  <c r="G372" i="2"/>
  <c r="F372" i="2"/>
  <c r="E372" i="2"/>
  <c r="D372" i="2"/>
  <c r="C372" i="2"/>
  <c r="A372" i="2"/>
  <c r="H371" i="2"/>
  <c r="G371" i="2"/>
  <c r="F371" i="2"/>
  <c r="E371" i="2"/>
  <c r="D371" i="2"/>
  <c r="C371" i="2"/>
  <c r="A371" i="2"/>
  <c r="H370" i="2"/>
  <c r="G370" i="2"/>
  <c r="F370" i="2"/>
  <c r="E370" i="2"/>
  <c r="D370" i="2"/>
  <c r="C370" i="2"/>
  <c r="A370" i="2"/>
  <c r="H369" i="2"/>
  <c r="G369" i="2"/>
  <c r="F369" i="2"/>
  <c r="E369" i="2"/>
  <c r="D369" i="2"/>
  <c r="C369" i="2"/>
  <c r="A369" i="2"/>
  <c r="H368" i="2"/>
  <c r="G368" i="2"/>
  <c r="F368" i="2"/>
  <c r="E368" i="2"/>
  <c r="D368" i="2"/>
  <c r="C368" i="2"/>
  <c r="A368" i="2"/>
  <c r="H367" i="2"/>
  <c r="G367" i="2"/>
  <c r="F367" i="2"/>
  <c r="E367" i="2"/>
  <c r="D367" i="2"/>
  <c r="C367" i="2"/>
  <c r="A367" i="2"/>
  <c r="H366" i="2"/>
  <c r="G366" i="2"/>
  <c r="F366" i="2"/>
  <c r="E366" i="2"/>
  <c r="D366" i="2"/>
  <c r="C366" i="2"/>
  <c r="A366" i="2"/>
  <c r="H365" i="2"/>
  <c r="G365" i="2"/>
  <c r="F365" i="2"/>
  <c r="E365" i="2"/>
  <c r="D365" i="2"/>
  <c r="C365" i="2"/>
  <c r="A365" i="2"/>
  <c r="H364" i="2"/>
  <c r="G364" i="2"/>
  <c r="F364" i="2"/>
  <c r="E364" i="2"/>
  <c r="D364" i="2"/>
  <c r="C364" i="2"/>
  <c r="A364" i="2"/>
  <c r="H363" i="2"/>
  <c r="G363" i="2"/>
  <c r="F363" i="2"/>
  <c r="E363" i="2"/>
  <c r="D363" i="2"/>
  <c r="C363" i="2"/>
  <c r="A363" i="2"/>
  <c r="H362" i="2"/>
  <c r="G362" i="2"/>
  <c r="F362" i="2"/>
  <c r="E362" i="2"/>
  <c r="D362" i="2"/>
  <c r="C362" i="2"/>
  <c r="A362" i="2"/>
  <c r="H361" i="2"/>
  <c r="G361" i="2"/>
  <c r="F361" i="2"/>
  <c r="E361" i="2"/>
  <c r="D361" i="2"/>
  <c r="C361" i="2"/>
  <c r="A361" i="2"/>
  <c r="H360" i="2"/>
  <c r="G360" i="2"/>
  <c r="F360" i="2"/>
  <c r="E360" i="2"/>
  <c r="D360" i="2"/>
  <c r="C360" i="2"/>
  <c r="A360" i="2"/>
  <c r="H359" i="2"/>
  <c r="G359" i="2"/>
  <c r="F359" i="2"/>
  <c r="E359" i="2"/>
  <c r="D359" i="2"/>
  <c r="C359" i="2"/>
  <c r="A359" i="2"/>
  <c r="H358" i="2"/>
  <c r="G358" i="2"/>
  <c r="F358" i="2"/>
  <c r="E358" i="2"/>
  <c r="D358" i="2"/>
  <c r="C358" i="2"/>
  <c r="A358" i="2"/>
  <c r="H357" i="2"/>
  <c r="G357" i="2"/>
  <c r="F357" i="2"/>
  <c r="E357" i="2"/>
  <c r="D357" i="2"/>
  <c r="C357" i="2"/>
  <c r="A357" i="2"/>
  <c r="H356" i="2"/>
  <c r="G356" i="2"/>
  <c r="F356" i="2"/>
  <c r="E356" i="2"/>
  <c r="D356" i="2"/>
  <c r="C356" i="2"/>
  <c r="A356" i="2"/>
  <c r="H355" i="2"/>
  <c r="G355" i="2"/>
  <c r="F355" i="2"/>
  <c r="E355" i="2"/>
  <c r="D355" i="2"/>
  <c r="C355" i="2"/>
  <c r="A355" i="2"/>
  <c r="H354" i="2"/>
  <c r="G354" i="2"/>
  <c r="F354" i="2"/>
  <c r="E354" i="2"/>
  <c r="D354" i="2"/>
  <c r="C354" i="2"/>
  <c r="A354" i="2"/>
  <c r="H353" i="2"/>
  <c r="G353" i="2"/>
  <c r="F353" i="2"/>
  <c r="E353" i="2"/>
  <c r="D353" i="2"/>
  <c r="C353" i="2"/>
  <c r="A353" i="2"/>
  <c r="H352" i="2"/>
  <c r="G352" i="2"/>
  <c r="F352" i="2"/>
  <c r="E352" i="2"/>
  <c r="D352" i="2"/>
  <c r="C352" i="2"/>
  <c r="A352" i="2"/>
  <c r="H351" i="2"/>
  <c r="G351" i="2"/>
  <c r="F351" i="2"/>
  <c r="E351" i="2"/>
  <c r="D351" i="2"/>
  <c r="C351" i="2"/>
  <c r="A351" i="2"/>
  <c r="H350" i="2"/>
  <c r="G350" i="2"/>
  <c r="F350" i="2"/>
  <c r="E350" i="2"/>
  <c r="D350" i="2"/>
  <c r="C350" i="2"/>
  <c r="A350" i="2"/>
  <c r="H349" i="2"/>
  <c r="G349" i="2"/>
  <c r="F349" i="2"/>
  <c r="E349" i="2"/>
  <c r="D349" i="2"/>
  <c r="C349" i="2"/>
  <c r="A349" i="2"/>
  <c r="H348" i="2"/>
  <c r="G348" i="2"/>
  <c r="F348" i="2"/>
  <c r="E348" i="2"/>
  <c r="D348" i="2"/>
  <c r="C348" i="2"/>
  <c r="A348" i="2"/>
  <c r="H347" i="2"/>
  <c r="G347" i="2"/>
  <c r="F347" i="2"/>
  <c r="E347" i="2"/>
  <c r="D347" i="2"/>
  <c r="C347" i="2"/>
  <c r="A347" i="2"/>
  <c r="H346" i="2"/>
  <c r="G346" i="2"/>
  <c r="F346" i="2"/>
  <c r="E346" i="2"/>
  <c r="D346" i="2"/>
  <c r="C346" i="2"/>
  <c r="A346" i="2"/>
  <c r="H345" i="2"/>
  <c r="G345" i="2"/>
  <c r="F345" i="2"/>
  <c r="E345" i="2"/>
  <c r="D345" i="2"/>
  <c r="C345" i="2"/>
  <c r="A345" i="2"/>
  <c r="H344" i="2"/>
  <c r="G344" i="2"/>
  <c r="F344" i="2"/>
  <c r="E344" i="2"/>
  <c r="D344" i="2"/>
  <c r="C344" i="2"/>
  <c r="A344" i="2"/>
  <c r="H343" i="2"/>
  <c r="G343" i="2"/>
  <c r="F343" i="2"/>
  <c r="E343" i="2"/>
  <c r="D343" i="2"/>
  <c r="C343" i="2"/>
  <c r="A343" i="2"/>
  <c r="H342" i="2"/>
  <c r="G342" i="2"/>
  <c r="F342" i="2"/>
  <c r="E342" i="2"/>
  <c r="D342" i="2"/>
  <c r="C342" i="2"/>
  <c r="A342" i="2"/>
  <c r="H341" i="2"/>
  <c r="G341" i="2"/>
  <c r="F341" i="2"/>
  <c r="E341" i="2"/>
  <c r="D341" i="2"/>
  <c r="C341" i="2"/>
  <c r="A341" i="2"/>
  <c r="H340" i="2"/>
  <c r="G340" i="2"/>
  <c r="F340" i="2"/>
  <c r="E340" i="2"/>
  <c r="D340" i="2"/>
  <c r="C340" i="2"/>
  <c r="A340" i="2"/>
  <c r="H339" i="2"/>
  <c r="G339" i="2"/>
  <c r="F339" i="2"/>
  <c r="E339" i="2"/>
  <c r="D339" i="2"/>
  <c r="C339" i="2"/>
  <c r="A339" i="2"/>
  <c r="H338" i="2"/>
  <c r="G338" i="2"/>
  <c r="F338" i="2"/>
  <c r="E338" i="2"/>
  <c r="D338" i="2"/>
  <c r="C338" i="2"/>
  <c r="A338" i="2"/>
  <c r="H337" i="2"/>
  <c r="G337" i="2"/>
  <c r="F337" i="2"/>
  <c r="E337" i="2"/>
  <c r="D337" i="2"/>
  <c r="C337" i="2"/>
  <c r="A337" i="2"/>
  <c r="H336" i="2"/>
  <c r="G336" i="2"/>
  <c r="F336" i="2"/>
  <c r="E336" i="2"/>
  <c r="D336" i="2"/>
  <c r="C336" i="2"/>
  <c r="A336" i="2"/>
  <c r="H335" i="2"/>
  <c r="G335" i="2"/>
  <c r="F335" i="2"/>
  <c r="E335" i="2"/>
  <c r="D335" i="2"/>
  <c r="C335" i="2"/>
  <c r="A335" i="2"/>
  <c r="H334" i="2"/>
  <c r="G334" i="2"/>
  <c r="F334" i="2"/>
  <c r="E334" i="2"/>
  <c r="D334" i="2"/>
  <c r="C334" i="2"/>
  <c r="A334" i="2"/>
  <c r="H333" i="2"/>
  <c r="G333" i="2"/>
  <c r="F333" i="2"/>
  <c r="E333" i="2"/>
  <c r="D333" i="2"/>
  <c r="C333" i="2"/>
  <c r="A333" i="2"/>
  <c r="H332" i="2"/>
  <c r="G332" i="2"/>
  <c r="F332" i="2"/>
  <c r="E332" i="2"/>
  <c r="D332" i="2"/>
  <c r="C332" i="2"/>
  <c r="A332" i="2"/>
  <c r="H331" i="2"/>
  <c r="G331" i="2"/>
  <c r="F331" i="2"/>
  <c r="E331" i="2"/>
  <c r="D331" i="2"/>
  <c r="C331" i="2"/>
  <c r="A331" i="2"/>
  <c r="H330" i="2"/>
  <c r="G330" i="2"/>
  <c r="F330" i="2"/>
  <c r="E330" i="2"/>
  <c r="D330" i="2"/>
  <c r="C330" i="2"/>
  <c r="A330" i="2"/>
  <c r="H329" i="2"/>
  <c r="G329" i="2"/>
  <c r="F329" i="2"/>
  <c r="E329" i="2"/>
  <c r="D329" i="2"/>
  <c r="C329" i="2"/>
  <c r="A329" i="2"/>
  <c r="H328" i="2"/>
  <c r="G328" i="2"/>
  <c r="F328" i="2"/>
  <c r="E328" i="2"/>
  <c r="D328" i="2"/>
  <c r="C328" i="2"/>
  <c r="A328" i="2"/>
  <c r="H327" i="2"/>
  <c r="G327" i="2"/>
  <c r="F327" i="2"/>
  <c r="E327" i="2"/>
  <c r="D327" i="2"/>
  <c r="C327" i="2"/>
  <c r="A327" i="2"/>
  <c r="H326" i="2"/>
  <c r="G326" i="2"/>
  <c r="F326" i="2"/>
  <c r="E326" i="2"/>
  <c r="D326" i="2"/>
  <c r="C326" i="2"/>
  <c r="A326" i="2"/>
  <c r="H325" i="2"/>
  <c r="G325" i="2"/>
  <c r="F325" i="2"/>
  <c r="E325" i="2"/>
  <c r="D325" i="2"/>
  <c r="C325" i="2"/>
  <c r="A325" i="2"/>
  <c r="H324" i="2"/>
  <c r="G324" i="2"/>
  <c r="F324" i="2"/>
  <c r="E324" i="2"/>
  <c r="D324" i="2"/>
  <c r="C324" i="2"/>
  <c r="A324" i="2"/>
  <c r="H323" i="2"/>
  <c r="G323" i="2"/>
  <c r="F323" i="2"/>
  <c r="E323" i="2"/>
  <c r="D323" i="2"/>
  <c r="C323" i="2"/>
  <c r="A323" i="2"/>
  <c r="H322" i="2"/>
  <c r="G322" i="2"/>
  <c r="F322" i="2"/>
  <c r="E322" i="2"/>
  <c r="D322" i="2"/>
  <c r="C322" i="2"/>
  <c r="A322" i="2"/>
  <c r="H321" i="2"/>
  <c r="G321" i="2"/>
  <c r="F321" i="2"/>
  <c r="E321" i="2"/>
  <c r="D321" i="2"/>
  <c r="C321" i="2"/>
  <c r="A321" i="2"/>
  <c r="H320" i="2"/>
  <c r="G320" i="2"/>
  <c r="F320" i="2"/>
  <c r="E320" i="2"/>
  <c r="D320" i="2"/>
  <c r="C320" i="2"/>
  <c r="A320" i="2"/>
  <c r="H319" i="2"/>
  <c r="G319" i="2"/>
  <c r="F319" i="2"/>
  <c r="E319" i="2"/>
  <c r="D319" i="2"/>
  <c r="C319" i="2"/>
  <c r="A319" i="2"/>
  <c r="H318" i="2"/>
  <c r="G318" i="2"/>
  <c r="F318" i="2"/>
  <c r="E318" i="2"/>
  <c r="D318" i="2"/>
  <c r="C318" i="2"/>
  <c r="A318" i="2"/>
  <c r="H317" i="2"/>
  <c r="G317" i="2"/>
  <c r="F317" i="2"/>
  <c r="E317" i="2"/>
  <c r="D317" i="2"/>
  <c r="C317" i="2"/>
  <c r="A317" i="2"/>
  <c r="H316" i="2"/>
  <c r="G316" i="2"/>
  <c r="F316" i="2"/>
  <c r="E316" i="2"/>
  <c r="D316" i="2"/>
  <c r="C316" i="2"/>
  <c r="A316" i="2"/>
  <c r="H315" i="2"/>
  <c r="G315" i="2"/>
  <c r="F315" i="2"/>
  <c r="E315" i="2"/>
  <c r="D315" i="2"/>
  <c r="C315" i="2"/>
  <c r="A315" i="2"/>
  <c r="H314" i="2"/>
  <c r="G314" i="2"/>
  <c r="F314" i="2"/>
  <c r="E314" i="2"/>
  <c r="D314" i="2"/>
  <c r="C314" i="2"/>
  <c r="A314" i="2"/>
  <c r="H313" i="2"/>
  <c r="G313" i="2"/>
  <c r="F313" i="2"/>
  <c r="E313" i="2"/>
  <c r="D313" i="2"/>
  <c r="C313" i="2"/>
  <c r="A313" i="2"/>
  <c r="H312" i="2"/>
  <c r="G312" i="2"/>
  <c r="F312" i="2"/>
  <c r="E312" i="2"/>
  <c r="D312" i="2"/>
  <c r="C312" i="2"/>
  <c r="A312" i="2"/>
  <c r="H311" i="2"/>
  <c r="G311" i="2"/>
  <c r="F311" i="2"/>
  <c r="E311" i="2"/>
  <c r="D311" i="2"/>
  <c r="C311" i="2"/>
  <c r="A311" i="2"/>
  <c r="H310" i="2"/>
  <c r="G310" i="2"/>
  <c r="F310" i="2"/>
  <c r="E310" i="2"/>
  <c r="D310" i="2"/>
  <c r="C310" i="2"/>
  <c r="A310" i="2"/>
  <c r="H309" i="2"/>
  <c r="G309" i="2"/>
  <c r="F309" i="2"/>
  <c r="E309" i="2"/>
  <c r="D309" i="2"/>
  <c r="C309" i="2"/>
  <c r="A309" i="2"/>
  <c r="H308" i="2"/>
  <c r="G308" i="2"/>
  <c r="F308" i="2"/>
  <c r="E308" i="2"/>
  <c r="D308" i="2"/>
  <c r="C308" i="2"/>
  <c r="A308" i="2"/>
  <c r="H307" i="2"/>
  <c r="G307" i="2"/>
  <c r="F307" i="2"/>
  <c r="E307" i="2"/>
  <c r="D307" i="2"/>
  <c r="C307" i="2"/>
  <c r="A307" i="2"/>
  <c r="H306" i="2"/>
  <c r="G306" i="2"/>
  <c r="F306" i="2"/>
  <c r="E306" i="2"/>
  <c r="D306" i="2"/>
  <c r="C306" i="2"/>
  <c r="A306" i="2"/>
  <c r="H305" i="2"/>
  <c r="G305" i="2"/>
  <c r="F305" i="2"/>
  <c r="E305" i="2"/>
  <c r="D305" i="2"/>
  <c r="C305" i="2"/>
  <c r="A305" i="2"/>
  <c r="H304" i="2"/>
  <c r="G304" i="2"/>
  <c r="F304" i="2"/>
  <c r="E304" i="2"/>
  <c r="D304" i="2"/>
  <c r="C304" i="2"/>
  <c r="A304" i="2"/>
  <c r="H303" i="2"/>
  <c r="G303" i="2"/>
  <c r="F303" i="2"/>
  <c r="E303" i="2"/>
  <c r="D303" i="2"/>
  <c r="C303" i="2"/>
  <c r="A303" i="2"/>
  <c r="H302" i="2"/>
  <c r="G302" i="2"/>
  <c r="F302" i="2"/>
  <c r="E302" i="2"/>
  <c r="D302" i="2"/>
  <c r="C302" i="2"/>
  <c r="A302" i="2"/>
  <c r="H301" i="2"/>
  <c r="G301" i="2"/>
  <c r="F301" i="2"/>
  <c r="E301" i="2"/>
  <c r="D301" i="2"/>
  <c r="C301" i="2"/>
  <c r="A301" i="2"/>
  <c r="H300" i="2"/>
  <c r="G300" i="2"/>
  <c r="F300" i="2"/>
  <c r="E300" i="2"/>
  <c r="D300" i="2"/>
  <c r="C300" i="2"/>
  <c r="A300" i="2"/>
  <c r="H299" i="2"/>
  <c r="G299" i="2"/>
  <c r="F299" i="2"/>
  <c r="E299" i="2"/>
  <c r="D299" i="2"/>
  <c r="C299" i="2"/>
  <c r="A299" i="2"/>
  <c r="H298" i="2"/>
  <c r="G298" i="2"/>
  <c r="F298" i="2"/>
  <c r="E298" i="2"/>
  <c r="D298" i="2"/>
  <c r="C298" i="2"/>
  <c r="A298" i="2"/>
  <c r="H297" i="2"/>
  <c r="G297" i="2"/>
  <c r="F297" i="2"/>
  <c r="E297" i="2"/>
  <c r="D297" i="2"/>
  <c r="C297" i="2"/>
  <c r="A297" i="2"/>
  <c r="H296" i="2"/>
  <c r="G296" i="2"/>
  <c r="F296" i="2"/>
  <c r="E296" i="2"/>
  <c r="D296" i="2"/>
  <c r="C296" i="2"/>
  <c r="A296" i="2"/>
  <c r="H295" i="2"/>
  <c r="G295" i="2"/>
  <c r="F295" i="2"/>
  <c r="E295" i="2"/>
  <c r="D295" i="2"/>
  <c r="C295" i="2"/>
  <c r="A295" i="2"/>
  <c r="H294" i="2"/>
  <c r="G294" i="2"/>
  <c r="F294" i="2"/>
  <c r="E294" i="2"/>
  <c r="D294" i="2"/>
  <c r="C294" i="2"/>
  <c r="A294" i="2"/>
  <c r="H293" i="2"/>
  <c r="G293" i="2"/>
  <c r="F293" i="2"/>
  <c r="E293" i="2"/>
  <c r="D293" i="2"/>
  <c r="C293" i="2"/>
  <c r="A293" i="2"/>
  <c r="H292" i="2"/>
  <c r="G292" i="2"/>
  <c r="F292" i="2"/>
  <c r="E292" i="2"/>
  <c r="D292" i="2"/>
  <c r="C292" i="2"/>
  <c r="A292" i="2"/>
  <c r="H291" i="2"/>
  <c r="G291" i="2"/>
  <c r="F291" i="2"/>
  <c r="E291" i="2"/>
  <c r="D291" i="2"/>
  <c r="C291" i="2"/>
  <c r="A291" i="2"/>
  <c r="H290" i="2"/>
  <c r="G290" i="2"/>
  <c r="F290" i="2"/>
  <c r="E290" i="2"/>
  <c r="D290" i="2"/>
  <c r="C290" i="2"/>
  <c r="A290" i="2"/>
  <c r="H289" i="2"/>
  <c r="G289" i="2"/>
  <c r="F289" i="2"/>
  <c r="E289" i="2"/>
  <c r="D289" i="2"/>
  <c r="C289" i="2"/>
  <c r="A289" i="2"/>
  <c r="H288" i="2"/>
  <c r="G288" i="2"/>
  <c r="F288" i="2"/>
  <c r="E288" i="2"/>
  <c r="D288" i="2"/>
  <c r="C288" i="2"/>
  <c r="A288" i="2"/>
  <c r="H287" i="2"/>
  <c r="G287" i="2"/>
  <c r="F287" i="2"/>
  <c r="E287" i="2"/>
  <c r="D287" i="2"/>
  <c r="C287" i="2"/>
  <c r="A287" i="2"/>
  <c r="H286" i="2"/>
  <c r="G286" i="2"/>
  <c r="F286" i="2"/>
  <c r="E286" i="2"/>
  <c r="D286" i="2"/>
  <c r="C286" i="2"/>
  <c r="A286" i="2"/>
  <c r="H285" i="2"/>
  <c r="G285" i="2"/>
  <c r="F285" i="2"/>
  <c r="E285" i="2"/>
  <c r="D285" i="2"/>
  <c r="C285" i="2"/>
  <c r="A285" i="2"/>
  <c r="H284" i="2"/>
  <c r="G284" i="2"/>
  <c r="F284" i="2"/>
  <c r="E284" i="2"/>
  <c r="D284" i="2"/>
  <c r="C284" i="2"/>
  <c r="A284" i="2"/>
  <c r="H283" i="2"/>
  <c r="G283" i="2"/>
  <c r="F283" i="2"/>
  <c r="E283" i="2"/>
  <c r="D283" i="2"/>
  <c r="C283" i="2"/>
  <c r="A283" i="2"/>
  <c r="H282" i="2"/>
  <c r="G282" i="2"/>
  <c r="F282" i="2"/>
  <c r="E282" i="2"/>
  <c r="D282" i="2"/>
  <c r="C282" i="2"/>
  <c r="A282" i="2"/>
  <c r="H281" i="2"/>
  <c r="G281" i="2"/>
  <c r="F281" i="2"/>
  <c r="E281" i="2"/>
  <c r="D281" i="2"/>
  <c r="C281" i="2"/>
  <c r="A281" i="2"/>
  <c r="H280" i="2"/>
  <c r="G280" i="2"/>
  <c r="F280" i="2"/>
  <c r="E280" i="2"/>
  <c r="D280" i="2"/>
  <c r="C280" i="2"/>
  <c r="A280" i="2"/>
  <c r="H279" i="2"/>
  <c r="G279" i="2"/>
  <c r="F279" i="2"/>
  <c r="E279" i="2"/>
  <c r="D279" i="2"/>
  <c r="C279" i="2"/>
  <c r="A279" i="2"/>
  <c r="H278" i="2"/>
  <c r="G278" i="2"/>
  <c r="F278" i="2"/>
  <c r="E278" i="2"/>
  <c r="D278" i="2"/>
  <c r="C278" i="2"/>
  <c r="A278" i="2"/>
  <c r="H277" i="2"/>
  <c r="G277" i="2"/>
  <c r="F277" i="2"/>
  <c r="E277" i="2"/>
  <c r="D277" i="2"/>
  <c r="C277" i="2"/>
  <c r="A277" i="2"/>
  <c r="H276" i="2"/>
  <c r="G276" i="2"/>
  <c r="F276" i="2"/>
  <c r="E276" i="2"/>
  <c r="D276" i="2"/>
  <c r="C276" i="2"/>
  <c r="A276" i="2"/>
  <c r="H275" i="2"/>
  <c r="G275" i="2"/>
  <c r="F275" i="2"/>
  <c r="E275" i="2"/>
  <c r="D275" i="2"/>
  <c r="C275" i="2"/>
  <c r="A275" i="2"/>
  <c r="H274" i="2"/>
  <c r="G274" i="2"/>
  <c r="F274" i="2"/>
  <c r="E274" i="2"/>
  <c r="D274" i="2"/>
  <c r="C274" i="2"/>
  <c r="A274" i="2"/>
  <c r="H273" i="2"/>
  <c r="G273" i="2"/>
  <c r="F273" i="2"/>
  <c r="E273" i="2"/>
  <c r="D273" i="2"/>
  <c r="C273" i="2"/>
  <c r="A273" i="2"/>
  <c r="H272" i="2"/>
  <c r="G272" i="2"/>
  <c r="F272" i="2"/>
  <c r="E272" i="2"/>
  <c r="D272" i="2"/>
  <c r="C272" i="2"/>
  <c r="A272" i="2"/>
  <c r="H271" i="2"/>
  <c r="G271" i="2"/>
  <c r="F271" i="2"/>
  <c r="E271" i="2"/>
  <c r="D271" i="2"/>
  <c r="C271" i="2"/>
  <c r="A271" i="2"/>
  <c r="H270" i="2"/>
  <c r="G270" i="2"/>
  <c r="F270" i="2"/>
  <c r="E270" i="2"/>
  <c r="D270" i="2"/>
  <c r="C270" i="2"/>
  <c r="A270" i="2"/>
  <c r="H269" i="2"/>
  <c r="G269" i="2"/>
  <c r="F269" i="2"/>
  <c r="E269" i="2"/>
  <c r="D269" i="2"/>
  <c r="C269" i="2"/>
  <c r="A269" i="2"/>
  <c r="H268" i="2"/>
  <c r="G268" i="2"/>
  <c r="F268" i="2"/>
  <c r="E268" i="2"/>
  <c r="D268" i="2"/>
  <c r="C268" i="2"/>
  <c r="A268" i="2"/>
  <c r="H267" i="2"/>
  <c r="G267" i="2"/>
  <c r="F267" i="2"/>
  <c r="E267" i="2"/>
  <c r="D267" i="2"/>
  <c r="C267" i="2"/>
  <c r="A267" i="2"/>
  <c r="H266" i="2"/>
  <c r="G266" i="2"/>
  <c r="F266" i="2"/>
  <c r="E266" i="2"/>
  <c r="D266" i="2"/>
  <c r="C266" i="2"/>
  <c r="A266" i="2"/>
  <c r="H265" i="2"/>
  <c r="G265" i="2"/>
  <c r="F265" i="2"/>
  <c r="E265" i="2"/>
  <c r="D265" i="2"/>
  <c r="C265" i="2"/>
  <c r="A265" i="2"/>
  <c r="H264" i="2"/>
  <c r="G264" i="2"/>
  <c r="F264" i="2"/>
  <c r="E264" i="2"/>
  <c r="D264" i="2"/>
  <c r="C264" i="2"/>
  <c r="A264" i="2"/>
  <c r="H263" i="2"/>
  <c r="G263" i="2"/>
  <c r="F263" i="2"/>
  <c r="E263" i="2"/>
  <c r="D263" i="2"/>
  <c r="C263" i="2"/>
  <c r="A263" i="2"/>
  <c r="H262" i="2"/>
  <c r="G262" i="2"/>
  <c r="F262" i="2"/>
  <c r="E262" i="2"/>
  <c r="D262" i="2"/>
  <c r="C262" i="2"/>
  <c r="A262" i="2"/>
  <c r="H261" i="2"/>
  <c r="G261" i="2"/>
  <c r="F261" i="2"/>
  <c r="E261" i="2"/>
  <c r="D261" i="2"/>
  <c r="C261" i="2"/>
  <c r="A261" i="2"/>
  <c r="H260" i="2"/>
  <c r="G260" i="2"/>
  <c r="F260" i="2"/>
  <c r="E260" i="2"/>
  <c r="D260" i="2"/>
  <c r="C260" i="2"/>
  <c r="A260" i="2"/>
  <c r="H259" i="2"/>
  <c r="G259" i="2"/>
  <c r="F259" i="2"/>
  <c r="E259" i="2"/>
  <c r="D259" i="2"/>
  <c r="C259" i="2"/>
  <c r="A259" i="2"/>
  <c r="H258" i="2"/>
  <c r="G258" i="2"/>
  <c r="F258" i="2"/>
  <c r="E258" i="2"/>
  <c r="D258" i="2"/>
  <c r="C258" i="2"/>
  <c r="A258" i="2"/>
  <c r="H257" i="2"/>
  <c r="G257" i="2"/>
  <c r="F257" i="2"/>
  <c r="E257" i="2"/>
  <c r="D257" i="2"/>
  <c r="C257" i="2"/>
  <c r="A257" i="2"/>
  <c r="H256" i="2"/>
  <c r="G256" i="2"/>
  <c r="F256" i="2"/>
  <c r="E256" i="2"/>
  <c r="D256" i="2"/>
  <c r="C256" i="2"/>
  <c r="A256" i="2"/>
  <c r="H255" i="2"/>
  <c r="G255" i="2"/>
  <c r="F255" i="2"/>
  <c r="E255" i="2"/>
  <c r="D255" i="2"/>
  <c r="C255" i="2"/>
  <c r="A255" i="2"/>
  <c r="H254" i="2"/>
  <c r="G254" i="2"/>
  <c r="F254" i="2"/>
  <c r="E254" i="2"/>
  <c r="D254" i="2"/>
  <c r="C254" i="2"/>
  <c r="A254" i="2"/>
  <c r="H253" i="2"/>
  <c r="G253" i="2"/>
  <c r="F253" i="2"/>
  <c r="E253" i="2"/>
  <c r="D253" i="2"/>
  <c r="C253" i="2"/>
  <c r="A253" i="2"/>
  <c r="H252" i="2"/>
  <c r="G252" i="2"/>
  <c r="F252" i="2"/>
  <c r="E252" i="2"/>
  <c r="D252" i="2"/>
  <c r="C252" i="2"/>
  <c r="A252" i="2"/>
  <c r="H251" i="2"/>
  <c r="G251" i="2"/>
  <c r="F251" i="2"/>
  <c r="E251" i="2"/>
  <c r="D251" i="2"/>
  <c r="C251" i="2"/>
  <c r="A251" i="2"/>
  <c r="H250" i="2"/>
  <c r="G250" i="2"/>
  <c r="F250" i="2"/>
  <c r="E250" i="2"/>
  <c r="D250" i="2"/>
  <c r="C250" i="2"/>
  <c r="A250" i="2"/>
  <c r="H249" i="2"/>
  <c r="G249" i="2"/>
  <c r="F249" i="2"/>
  <c r="E249" i="2"/>
  <c r="D249" i="2"/>
  <c r="C249" i="2"/>
  <c r="A249" i="2"/>
  <c r="H248" i="2"/>
  <c r="G248" i="2"/>
  <c r="F248" i="2"/>
  <c r="E248" i="2"/>
  <c r="D248" i="2"/>
  <c r="C248" i="2"/>
  <c r="A248" i="2"/>
  <c r="H247" i="2"/>
  <c r="G247" i="2"/>
  <c r="F247" i="2"/>
  <c r="E247" i="2"/>
  <c r="D247" i="2"/>
  <c r="C247" i="2"/>
  <c r="A247" i="2"/>
  <c r="H246" i="2"/>
  <c r="G246" i="2"/>
  <c r="F246" i="2"/>
  <c r="E246" i="2"/>
  <c r="D246" i="2"/>
  <c r="C246" i="2"/>
  <c r="A246" i="2"/>
  <c r="H245" i="2"/>
  <c r="G245" i="2"/>
  <c r="F245" i="2"/>
  <c r="E245" i="2"/>
  <c r="D245" i="2"/>
  <c r="C245" i="2"/>
  <c r="A245" i="2"/>
  <c r="H244" i="2"/>
  <c r="G244" i="2"/>
  <c r="F244" i="2"/>
  <c r="E244" i="2"/>
  <c r="D244" i="2"/>
  <c r="C244" i="2"/>
  <c r="A244" i="2"/>
  <c r="H243" i="2"/>
  <c r="G243" i="2"/>
  <c r="F243" i="2"/>
  <c r="E243" i="2"/>
  <c r="D243" i="2"/>
  <c r="C243" i="2"/>
  <c r="A243" i="2"/>
  <c r="H242" i="2"/>
  <c r="G242" i="2"/>
  <c r="F242" i="2"/>
  <c r="E242" i="2"/>
  <c r="D242" i="2"/>
  <c r="C242" i="2"/>
  <c r="A242" i="2"/>
  <c r="H241" i="2"/>
  <c r="G241" i="2"/>
  <c r="F241" i="2"/>
  <c r="E241" i="2"/>
  <c r="D241" i="2"/>
  <c r="C241" i="2"/>
  <c r="A241" i="2"/>
  <c r="H240" i="2"/>
  <c r="G240" i="2"/>
  <c r="F240" i="2"/>
  <c r="E240" i="2"/>
  <c r="D240" i="2"/>
  <c r="C240" i="2"/>
  <c r="A240" i="2"/>
  <c r="H239" i="2"/>
  <c r="G239" i="2"/>
  <c r="F239" i="2"/>
  <c r="E239" i="2"/>
  <c r="D239" i="2"/>
  <c r="C239" i="2"/>
  <c r="A239" i="2"/>
  <c r="H238" i="2"/>
  <c r="G238" i="2"/>
  <c r="F238" i="2"/>
  <c r="E238" i="2"/>
  <c r="D238" i="2"/>
  <c r="A238" i="2"/>
  <c r="H237" i="2"/>
  <c r="G237" i="2"/>
  <c r="F237" i="2"/>
  <c r="E237" i="2"/>
  <c r="D237" i="2"/>
  <c r="A237" i="2"/>
  <c r="H236" i="2"/>
  <c r="G236" i="2"/>
  <c r="F236" i="2"/>
  <c r="E236" i="2"/>
  <c r="D236" i="2"/>
  <c r="A236" i="2"/>
  <c r="H235" i="2"/>
  <c r="G235" i="2"/>
  <c r="F235" i="2"/>
  <c r="E235" i="2"/>
  <c r="D235" i="2"/>
  <c r="A235" i="2"/>
  <c r="H234" i="2"/>
  <c r="G234" i="2"/>
  <c r="F234" i="2"/>
  <c r="E234" i="2"/>
  <c r="D234" i="2"/>
  <c r="A234" i="2"/>
  <c r="H233" i="2"/>
  <c r="G233" i="2"/>
  <c r="F233" i="2"/>
  <c r="E233" i="2"/>
  <c r="D233" i="2"/>
  <c r="A233" i="2"/>
  <c r="H232" i="2"/>
  <c r="G232" i="2"/>
  <c r="F232" i="2"/>
  <c r="E232" i="2"/>
  <c r="D232" i="2"/>
  <c r="A232" i="2"/>
  <c r="H231" i="2"/>
  <c r="G231" i="2"/>
  <c r="F231" i="2"/>
  <c r="E231" i="2"/>
  <c r="D231" i="2"/>
  <c r="A231" i="2"/>
  <c r="H230" i="2"/>
  <c r="G230" i="2"/>
  <c r="F230" i="2"/>
  <c r="E230" i="2"/>
  <c r="D230" i="2"/>
  <c r="A230" i="2"/>
  <c r="H229" i="2"/>
  <c r="G229" i="2"/>
  <c r="F229" i="2"/>
  <c r="E229" i="2"/>
  <c r="D229" i="2"/>
  <c r="A229" i="2"/>
  <c r="H228" i="2"/>
  <c r="G228" i="2"/>
  <c r="F228" i="2"/>
  <c r="E228" i="2"/>
  <c r="D228" i="2"/>
  <c r="A228" i="2"/>
  <c r="H227" i="2"/>
  <c r="G227" i="2"/>
  <c r="F227" i="2"/>
  <c r="E227" i="2"/>
  <c r="D227" i="2"/>
  <c r="A227" i="2"/>
  <c r="H226" i="2"/>
  <c r="G226" i="2"/>
  <c r="F226" i="2"/>
  <c r="E226" i="2"/>
  <c r="D226" i="2"/>
  <c r="A226" i="2"/>
  <c r="H225" i="2"/>
  <c r="G225" i="2"/>
  <c r="F225" i="2"/>
  <c r="E225" i="2"/>
  <c r="D225" i="2"/>
  <c r="A225" i="2"/>
  <c r="H224" i="2"/>
  <c r="G224" i="2"/>
  <c r="F224" i="2"/>
  <c r="E224" i="2"/>
  <c r="D224" i="2"/>
  <c r="A224" i="2"/>
  <c r="H223" i="2"/>
  <c r="G223" i="2"/>
  <c r="F223" i="2"/>
  <c r="E223" i="2"/>
  <c r="D223" i="2"/>
  <c r="A223" i="2"/>
  <c r="H222" i="2"/>
  <c r="G222" i="2"/>
  <c r="F222" i="2"/>
  <c r="E222" i="2"/>
  <c r="D222" i="2"/>
  <c r="A222" i="2"/>
  <c r="H221" i="2"/>
  <c r="G221" i="2"/>
  <c r="F221" i="2"/>
  <c r="E221" i="2"/>
  <c r="D221" i="2"/>
  <c r="A221" i="2"/>
  <c r="H220" i="2"/>
  <c r="G220" i="2"/>
  <c r="F220" i="2"/>
  <c r="E220" i="2"/>
  <c r="D220" i="2"/>
  <c r="A220" i="2"/>
  <c r="H219" i="2"/>
  <c r="G219" i="2"/>
  <c r="F219" i="2"/>
  <c r="E219" i="2"/>
  <c r="D219" i="2"/>
  <c r="A219" i="2"/>
  <c r="H218" i="2"/>
  <c r="G218" i="2"/>
  <c r="F218" i="2"/>
  <c r="E218" i="2"/>
  <c r="D218" i="2"/>
  <c r="A218" i="2"/>
  <c r="H217" i="2"/>
  <c r="G217" i="2"/>
  <c r="F217" i="2"/>
  <c r="E217" i="2"/>
  <c r="D217" i="2"/>
  <c r="A217" i="2"/>
  <c r="H216" i="2"/>
  <c r="G216" i="2"/>
  <c r="F216" i="2"/>
  <c r="E216" i="2"/>
  <c r="D216" i="2"/>
  <c r="A216" i="2"/>
  <c r="H215" i="2"/>
  <c r="G215" i="2"/>
  <c r="F215" i="2"/>
  <c r="E215" i="2"/>
  <c r="D215" i="2"/>
  <c r="A215" i="2"/>
  <c r="H214" i="2"/>
  <c r="G214" i="2"/>
  <c r="F214" i="2"/>
  <c r="E214" i="2"/>
  <c r="D214" i="2"/>
  <c r="A214" i="2"/>
  <c r="H213" i="2"/>
  <c r="G213" i="2"/>
  <c r="F213" i="2"/>
  <c r="E213" i="2"/>
  <c r="D213" i="2"/>
  <c r="A213" i="2"/>
  <c r="H212" i="2"/>
  <c r="G212" i="2"/>
  <c r="F212" i="2"/>
  <c r="E212" i="2"/>
  <c r="D212" i="2"/>
  <c r="A212" i="2"/>
  <c r="H211" i="2"/>
  <c r="G211" i="2"/>
  <c r="F211" i="2"/>
  <c r="E211" i="2"/>
  <c r="D211" i="2"/>
  <c r="A211" i="2"/>
  <c r="H210" i="2"/>
  <c r="G210" i="2"/>
  <c r="F210" i="2"/>
  <c r="E210" i="2"/>
  <c r="D210" i="2"/>
  <c r="A210" i="2"/>
  <c r="H209" i="2"/>
  <c r="G209" i="2"/>
  <c r="F209" i="2"/>
  <c r="E209" i="2"/>
  <c r="D209" i="2"/>
  <c r="A209" i="2"/>
  <c r="H208" i="2"/>
  <c r="G208" i="2"/>
  <c r="F208" i="2"/>
  <c r="E208" i="2"/>
  <c r="D208" i="2"/>
  <c r="A208" i="2"/>
  <c r="H207" i="2"/>
  <c r="G207" i="2"/>
  <c r="F207" i="2"/>
  <c r="E207" i="2"/>
  <c r="D207" i="2"/>
  <c r="A207" i="2"/>
  <c r="H206" i="2"/>
  <c r="G206" i="2"/>
  <c r="F206" i="2"/>
  <c r="E206" i="2"/>
  <c r="D206" i="2"/>
  <c r="A206" i="2"/>
  <c r="H205" i="2"/>
  <c r="G205" i="2"/>
  <c r="F205" i="2"/>
  <c r="E205" i="2"/>
  <c r="D205" i="2"/>
  <c r="A205" i="2"/>
  <c r="H204" i="2"/>
  <c r="G204" i="2"/>
  <c r="F204" i="2"/>
  <c r="E204" i="2"/>
  <c r="D204" i="2"/>
  <c r="A204" i="2"/>
  <c r="H203" i="2"/>
  <c r="G203" i="2"/>
  <c r="F203" i="2"/>
  <c r="E203" i="2"/>
  <c r="D203" i="2"/>
  <c r="A203" i="2"/>
  <c r="H202" i="2"/>
  <c r="G202" i="2"/>
  <c r="F202" i="2"/>
  <c r="E202" i="2"/>
  <c r="D202" i="2"/>
  <c r="A202" i="2"/>
  <c r="H201" i="2"/>
  <c r="G201" i="2"/>
  <c r="F201" i="2"/>
  <c r="E201" i="2"/>
  <c r="D201" i="2"/>
  <c r="A201" i="2"/>
  <c r="H200" i="2"/>
  <c r="G200" i="2"/>
  <c r="F200" i="2"/>
  <c r="E200" i="2"/>
  <c r="D200" i="2"/>
  <c r="A200" i="2"/>
  <c r="H199" i="2"/>
  <c r="G199" i="2"/>
  <c r="F199" i="2"/>
  <c r="E199" i="2"/>
  <c r="D199" i="2"/>
  <c r="A199" i="2"/>
  <c r="H198" i="2"/>
  <c r="G198" i="2"/>
  <c r="F198" i="2"/>
  <c r="E198" i="2"/>
  <c r="D198" i="2"/>
  <c r="A198" i="2"/>
  <c r="H197" i="2"/>
  <c r="G197" i="2"/>
  <c r="F197" i="2"/>
  <c r="E197" i="2"/>
  <c r="D197" i="2"/>
  <c r="A197" i="2"/>
  <c r="H196" i="2"/>
  <c r="G196" i="2"/>
  <c r="F196" i="2"/>
  <c r="E196" i="2"/>
  <c r="D196" i="2"/>
  <c r="A196" i="2"/>
  <c r="H195" i="2"/>
  <c r="G195" i="2"/>
  <c r="F195" i="2"/>
  <c r="E195" i="2"/>
  <c r="D195" i="2"/>
  <c r="A195" i="2"/>
  <c r="H194" i="2"/>
  <c r="G194" i="2"/>
  <c r="F194" i="2"/>
  <c r="E194" i="2"/>
  <c r="D194" i="2"/>
  <c r="A194" i="2"/>
  <c r="H193" i="2"/>
  <c r="G193" i="2"/>
  <c r="F193" i="2"/>
  <c r="E193" i="2"/>
  <c r="D193" i="2"/>
  <c r="A193" i="2"/>
  <c r="H192" i="2"/>
  <c r="G192" i="2"/>
  <c r="F192" i="2"/>
  <c r="E192" i="2"/>
  <c r="D192" i="2"/>
  <c r="A192" i="2"/>
  <c r="H191" i="2"/>
  <c r="G191" i="2"/>
  <c r="F191" i="2"/>
  <c r="E191" i="2"/>
  <c r="D191" i="2"/>
  <c r="A191" i="2"/>
  <c r="H190" i="2"/>
  <c r="G190" i="2"/>
  <c r="F190" i="2"/>
  <c r="E190" i="2"/>
  <c r="D190" i="2"/>
  <c r="A190" i="2"/>
  <c r="H189" i="2"/>
  <c r="G189" i="2"/>
  <c r="F189" i="2"/>
  <c r="E189" i="2"/>
  <c r="D189" i="2"/>
  <c r="A189" i="2"/>
  <c r="H188" i="2"/>
  <c r="G188" i="2"/>
  <c r="F188" i="2"/>
  <c r="E188" i="2"/>
  <c r="D188" i="2"/>
  <c r="A188" i="2"/>
  <c r="H187" i="2"/>
  <c r="G187" i="2"/>
  <c r="F187" i="2"/>
  <c r="E187" i="2"/>
  <c r="D187" i="2"/>
  <c r="A187" i="2"/>
  <c r="H186" i="2"/>
  <c r="G186" i="2"/>
  <c r="F186" i="2"/>
  <c r="E186" i="2"/>
  <c r="D186" i="2"/>
  <c r="A186" i="2"/>
  <c r="H185" i="2"/>
  <c r="G185" i="2"/>
  <c r="F185" i="2"/>
  <c r="E185" i="2"/>
  <c r="D185" i="2"/>
  <c r="A185" i="2"/>
  <c r="H184" i="2"/>
  <c r="G184" i="2"/>
  <c r="F184" i="2"/>
  <c r="E184" i="2"/>
  <c r="D184" i="2"/>
  <c r="A184" i="2"/>
  <c r="H183" i="2"/>
  <c r="G183" i="2"/>
  <c r="F183" i="2"/>
  <c r="E183" i="2"/>
  <c r="D183" i="2"/>
  <c r="A183" i="2"/>
  <c r="H182" i="2"/>
  <c r="G182" i="2"/>
  <c r="F182" i="2"/>
  <c r="E182" i="2"/>
  <c r="D182" i="2"/>
  <c r="A182" i="2"/>
  <c r="H181" i="2"/>
  <c r="G181" i="2"/>
  <c r="F181" i="2"/>
  <c r="E181" i="2"/>
  <c r="D181" i="2"/>
  <c r="A181" i="2"/>
  <c r="H180" i="2"/>
  <c r="G180" i="2"/>
  <c r="F180" i="2"/>
  <c r="E180" i="2"/>
  <c r="D180" i="2"/>
  <c r="A180" i="2"/>
  <c r="H179" i="2"/>
  <c r="G179" i="2"/>
  <c r="F179" i="2"/>
  <c r="E179" i="2"/>
  <c r="D179" i="2"/>
  <c r="A179" i="2"/>
  <c r="H178" i="2"/>
  <c r="G178" i="2"/>
  <c r="F178" i="2"/>
  <c r="E178" i="2"/>
  <c r="D178" i="2"/>
  <c r="A178" i="2"/>
  <c r="H177" i="2"/>
  <c r="G177" i="2"/>
  <c r="F177" i="2"/>
  <c r="E177" i="2"/>
  <c r="D177" i="2"/>
  <c r="A177" i="2"/>
  <c r="H176" i="2"/>
  <c r="G176" i="2"/>
  <c r="F176" i="2"/>
  <c r="E176" i="2"/>
  <c r="D176" i="2"/>
  <c r="A176" i="2"/>
  <c r="H175" i="2"/>
  <c r="G175" i="2"/>
  <c r="F175" i="2"/>
  <c r="E175" i="2"/>
  <c r="D175" i="2"/>
  <c r="A175" i="2"/>
  <c r="H174" i="2"/>
  <c r="G174" i="2"/>
  <c r="F174" i="2"/>
  <c r="E174" i="2"/>
  <c r="D174" i="2"/>
  <c r="A174" i="2"/>
  <c r="H173" i="2"/>
  <c r="G173" i="2"/>
  <c r="F173" i="2"/>
  <c r="E173" i="2"/>
  <c r="D173" i="2"/>
  <c r="A173" i="2"/>
  <c r="H172" i="2"/>
  <c r="G172" i="2"/>
  <c r="F172" i="2"/>
  <c r="E172" i="2"/>
  <c r="D172" i="2"/>
  <c r="A172" i="2"/>
  <c r="H171" i="2"/>
  <c r="G171" i="2"/>
  <c r="F171" i="2"/>
  <c r="E171" i="2"/>
  <c r="D171" i="2"/>
  <c r="A171" i="2"/>
  <c r="H170" i="2"/>
  <c r="G170" i="2"/>
  <c r="F170" i="2"/>
  <c r="E170" i="2"/>
  <c r="D170" i="2"/>
  <c r="A170" i="2"/>
  <c r="H169" i="2"/>
  <c r="G169" i="2"/>
  <c r="F169" i="2"/>
  <c r="E169" i="2"/>
  <c r="D169" i="2"/>
  <c r="A169" i="2"/>
  <c r="H168" i="2"/>
  <c r="G168" i="2"/>
  <c r="F168" i="2"/>
  <c r="E168" i="2"/>
  <c r="D168" i="2"/>
  <c r="A168" i="2"/>
  <c r="H167" i="2"/>
  <c r="G167" i="2"/>
  <c r="F167" i="2"/>
  <c r="E167" i="2"/>
  <c r="D167" i="2"/>
  <c r="A167" i="2"/>
  <c r="H166" i="2"/>
  <c r="G166" i="2"/>
  <c r="F166" i="2"/>
  <c r="E166" i="2"/>
  <c r="D166" i="2"/>
  <c r="A166" i="2"/>
  <c r="H165" i="2"/>
  <c r="G165" i="2"/>
  <c r="F165" i="2"/>
  <c r="E165" i="2"/>
  <c r="D165" i="2"/>
  <c r="A165" i="2"/>
  <c r="H164" i="2"/>
  <c r="G164" i="2"/>
  <c r="F164" i="2"/>
  <c r="E164" i="2"/>
  <c r="D164" i="2"/>
  <c r="A164" i="2"/>
  <c r="H163" i="2"/>
  <c r="G163" i="2"/>
  <c r="F163" i="2"/>
  <c r="E163" i="2"/>
  <c r="D163" i="2"/>
  <c r="A163" i="2"/>
  <c r="H162" i="2"/>
  <c r="G162" i="2"/>
  <c r="F162" i="2"/>
  <c r="E162" i="2"/>
  <c r="D162" i="2"/>
  <c r="A162" i="2"/>
  <c r="H161" i="2"/>
  <c r="G161" i="2"/>
  <c r="F161" i="2"/>
  <c r="E161" i="2"/>
  <c r="D161" i="2"/>
  <c r="A161" i="2"/>
  <c r="H160" i="2"/>
  <c r="G160" i="2"/>
  <c r="F160" i="2"/>
  <c r="E160" i="2"/>
  <c r="D160" i="2"/>
  <c r="A160" i="2"/>
  <c r="H159" i="2"/>
  <c r="G159" i="2"/>
  <c r="F159" i="2"/>
  <c r="E159" i="2"/>
  <c r="D159" i="2"/>
  <c r="A159" i="2"/>
  <c r="H158" i="2"/>
  <c r="G158" i="2"/>
  <c r="F158" i="2"/>
  <c r="E158" i="2"/>
  <c r="D158" i="2"/>
  <c r="A158" i="2"/>
  <c r="H157" i="2"/>
  <c r="G157" i="2"/>
  <c r="F157" i="2"/>
  <c r="E157" i="2"/>
  <c r="D157" i="2"/>
  <c r="A157" i="2"/>
  <c r="H156" i="2"/>
  <c r="G156" i="2"/>
  <c r="F156" i="2"/>
  <c r="E156" i="2"/>
  <c r="D156" i="2"/>
  <c r="A156" i="2"/>
  <c r="H155" i="2"/>
  <c r="G155" i="2"/>
  <c r="F155" i="2"/>
  <c r="E155" i="2"/>
  <c r="D155" i="2"/>
  <c r="A155" i="2"/>
  <c r="H154" i="2"/>
  <c r="G154" i="2"/>
  <c r="F154" i="2"/>
  <c r="E154" i="2"/>
  <c r="D154" i="2"/>
  <c r="A154" i="2"/>
  <c r="H153" i="2"/>
  <c r="G153" i="2"/>
  <c r="F153" i="2"/>
  <c r="E153" i="2"/>
  <c r="D153" i="2"/>
  <c r="A153" i="2"/>
  <c r="H152" i="2"/>
  <c r="G152" i="2"/>
  <c r="F152" i="2"/>
  <c r="E152" i="2"/>
  <c r="D152" i="2"/>
  <c r="A152" i="2"/>
  <c r="H151" i="2"/>
  <c r="G151" i="2"/>
  <c r="F151" i="2"/>
  <c r="E151" i="2"/>
  <c r="D151" i="2"/>
  <c r="A151" i="2"/>
  <c r="H150" i="2"/>
  <c r="G150" i="2"/>
  <c r="F150" i="2"/>
  <c r="E150" i="2"/>
  <c r="D150" i="2"/>
  <c r="A150" i="2"/>
  <c r="H149" i="2"/>
  <c r="G149" i="2"/>
  <c r="F149" i="2"/>
  <c r="E149" i="2"/>
  <c r="D149" i="2"/>
  <c r="A149" i="2"/>
  <c r="H148" i="2"/>
  <c r="G148" i="2"/>
  <c r="F148" i="2"/>
  <c r="E148" i="2"/>
  <c r="D148" i="2"/>
  <c r="A148" i="2"/>
  <c r="H147" i="2"/>
  <c r="G147" i="2"/>
  <c r="F147" i="2"/>
  <c r="E147" i="2"/>
  <c r="D147" i="2"/>
  <c r="A147" i="2"/>
  <c r="H146" i="2"/>
  <c r="G146" i="2"/>
  <c r="F146" i="2"/>
  <c r="E146" i="2"/>
  <c r="D146" i="2"/>
  <c r="A146" i="2"/>
  <c r="H145" i="2"/>
  <c r="G145" i="2"/>
  <c r="F145" i="2"/>
  <c r="E145" i="2"/>
  <c r="D145" i="2"/>
  <c r="A145" i="2"/>
  <c r="H144" i="2"/>
  <c r="G144" i="2"/>
  <c r="F144" i="2"/>
  <c r="E144" i="2"/>
  <c r="D144" i="2"/>
  <c r="A144" i="2"/>
  <c r="H143" i="2"/>
  <c r="G143" i="2"/>
  <c r="F143" i="2"/>
  <c r="E143" i="2"/>
  <c r="D143" i="2"/>
  <c r="A143" i="2"/>
  <c r="H142" i="2"/>
  <c r="G142" i="2"/>
  <c r="F142" i="2"/>
  <c r="E142" i="2"/>
  <c r="D142" i="2"/>
  <c r="A142" i="2"/>
  <c r="H141" i="2"/>
  <c r="G141" i="2"/>
  <c r="F141" i="2"/>
  <c r="E141" i="2"/>
  <c r="D141" i="2"/>
  <c r="A141" i="2"/>
  <c r="H140" i="2"/>
  <c r="G140" i="2"/>
  <c r="F140" i="2"/>
  <c r="E140" i="2"/>
  <c r="D140" i="2"/>
  <c r="A140" i="2"/>
  <c r="H139" i="2"/>
  <c r="G139" i="2"/>
  <c r="F139" i="2"/>
  <c r="E139" i="2"/>
  <c r="D139" i="2"/>
  <c r="A139" i="2"/>
  <c r="H138" i="2"/>
  <c r="G138" i="2"/>
  <c r="F138" i="2"/>
  <c r="E138" i="2"/>
  <c r="D138" i="2"/>
  <c r="A138" i="2"/>
  <c r="H137" i="2"/>
  <c r="G137" i="2"/>
  <c r="F137" i="2"/>
  <c r="E137" i="2"/>
  <c r="D137" i="2"/>
  <c r="A137" i="2"/>
  <c r="H136" i="2"/>
  <c r="G136" i="2"/>
  <c r="F136" i="2"/>
  <c r="E136" i="2"/>
  <c r="D136" i="2"/>
  <c r="A136" i="2"/>
  <c r="H135" i="2"/>
  <c r="G135" i="2"/>
  <c r="F135" i="2"/>
  <c r="E135" i="2"/>
  <c r="D135" i="2"/>
  <c r="A135" i="2"/>
  <c r="H134" i="2"/>
  <c r="G134" i="2"/>
  <c r="F134" i="2"/>
  <c r="E134" i="2"/>
  <c r="D134" i="2"/>
  <c r="A134" i="2"/>
  <c r="H133" i="2"/>
  <c r="G133" i="2"/>
  <c r="F133" i="2"/>
  <c r="E133" i="2"/>
  <c r="D133" i="2"/>
  <c r="A133" i="2"/>
  <c r="H132" i="2"/>
  <c r="G132" i="2"/>
  <c r="F132" i="2"/>
  <c r="E132" i="2"/>
  <c r="D132" i="2"/>
  <c r="A132" i="2"/>
  <c r="H131" i="2"/>
  <c r="G131" i="2"/>
  <c r="F131" i="2"/>
  <c r="E131" i="2"/>
  <c r="D131" i="2"/>
  <c r="A131" i="2"/>
  <c r="H130" i="2"/>
  <c r="G130" i="2"/>
  <c r="F130" i="2"/>
  <c r="E130" i="2"/>
  <c r="D130" i="2"/>
  <c r="A130" i="2"/>
  <c r="H129" i="2"/>
  <c r="G129" i="2"/>
  <c r="F129" i="2"/>
  <c r="E129" i="2"/>
  <c r="D129" i="2"/>
  <c r="A129" i="2"/>
  <c r="H128" i="2"/>
  <c r="G128" i="2"/>
  <c r="F128" i="2"/>
  <c r="E128" i="2"/>
  <c r="D128" i="2"/>
  <c r="A128" i="2"/>
  <c r="H127" i="2"/>
  <c r="G127" i="2"/>
  <c r="F127" i="2"/>
  <c r="E127" i="2"/>
  <c r="D127" i="2"/>
  <c r="A127" i="2"/>
  <c r="H126" i="2"/>
  <c r="G126" i="2"/>
  <c r="F126" i="2"/>
  <c r="E126" i="2"/>
  <c r="D126" i="2"/>
  <c r="A126" i="2"/>
  <c r="H125" i="2"/>
  <c r="G125" i="2"/>
  <c r="F125" i="2"/>
  <c r="E125" i="2"/>
  <c r="D125" i="2"/>
  <c r="A125" i="2"/>
  <c r="H124" i="2"/>
  <c r="G124" i="2"/>
  <c r="F124" i="2"/>
  <c r="E124" i="2"/>
  <c r="D124" i="2"/>
  <c r="A124" i="2"/>
  <c r="H123" i="2"/>
  <c r="G123" i="2"/>
  <c r="F123" i="2"/>
  <c r="E123" i="2"/>
  <c r="D123" i="2"/>
  <c r="A123" i="2"/>
  <c r="H122" i="2"/>
  <c r="G122" i="2"/>
  <c r="F122" i="2"/>
  <c r="E122" i="2"/>
  <c r="D122" i="2"/>
  <c r="A122" i="2"/>
  <c r="H121" i="2"/>
  <c r="G121" i="2"/>
  <c r="F121" i="2"/>
  <c r="E121" i="2"/>
  <c r="D121" i="2"/>
  <c r="A121" i="2"/>
  <c r="H120" i="2"/>
  <c r="G120" i="2"/>
  <c r="F120" i="2"/>
  <c r="E120" i="2"/>
  <c r="D120" i="2"/>
  <c r="A120" i="2"/>
  <c r="H119" i="2"/>
  <c r="G119" i="2"/>
  <c r="F119" i="2"/>
  <c r="E119" i="2"/>
  <c r="D119" i="2"/>
  <c r="A119" i="2"/>
  <c r="H118" i="2"/>
  <c r="G118" i="2"/>
  <c r="F118" i="2"/>
  <c r="E118" i="2"/>
  <c r="D118" i="2"/>
  <c r="A118" i="2"/>
  <c r="H117" i="2"/>
  <c r="G117" i="2"/>
  <c r="F117" i="2"/>
  <c r="E117" i="2"/>
  <c r="D117" i="2"/>
  <c r="A117" i="2"/>
  <c r="H116" i="2"/>
  <c r="G116" i="2"/>
  <c r="F116" i="2"/>
  <c r="E116" i="2"/>
  <c r="D116" i="2"/>
  <c r="A116" i="2"/>
  <c r="H115" i="2"/>
  <c r="G115" i="2"/>
  <c r="F115" i="2"/>
  <c r="E115" i="2"/>
  <c r="D115" i="2"/>
  <c r="A115" i="2"/>
  <c r="H114" i="2"/>
  <c r="G114" i="2"/>
  <c r="F114" i="2"/>
  <c r="E114" i="2"/>
  <c r="D114" i="2"/>
  <c r="A114" i="2"/>
  <c r="H113" i="2"/>
  <c r="G113" i="2"/>
  <c r="F113" i="2"/>
  <c r="E113" i="2"/>
  <c r="D113" i="2"/>
  <c r="A113" i="2"/>
  <c r="H112" i="2"/>
  <c r="G112" i="2"/>
  <c r="F112" i="2"/>
  <c r="E112" i="2"/>
  <c r="D112" i="2"/>
  <c r="A112" i="2"/>
  <c r="H111" i="2"/>
  <c r="G111" i="2"/>
  <c r="F111" i="2"/>
  <c r="E111" i="2"/>
  <c r="D111" i="2"/>
  <c r="A111" i="2"/>
  <c r="H110" i="2"/>
  <c r="G110" i="2"/>
  <c r="F110" i="2"/>
  <c r="E110" i="2"/>
  <c r="D110" i="2"/>
  <c r="A110" i="2"/>
  <c r="H109" i="2"/>
  <c r="G109" i="2"/>
  <c r="F109" i="2"/>
  <c r="E109" i="2"/>
  <c r="D109" i="2"/>
  <c r="A109" i="2"/>
  <c r="H108" i="2"/>
  <c r="G108" i="2"/>
  <c r="F108" i="2"/>
  <c r="E108" i="2"/>
  <c r="D108" i="2"/>
  <c r="A108" i="2"/>
  <c r="H107" i="2"/>
  <c r="G107" i="2"/>
  <c r="F107" i="2"/>
  <c r="E107" i="2"/>
  <c r="D107" i="2"/>
  <c r="A107" i="2"/>
  <c r="H106" i="2"/>
  <c r="G106" i="2"/>
  <c r="F106" i="2"/>
  <c r="E106" i="2"/>
  <c r="D106" i="2"/>
  <c r="A106" i="2"/>
  <c r="H105" i="2"/>
  <c r="G105" i="2"/>
  <c r="F105" i="2"/>
  <c r="E105" i="2"/>
  <c r="D105" i="2"/>
  <c r="A105" i="2"/>
  <c r="H104" i="2"/>
  <c r="G104" i="2"/>
  <c r="F104" i="2"/>
  <c r="E104" i="2"/>
  <c r="D104" i="2"/>
  <c r="A104" i="2"/>
  <c r="H103" i="2"/>
  <c r="G103" i="2"/>
  <c r="F103" i="2"/>
  <c r="E103" i="2"/>
  <c r="D103" i="2"/>
  <c r="A103" i="2"/>
  <c r="H102" i="2"/>
  <c r="G102" i="2"/>
  <c r="F102" i="2"/>
  <c r="E102" i="2"/>
  <c r="D102" i="2"/>
  <c r="A102" i="2"/>
  <c r="H101" i="2"/>
  <c r="G101" i="2"/>
  <c r="F101" i="2"/>
  <c r="E101" i="2"/>
  <c r="D101" i="2"/>
  <c r="A101" i="2"/>
  <c r="H100" i="2"/>
  <c r="G100" i="2"/>
  <c r="F100" i="2"/>
  <c r="E100" i="2"/>
  <c r="D100" i="2"/>
  <c r="A100" i="2"/>
  <c r="H99" i="2"/>
  <c r="G99" i="2"/>
  <c r="F99" i="2"/>
  <c r="E99" i="2"/>
  <c r="D99" i="2"/>
  <c r="A99" i="2"/>
  <c r="H98" i="2"/>
  <c r="G98" i="2"/>
  <c r="F98" i="2"/>
  <c r="E98" i="2"/>
  <c r="D98" i="2"/>
  <c r="A98" i="2"/>
  <c r="H97" i="2"/>
  <c r="G97" i="2"/>
  <c r="F97" i="2"/>
  <c r="E97" i="2"/>
  <c r="D97" i="2"/>
  <c r="A97" i="2"/>
  <c r="H96" i="2"/>
  <c r="G96" i="2"/>
  <c r="F96" i="2"/>
  <c r="E96" i="2"/>
  <c r="D96" i="2"/>
  <c r="A96" i="2"/>
  <c r="H95" i="2"/>
  <c r="G95" i="2"/>
  <c r="F95" i="2"/>
  <c r="E95" i="2"/>
  <c r="D95" i="2"/>
  <c r="A95" i="2"/>
  <c r="H94" i="2"/>
  <c r="G94" i="2"/>
  <c r="F94" i="2"/>
  <c r="E94" i="2"/>
  <c r="D94" i="2"/>
  <c r="A94" i="2"/>
  <c r="H93" i="2"/>
  <c r="G93" i="2"/>
  <c r="F93" i="2"/>
  <c r="E93" i="2"/>
  <c r="D93" i="2"/>
  <c r="A93" i="2"/>
  <c r="H92" i="2"/>
  <c r="G92" i="2"/>
  <c r="F92" i="2"/>
  <c r="E92" i="2"/>
  <c r="D92" i="2"/>
  <c r="A92" i="2"/>
  <c r="H91" i="2"/>
  <c r="G91" i="2"/>
  <c r="F91" i="2"/>
  <c r="E91" i="2"/>
  <c r="D91" i="2"/>
  <c r="A91" i="2"/>
  <c r="H90" i="2"/>
  <c r="G90" i="2"/>
  <c r="F90" i="2"/>
  <c r="E90" i="2"/>
  <c r="D90" i="2"/>
  <c r="A90" i="2"/>
  <c r="H89" i="2"/>
  <c r="G89" i="2"/>
  <c r="F89" i="2"/>
  <c r="E89" i="2"/>
  <c r="D89" i="2"/>
  <c r="A89" i="2"/>
  <c r="H88" i="2"/>
  <c r="G88" i="2"/>
  <c r="F88" i="2"/>
  <c r="E88" i="2"/>
  <c r="D88" i="2"/>
  <c r="A88" i="2"/>
  <c r="H87" i="2"/>
  <c r="G87" i="2"/>
  <c r="F87" i="2"/>
  <c r="E87" i="2"/>
  <c r="D87" i="2"/>
  <c r="A87" i="2"/>
  <c r="H86" i="2"/>
  <c r="G86" i="2"/>
  <c r="F86" i="2"/>
  <c r="E86" i="2"/>
  <c r="D86" i="2"/>
  <c r="A86" i="2"/>
  <c r="H85" i="2"/>
  <c r="G85" i="2"/>
  <c r="F85" i="2"/>
  <c r="E85" i="2"/>
  <c r="D85" i="2"/>
  <c r="A85" i="2"/>
  <c r="H84" i="2"/>
  <c r="G84" i="2"/>
  <c r="F84" i="2"/>
  <c r="E84" i="2"/>
  <c r="D84" i="2"/>
  <c r="A84" i="2"/>
  <c r="H83" i="2"/>
  <c r="G83" i="2"/>
  <c r="F83" i="2"/>
  <c r="E83" i="2"/>
  <c r="D83" i="2"/>
  <c r="A83" i="2"/>
  <c r="H82" i="2"/>
  <c r="G82" i="2"/>
  <c r="F82" i="2"/>
  <c r="E82" i="2"/>
  <c r="D82" i="2"/>
  <c r="A82" i="2"/>
  <c r="H81" i="2"/>
  <c r="G81" i="2"/>
  <c r="F81" i="2"/>
  <c r="E81" i="2"/>
  <c r="D81" i="2"/>
  <c r="A81" i="2"/>
  <c r="H80" i="2"/>
  <c r="G80" i="2"/>
  <c r="F80" i="2"/>
  <c r="E80" i="2"/>
  <c r="D80" i="2"/>
  <c r="A80" i="2"/>
  <c r="H79" i="2"/>
  <c r="G79" i="2"/>
  <c r="F79" i="2"/>
  <c r="E79" i="2"/>
  <c r="D79" i="2"/>
  <c r="A79" i="2"/>
  <c r="H78" i="2"/>
  <c r="G78" i="2"/>
  <c r="F78" i="2"/>
  <c r="E78" i="2"/>
  <c r="D78" i="2"/>
  <c r="A78" i="2"/>
  <c r="H77" i="2"/>
  <c r="G77" i="2"/>
  <c r="F77" i="2"/>
  <c r="E77" i="2"/>
  <c r="D77" i="2"/>
  <c r="A77" i="2"/>
  <c r="H76" i="2"/>
  <c r="G76" i="2"/>
  <c r="F76" i="2"/>
  <c r="E76" i="2"/>
  <c r="D76" i="2"/>
  <c r="A76" i="2"/>
  <c r="H75" i="2"/>
  <c r="G75" i="2"/>
  <c r="F75" i="2"/>
  <c r="E75" i="2"/>
  <c r="D75" i="2"/>
  <c r="A75" i="2"/>
  <c r="H74" i="2"/>
  <c r="G74" i="2"/>
  <c r="F74" i="2"/>
  <c r="E74" i="2"/>
  <c r="D74" i="2"/>
  <c r="A74" i="2"/>
  <c r="H73" i="2"/>
  <c r="G73" i="2"/>
  <c r="F73" i="2"/>
  <c r="E73" i="2"/>
  <c r="D73" i="2"/>
  <c r="A73" i="2"/>
  <c r="H72" i="2"/>
  <c r="G72" i="2"/>
  <c r="F72" i="2"/>
  <c r="E72" i="2"/>
  <c r="D72" i="2"/>
  <c r="A72" i="2"/>
  <c r="H71" i="2"/>
  <c r="G71" i="2"/>
  <c r="F71" i="2"/>
  <c r="E71" i="2"/>
  <c r="D71" i="2"/>
  <c r="A71" i="2"/>
  <c r="H70" i="2"/>
  <c r="G70" i="2"/>
  <c r="F70" i="2"/>
  <c r="E70" i="2"/>
  <c r="D70" i="2"/>
  <c r="A70" i="2"/>
  <c r="H69" i="2"/>
  <c r="G69" i="2"/>
  <c r="F69" i="2"/>
  <c r="E69" i="2"/>
  <c r="D69" i="2"/>
  <c r="A69" i="2"/>
  <c r="H68" i="2"/>
  <c r="G68" i="2"/>
  <c r="F68" i="2"/>
  <c r="E68" i="2"/>
  <c r="D68" i="2"/>
  <c r="A68" i="2"/>
  <c r="H67" i="2"/>
  <c r="G67" i="2"/>
  <c r="F67" i="2"/>
  <c r="E67" i="2"/>
  <c r="D67" i="2"/>
  <c r="A67" i="2"/>
  <c r="H66" i="2"/>
  <c r="G66" i="2"/>
  <c r="F66" i="2"/>
  <c r="E66" i="2"/>
  <c r="D66" i="2"/>
  <c r="A66" i="2"/>
  <c r="H65" i="2"/>
  <c r="G65" i="2"/>
  <c r="F65" i="2"/>
  <c r="E65" i="2"/>
  <c r="D65" i="2"/>
  <c r="A65" i="2"/>
  <c r="H64" i="2"/>
  <c r="G64" i="2"/>
  <c r="F64" i="2"/>
  <c r="E64" i="2"/>
  <c r="D64" i="2"/>
  <c r="A64" i="2"/>
  <c r="H63" i="2"/>
  <c r="G63" i="2"/>
  <c r="F63" i="2"/>
  <c r="E63" i="2"/>
  <c r="D63" i="2"/>
  <c r="A63" i="2"/>
  <c r="H62" i="2"/>
  <c r="G62" i="2"/>
  <c r="F62" i="2"/>
  <c r="E62" i="2"/>
  <c r="D62" i="2"/>
  <c r="A62" i="2"/>
  <c r="H61" i="2"/>
  <c r="G61" i="2"/>
  <c r="F61" i="2"/>
  <c r="E61" i="2"/>
  <c r="D61" i="2"/>
  <c r="A61" i="2"/>
  <c r="H60" i="2"/>
  <c r="G60" i="2"/>
  <c r="F60" i="2"/>
  <c r="E60" i="2"/>
  <c r="D60" i="2"/>
  <c r="A60" i="2"/>
  <c r="H59" i="2"/>
  <c r="G59" i="2"/>
  <c r="F59" i="2"/>
  <c r="E59" i="2"/>
  <c r="D59" i="2"/>
  <c r="A59" i="2"/>
  <c r="H58" i="2"/>
  <c r="G58" i="2"/>
  <c r="F58" i="2"/>
  <c r="E58" i="2"/>
  <c r="D58" i="2"/>
  <c r="A58" i="2"/>
  <c r="H57" i="2"/>
  <c r="G57" i="2"/>
  <c r="F57" i="2"/>
  <c r="E57" i="2"/>
  <c r="D57" i="2"/>
  <c r="A57" i="2"/>
  <c r="H56" i="2"/>
  <c r="G56" i="2"/>
  <c r="F56" i="2"/>
  <c r="E56" i="2"/>
  <c r="D56" i="2"/>
  <c r="A56" i="2"/>
  <c r="H55" i="2"/>
  <c r="G55" i="2"/>
  <c r="F55" i="2"/>
  <c r="E55" i="2"/>
  <c r="D55" i="2"/>
  <c r="A55" i="2"/>
  <c r="H54" i="2"/>
  <c r="G54" i="2"/>
  <c r="F54" i="2"/>
  <c r="E54" i="2"/>
  <c r="D54" i="2"/>
  <c r="A54" i="2"/>
  <c r="H53" i="2"/>
  <c r="G53" i="2"/>
  <c r="F53" i="2"/>
  <c r="E53" i="2"/>
  <c r="D53" i="2"/>
  <c r="A53" i="2"/>
  <c r="H52" i="2"/>
  <c r="G52" i="2"/>
  <c r="F52" i="2"/>
  <c r="E52" i="2"/>
  <c r="D52" i="2"/>
  <c r="A52" i="2"/>
  <c r="H51" i="2"/>
  <c r="G51" i="2"/>
  <c r="F51" i="2"/>
  <c r="E51" i="2"/>
  <c r="D51" i="2"/>
  <c r="A51" i="2"/>
  <c r="H50" i="2"/>
  <c r="G50" i="2"/>
  <c r="F50" i="2"/>
  <c r="E50" i="2"/>
  <c r="D50" i="2"/>
  <c r="A50" i="2"/>
  <c r="H49" i="2"/>
  <c r="G49" i="2"/>
  <c r="F49" i="2"/>
  <c r="E49" i="2"/>
  <c r="D49" i="2"/>
  <c r="A49" i="2"/>
  <c r="H48" i="2"/>
  <c r="G48" i="2"/>
  <c r="F48" i="2"/>
  <c r="E48" i="2"/>
  <c r="D48" i="2"/>
  <c r="A48" i="2"/>
  <c r="H47" i="2"/>
  <c r="G47" i="2"/>
  <c r="F47" i="2"/>
  <c r="E47" i="2"/>
  <c r="D47" i="2"/>
  <c r="A47" i="2"/>
  <c r="H46" i="2"/>
  <c r="G46" i="2"/>
  <c r="F46" i="2"/>
  <c r="E46" i="2"/>
  <c r="D46" i="2"/>
  <c r="A46" i="2"/>
  <c r="H45" i="2"/>
  <c r="G45" i="2"/>
  <c r="F45" i="2"/>
  <c r="E45" i="2"/>
  <c r="D45" i="2"/>
  <c r="A45" i="2"/>
  <c r="H44" i="2"/>
  <c r="G44" i="2"/>
  <c r="F44" i="2"/>
  <c r="E44" i="2"/>
  <c r="D44" i="2"/>
  <c r="A44" i="2"/>
  <c r="H43" i="2"/>
  <c r="G43" i="2"/>
  <c r="F43" i="2"/>
  <c r="E43" i="2"/>
  <c r="D43" i="2"/>
  <c r="A43" i="2"/>
  <c r="H42" i="2"/>
  <c r="G42" i="2"/>
  <c r="F42" i="2"/>
  <c r="E42" i="2"/>
  <c r="D42" i="2"/>
  <c r="A42" i="2"/>
  <c r="H41" i="2"/>
  <c r="G41" i="2"/>
  <c r="F41" i="2"/>
  <c r="E41" i="2"/>
  <c r="D41" i="2"/>
  <c r="A41" i="2"/>
  <c r="H40" i="2"/>
  <c r="G40" i="2"/>
  <c r="F40" i="2"/>
  <c r="E40" i="2"/>
  <c r="D40" i="2"/>
  <c r="A40" i="2"/>
  <c r="H39" i="2"/>
  <c r="G39" i="2"/>
  <c r="F39" i="2"/>
  <c r="E39" i="2"/>
  <c r="D39" i="2"/>
  <c r="A39" i="2"/>
  <c r="H38" i="2"/>
  <c r="G38" i="2"/>
  <c r="F38" i="2"/>
  <c r="E38" i="2"/>
  <c r="D38" i="2"/>
  <c r="A38" i="2"/>
  <c r="H37" i="2"/>
  <c r="G37" i="2"/>
  <c r="F37" i="2"/>
  <c r="E37" i="2"/>
  <c r="D37" i="2"/>
  <c r="A37" i="2"/>
  <c r="H36" i="2"/>
  <c r="G36" i="2"/>
  <c r="F36" i="2"/>
  <c r="E36" i="2"/>
  <c r="D36" i="2"/>
  <c r="A36" i="2"/>
  <c r="H35" i="2"/>
  <c r="G35" i="2"/>
  <c r="F35" i="2"/>
  <c r="E35" i="2"/>
  <c r="D35" i="2"/>
  <c r="A35" i="2"/>
  <c r="H34" i="2"/>
  <c r="G34" i="2"/>
  <c r="F34" i="2"/>
  <c r="E34" i="2"/>
  <c r="D34" i="2"/>
  <c r="A34" i="2"/>
  <c r="H33" i="2"/>
  <c r="G33" i="2"/>
  <c r="F33" i="2"/>
  <c r="E33" i="2"/>
  <c r="D33" i="2"/>
  <c r="A33" i="2"/>
  <c r="H32" i="2"/>
  <c r="G32" i="2"/>
  <c r="F32" i="2"/>
  <c r="E32" i="2"/>
  <c r="D32" i="2"/>
  <c r="A32" i="2"/>
  <c r="H31" i="2"/>
  <c r="G31" i="2"/>
  <c r="F31" i="2"/>
  <c r="E31" i="2"/>
  <c r="D31" i="2"/>
  <c r="A31" i="2"/>
  <c r="H30" i="2"/>
  <c r="G30" i="2"/>
  <c r="F30" i="2"/>
  <c r="E30" i="2"/>
  <c r="D30" i="2"/>
  <c r="A30" i="2"/>
  <c r="H29" i="2"/>
  <c r="G29" i="2"/>
  <c r="F29" i="2"/>
  <c r="E29" i="2"/>
  <c r="D29" i="2"/>
  <c r="A29" i="2"/>
  <c r="H28" i="2"/>
  <c r="G28" i="2"/>
  <c r="F28" i="2"/>
  <c r="E28" i="2"/>
  <c r="D28" i="2"/>
  <c r="A28" i="2"/>
  <c r="H27" i="2"/>
  <c r="G27" i="2"/>
  <c r="F27" i="2"/>
  <c r="E27" i="2"/>
  <c r="D27" i="2"/>
  <c r="A27" i="2"/>
  <c r="H26" i="2"/>
  <c r="G26" i="2"/>
  <c r="F26" i="2"/>
  <c r="E26" i="2"/>
  <c r="D26" i="2"/>
  <c r="A26" i="2"/>
  <c r="H25" i="2"/>
  <c r="G25" i="2"/>
  <c r="F25" i="2"/>
  <c r="E25" i="2"/>
  <c r="D25" i="2"/>
  <c r="A25" i="2"/>
  <c r="H24" i="2"/>
  <c r="G24" i="2"/>
  <c r="F24" i="2"/>
  <c r="E24" i="2"/>
  <c r="D24" i="2"/>
  <c r="A24" i="2"/>
  <c r="H23" i="2"/>
  <c r="G23" i="2"/>
  <c r="F23" i="2"/>
  <c r="E23" i="2"/>
  <c r="D23" i="2"/>
  <c r="A23" i="2"/>
  <c r="H22" i="2"/>
  <c r="G22" i="2"/>
  <c r="F22" i="2"/>
  <c r="E22" i="2"/>
  <c r="D22" i="2"/>
  <c r="A22" i="2"/>
  <c r="H21" i="2"/>
  <c r="G21" i="2"/>
  <c r="F21" i="2"/>
  <c r="E21" i="2"/>
  <c r="D21" i="2"/>
  <c r="A21" i="2"/>
  <c r="H20" i="2"/>
  <c r="G20" i="2"/>
  <c r="F20" i="2"/>
  <c r="E20" i="2"/>
  <c r="D20" i="2"/>
  <c r="A20" i="2"/>
  <c r="H19" i="2"/>
  <c r="G19" i="2"/>
  <c r="F19" i="2"/>
  <c r="E19" i="2"/>
  <c r="D19" i="2"/>
  <c r="A19" i="2"/>
  <c r="H18" i="2"/>
  <c r="G18" i="2"/>
  <c r="F18" i="2"/>
  <c r="E18" i="2"/>
  <c r="D18" i="2"/>
  <c r="A18" i="2"/>
  <c r="H17" i="2"/>
  <c r="G17" i="2"/>
  <c r="F17" i="2"/>
  <c r="E17" i="2"/>
  <c r="D17" i="2"/>
  <c r="A17" i="2"/>
  <c r="H16" i="2"/>
  <c r="G16" i="2"/>
  <c r="F16" i="2"/>
  <c r="E16" i="2"/>
  <c r="D16" i="2"/>
  <c r="A16" i="2"/>
  <c r="H15" i="2"/>
  <c r="G15" i="2"/>
  <c r="F15" i="2"/>
  <c r="E15" i="2"/>
  <c r="D15" i="2"/>
  <c r="A15" i="2"/>
  <c r="H14" i="2"/>
  <c r="G14" i="2"/>
  <c r="F14" i="2"/>
  <c r="E14" i="2"/>
  <c r="D14" i="2"/>
  <c r="A14" i="2"/>
  <c r="H13" i="2"/>
  <c r="G13" i="2"/>
  <c r="F13" i="2"/>
  <c r="E13" i="2"/>
  <c r="D13" i="2"/>
  <c r="A13" i="2"/>
  <c r="H12" i="2"/>
  <c r="G12" i="2"/>
  <c r="F12" i="2"/>
  <c r="E12" i="2"/>
  <c r="D12" i="2"/>
  <c r="A12" i="2"/>
  <c r="H11" i="2"/>
  <c r="G11" i="2"/>
  <c r="F11" i="2"/>
  <c r="E11" i="2"/>
  <c r="D11" i="2"/>
  <c r="A11" i="2"/>
  <c r="H10" i="2"/>
  <c r="G10" i="2"/>
  <c r="F10" i="2"/>
  <c r="E10" i="2"/>
  <c r="D10" i="2"/>
  <c r="A10" i="2"/>
  <c r="H9" i="2"/>
  <c r="G9" i="2"/>
  <c r="F9" i="2"/>
  <c r="E9" i="2"/>
  <c r="D9" i="2"/>
  <c r="A9" i="2"/>
  <c r="H8" i="2"/>
  <c r="G8" i="2"/>
  <c r="F8" i="2"/>
  <c r="E8" i="2"/>
  <c r="D8" i="2"/>
  <c r="A8" i="2"/>
  <c r="H7" i="2"/>
  <c r="G7" i="2"/>
  <c r="F7" i="2"/>
  <c r="E7" i="2"/>
  <c r="D7" i="2"/>
  <c r="A7" i="2"/>
  <c r="H6" i="2"/>
  <c r="G6" i="2"/>
  <c r="F6" i="2"/>
  <c r="E6" i="2"/>
  <c r="D6" i="2"/>
  <c r="A6" i="2"/>
  <c r="H5" i="2"/>
  <c r="G5" i="2"/>
  <c r="F5" i="2"/>
  <c r="E5" i="2"/>
  <c r="D5" i="2"/>
  <c r="A5" i="2"/>
  <c r="H4" i="2"/>
  <c r="G4" i="2"/>
  <c r="F4" i="2"/>
  <c r="E4" i="2"/>
  <c r="D4" i="2"/>
  <c r="A4" i="2"/>
  <c r="H3" i="2"/>
  <c r="G3" i="2"/>
  <c r="F3" i="2"/>
  <c r="E3" i="2"/>
  <c r="D3" i="2"/>
  <c r="A3" i="2"/>
  <c r="H2" i="2"/>
  <c r="G2" i="2"/>
  <c r="F2" i="2"/>
  <c r="E2" i="2"/>
  <c r="D2" i="2"/>
  <c r="A2" i="2"/>
  <c r="H1501" i="1"/>
  <c r="G1501" i="1"/>
  <c r="F1501" i="1"/>
  <c r="E1501" i="1"/>
  <c r="D1501" i="1"/>
  <c r="C1501" i="1"/>
  <c r="A1501" i="1"/>
  <c r="H1500" i="1"/>
  <c r="G1500" i="1"/>
  <c r="F1500" i="1"/>
  <c r="E1500" i="1"/>
  <c r="D1500" i="1"/>
  <c r="C1500" i="1"/>
  <c r="A1500" i="1"/>
  <c r="H1499" i="1"/>
  <c r="G1499" i="1"/>
  <c r="F1499" i="1"/>
  <c r="E1499" i="1"/>
  <c r="D1499" i="1"/>
  <c r="C1499" i="1"/>
  <c r="A1499" i="1"/>
  <c r="H1498" i="1"/>
  <c r="G1498" i="1"/>
  <c r="F1498" i="1"/>
  <c r="E1498" i="1"/>
  <c r="D1498" i="1"/>
  <c r="C1498" i="1"/>
  <c r="A1498" i="1"/>
  <c r="H1497" i="1"/>
  <c r="G1497" i="1"/>
  <c r="F1497" i="1"/>
  <c r="E1497" i="1"/>
  <c r="D1497" i="1"/>
  <c r="C1497" i="1"/>
  <c r="A1497" i="1"/>
  <c r="H1496" i="1"/>
  <c r="G1496" i="1"/>
  <c r="F1496" i="1"/>
  <c r="E1496" i="1"/>
  <c r="D1496" i="1"/>
  <c r="C1496" i="1"/>
  <c r="A1496" i="1"/>
  <c r="H1495" i="1"/>
  <c r="G1495" i="1"/>
  <c r="F1495" i="1"/>
  <c r="E1495" i="1"/>
  <c r="D1495" i="1"/>
  <c r="C1495" i="1"/>
  <c r="A1495" i="1"/>
  <c r="H1494" i="1"/>
  <c r="G1494" i="1"/>
  <c r="F1494" i="1"/>
  <c r="E1494" i="1"/>
  <c r="D1494" i="1"/>
  <c r="C1494" i="1"/>
  <c r="A1494" i="1"/>
  <c r="H1493" i="1"/>
  <c r="G1493" i="1"/>
  <c r="F1493" i="1"/>
  <c r="E1493" i="1"/>
  <c r="D1493" i="1"/>
  <c r="C1493" i="1"/>
  <c r="A1493" i="1"/>
  <c r="H1492" i="1"/>
  <c r="G1492" i="1"/>
  <c r="F1492" i="1"/>
  <c r="E1492" i="1"/>
  <c r="D1492" i="1"/>
  <c r="C1492" i="1"/>
  <c r="A1492" i="1"/>
  <c r="H1491" i="1"/>
  <c r="G1491" i="1"/>
  <c r="F1491" i="1"/>
  <c r="E1491" i="1"/>
  <c r="D1491" i="1"/>
  <c r="C1491" i="1"/>
  <c r="A1491" i="1"/>
  <c r="H1490" i="1"/>
  <c r="G1490" i="1"/>
  <c r="F1490" i="1"/>
  <c r="E1490" i="1"/>
  <c r="D1490" i="1"/>
  <c r="C1490" i="1"/>
  <c r="A1490" i="1"/>
  <c r="H1489" i="1"/>
  <c r="G1489" i="1"/>
  <c r="F1489" i="1"/>
  <c r="E1489" i="1"/>
  <c r="D1489" i="1"/>
  <c r="C1489" i="1"/>
  <c r="A1489" i="1"/>
  <c r="H1488" i="1"/>
  <c r="G1488" i="1"/>
  <c r="F1488" i="1"/>
  <c r="E1488" i="1"/>
  <c r="D1488" i="1"/>
  <c r="C1488" i="1"/>
  <c r="A1488" i="1"/>
  <c r="H1487" i="1"/>
  <c r="G1487" i="1"/>
  <c r="F1487" i="1"/>
  <c r="E1487" i="1"/>
  <c r="D1487" i="1"/>
  <c r="C1487" i="1"/>
  <c r="A1487" i="1"/>
  <c r="H1486" i="1"/>
  <c r="G1486" i="1"/>
  <c r="F1486" i="1"/>
  <c r="E1486" i="1"/>
  <c r="D1486" i="1"/>
  <c r="C1486" i="1"/>
  <c r="A1486" i="1"/>
  <c r="H1485" i="1"/>
  <c r="G1485" i="1"/>
  <c r="F1485" i="1"/>
  <c r="E1485" i="1"/>
  <c r="D1485" i="1"/>
  <c r="C1485" i="1"/>
  <c r="A1485" i="1"/>
  <c r="H1484" i="1"/>
  <c r="G1484" i="1"/>
  <c r="F1484" i="1"/>
  <c r="E1484" i="1"/>
  <c r="D1484" i="1"/>
  <c r="C1484" i="1"/>
  <c r="A1484" i="1"/>
  <c r="H1483" i="1"/>
  <c r="G1483" i="1"/>
  <c r="F1483" i="1"/>
  <c r="E1483" i="1"/>
  <c r="D1483" i="1"/>
  <c r="C1483" i="1"/>
  <c r="A1483" i="1"/>
  <c r="H1482" i="1"/>
  <c r="G1482" i="1"/>
  <c r="F1482" i="1"/>
  <c r="E1482" i="1"/>
  <c r="D1482" i="1"/>
  <c r="C1482" i="1"/>
  <c r="A1482" i="1"/>
  <c r="H1481" i="1"/>
  <c r="G1481" i="1"/>
  <c r="F1481" i="1"/>
  <c r="E1481" i="1"/>
  <c r="D1481" i="1"/>
  <c r="C1481" i="1"/>
  <c r="A1481" i="1"/>
  <c r="H1480" i="1"/>
  <c r="G1480" i="1"/>
  <c r="F1480" i="1"/>
  <c r="E1480" i="1"/>
  <c r="D1480" i="1"/>
  <c r="C1480" i="1"/>
  <c r="A1480" i="1"/>
  <c r="H1479" i="1"/>
  <c r="G1479" i="1"/>
  <c r="F1479" i="1"/>
  <c r="E1479" i="1"/>
  <c r="D1479" i="1"/>
  <c r="C1479" i="1"/>
  <c r="A1479" i="1"/>
  <c r="H1478" i="1"/>
  <c r="G1478" i="1"/>
  <c r="F1478" i="1"/>
  <c r="E1478" i="1"/>
  <c r="D1478" i="1"/>
  <c r="C1478" i="1"/>
  <c r="A1478" i="1"/>
  <c r="H1477" i="1"/>
  <c r="G1477" i="1"/>
  <c r="F1477" i="1"/>
  <c r="E1477" i="1"/>
  <c r="D1477" i="1"/>
  <c r="C1477" i="1"/>
  <c r="A1477" i="1"/>
  <c r="H1476" i="1"/>
  <c r="G1476" i="1"/>
  <c r="F1476" i="1"/>
  <c r="E1476" i="1"/>
  <c r="D1476" i="1"/>
  <c r="C1476" i="1"/>
  <c r="A1476" i="1"/>
  <c r="H1475" i="1"/>
  <c r="G1475" i="1"/>
  <c r="F1475" i="1"/>
  <c r="E1475" i="1"/>
  <c r="D1475" i="1"/>
  <c r="C1475" i="1"/>
  <c r="A1475" i="1"/>
  <c r="H1474" i="1"/>
  <c r="G1474" i="1"/>
  <c r="F1474" i="1"/>
  <c r="E1474" i="1"/>
  <c r="D1474" i="1"/>
  <c r="C1474" i="1"/>
  <c r="A1474" i="1"/>
  <c r="H1473" i="1"/>
  <c r="G1473" i="1"/>
  <c r="F1473" i="1"/>
  <c r="E1473" i="1"/>
  <c r="D1473" i="1"/>
  <c r="C1473" i="1"/>
  <c r="A1473" i="1"/>
  <c r="H1472" i="1"/>
  <c r="G1472" i="1"/>
  <c r="F1472" i="1"/>
  <c r="E1472" i="1"/>
  <c r="D1472" i="1"/>
  <c r="C1472" i="1"/>
  <c r="A1472" i="1"/>
  <c r="H1471" i="1"/>
  <c r="G1471" i="1"/>
  <c r="F1471" i="1"/>
  <c r="E1471" i="1"/>
  <c r="D1471" i="1"/>
  <c r="C1471" i="1"/>
  <c r="A1471" i="1"/>
  <c r="H1470" i="1"/>
  <c r="G1470" i="1"/>
  <c r="F1470" i="1"/>
  <c r="E1470" i="1"/>
  <c r="D1470" i="1"/>
  <c r="C1470" i="1"/>
  <c r="A1470" i="1"/>
  <c r="H1469" i="1"/>
  <c r="G1469" i="1"/>
  <c r="F1469" i="1"/>
  <c r="E1469" i="1"/>
  <c r="D1469" i="1"/>
  <c r="C1469" i="1"/>
  <c r="A1469" i="1"/>
  <c r="H1468" i="1"/>
  <c r="G1468" i="1"/>
  <c r="F1468" i="1"/>
  <c r="E1468" i="1"/>
  <c r="D1468" i="1"/>
  <c r="C1468" i="1"/>
  <c r="A1468" i="1"/>
  <c r="H1467" i="1"/>
  <c r="G1467" i="1"/>
  <c r="F1467" i="1"/>
  <c r="E1467" i="1"/>
  <c r="D1467" i="1"/>
  <c r="C1467" i="1"/>
  <c r="A1467" i="1"/>
  <c r="H1466" i="1"/>
  <c r="G1466" i="1"/>
  <c r="F1466" i="1"/>
  <c r="E1466" i="1"/>
  <c r="D1466" i="1"/>
  <c r="C1466" i="1"/>
  <c r="A1466" i="1"/>
  <c r="H1465" i="1"/>
  <c r="G1465" i="1"/>
  <c r="F1465" i="1"/>
  <c r="E1465" i="1"/>
  <c r="D1465" i="1"/>
  <c r="C1465" i="1"/>
  <c r="A1465" i="1"/>
  <c r="H1464" i="1"/>
  <c r="G1464" i="1"/>
  <c r="F1464" i="1"/>
  <c r="E1464" i="1"/>
  <c r="D1464" i="1"/>
  <c r="C1464" i="1"/>
  <c r="A1464" i="1"/>
  <c r="H1463" i="1"/>
  <c r="G1463" i="1"/>
  <c r="F1463" i="1"/>
  <c r="E1463" i="1"/>
  <c r="D1463" i="1"/>
  <c r="C1463" i="1"/>
  <c r="A1463" i="1"/>
  <c r="H1462" i="1"/>
  <c r="G1462" i="1"/>
  <c r="F1462" i="1"/>
  <c r="E1462" i="1"/>
  <c r="D1462" i="1"/>
  <c r="C1462" i="1"/>
  <c r="A1462" i="1"/>
  <c r="H1461" i="1"/>
  <c r="G1461" i="1"/>
  <c r="F1461" i="1"/>
  <c r="E1461" i="1"/>
  <c r="D1461" i="1"/>
  <c r="C1461" i="1"/>
  <c r="A1461" i="1"/>
  <c r="H1460" i="1"/>
  <c r="G1460" i="1"/>
  <c r="F1460" i="1"/>
  <c r="E1460" i="1"/>
  <c r="D1460" i="1"/>
  <c r="C1460" i="1"/>
  <c r="A1460" i="1"/>
  <c r="H1459" i="1"/>
  <c r="G1459" i="1"/>
  <c r="F1459" i="1"/>
  <c r="E1459" i="1"/>
  <c r="D1459" i="1"/>
  <c r="C1459" i="1"/>
  <c r="A1459" i="1"/>
  <c r="H1458" i="1"/>
  <c r="G1458" i="1"/>
  <c r="F1458" i="1"/>
  <c r="E1458" i="1"/>
  <c r="D1458" i="1"/>
  <c r="C1458" i="1"/>
  <c r="A1458" i="1"/>
  <c r="H1457" i="1"/>
  <c r="G1457" i="1"/>
  <c r="F1457" i="1"/>
  <c r="E1457" i="1"/>
  <c r="D1457" i="1"/>
  <c r="C1457" i="1"/>
  <c r="A1457" i="1"/>
  <c r="H1456" i="1"/>
  <c r="G1456" i="1"/>
  <c r="F1456" i="1"/>
  <c r="E1456" i="1"/>
  <c r="D1456" i="1"/>
  <c r="C1456" i="1"/>
  <c r="A1456" i="1"/>
  <c r="H1455" i="1"/>
  <c r="G1455" i="1"/>
  <c r="F1455" i="1"/>
  <c r="E1455" i="1"/>
  <c r="D1455" i="1"/>
  <c r="C1455" i="1"/>
  <c r="A1455" i="1"/>
  <c r="H1454" i="1"/>
  <c r="G1454" i="1"/>
  <c r="F1454" i="1"/>
  <c r="E1454" i="1"/>
  <c r="D1454" i="1"/>
  <c r="C1454" i="1"/>
  <c r="A1454" i="1"/>
  <c r="H1453" i="1"/>
  <c r="G1453" i="1"/>
  <c r="F1453" i="1"/>
  <c r="E1453" i="1"/>
  <c r="D1453" i="1"/>
  <c r="C1453" i="1"/>
  <c r="A1453" i="1"/>
  <c r="H1452" i="1"/>
  <c r="G1452" i="1"/>
  <c r="F1452" i="1"/>
  <c r="E1452" i="1"/>
  <c r="D1452" i="1"/>
  <c r="C1452" i="1"/>
  <c r="A1452" i="1"/>
  <c r="H1451" i="1"/>
  <c r="G1451" i="1"/>
  <c r="F1451" i="1"/>
  <c r="E1451" i="1"/>
  <c r="D1451" i="1"/>
  <c r="C1451" i="1"/>
  <c r="A1451" i="1"/>
  <c r="H1450" i="1"/>
  <c r="G1450" i="1"/>
  <c r="F1450" i="1"/>
  <c r="E1450" i="1"/>
  <c r="D1450" i="1"/>
  <c r="C1450" i="1"/>
  <c r="A1450" i="1"/>
  <c r="H1449" i="1"/>
  <c r="G1449" i="1"/>
  <c r="F1449" i="1"/>
  <c r="E1449" i="1"/>
  <c r="D1449" i="1"/>
  <c r="C1449" i="1"/>
  <c r="A1449" i="1"/>
  <c r="H1448" i="1"/>
  <c r="G1448" i="1"/>
  <c r="F1448" i="1"/>
  <c r="E1448" i="1"/>
  <c r="D1448" i="1"/>
  <c r="C1448" i="1"/>
  <c r="A1448" i="1"/>
  <c r="H1447" i="1"/>
  <c r="G1447" i="1"/>
  <c r="F1447" i="1"/>
  <c r="E1447" i="1"/>
  <c r="D1447" i="1"/>
  <c r="C1447" i="1"/>
  <c r="A1447" i="1"/>
  <c r="H1446" i="1"/>
  <c r="G1446" i="1"/>
  <c r="F1446" i="1"/>
  <c r="E1446" i="1"/>
  <c r="D1446" i="1"/>
  <c r="C1446" i="1"/>
  <c r="A1446" i="1"/>
  <c r="H1445" i="1"/>
  <c r="G1445" i="1"/>
  <c r="F1445" i="1"/>
  <c r="E1445" i="1"/>
  <c r="D1445" i="1"/>
  <c r="C1445" i="1"/>
  <c r="A1445" i="1"/>
  <c r="H1444" i="1"/>
  <c r="G1444" i="1"/>
  <c r="F1444" i="1"/>
  <c r="E1444" i="1"/>
  <c r="D1444" i="1"/>
  <c r="C1444" i="1"/>
  <c r="A1444" i="1"/>
  <c r="H1443" i="1"/>
  <c r="G1443" i="1"/>
  <c r="F1443" i="1"/>
  <c r="E1443" i="1"/>
  <c r="D1443" i="1"/>
  <c r="C1443" i="1"/>
  <c r="A1443" i="1"/>
  <c r="H1442" i="1"/>
  <c r="G1442" i="1"/>
  <c r="F1442" i="1"/>
  <c r="E1442" i="1"/>
  <c r="D1442" i="1"/>
  <c r="C1442" i="1"/>
  <c r="A1442" i="1"/>
  <c r="H1441" i="1"/>
  <c r="G1441" i="1"/>
  <c r="F1441" i="1"/>
  <c r="E1441" i="1"/>
  <c r="D1441" i="1"/>
  <c r="C1441" i="1"/>
  <c r="A1441" i="1"/>
  <c r="H1440" i="1"/>
  <c r="G1440" i="1"/>
  <c r="F1440" i="1"/>
  <c r="E1440" i="1"/>
  <c r="D1440" i="1"/>
  <c r="C1440" i="1"/>
  <c r="A1440" i="1"/>
  <c r="H1439" i="1"/>
  <c r="G1439" i="1"/>
  <c r="F1439" i="1"/>
  <c r="E1439" i="1"/>
  <c r="D1439" i="1"/>
  <c r="C1439" i="1"/>
  <c r="A1439" i="1"/>
  <c r="H1438" i="1"/>
  <c r="G1438" i="1"/>
  <c r="F1438" i="1"/>
  <c r="E1438" i="1"/>
  <c r="D1438" i="1"/>
  <c r="C1438" i="1"/>
  <c r="A1438" i="1"/>
  <c r="H1437" i="1"/>
  <c r="G1437" i="1"/>
  <c r="F1437" i="1"/>
  <c r="E1437" i="1"/>
  <c r="D1437" i="1"/>
  <c r="C1437" i="1"/>
  <c r="A1437" i="1"/>
  <c r="H1436" i="1"/>
  <c r="G1436" i="1"/>
  <c r="F1436" i="1"/>
  <c r="E1436" i="1"/>
  <c r="D1436" i="1"/>
  <c r="C1436" i="1"/>
  <c r="A1436" i="1"/>
  <c r="H1435" i="1"/>
  <c r="G1435" i="1"/>
  <c r="F1435" i="1"/>
  <c r="E1435" i="1"/>
  <c r="D1435" i="1"/>
  <c r="C1435" i="1"/>
  <c r="A1435" i="1"/>
  <c r="H1434" i="1"/>
  <c r="G1434" i="1"/>
  <c r="F1434" i="1"/>
  <c r="E1434" i="1"/>
  <c r="D1434" i="1"/>
  <c r="C1434" i="1"/>
  <c r="A1434" i="1"/>
  <c r="H1433" i="1"/>
  <c r="G1433" i="1"/>
  <c r="F1433" i="1"/>
  <c r="E1433" i="1"/>
  <c r="D1433" i="1"/>
  <c r="C1433" i="1"/>
  <c r="A1433" i="1"/>
  <c r="H1432" i="1"/>
  <c r="G1432" i="1"/>
  <c r="F1432" i="1"/>
  <c r="E1432" i="1"/>
  <c r="D1432" i="1"/>
  <c r="C1432" i="1"/>
  <c r="A1432" i="1"/>
  <c r="H1431" i="1"/>
  <c r="G1431" i="1"/>
  <c r="F1431" i="1"/>
  <c r="E1431" i="1"/>
  <c r="D1431" i="1"/>
  <c r="C1431" i="1"/>
  <c r="A1431" i="1"/>
  <c r="H1430" i="1"/>
  <c r="G1430" i="1"/>
  <c r="F1430" i="1"/>
  <c r="E1430" i="1"/>
  <c r="D1430" i="1"/>
  <c r="C1430" i="1"/>
  <c r="A1430" i="1"/>
  <c r="H1429" i="1"/>
  <c r="G1429" i="1"/>
  <c r="F1429" i="1"/>
  <c r="E1429" i="1"/>
  <c r="D1429" i="1"/>
  <c r="C1429" i="1"/>
  <c r="A1429" i="1"/>
  <c r="H1428" i="1"/>
  <c r="G1428" i="1"/>
  <c r="F1428" i="1"/>
  <c r="E1428" i="1"/>
  <c r="D1428" i="1"/>
  <c r="C1428" i="1"/>
  <c r="A1428" i="1"/>
  <c r="H1427" i="1"/>
  <c r="G1427" i="1"/>
  <c r="F1427" i="1"/>
  <c r="E1427" i="1"/>
  <c r="D1427" i="1"/>
  <c r="C1427" i="1"/>
  <c r="A1427" i="1"/>
  <c r="H1426" i="1"/>
  <c r="G1426" i="1"/>
  <c r="F1426" i="1"/>
  <c r="E1426" i="1"/>
  <c r="D1426" i="1"/>
  <c r="C1426" i="1"/>
  <c r="A1426" i="1"/>
  <c r="H1425" i="1"/>
  <c r="G1425" i="1"/>
  <c r="F1425" i="1"/>
  <c r="E1425" i="1"/>
  <c r="D1425" i="1"/>
  <c r="C1425" i="1"/>
  <c r="A1425" i="1"/>
  <c r="H1424" i="1"/>
  <c r="G1424" i="1"/>
  <c r="F1424" i="1"/>
  <c r="E1424" i="1"/>
  <c r="D1424" i="1"/>
  <c r="C1424" i="1"/>
  <c r="A1424" i="1"/>
  <c r="H1423" i="1"/>
  <c r="G1423" i="1"/>
  <c r="F1423" i="1"/>
  <c r="E1423" i="1"/>
  <c r="D1423" i="1"/>
  <c r="C1423" i="1"/>
  <c r="A1423" i="1"/>
  <c r="H1422" i="1"/>
  <c r="G1422" i="1"/>
  <c r="F1422" i="1"/>
  <c r="E1422" i="1"/>
  <c r="D1422" i="1"/>
  <c r="C1422" i="1"/>
  <c r="A1422" i="1"/>
  <c r="H1421" i="1"/>
  <c r="G1421" i="1"/>
  <c r="F1421" i="1"/>
  <c r="E1421" i="1"/>
  <c r="D1421" i="1"/>
  <c r="C1421" i="1"/>
  <c r="A1421" i="1"/>
  <c r="H1420" i="1"/>
  <c r="G1420" i="1"/>
  <c r="F1420" i="1"/>
  <c r="E1420" i="1"/>
  <c r="D1420" i="1"/>
  <c r="C1420" i="1"/>
  <c r="A1420" i="1"/>
  <c r="H1419" i="1"/>
  <c r="G1419" i="1"/>
  <c r="F1419" i="1"/>
  <c r="E1419" i="1"/>
  <c r="D1419" i="1"/>
  <c r="C1419" i="1"/>
  <c r="A1419" i="1"/>
  <c r="H1418" i="1"/>
  <c r="G1418" i="1"/>
  <c r="F1418" i="1"/>
  <c r="E1418" i="1"/>
  <c r="D1418" i="1"/>
  <c r="C1418" i="1"/>
  <c r="A1418" i="1"/>
  <c r="H1417" i="1"/>
  <c r="G1417" i="1"/>
  <c r="F1417" i="1"/>
  <c r="E1417" i="1"/>
  <c r="D1417" i="1"/>
  <c r="C1417" i="1"/>
  <c r="A1417" i="1"/>
  <c r="H1416" i="1"/>
  <c r="G1416" i="1"/>
  <c r="F1416" i="1"/>
  <c r="E1416" i="1"/>
  <c r="D1416" i="1"/>
  <c r="C1416" i="1"/>
  <c r="A1416" i="1"/>
  <c r="H1415" i="1"/>
  <c r="G1415" i="1"/>
  <c r="F1415" i="1"/>
  <c r="E1415" i="1"/>
  <c r="D1415" i="1"/>
  <c r="C1415" i="1"/>
  <c r="A1415" i="1"/>
  <c r="H1414" i="1"/>
  <c r="G1414" i="1"/>
  <c r="F1414" i="1"/>
  <c r="E1414" i="1"/>
  <c r="D1414" i="1"/>
  <c r="C1414" i="1"/>
  <c r="A1414" i="1"/>
  <c r="H1413" i="1"/>
  <c r="G1413" i="1"/>
  <c r="F1413" i="1"/>
  <c r="E1413" i="1"/>
  <c r="D1413" i="1"/>
  <c r="C1413" i="1"/>
  <c r="A1413" i="1"/>
  <c r="H1412" i="1"/>
  <c r="G1412" i="1"/>
  <c r="F1412" i="1"/>
  <c r="E1412" i="1"/>
  <c r="D1412" i="1"/>
  <c r="C1412" i="1"/>
  <c r="A1412" i="1"/>
  <c r="H1411" i="1"/>
  <c r="G1411" i="1"/>
  <c r="F1411" i="1"/>
  <c r="E1411" i="1"/>
  <c r="D1411" i="1"/>
  <c r="C1411" i="1"/>
  <c r="A1411" i="1"/>
  <c r="H1410" i="1"/>
  <c r="G1410" i="1"/>
  <c r="F1410" i="1"/>
  <c r="E1410" i="1"/>
  <c r="D1410" i="1"/>
  <c r="C1410" i="1"/>
  <c r="A1410" i="1"/>
  <c r="H1409" i="1"/>
  <c r="G1409" i="1"/>
  <c r="F1409" i="1"/>
  <c r="E1409" i="1"/>
  <c r="D1409" i="1"/>
  <c r="C1409" i="1"/>
  <c r="A1409" i="1"/>
  <c r="H1408" i="1"/>
  <c r="G1408" i="1"/>
  <c r="F1408" i="1"/>
  <c r="E1408" i="1"/>
  <c r="D1408" i="1"/>
  <c r="C1408" i="1"/>
  <c r="A1408" i="1"/>
  <c r="H1407" i="1"/>
  <c r="G1407" i="1"/>
  <c r="F1407" i="1"/>
  <c r="E1407" i="1"/>
  <c r="D1407" i="1"/>
  <c r="C1407" i="1"/>
  <c r="A1407" i="1"/>
  <c r="H1406" i="1"/>
  <c r="G1406" i="1"/>
  <c r="F1406" i="1"/>
  <c r="E1406" i="1"/>
  <c r="D1406" i="1"/>
  <c r="C1406" i="1"/>
  <c r="A1406" i="1"/>
  <c r="H1405" i="1"/>
  <c r="G1405" i="1"/>
  <c r="F1405" i="1"/>
  <c r="E1405" i="1"/>
  <c r="D1405" i="1"/>
  <c r="C1405" i="1"/>
  <c r="A1405" i="1"/>
  <c r="H1404" i="1"/>
  <c r="G1404" i="1"/>
  <c r="F1404" i="1"/>
  <c r="E1404" i="1"/>
  <c r="D1404" i="1"/>
  <c r="C1404" i="1"/>
  <c r="A1404" i="1"/>
  <c r="H1403" i="1"/>
  <c r="G1403" i="1"/>
  <c r="F1403" i="1"/>
  <c r="E1403" i="1"/>
  <c r="D1403" i="1"/>
  <c r="C1403" i="1"/>
  <c r="A1403" i="1"/>
  <c r="H1402" i="1"/>
  <c r="G1402" i="1"/>
  <c r="F1402" i="1"/>
  <c r="E1402" i="1"/>
  <c r="D1402" i="1"/>
  <c r="C1402" i="1"/>
  <c r="A1402" i="1"/>
  <c r="H1401" i="1"/>
  <c r="G1401" i="1"/>
  <c r="F1401" i="1"/>
  <c r="E1401" i="1"/>
  <c r="D1401" i="1"/>
  <c r="C1401" i="1"/>
  <c r="A1401" i="1"/>
  <c r="H1400" i="1"/>
  <c r="G1400" i="1"/>
  <c r="F1400" i="1"/>
  <c r="E1400" i="1"/>
  <c r="D1400" i="1"/>
  <c r="C1400" i="1"/>
  <c r="A1400" i="1"/>
  <c r="H1399" i="1"/>
  <c r="G1399" i="1"/>
  <c r="F1399" i="1"/>
  <c r="E1399" i="1"/>
  <c r="D1399" i="1"/>
  <c r="C1399" i="1"/>
  <c r="A1399" i="1"/>
  <c r="H1398" i="1"/>
  <c r="G1398" i="1"/>
  <c r="F1398" i="1"/>
  <c r="E1398" i="1"/>
  <c r="D1398" i="1"/>
  <c r="C1398" i="1"/>
  <c r="A1398" i="1"/>
  <c r="H1397" i="1"/>
  <c r="G1397" i="1"/>
  <c r="F1397" i="1"/>
  <c r="E1397" i="1"/>
  <c r="D1397" i="1"/>
  <c r="C1397" i="1"/>
  <c r="A1397" i="1"/>
  <c r="H1396" i="1"/>
  <c r="G1396" i="1"/>
  <c r="F1396" i="1"/>
  <c r="E1396" i="1"/>
  <c r="D1396" i="1"/>
  <c r="C1396" i="1"/>
  <c r="A1396" i="1"/>
  <c r="H1395" i="1"/>
  <c r="G1395" i="1"/>
  <c r="F1395" i="1"/>
  <c r="E1395" i="1"/>
  <c r="D1395" i="1"/>
  <c r="C1395" i="1"/>
  <c r="A1395" i="1"/>
  <c r="H1394" i="1"/>
  <c r="G1394" i="1"/>
  <c r="F1394" i="1"/>
  <c r="E1394" i="1"/>
  <c r="D1394" i="1"/>
  <c r="C1394" i="1"/>
  <c r="A1394" i="1"/>
  <c r="H1393" i="1"/>
  <c r="G1393" i="1"/>
  <c r="F1393" i="1"/>
  <c r="E1393" i="1"/>
  <c r="D1393" i="1"/>
  <c r="C1393" i="1"/>
  <c r="A1393" i="1"/>
  <c r="H1392" i="1"/>
  <c r="G1392" i="1"/>
  <c r="F1392" i="1"/>
  <c r="E1392" i="1"/>
  <c r="D1392" i="1"/>
  <c r="C1392" i="1"/>
  <c r="A1392" i="1"/>
  <c r="H1391" i="1"/>
  <c r="G1391" i="1"/>
  <c r="F1391" i="1"/>
  <c r="E1391" i="1"/>
  <c r="D1391" i="1"/>
  <c r="C1391" i="1"/>
  <c r="A1391" i="1"/>
  <c r="H1390" i="1"/>
  <c r="G1390" i="1"/>
  <c r="F1390" i="1"/>
  <c r="E1390" i="1"/>
  <c r="D1390" i="1"/>
  <c r="C1390" i="1"/>
  <c r="A1390" i="1"/>
  <c r="H1389" i="1"/>
  <c r="G1389" i="1"/>
  <c r="F1389" i="1"/>
  <c r="E1389" i="1"/>
  <c r="D1389" i="1"/>
  <c r="C1389" i="1"/>
  <c r="A1389" i="1"/>
  <c r="H1388" i="1"/>
  <c r="G1388" i="1"/>
  <c r="F1388" i="1"/>
  <c r="E1388" i="1"/>
  <c r="D1388" i="1"/>
  <c r="C1388" i="1"/>
  <c r="A1388" i="1"/>
  <c r="H1387" i="1"/>
  <c r="G1387" i="1"/>
  <c r="F1387" i="1"/>
  <c r="E1387" i="1"/>
  <c r="D1387" i="1"/>
  <c r="C1387" i="1"/>
  <c r="A1387" i="1"/>
  <c r="H1386" i="1"/>
  <c r="G1386" i="1"/>
  <c r="F1386" i="1"/>
  <c r="E1386" i="1"/>
  <c r="D1386" i="1"/>
  <c r="C1386" i="1"/>
  <c r="A1386" i="1"/>
  <c r="H1385" i="1"/>
  <c r="G1385" i="1"/>
  <c r="F1385" i="1"/>
  <c r="E1385" i="1"/>
  <c r="D1385" i="1"/>
  <c r="C1385" i="1"/>
  <c r="A1385" i="1"/>
  <c r="H1384" i="1"/>
  <c r="G1384" i="1"/>
  <c r="F1384" i="1"/>
  <c r="E1384" i="1"/>
  <c r="D1384" i="1"/>
  <c r="C1384" i="1"/>
  <c r="A1384" i="1"/>
  <c r="H1383" i="1"/>
  <c r="G1383" i="1"/>
  <c r="F1383" i="1"/>
  <c r="E1383" i="1"/>
  <c r="D1383" i="1"/>
  <c r="C1383" i="1"/>
  <c r="A1383" i="1"/>
  <c r="H1382" i="1"/>
  <c r="G1382" i="1"/>
  <c r="F1382" i="1"/>
  <c r="E1382" i="1"/>
  <c r="D1382" i="1"/>
  <c r="C1382" i="1"/>
  <c r="A1382" i="1"/>
  <c r="H1381" i="1"/>
  <c r="G1381" i="1"/>
  <c r="F1381" i="1"/>
  <c r="E1381" i="1"/>
  <c r="D1381" i="1"/>
  <c r="C1381" i="1"/>
  <c r="A1381" i="1"/>
  <c r="H1380" i="1"/>
  <c r="G1380" i="1"/>
  <c r="F1380" i="1"/>
  <c r="E1380" i="1"/>
  <c r="D1380" i="1"/>
  <c r="C1380" i="1"/>
  <c r="A1380" i="1"/>
  <c r="H1379" i="1"/>
  <c r="G1379" i="1"/>
  <c r="F1379" i="1"/>
  <c r="E1379" i="1"/>
  <c r="D1379" i="1"/>
  <c r="C1379" i="1"/>
  <c r="A1379" i="1"/>
  <c r="H1378" i="1"/>
  <c r="G1378" i="1"/>
  <c r="F1378" i="1"/>
  <c r="E1378" i="1"/>
  <c r="D1378" i="1"/>
  <c r="C1378" i="1"/>
  <c r="A1378" i="1"/>
  <c r="H1377" i="1"/>
  <c r="G1377" i="1"/>
  <c r="F1377" i="1"/>
  <c r="E1377" i="1"/>
  <c r="D1377" i="1"/>
  <c r="C1377" i="1"/>
  <c r="A1377" i="1"/>
  <c r="H1376" i="1"/>
  <c r="G1376" i="1"/>
  <c r="F1376" i="1"/>
  <c r="E1376" i="1"/>
  <c r="D1376" i="1"/>
  <c r="C1376" i="1"/>
  <c r="A1376" i="1"/>
  <c r="H1375" i="1"/>
  <c r="G1375" i="1"/>
  <c r="F1375" i="1"/>
  <c r="E1375" i="1"/>
  <c r="D1375" i="1"/>
  <c r="C1375" i="1"/>
  <c r="A1375" i="1"/>
  <c r="H1374" i="1"/>
  <c r="G1374" i="1"/>
  <c r="F1374" i="1"/>
  <c r="E1374" i="1"/>
  <c r="D1374" i="1"/>
  <c r="C1374" i="1"/>
  <c r="A1374" i="1"/>
  <c r="H1373" i="1"/>
  <c r="G1373" i="1"/>
  <c r="F1373" i="1"/>
  <c r="E1373" i="1"/>
  <c r="D1373" i="1"/>
  <c r="C1373" i="1"/>
  <c r="A1373" i="1"/>
  <c r="H1372" i="1"/>
  <c r="G1372" i="1"/>
  <c r="F1372" i="1"/>
  <c r="E1372" i="1"/>
  <c r="D1372" i="1"/>
  <c r="C1372" i="1"/>
  <c r="A1372" i="1"/>
  <c r="H1371" i="1"/>
  <c r="G1371" i="1"/>
  <c r="F1371" i="1"/>
  <c r="E1371" i="1"/>
  <c r="D1371" i="1"/>
  <c r="C1371" i="1"/>
  <c r="A1371" i="1"/>
  <c r="H1370" i="1"/>
  <c r="G1370" i="1"/>
  <c r="F1370" i="1"/>
  <c r="E1370" i="1"/>
  <c r="D1370" i="1"/>
  <c r="C1370" i="1"/>
  <c r="A1370" i="1"/>
  <c r="H1369" i="1"/>
  <c r="G1369" i="1"/>
  <c r="F1369" i="1"/>
  <c r="E1369" i="1"/>
  <c r="D1369" i="1"/>
  <c r="C1369" i="1"/>
  <c r="A1369" i="1"/>
  <c r="H1368" i="1"/>
  <c r="G1368" i="1"/>
  <c r="F1368" i="1"/>
  <c r="E1368" i="1"/>
  <c r="D1368" i="1"/>
  <c r="C1368" i="1"/>
  <c r="A1368" i="1"/>
  <c r="H1367" i="1"/>
  <c r="G1367" i="1"/>
  <c r="F1367" i="1"/>
  <c r="E1367" i="1"/>
  <c r="D1367" i="1"/>
  <c r="C1367" i="1"/>
  <c r="A1367" i="1"/>
  <c r="H1366" i="1"/>
  <c r="G1366" i="1"/>
  <c r="F1366" i="1"/>
  <c r="E1366" i="1"/>
  <c r="D1366" i="1"/>
  <c r="C1366" i="1"/>
  <c r="A1366" i="1"/>
  <c r="H1365" i="1"/>
  <c r="G1365" i="1"/>
  <c r="F1365" i="1"/>
  <c r="E1365" i="1"/>
  <c r="D1365" i="1"/>
  <c r="C1365" i="1"/>
  <c r="A1365" i="1"/>
  <c r="H1364" i="1"/>
  <c r="G1364" i="1"/>
  <c r="F1364" i="1"/>
  <c r="E1364" i="1"/>
  <c r="D1364" i="1"/>
  <c r="C1364" i="1"/>
  <c r="A1364" i="1"/>
  <c r="H1363" i="1"/>
  <c r="G1363" i="1"/>
  <c r="F1363" i="1"/>
  <c r="E1363" i="1"/>
  <c r="D1363" i="1"/>
  <c r="C1363" i="1"/>
  <c r="A1363" i="1"/>
  <c r="H1362" i="1"/>
  <c r="G1362" i="1"/>
  <c r="F1362" i="1"/>
  <c r="E1362" i="1"/>
  <c r="D1362" i="1"/>
  <c r="C1362" i="1"/>
  <c r="A1362" i="1"/>
  <c r="H1361" i="1"/>
  <c r="G1361" i="1"/>
  <c r="F1361" i="1"/>
  <c r="E1361" i="1"/>
  <c r="D1361" i="1"/>
  <c r="C1361" i="1"/>
  <c r="A1361" i="1"/>
  <c r="H1360" i="1"/>
  <c r="G1360" i="1"/>
  <c r="F1360" i="1"/>
  <c r="E1360" i="1"/>
  <c r="D1360" i="1"/>
  <c r="C1360" i="1"/>
  <c r="A1360" i="1"/>
  <c r="H1359" i="1"/>
  <c r="G1359" i="1"/>
  <c r="F1359" i="1"/>
  <c r="E1359" i="1"/>
  <c r="D1359" i="1"/>
  <c r="C1359" i="1"/>
  <c r="A1359" i="1"/>
  <c r="H1358" i="1"/>
  <c r="G1358" i="1"/>
  <c r="F1358" i="1"/>
  <c r="E1358" i="1"/>
  <c r="D1358" i="1"/>
  <c r="C1358" i="1"/>
  <c r="A1358" i="1"/>
  <c r="H1357" i="1"/>
  <c r="G1357" i="1"/>
  <c r="F1357" i="1"/>
  <c r="E1357" i="1"/>
  <c r="D1357" i="1"/>
  <c r="C1357" i="1"/>
  <c r="A1357" i="1"/>
  <c r="H1356" i="1"/>
  <c r="G1356" i="1"/>
  <c r="F1356" i="1"/>
  <c r="E1356" i="1"/>
  <c r="D1356" i="1"/>
  <c r="C1356" i="1"/>
  <c r="A1356" i="1"/>
  <c r="H1355" i="1"/>
  <c r="G1355" i="1"/>
  <c r="F1355" i="1"/>
  <c r="E1355" i="1"/>
  <c r="D1355" i="1"/>
  <c r="C1355" i="1"/>
  <c r="A1355" i="1"/>
  <c r="H1354" i="1"/>
  <c r="G1354" i="1"/>
  <c r="F1354" i="1"/>
  <c r="E1354" i="1"/>
  <c r="D1354" i="1"/>
  <c r="C1354" i="1"/>
  <c r="A1354" i="1"/>
  <c r="H1353" i="1"/>
  <c r="G1353" i="1"/>
  <c r="F1353" i="1"/>
  <c r="E1353" i="1"/>
  <c r="D1353" i="1"/>
  <c r="C1353" i="1"/>
  <c r="A1353" i="1"/>
  <c r="H1352" i="1"/>
  <c r="G1352" i="1"/>
  <c r="F1352" i="1"/>
  <c r="E1352" i="1"/>
  <c r="D1352" i="1"/>
  <c r="C1352" i="1"/>
  <c r="A1352" i="1"/>
  <c r="H1351" i="1"/>
  <c r="G1351" i="1"/>
  <c r="F1351" i="1"/>
  <c r="E1351" i="1"/>
  <c r="D1351" i="1"/>
  <c r="C1351" i="1"/>
  <c r="A1351" i="1"/>
  <c r="H1350" i="1"/>
  <c r="G1350" i="1"/>
  <c r="F1350" i="1"/>
  <c r="E1350" i="1"/>
  <c r="D1350" i="1"/>
  <c r="C1350" i="1"/>
  <c r="A1350" i="1"/>
  <c r="H1349" i="1"/>
  <c r="G1349" i="1"/>
  <c r="F1349" i="1"/>
  <c r="E1349" i="1"/>
  <c r="D1349" i="1"/>
  <c r="C1349" i="1"/>
  <c r="A1349" i="1"/>
  <c r="H1348" i="1"/>
  <c r="G1348" i="1"/>
  <c r="F1348" i="1"/>
  <c r="E1348" i="1"/>
  <c r="D1348" i="1"/>
  <c r="C1348" i="1"/>
  <c r="A1348" i="1"/>
  <c r="H1347" i="1"/>
  <c r="G1347" i="1"/>
  <c r="F1347" i="1"/>
  <c r="E1347" i="1"/>
  <c r="D1347" i="1"/>
  <c r="C1347" i="1"/>
  <c r="A1347" i="1"/>
  <c r="H1346" i="1"/>
  <c r="G1346" i="1"/>
  <c r="F1346" i="1"/>
  <c r="E1346" i="1"/>
  <c r="D1346" i="1"/>
  <c r="C1346" i="1"/>
  <c r="A1346" i="1"/>
  <c r="H1345" i="1"/>
  <c r="G1345" i="1"/>
  <c r="F1345" i="1"/>
  <c r="E1345" i="1"/>
  <c r="D1345" i="1"/>
  <c r="C1345" i="1"/>
  <c r="A1345" i="1"/>
  <c r="H1344" i="1"/>
  <c r="G1344" i="1"/>
  <c r="F1344" i="1"/>
  <c r="E1344" i="1"/>
  <c r="D1344" i="1"/>
  <c r="C1344" i="1"/>
  <c r="A1344" i="1"/>
  <c r="H1343" i="1"/>
  <c r="G1343" i="1"/>
  <c r="F1343" i="1"/>
  <c r="E1343" i="1"/>
  <c r="D1343" i="1"/>
  <c r="C1343" i="1"/>
  <c r="A1343" i="1"/>
  <c r="H1342" i="1"/>
  <c r="G1342" i="1"/>
  <c r="F1342" i="1"/>
  <c r="E1342" i="1"/>
  <c r="D1342" i="1"/>
  <c r="C1342" i="1"/>
  <c r="A1342" i="1"/>
  <c r="H1341" i="1"/>
  <c r="G1341" i="1"/>
  <c r="F1341" i="1"/>
  <c r="E1341" i="1"/>
  <c r="D1341" i="1"/>
  <c r="C1341" i="1"/>
  <c r="A1341" i="1"/>
  <c r="H1340" i="1"/>
  <c r="G1340" i="1"/>
  <c r="F1340" i="1"/>
  <c r="E1340" i="1"/>
  <c r="D1340" i="1"/>
  <c r="C1340" i="1"/>
  <c r="A1340" i="1"/>
  <c r="H1339" i="1"/>
  <c r="G1339" i="1"/>
  <c r="F1339" i="1"/>
  <c r="E1339" i="1"/>
  <c r="D1339" i="1"/>
  <c r="C1339" i="1"/>
  <c r="A1339" i="1"/>
  <c r="H1338" i="1"/>
  <c r="G1338" i="1"/>
  <c r="F1338" i="1"/>
  <c r="E1338" i="1"/>
  <c r="D1338" i="1"/>
  <c r="C1338" i="1"/>
  <c r="A1338" i="1"/>
  <c r="H1337" i="1"/>
  <c r="G1337" i="1"/>
  <c r="F1337" i="1"/>
  <c r="E1337" i="1"/>
  <c r="D1337" i="1"/>
  <c r="C1337" i="1"/>
  <c r="A1337" i="1"/>
  <c r="H1336" i="1"/>
  <c r="G1336" i="1"/>
  <c r="F1336" i="1"/>
  <c r="E1336" i="1"/>
  <c r="D1336" i="1"/>
  <c r="C1336" i="1"/>
  <c r="A1336" i="1"/>
  <c r="H1335" i="1"/>
  <c r="G1335" i="1"/>
  <c r="F1335" i="1"/>
  <c r="E1335" i="1"/>
  <c r="D1335" i="1"/>
  <c r="C1335" i="1"/>
  <c r="A1335" i="1"/>
  <c r="H1334" i="1"/>
  <c r="G1334" i="1"/>
  <c r="F1334" i="1"/>
  <c r="E1334" i="1"/>
  <c r="D1334" i="1"/>
  <c r="C1334" i="1"/>
  <c r="A1334" i="1"/>
  <c r="H1333" i="1"/>
  <c r="G1333" i="1"/>
  <c r="F1333" i="1"/>
  <c r="E1333" i="1"/>
  <c r="D1333" i="1"/>
  <c r="C1333" i="1"/>
  <c r="A1333" i="1"/>
  <c r="H1332" i="1"/>
  <c r="G1332" i="1"/>
  <c r="F1332" i="1"/>
  <c r="E1332" i="1"/>
  <c r="D1332" i="1"/>
  <c r="C1332" i="1"/>
  <c r="A1332" i="1"/>
  <c r="H1331" i="1"/>
  <c r="G1331" i="1"/>
  <c r="F1331" i="1"/>
  <c r="E1331" i="1"/>
  <c r="D1331" i="1"/>
  <c r="C1331" i="1"/>
  <c r="A1331" i="1"/>
  <c r="H1330" i="1"/>
  <c r="G1330" i="1"/>
  <c r="F1330" i="1"/>
  <c r="E1330" i="1"/>
  <c r="D1330" i="1"/>
  <c r="C1330" i="1"/>
  <c r="A1330" i="1"/>
  <c r="H1329" i="1"/>
  <c r="G1329" i="1"/>
  <c r="F1329" i="1"/>
  <c r="E1329" i="1"/>
  <c r="D1329" i="1"/>
  <c r="C1329" i="1"/>
  <c r="A1329" i="1"/>
  <c r="H1328" i="1"/>
  <c r="G1328" i="1"/>
  <c r="F1328" i="1"/>
  <c r="E1328" i="1"/>
  <c r="D1328" i="1"/>
  <c r="C1328" i="1"/>
  <c r="A1328" i="1"/>
  <c r="H1327" i="1"/>
  <c r="G1327" i="1"/>
  <c r="F1327" i="1"/>
  <c r="E1327" i="1"/>
  <c r="D1327" i="1"/>
  <c r="C1327" i="1"/>
  <c r="A1327" i="1"/>
  <c r="H1326" i="1"/>
  <c r="G1326" i="1"/>
  <c r="F1326" i="1"/>
  <c r="E1326" i="1"/>
  <c r="D1326" i="1"/>
  <c r="C1326" i="1"/>
  <c r="A1326" i="1"/>
  <c r="H1325" i="1"/>
  <c r="G1325" i="1"/>
  <c r="F1325" i="1"/>
  <c r="E1325" i="1"/>
  <c r="D1325" i="1"/>
  <c r="C1325" i="1"/>
  <c r="A1325" i="1"/>
  <c r="H1324" i="1"/>
  <c r="G1324" i="1"/>
  <c r="F1324" i="1"/>
  <c r="E1324" i="1"/>
  <c r="D1324" i="1"/>
  <c r="C1324" i="1"/>
  <c r="A1324" i="1"/>
  <c r="H1323" i="1"/>
  <c r="G1323" i="1"/>
  <c r="F1323" i="1"/>
  <c r="E1323" i="1"/>
  <c r="D1323" i="1"/>
  <c r="C1323" i="1"/>
  <c r="A1323" i="1"/>
  <c r="H1322" i="1"/>
  <c r="G1322" i="1"/>
  <c r="F1322" i="1"/>
  <c r="E1322" i="1"/>
  <c r="D1322" i="1"/>
  <c r="C1322" i="1"/>
  <c r="A1322" i="1"/>
  <c r="H1321" i="1"/>
  <c r="G1321" i="1"/>
  <c r="F1321" i="1"/>
  <c r="E1321" i="1"/>
  <c r="D1321" i="1"/>
  <c r="C1321" i="1"/>
  <c r="A1321" i="1"/>
  <c r="H1320" i="1"/>
  <c r="G1320" i="1"/>
  <c r="F1320" i="1"/>
  <c r="E1320" i="1"/>
  <c r="D1320" i="1"/>
  <c r="C1320" i="1"/>
  <c r="A1320" i="1"/>
  <c r="H1319" i="1"/>
  <c r="G1319" i="1"/>
  <c r="F1319" i="1"/>
  <c r="E1319" i="1"/>
  <c r="D1319" i="1"/>
  <c r="C1319" i="1"/>
  <c r="A1319" i="1"/>
  <c r="H1318" i="1"/>
  <c r="G1318" i="1"/>
  <c r="F1318" i="1"/>
  <c r="E1318" i="1"/>
  <c r="D1318" i="1"/>
  <c r="C1318" i="1"/>
  <c r="A1318" i="1"/>
  <c r="H1317" i="1"/>
  <c r="G1317" i="1"/>
  <c r="F1317" i="1"/>
  <c r="E1317" i="1"/>
  <c r="D1317" i="1"/>
  <c r="C1317" i="1"/>
  <c r="A1317" i="1"/>
  <c r="H1316" i="1"/>
  <c r="G1316" i="1"/>
  <c r="F1316" i="1"/>
  <c r="E1316" i="1"/>
  <c r="D1316" i="1"/>
  <c r="C1316" i="1"/>
  <c r="A1316" i="1"/>
  <c r="H1315" i="1"/>
  <c r="G1315" i="1"/>
  <c r="F1315" i="1"/>
  <c r="E1315" i="1"/>
  <c r="D1315" i="1"/>
  <c r="C1315" i="1"/>
  <c r="A1315" i="1"/>
  <c r="H1314" i="1"/>
  <c r="G1314" i="1"/>
  <c r="F1314" i="1"/>
  <c r="E1314" i="1"/>
  <c r="D1314" i="1"/>
  <c r="C1314" i="1"/>
  <c r="A1314" i="1"/>
  <c r="H1313" i="1"/>
  <c r="G1313" i="1"/>
  <c r="F1313" i="1"/>
  <c r="E1313" i="1"/>
  <c r="D1313" i="1"/>
  <c r="C1313" i="1"/>
  <c r="A1313" i="1"/>
  <c r="H1312" i="1"/>
  <c r="G1312" i="1"/>
  <c r="F1312" i="1"/>
  <c r="E1312" i="1"/>
  <c r="D1312" i="1"/>
  <c r="C1312" i="1"/>
  <c r="A1312" i="1"/>
  <c r="H1311" i="1"/>
  <c r="G1311" i="1"/>
  <c r="F1311" i="1"/>
  <c r="E1311" i="1"/>
  <c r="D1311" i="1"/>
  <c r="C1311" i="1"/>
  <c r="A1311" i="1"/>
  <c r="H1310" i="1"/>
  <c r="G1310" i="1"/>
  <c r="F1310" i="1"/>
  <c r="E1310" i="1"/>
  <c r="D1310" i="1"/>
  <c r="C1310" i="1"/>
  <c r="A1310" i="1"/>
  <c r="H1309" i="1"/>
  <c r="G1309" i="1"/>
  <c r="F1309" i="1"/>
  <c r="E1309" i="1"/>
  <c r="D1309" i="1"/>
  <c r="C1309" i="1"/>
  <c r="A1309" i="1"/>
  <c r="H1308" i="1"/>
  <c r="G1308" i="1"/>
  <c r="F1308" i="1"/>
  <c r="E1308" i="1"/>
  <c r="D1308" i="1"/>
  <c r="C1308" i="1"/>
  <c r="A1308" i="1"/>
  <c r="H1307" i="1"/>
  <c r="G1307" i="1"/>
  <c r="F1307" i="1"/>
  <c r="E1307" i="1"/>
  <c r="D1307" i="1"/>
  <c r="C1307" i="1"/>
  <c r="A1307" i="1"/>
  <c r="H1306" i="1"/>
  <c r="G1306" i="1"/>
  <c r="F1306" i="1"/>
  <c r="E1306" i="1"/>
  <c r="D1306" i="1"/>
  <c r="C1306" i="1"/>
  <c r="A1306" i="1"/>
  <c r="H1305" i="1"/>
  <c r="G1305" i="1"/>
  <c r="F1305" i="1"/>
  <c r="E1305" i="1"/>
  <c r="D1305" i="1"/>
  <c r="C1305" i="1"/>
  <c r="A1305" i="1"/>
  <c r="H1304" i="1"/>
  <c r="G1304" i="1"/>
  <c r="F1304" i="1"/>
  <c r="E1304" i="1"/>
  <c r="D1304" i="1"/>
  <c r="C1304" i="1"/>
  <c r="A1304" i="1"/>
  <c r="H1303" i="1"/>
  <c r="G1303" i="1"/>
  <c r="F1303" i="1"/>
  <c r="E1303" i="1"/>
  <c r="D1303" i="1"/>
  <c r="C1303" i="1"/>
  <c r="A1303" i="1"/>
  <c r="H1302" i="1"/>
  <c r="G1302" i="1"/>
  <c r="F1302" i="1"/>
  <c r="E1302" i="1"/>
  <c r="D1302" i="1"/>
  <c r="C1302" i="1"/>
  <c r="A1302" i="1"/>
  <c r="H1301" i="1"/>
  <c r="G1301" i="1"/>
  <c r="F1301" i="1"/>
  <c r="E1301" i="1"/>
  <c r="D1301" i="1"/>
  <c r="C1301" i="1"/>
  <c r="A1301" i="1"/>
  <c r="H1300" i="1"/>
  <c r="G1300" i="1"/>
  <c r="F1300" i="1"/>
  <c r="E1300" i="1"/>
  <c r="D1300" i="1"/>
  <c r="C1300" i="1"/>
  <c r="A1300" i="1"/>
  <c r="H1299" i="1"/>
  <c r="G1299" i="1"/>
  <c r="F1299" i="1"/>
  <c r="E1299" i="1"/>
  <c r="D1299" i="1"/>
  <c r="C1299" i="1"/>
  <c r="A1299" i="1"/>
  <c r="H1298" i="1"/>
  <c r="G1298" i="1"/>
  <c r="F1298" i="1"/>
  <c r="E1298" i="1"/>
  <c r="D1298" i="1"/>
  <c r="C1298" i="1"/>
  <c r="A1298" i="1"/>
  <c r="H1297" i="1"/>
  <c r="G1297" i="1"/>
  <c r="F1297" i="1"/>
  <c r="E1297" i="1"/>
  <c r="D1297" i="1"/>
  <c r="C1297" i="1"/>
  <c r="A1297" i="1"/>
  <c r="H1296" i="1"/>
  <c r="G1296" i="1"/>
  <c r="F1296" i="1"/>
  <c r="E1296" i="1"/>
  <c r="D1296" i="1"/>
  <c r="C1296" i="1"/>
  <c r="A1296" i="1"/>
  <c r="H1295" i="1"/>
  <c r="G1295" i="1"/>
  <c r="F1295" i="1"/>
  <c r="E1295" i="1"/>
  <c r="D1295" i="1"/>
  <c r="C1295" i="1"/>
  <c r="A1295" i="1"/>
  <c r="H1294" i="1"/>
  <c r="G1294" i="1"/>
  <c r="F1294" i="1"/>
  <c r="E1294" i="1"/>
  <c r="D1294" i="1"/>
  <c r="C1294" i="1"/>
  <c r="A1294" i="1"/>
  <c r="H1293" i="1"/>
  <c r="G1293" i="1"/>
  <c r="F1293" i="1"/>
  <c r="E1293" i="1"/>
  <c r="D1293" i="1"/>
  <c r="C1293" i="1"/>
  <c r="A1293" i="1"/>
  <c r="H1292" i="1"/>
  <c r="G1292" i="1"/>
  <c r="F1292" i="1"/>
  <c r="E1292" i="1"/>
  <c r="D1292" i="1"/>
  <c r="C1292" i="1"/>
  <c r="A1292" i="1"/>
  <c r="H1291" i="1"/>
  <c r="G1291" i="1"/>
  <c r="F1291" i="1"/>
  <c r="E1291" i="1"/>
  <c r="D1291" i="1"/>
  <c r="C1291" i="1"/>
  <c r="A1291" i="1"/>
  <c r="H1290" i="1"/>
  <c r="G1290" i="1"/>
  <c r="F1290" i="1"/>
  <c r="E1290" i="1"/>
  <c r="D1290" i="1"/>
  <c r="C1290" i="1"/>
  <c r="A1290" i="1"/>
  <c r="H1289" i="1"/>
  <c r="G1289" i="1"/>
  <c r="F1289" i="1"/>
  <c r="E1289" i="1"/>
  <c r="D1289" i="1"/>
  <c r="C1289" i="1"/>
  <c r="A1289" i="1"/>
  <c r="H1288" i="1"/>
  <c r="G1288" i="1"/>
  <c r="F1288" i="1"/>
  <c r="E1288" i="1"/>
  <c r="D1288" i="1"/>
  <c r="C1288" i="1"/>
  <c r="A1288" i="1"/>
  <c r="H1287" i="1"/>
  <c r="G1287" i="1"/>
  <c r="F1287" i="1"/>
  <c r="E1287" i="1"/>
  <c r="D1287" i="1"/>
  <c r="C1287" i="1"/>
  <c r="A1287" i="1"/>
  <c r="H1286" i="1"/>
  <c r="G1286" i="1"/>
  <c r="F1286" i="1"/>
  <c r="E1286" i="1"/>
  <c r="D1286" i="1"/>
  <c r="C1286" i="1"/>
  <c r="A1286" i="1"/>
  <c r="H1285" i="1"/>
  <c r="G1285" i="1"/>
  <c r="F1285" i="1"/>
  <c r="E1285" i="1"/>
  <c r="D1285" i="1"/>
  <c r="C1285" i="1"/>
  <c r="A1285" i="1"/>
  <c r="H1284" i="1"/>
  <c r="G1284" i="1"/>
  <c r="F1284" i="1"/>
  <c r="E1284" i="1"/>
  <c r="D1284" i="1"/>
  <c r="C1284" i="1"/>
  <c r="A1284" i="1"/>
  <c r="H1283" i="1"/>
  <c r="G1283" i="1"/>
  <c r="F1283" i="1"/>
  <c r="E1283" i="1"/>
  <c r="D1283" i="1"/>
  <c r="C1283" i="1"/>
  <c r="A1283" i="1"/>
  <c r="H1282" i="1"/>
  <c r="G1282" i="1"/>
  <c r="F1282" i="1"/>
  <c r="E1282" i="1"/>
  <c r="D1282" i="1"/>
  <c r="C1282" i="1"/>
  <c r="A1282" i="1"/>
  <c r="H1281" i="1"/>
  <c r="G1281" i="1"/>
  <c r="F1281" i="1"/>
  <c r="E1281" i="1"/>
  <c r="D1281" i="1"/>
  <c r="C1281" i="1"/>
  <c r="A1281" i="1"/>
  <c r="H1280" i="1"/>
  <c r="G1280" i="1"/>
  <c r="F1280" i="1"/>
  <c r="E1280" i="1"/>
  <c r="D1280" i="1"/>
  <c r="C1280" i="1"/>
  <c r="A1280" i="1"/>
  <c r="H1279" i="1"/>
  <c r="G1279" i="1"/>
  <c r="F1279" i="1"/>
  <c r="E1279" i="1"/>
  <c r="D1279" i="1"/>
  <c r="C1279" i="1"/>
  <c r="A1279" i="1"/>
  <c r="H1278" i="1"/>
  <c r="G1278" i="1"/>
  <c r="F1278" i="1"/>
  <c r="E1278" i="1"/>
  <c r="D1278" i="1"/>
  <c r="C1278" i="1"/>
  <c r="A1278" i="1"/>
  <c r="H1277" i="1"/>
  <c r="G1277" i="1"/>
  <c r="F1277" i="1"/>
  <c r="E1277" i="1"/>
  <c r="D1277" i="1"/>
  <c r="C1277" i="1"/>
  <c r="A1277" i="1"/>
  <c r="H1276" i="1"/>
  <c r="G1276" i="1"/>
  <c r="F1276" i="1"/>
  <c r="E1276" i="1"/>
  <c r="D1276" i="1"/>
  <c r="C1276" i="1"/>
  <c r="A1276" i="1"/>
  <c r="H1275" i="1"/>
  <c r="G1275" i="1"/>
  <c r="F1275" i="1"/>
  <c r="E1275" i="1"/>
  <c r="D1275" i="1"/>
  <c r="C1275" i="1"/>
  <c r="A1275" i="1"/>
  <c r="H1274" i="1"/>
  <c r="G1274" i="1"/>
  <c r="F1274" i="1"/>
  <c r="E1274" i="1"/>
  <c r="D1274" i="1"/>
  <c r="C1274" i="1"/>
  <c r="A1274" i="1"/>
  <c r="H1273" i="1"/>
  <c r="G1273" i="1"/>
  <c r="F1273" i="1"/>
  <c r="E1273" i="1"/>
  <c r="D1273" i="1"/>
  <c r="C1273" i="1"/>
  <c r="A1273" i="1"/>
  <c r="H1272" i="1"/>
  <c r="G1272" i="1"/>
  <c r="F1272" i="1"/>
  <c r="E1272" i="1"/>
  <c r="D1272" i="1"/>
  <c r="C1272" i="1"/>
  <c r="A1272" i="1"/>
  <c r="H1271" i="1"/>
  <c r="G1271" i="1"/>
  <c r="F1271" i="1"/>
  <c r="E1271" i="1"/>
  <c r="D1271" i="1"/>
  <c r="C1271" i="1"/>
  <c r="A1271" i="1"/>
  <c r="H1270" i="1"/>
  <c r="G1270" i="1"/>
  <c r="F1270" i="1"/>
  <c r="E1270" i="1"/>
  <c r="D1270" i="1"/>
  <c r="C1270" i="1"/>
  <c r="A1270" i="1"/>
  <c r="H1269" i="1"/>
  <c r="G1269" i="1"/>
  <c r="F1269" i="1"/>
  <c r="E1269" i="1"/>
  <c r="D1269" i="1"/>
  <c r="C1269" i="1"/>
  <c r="A1269" i="1"/>
  <c r="H1268" i="1"/>
  <c r="G1268" i="1"/>
  <c r="F1268" i="1"/>
  <c r="E1268" i="1"/>
  <c r="D1268" i="1"/>
  <c r="C1268" i="1"/>
  <c r="A1268" i="1"/>
  <c r="H1267" i="1"/>
  <c r="G1267" i="1"/>
  <c r="F1267" i="1"/>
  <c r="E1267" i="1"/>
  <c r="D1267" i="1"/>
  <c r="C1267" i="1"/>
  <c r="A1267" i="1"/>
  <c r="H1266" i="1"/>
  <c r="G1266" i="1"/>
  <c r="F1266" i="1"/>
  <c r="E1266" i="1"/>
  <c r="D1266" i="1"/>
  <c r="C1266" i="1"/>
  <c r="A1266" i="1"/>
  <c r="H1265" i="1"/>
  <c r="G1265" i="1"/>
  <c r="F1265" i="1"/>
  <c r="E1265" i="1"/>
  <c r="D1265" i="1"/>
  <c r="C1265" i="1"/>
  <c r="A1265" i="1"/>
  <c r="H1264" i="1"/>
  <c r="G1264" i="1"/>
  <c r="F1264" i="1"/>
  <c r="E1264" i="1"/>
  <c r="D1264" i="1"/>
  <c r="C1264" i="1"/>
  <c r="A1264" i="1"/>
  <c r="H1263" i="1"/>
  <c r="G1263" i="1"/>
  <c r="F1263" i="1"/>
  <c r="E1263" i="1"/>
  <c r="D1263" i="1"/>
  <c r="C1263" i="1"/>
  <c r="A1263" i="1"/>
  <c r="H1262" i="1"/>
  <c r="G1262" i="1"/>
  <c r="F1262" i="1"/>
  <c r="E1262" i="1"/>
  <c r="D1262" i="1"/>
  <c r="C1262" i="1"/>
  <c r="A1262" i="1"/>
  <c r="H1261" i="1"/>
  <c r="G1261" i="1"/>
  <c r="F1261" i="1"/>
  <c r="E1261" i="1"/>
  <c r="D1261" i="1"/>
  <c r="C1261" i="1"/>
  <c r="A1261" i="1"/>
  <c r="H1260" i="1"/>
  <c r="G1260" i="1"/>
  <c r="F1260" i="1"/>
  <c r="E1260" i="1"/>
  <c r="D1260" i="1"/>
  <c r="C1260" i="1"/>
  <c r="A1260" i="1"/>
  <c r="H1259" i="1"/>
  <c r="G1259" i="1"/>
  <c r="F1259" i="1"/>
  <c r="E1259" i="1"/>
  <c r="D1259" i="1"/>
  <c r="C1259" i="1"/>
  <c r="A1259" i="1"/>
  <c r="H1258" i="1"/>
  <c r="G1258" i="1"/>
  <c r="F1258" i="1"/>
  <c r="E1258" i="1"/>
  <c r="D1258" i="1"/>
  <c r="C1258" i="1"/>
  <c r="A1258" i="1"/>
  <c r="H1257" i="1"/>
  <c r="G1257" i="1"/>
  <c r="F1257" i="1"/>
  <c r="E1257" i="1"/>
  <c r="D1257" i="1"/>
  <c r="C1257" i="1"/>
  <c r="A1257" i="1"/>
  <c r="H1256" i="1"/>
  <c r="G1256" i="1"/>
  <c r="F1256" i="1"/>
  <c r="E1256" i="1"/>
  <c r="D1256" i="1"/>
  <c r="C1256" i="1"/>
  <c r="A1256" i="1"/>
  <c r="H1255" i="1"/>
  <c r="G1255" i="1"/>
  <c r="F1255" i="1"/>
  <c r="E1255" i="1"/>
  <c r="D1255" i="1"/>
  <c r="C1255" i="1"/>
  <c r="A1255" i="1"/>
  <c r="H1254" i="1"/>
  <c r="G1254" i="1"/>
  <c r="F1254" i="1"/>
  <c r="E1254" i="1"/>
  <c r="D1254" i="1"/>
  <c r="C1254" i="1"/>
  <c r="A1254" i="1"/>
  <c r="H1253" i="1"/>
  <c r="G1253" i="1"/>
  <c r="F1253" i="1"/>
  <c r="E1253" i="1"/>
  <c r="D1253" i="1"/>
  <c r="C1253" i="1"/>
  <c r="A1253" i="1"/>
  <c r="H1252" i="1"/>
  <c r="G1252" i="1"/>
  <c r="F1252" i="1"/>
  <c r="E1252" i="1"/>
  <c r="D1252" i="1"/>
  <c r="C1252" i="1"/>
  <c r="A1252" i="1"/>
  <c r="H1251" i="1"/>
  <c r="G1251" i="1"/>
  <c r="F1251" i="1"/>
  <c r="E1251" i="1"/>
  <c r="D1251" i="1"/>
  <c r="C1251" i="1"/>
  <c r="A1251" i="1"/>
  <c r="H1250" i="1"/>
  <c r="G1250" i="1"/>
  <c r="F1250" i="1"/>
  <c r="E1250" i="1"/>
  <c r="D1250" i="1"/>
  <c r="C1250" i="1"/>
  <c r="A1250" i="1"/>
  <c r="H1249" i="1"/>
  <c r="G1249" i="1"/>
  <c r="F1249" i="1"/>
  <c r="E1249" i="1"/>
  <c r="D1249" i="1"/>
  <c r="C1249" i="1"/>
  <c r="A1249" i="1"/>
  <c r="H1248" i="1"/>
  <c r="G1248" i="1"/>
  <c r="F1248" i="1"/>
  <c r="E1248" i="1"/>
  <c r="D1248" i="1"/>
  <c r="C1248" i="1"/>
  <c r="A1248" i="1"/>
  <c r="H1247" i="1"/>
  <c r="G1247" i="1"/>
  <c r="F1247" i="1"/>
  <c r="E1247" i="1"/>
  <c r="D1247" i="1"/>
  <c r="C1247" i="1"/>
  <c r="A1247" i="1"/>
  <c r="H1246" i="1"/>
  <c r="G1246" i="1"/>
  <c r="F1246" i="1"/>
  <c r="E1246" i="1"/>
  <c r="D1246" i="1"/>
  <c r="C1246" i="1"/>
  <c r="A1246" i="1"/>
  <c r="H1245" i="1"/>
  <c r="G1245" i="1"/>
  <c r="F1245" i="1"/>
  <c r="E1245" i="1"/>
  <c r="D1245" i="1"/>
  <c r="C1245" i="1"/>
  <c r="A1245" i="1"/>
  <c r="H1244" i="1"/>
  <c r="G1244" i="1"/>
  <c r="F1244" i="1"/>
  <c r="E1244" i="1"/>
  <c r="D1244" i="1"/>
  <c r="C1244" i="1"/>
  <c r="A1244" i="1"/>
  <c r="H1243" i="1"/>
  <c r="G1243" i="1"/>
  <c r="F1243" i="1"/>
  <c r="E1243" i="1"/>
  <c r="D1243" i="1"/>
  <c r="C1243" i="1"/>
  <c r="A1243" i="1"/>
  <c r="H1242" i="1"/>
  <c r="G1242" i="1"/>
  <c r="F1242" i="1"/>
  <c r="E1242" i="1"/>
  <c r="D1242" i="1"/>
  <c r="C1242" i="1"/>
  <c r="A1242" i="1"/>
  <c r="H1241" i="1"/>
  <c r="G1241" i="1"/>
  <c r="F1241" i="1"/>
  <c r="E1241" i="1"/>
  <c r="D1241" i="1"/>
  <c r="C1241" i="1"/>
  <c r="A1241" i="1"/>
  <c r="H1240" i="1"/>
  <c r="G1240" i="1"/>
  <c r="F1240" i="1"/>
  <c r="E1240" i="1"/>
  <c r="D1240" i="1"/>
  <c r="C1240" i="1"/>
  <c r="A1240" i="1"/>
  <c r="H1239" i="1"/>
  <c r="G1239" i="1"/>
  <c r="F1239" i="1"/>
  <c r="E1239" i="1"/>
  <c r="D1239" i="1"/>
  <c r="C1239" i="1"/>
  <c r="A1239" i="1"/>
  <c r="H1238" i="1"/>
  <c r="G1238" i="1"/>
  <c r="F1238" i="1"/>
  <c r="E1238" i="1"/>
  <c r="D1238" i="1"/>
  <c r="C1238" i="1"/>
  <c r="A1238" i="1"/>
  <c r="H1237" i="1"/>
  <c r="G1237" i="1"/>
  <c r="F1237" i="1"/>
  <c r="E1237" i="1"/>
  <c r="D1237" i="1"/>
  <c r="C1237" i="1"/>
  <c r="A1237" i="1"/>
  <c r="H1236" i="1"/>
  <c r="G1236" i="1"/>
  <c r="F1236" i="1"/>
  <c r="E1236" i="1"/>
  <c r="D1236" i="1"/>
  <c r="C1236" i="1"/>
  <c r="A1236" i="1"/>
  <c r="H1235" i="1"/>
  <c r="G1235" i="1"/>
  <c r="F1235" i="1"/>
  <c r="E1235" i="1"/>
  <c r="D1235" i="1"/>
  <c r="C1235" i="1"/>
  <c r="A1235" i="1"/>
  <c r="H1234" i="1"/>
  <c r="G1234" i="1"/>
  <c r="F1234" i="1"/>
  <c r="E1234" i="1"/>
  <c r="D1234" i="1"/>
  <c r="C1234" i="1"/>
  <c r="A1234" i="1"/>
  <c r="H1233" i="1"/>
  <c r="G1233" i="1"/>
  <c r="F1233" i="1"/>
  <c r="E1233" i="1"/>
  <c r="D1233" i="1"/>
  <c r="C1233" i="1"/>
  <c r="A1233" i="1"/>
  <c r="H1232" i="1"/>
  <c r="G1232" i="1"/>
  <c r="F1232" i="1"/>
  <c r="E1232" i="1"/>
  <c r="D1232" i="1"/>
  <c r="C1232" i="1"/>
  <c r="A1232" i="1"/>
  <c r="H1231" i="1"/>
  <c r="G1231" i="1"/>
  <c r="F1231" i="1"/>
  <c r="E1231" i="1"/>
  <c r="D1231" i="1"/>
  <c r="C1231" i="1"/>
  <c r="A1231" i="1"/>
  <c r="H1230" i="1"/>
  <c r="G1230" i="1"/>
  <c r="F1230" i="1"/>
  <c r="E1230" i="1"/>
  <c r="D1230" i="1"/>
  <c r="C1230" i="1"/>
  <c r="A1230" i="1"/>
  <c r="H1229" i="1"/>
  <c r="G1229" i="1"/>
  <c r="F1229" i="1"/>
  <c r="E1229" i="1"/>
  <c r="D1229" i="1"/>
  <c r="C1229" i="1"/>
  <c r="A1229" i="1"/>
  <c r="H1228" i="1"/>
  <c r="G1228" i="1"/>
  <c r="F1228" i="1"/>
  <c r="E1228" i="1"/>
  <c r="D1228" i="1"/>
  <c r="C1228" i="1"/>
  <c r="A1228" i="1"/>
  <c r="H1227" i="1"/>
  <c r="G1227" i="1"/>
  <c r="F1227" i="1"/>
  <c r="E1227" i="1"/>
  <c r="D1227" i="1"/>
  <c r="C1227" i="1"/>
  <c r="A1227" i="1"/>
  <c r="H1226" i="1"/>
  <c r="G1226" i="1"/>
  <c r="F1226" i="1"/>
  <c r="E1226" i="1"/>
  <c r="D1226" i="1"/>
  <c r="C1226" i="1"/>
  <c r="A1226" i="1"/>
  <c r="H1225" i="1"/>
  <c r="G1225" i="1"/>
  <c r="F1225" i="1"/>
  <c r="E1225" i="1"/>
  <c r="D1225" i="1"/>
  <c r="C1225" i="1"/>
  <c r="A1225" i="1"/>
  <c r="H1224" i="1"/>
  <c r="G1224" i="1"/>
  <c r="F1224" i="1"/>
  <c r="E1224" i="1"/>
  <c r="D1224" i="1"/>
  <c r="C1224" i="1"/>
  <c r="A1224" i="1"/>
  <c r="H1223" i="1"/>
  <c r="G1223" i="1"/>
  <c r="F1223" i="1"/>
  <c r="E1223" i="1"/>
  <c r="D1223" i="1"/>
  <c r="C1223" i="1"/>
  <c r="A1223" i="1"/>
  <c r="H1222" i="1"/>
  <c r="G1222" i="1"/>
  <c r="F1222" i="1"/>
  <c r="E1222" i="1"/>
  <c r="D1222" i="1"/>
  <c r="C1222" i="1"/>
  <c r="A1222" i="1"/>
  <c r="H1221" i="1"/>
  <c r="G1221" i="1"/>
  <c r="F1221" i="1"/>
  <c r="E1221" i="1"/>
  <c r="D1221" i="1"/>
  <c r="C1221" i="1"/>
  <c r="A1221" i="1"/>
  <c r="H1220" i="1"/>
  <c r="G1220" i="1"/>
  <c r="F1220" i="1"/>
  <c r="E1220" i="1"/>
  <c r="D1220" i="1"/>
  <c r="C1220" i="1"/>
  <c r="A1220" i="1"/>
  <c r="H1219" i="1"/>
  <c r="G1219" i="1"/>
  <c r="F1219" i="1"/>
  <c r="E1219" i="1"/>
  <c r="D1219" i="1"/>
  <c r="C1219" i="1"/>
  <c r="A1219" i="1"/>
  <c r="H1218" i="1"/>
  <c r="G1218" i="1"/>
  <c r="F1218" i="1"/>
  <c r="E1218" i="1"/>
  <c r="D1218" i="1"/>
  <c r="C1218" i="1"/>
  <c r="A1218" i="1"/>
  <c r="H1217" i="1"/>
  <c r="G1217" i="1"/>
  <c r="F1217" i="1"/>
  <c r="E1217" i="1"/>
  <c r="D1217" i="1"/>
  <c r="C1217" i="1"/>
  <c r="A1217" i="1"/>
  <c r="H1216" i="1"/>
  <c r="G1216" i="1"/>
  <c r="F1216" i="1"/>
  <c r="E1216" i="1"/>
  <c r="D1216" i="1"/>
  <c r="C1216" i="1"/>
  <c r="A1216" i="1"/>
  <c r="H1215" i="1"/>
  <c r="G1215" i="1"/>
  <c r="F1215" i="1"/>
  <c r="E1215" i="1"/>
  <c r="D1215" i="1"/>
  <c r="C1215" i="1"/>
  <c r="A1215" i="1"/>
  <c r="H1214" i="1"/>
  <c r="G1214" i="1"/>
  <c r="F1214" i="1"/>
  <c r="E1214" i="1"/>
  <c r="D1214" i="1"/>
  <c r="C1214" i="1"/>
  <c r="A1214" i="1"/>
  <c r="H1213" i="1"/>
  <c r="G1213" i="1"/>
  <c r="F1213" i="1"/>
  <c r="E1213" i="1"/>
  <c r="D1213" i="1"/>
  <c r="C1213" i="1"/>
  <c r="A1213" i="1"/>
  <c r="H1212" i="1"/>
  <c r="G1212" i="1"/>
  <c r="F1212" i="1"/>
  <c r="E1212" i="1"/>
  <c r="D1212" i="1"/>
  <c r="C1212" i="1"/>
  <c r="A1212" i="1"/>
  <c r="H1211" i="1"/>
  <c r="G1211" i="1"/>
  <c r="F1211" i="1"/>
  <c r="E1211" i="1"/>
  <c r="D1211" i="1"/>
  <c r="C1211" i="1"/>
  <c r="A1211" i="1"/>
  <c r="H1210" i="1"/>
  <c r="G1210" i="1"/>
  <c r="F1210" i="1"/>
  <c r="E1210" i="1"/>
  <c r="D1210" i="1"/>
  <c r="C1210" i="1"/>
  <c r="A1210" i="1"/>
  <c r="H1209" i="1"/>
  <c r="G1209" i="1"/>
  <c r="F1209" i="1"/>
  <c r="E1209" i="1"/>
  <c r="D1209" i="1"/>
  <c r="C1209" i="1"/>
  <c r="A1209" i="1"/>
  <c r="H1208" i="1"/>
  <c r="G1208" i="1"/>
  <c r="F1208" i="1"/>
  <c r="E1208" i="1"/>
  <c r="D1208" i="1"/>
  <c r="C1208" i="1"/>
  <c r="A1208" i="1"/>
  <c r="H1207" i="1"/>
  <c r="G1207" i="1"/>
  <c r="F1207" i="1"/>
  <c r="E1207" i="1"/>
  <c r="D1207" i="1"/>
  <c r="C1207" i="1"/>
  <c r="A1207" i="1"/>
  <c r="H1206" i="1"/>
  <c r="G1206" i="1"/>
  <c r="F1206" i="1"/>
  <c r="E1206" i="1"/>
  <c r="D1206" i="1"/>
  <c r="C1206" i="1"/>
  <c r="A1206" i="1"/>
  <c r="H1205" i="1"/>
  <c r="G1205" i="1"/>
  <c r="F1205" i="1"/>
  <c r="E1205" i="1"/>
  <c r="D1205" i="1"/>
  <c r="C1205" i="1"/>
  <c r="A1205" i="1"/>
  <c r="H1204" i="1"/>
  <c r="G1204" i="1"/>
  <c r="F1204" i="1"/>
  <c r="E1204" i="1"/>
  <c r="D1204" i="1"/>
  <c r="C1204" i="1"/>
  <c r="A1204" i="1"/>
  <c r="H1203" i="1"/>
  <c r="G1203" i="1"/>
  <c r="F1203" i="1"/>
  <c r="E1203" i="1"/>
  <c r="D1203" i="1"/>
  <c r="C1203" i="1"/>
  <c r="A1203" i="1"/>
  <c r="H1202" i="1"/>
  <c r="G1202" i="1"/>
  <c r="F1202" i="1"/>
  <c r="E1202" i="1"/>
  <c r="D1202" i="1"/>
  <c r="C1202" i="1"/>
  <c r="A1202" i="1"/>
  <c r="H1201" i="1"/>
  <c r="G1201" i="1"/>
  <c r="F1201" i="1"/>
  <c r="E1201" i="1"/>
  <c r="D1201" i="1"/>
  <c r="C1201" i="1"/>
  <c r="A1201" i="1"/>
  <c r="H1200" i="1"/>
  <c r="G1200" i="1"/>
  <c r="F1200" i="1"/>
  <c r="E1200" i="1"/>
  <c r="D1200" i="1"/>
  <c r="C1200" i="1"/>
  <c r="A1200" i="1"/>
  <c r="H1199" i="1"/>
  <c r="G1199" i="1"/>
  <c r="F1199" i="1"/>
  <c r="E1199" i="1"/>
  <c r="D1199" i="1"/>
  <c r="C1199" i="1"/>
  <c r="A1199" i="1"/>
  <c r="H1198" i="1"/>
  <c r="G1198" i="1"/>
  <c r="F1198" i="1"/>
  <c r="E1198" i="1"/>
  <c r="D1198" i="1"/>
  <c r="C1198" i="1"/>
  <c r="A1198" i="1"/>
  <c r="H1197" i="1"/>
  <c r="G1197" i="1"/>
  <c r="F1197" i="1"/>
  <c r="E1197" i="1"/>
  <c r="D1197" i="1"/>
  <c r="C1197" i="1"/>
  <c r="A1197" i="1"/>
  <c r="H1196" i="1"/>
  <c r="G1196" i="1"/>
  <c r="F1196" i="1"/>
  <c r="E1196" i="1"/>
  <c r="D1196" i="1"/>
  <c r="C1196" i="1"/>
  <c r="A1196" i="1"/>
  <c r="H1195" i="1"/>
  <c r="G1195" i="1"/>
  <c r="F1195" i="1"/>
  <c r="E1195" i="1"/>
  <c r="D1195" i="1"/>
  <c r="C1195" i="1"/>
  <c r="A1195" i="1"/>
  <c r="H1194" i="1"/>
  <c r="G1194" i="1"/>
  <c r="F1194" i="1"/>
  <c r="E1194" i="1"/>
  <c r="D1194" i="1"/>
  <c r="C1194" i="1"/>
  <c r="A1194" i="1"/>
  <c r="H1193" i="1"/>
  <c r="G1193" i="1"/>
  <c r="F1193" i="1"/>
  <c r="E1193" i="1"/>
  <c r="D1193" i="1"/>
  <c r="C1193" i="1"/>
  <c r="A1193" i="1"/>
  <c r="H1192" i="1"/>
  <c r="G1192" i="1"/>
  <c r="F1192" i="1"/>
  <c r="E1192" i="1"/>
  <c r="D1192" i="1"/>
  <c r="C1192" i="1"/>
  <c r="A1192" i="1"/>
  <c r="H1191" i="1"/>
  <c r="G1191" i="1"/>
  <c r="F1191" i="1"/>
  <c r="E1191" i="1"/>
  <c r="D1191" i="1"/>
  <c r="C1191" i="1"/>
  <c r="A1191" i="1"/>
  <c r="H1190" i="1"/>
  <c r="G1190" i="1"/>
  <c r="F1190" i="1"/>
  <c r="E1190" i="1"/>
  <c r="D1190" i="1"/>
  <c r="C1190" i="1"/>
  <c r="A1190" i="1"/>
  <c r="H1189" i="1"/>
  <c r="G1189" i="1"/>
  <c r="F1189" i="1"/>
  <c r="E1189" i="1"/>
  <c r="D1189" i="1"/>
  <c r="C1189" i="1"/>
  <c r="A1189" i="1"/>
  <c r="H1188" i="1"/>
  <c r="G1188" i="1"/>
  <c r="F1188" i="1"/>
  <c r="E1188" i="1"/>
  <c r="D1188" i="1"/>
  <c r="C1188" i="1"/>
  <c r="A1188" i="1"/>
  <c r="H1187" i="1"/>
  <c r="G1187" i="1"/>
  <c r="F1187" i="1"/>
  <c r="E1187" i="1"/>
  <c r="D1187" i="1"/>
  <c r="C1187" i="1"/>
  <c r="A1187" i="1"/>
  <c r="H1186" i="1"/>
  <c r="G1186" i="1"/>
  <c r="F1186" i="1"/>
  <c r="E1186" i="1"/>
  <c r="D1186" i="1"/>
  <c r="C1186" i="1"/>
  <c r="A1186" i="1"/>
  <c r="H1185" i="1"/>
  <c r="G1185" i="1"/>
  <c r="F1185" i="1"/>
  <c r="E1185" i="1"/>
  <c r="D1185" i="1"/>
  <c r="C1185" i="1"/>
  <c r="A1185" i="1"/>
  <c r="H1184" i="1"/>
  <c r="G1184" i="1"/>
  <c r="F1184" i="1"/>
  <c r="E1184" i="1"/>
  <c r="D1184" i="1"/>
  <c r="C1184" i="1"/>
  <c r="A1184" i="1"/>
  <c r="H1183" i="1"/>
  <c r="G1183" i="1"/>
  <c r="F1183" i="1"/>
  <c r="E1183" i="1"/>
  <c r="D1183" i="1"/>
  <c r="C1183" i="1"/>
  <c r="A1183" i="1"/>
  <c r="H1182" i="1"/>
  <c r="G1182" i="1"/>
  <c r="F1182" i="1"/>
  <c r="E1182" i="1"/>
  <c r="D1182" i="1"/>
  <c r="C1182" i="1"/>
  <c r="A1182" i="1"/>
  <c r="H1181" i="1"/>
  <c r="G1181" i="1"/>
  <c r="F1181" i="1"/>
  <c r="E1181" i="1"/>
  <c r="D1181" i="1"/>
  <c r="C1181" i="1"/>
  <c r="A1181" i="1"/>
  <c r="H1180" i="1"/>
  <c r="G1180" i="1"/>
  <c r="F1180" i="1"/>
  <c r="E1180" i="1"/>
  <c r="D1180" i="1"/>
  <c r="C1180" i="1"/>
  <c r="A1180" i="1"/>
  <c r="H1179" i="1"/>
  <c r="G1179" i="1"/>
  <c r="F1179" i="1"/>
  <c r="E1179" i="1"/>
  <c r="D1179" i="1"/>
  <c r="C1179" i="1"/>
  <c r="A1179" i="1"/>
  <c r="H1178" i="1"/>
  <c r="G1178" i="1"/>
  <c r="F1178" i="1"/>
  <c r="E1178" i="1"/>
  <c r="D1178" i="1"/>
  <c r="C1178" i="1"/>
  <c r="A1178" i="1"/>
  <c r="H1177" i="1"/>
  <c r="G1177" i="1"/>
  <c r="F1177" i="1"/>
  <c r="E1177" i="1"/>
  <c r="D1177" i="1"/>
  <c r="C1177" i="1"/>
  <c r="A1177" i="1"/>
  <c r="H1176" i="1"/>
  <c r="G1176" i="1"/>
  <c r="F1176" i="1"/>
  <c r="E1176" i="1"/>
  <c r="D1176" i="1"/>
  <c r="C1176" i="1"/>
  <c r="A1176" i="1"/>
  <c r="H1175" i="1"/>
  <c r="G1175" i="1"/>
  <c r="F1175" i="1"/>
  <c r="E1175" i="1"/>
  <c r="D1175" i="1"/>
  <c r="C1175" i="1"/>
  <c r="A1175" i="1"/>
  <c r="H1174" i="1"/>
  <c r="G1174" i="1"/>
  <c r="F1174" i="1"/>
  <c r="E1174" i="1"/>
  <c r="D1174" i="1"/>
  <c r="C1174" i="1"/>
  <c r="A1174" i="1"/>
  <c r="H1173" i="1"/>
  <c r="G1173" i="1"/>
  <c r="F1173" i="1"/>
  <c r="E1173" i="1"/>
  <c r="D1173" i="1"/>
  <c r="C1173" i="1"/>
  <c r="A1173" i="1"/>
  <c r="H1172" i="1"/>
  <c r="G1172" i="1"/>
  <c r="F1172" i="1"/>
  <c r="E1172" i="1"/>
  <c r="D1172" i="1"/>
  <c r="C1172" i="1"/>
  <c r="A1172" i="1"/>
  <c r="H1171" i="1"/>
  <c r="G1171" i="1"/>
  <c r="F1171" i="1"/>
  <c r="E1171" i="1"/>
  <c r="D1171" i="1"/>
  <c r="C1171" i="1"/>
  <c r="A1171" i="1"/>
  <c r="H1170" i="1"/>
  <c r="G1170" i="1"/>
  <c r="F1170" i="1"/>
  <c r="E1170" i="1"/>
  <c r="D1170" i="1"/>
  <c r="C1170" i="1"/>
  <c r="A1170" i="1"/>
  <c r="H1169" i="1"/>
  <c r="G1169" i="1"/>
  <c r="F1169" i="1"/>
  <c r="E1169" i="1"/>
  <c r="D1169" i="1"/>
  <c r="C1169" i="1"/>
  <c r="A1169" i="1"/>
  <c r="H1168" i="1"/>
  <c r="G1168" i="1"/>
  <c r="F1168" i="1"/>
  <c r="E1168" i="1"/>
  <c r="D1168" i="1"/>
  <c r="C1168" i="1"/>
  <c r="A1168" i="1"/>
  <c r="H1167" i="1"/>
  <c r="G1167" i="1"/>
  <c r="F1167" i="1"/>
  <c r="E1167" i="1"/>
  <c r="D1167" i="1"/>
  <c r="C1167" i="1"/>
  <c r="A1167" i="1"/>
  <c r="H1166" i="1"/>
  <c r="G1166" i="1"/>
  <c r="F1166" i="1"/>
  <c r="E1166" i="1"/>
  <c r="D1166" i="1"/>
  <c r="C1166" i="1"/>
  <c r="A1166" i="1"/>
  <c r="H1165" i="1"/>
  <c r="G1165" i="1"/>
  <c r="F1165" i="1"/>
  <c r="E1165" i="1"/>
  <c r="D1165" i="1"/>
  <c r="C1165" i="1"/>
  <c r="A1165" i="1"/>
  <c r="H1164" i="1"/>
  <c r="G1164" i="1"/>
  <c r="F1164" i="1"/>
  <c r="E1164" i="1"/>
  <c r="D1164" i="1"/>
  <c r="C1164" i="1"/>
  <c r="A1164" i="1"/>
  <c r="H1163" i="1"/>
  <c r="G1163" i="1"/>
  <c r="F1163" i="1"/>
  <c r="E1163" i="1"/>
  <c r="D1163" i="1"/>
  <c r="C1163" i="1"/>
  <c r="A1163" i="1"/>
  <c r="H1162" i="1"/>
  <c r="G1162" i="1"/>
  <c r="F1162" i="1"/>
  <c r="E1162" i="1"/>
  <c r="D1162" i="1"/>
  <c r="C1162" i="1"/>
  <c r="A1162" i="1"/>
  <c r="H1161" i="1"/>
  <c r="G1161" i="1"/>
  <c r="F1161" i="1"/>
  <c r="E1161" i="1"/>
  <c r="D1161" i="1"/>
  <c r="C1161" i="1"/>
  <c r="A1161" i="1"/>
  <c r="H1160" i="1"/>
  <c r="G1160" i="1"/>
  <c r="F1160" i="1"/>
  <c r="E1160" i="1"/>
  <c r="D1160" i="1"/>
  <c r="C1160" i="1"/>
  <c r="A1160" i="1"/>
  <c r="H1159" i="1"/>
  <c r="G1159" i="1"/>
  <c r="F1159" i="1"/>
  <c r="E1159" i="1"/>
  <c r="D1159" i="1"/>
  <c r="C1159" i="1"/>
  <c r="A1159" i="1"/>
  <c r="H1158" i="1"/>
  <c r="G1158" i="1"/>
  <c r="F1158" i="1"/>
  <c r="E1158" i="1"/>
  <c r="D1158" i="1"/>
  <c r="C1158" i="1"/>
  <c r="A1158" i="1"/>
  <c r="H1157" i="1"/>
  <c r="G1157" i="1"/>
  <c r="F1157" i="1"/>
  <c r="E1157" i="1"/>
  <c r="D1157" i="1"/>
  <c r="C1157" i="1"/>
  <c r="A1157" i="1"/>
  <c r="H1156" i="1"/>
  <c r="G1156" i="1"/>
  <c r="F1156" i="1"/>
  <c r="E1156" i="1"/>
  <c r="D1156" i="1"/>
  <c r="C1156" i="1"/>
  <c r="A1156" i="1"/>
  <c r="H1155" i="1"/>
  <c r="G1155" i="1"/>
  <c r="F1155" i="1"/>
  <c r="E1155" i="1"/>
  <c r="D1155" i="1"/>
  <c r="C1155" i="1"/>
  <c r="A1155" i="1"/>
  <c r="H1154" i="1"/>
  <c r="G1154" i="1"/>
  <c r="F1154" i="1"/>
  <c r="E1154" i="1"/>
  <c r="D1154" i="1"/>
  <c r="C1154" i="1"/>
  <c r="A1154" i="1"/>
  <c r="H1153" i="1"/>
  <c r="G1153" i="1"/>
  <c r="F1153" i="1"/>
  <c r="E1153" i="1"/>
  <c r="D1153" i="1"/>
  <c r="C1153" i="1"/>
  <c r="A1153" i="1"/>
  <c r="H1152" i="1"/>
  <c r="G1152" i="1"/>
  <c r="F1152" i="1"/>
  <c r="E1152" i="1"/>
  <c r="D1152" i="1"/>
  <c r="C1152" i="1"/>
  <c r="A1152" i="1"/>
  <c r="H1151" i="1"/>
  <c r="G1151" i="1"/>
  <c r="F1151" i="1"/>
  <c r="E1151" i="1"/>
  <c r="D1151" i="1"/>
  <c r="C1151" i="1"/>
  <c r="A1151" i="1"/>
  <c r="H1150" i="1"/>
  <c r="G1150" i="1"/>
  <c r="F1150" i="1"/>
  <c r="E1150" i="1"/>
  <c r="D1150" i="1"/>
  <c r="C1150" i="1"/>
  <c r="A1150" i="1"/>
  <c r="H1149" i="1"/>
  <c r="G1149" i="1"/>
  <c r="F1149" i="1"/>
  <c r="E1149" i="1"/>
  <c r="D1149" i="1"/>
  <c r="C1149" i="1"/>
  <c r="A1149" i="1"/>
  <c r="H1148" i="1"/>
  <c r="G1148" i="1"/>
  <c r="F1148" i="1"/>
  <c r="E1148" i="1"/>
  <c r="D1148" i="1"/>
  <c r="C1148" i="1"/>
  <c r="A1148" i="1"/>
  <c r="H1147" i="1"/>
  <c r="G1147" i="1"/>
  <c r="F1147" i="1"/>
  <c r="E1147" i="1"/>
  <c r="D1147" i="1"/>
  <c r="C1147" i="1"/>
  <c r="A1147" i="1"/>
  <c r="H1146" i="1"/>
  <c r="G1146" i="1"/>
  <c r="F1146" i="1"/>
  <c r="E1146" i="1"/>
  <c r="D1146" i="1"/>
  <c r="C1146" i="1"/>
  <c r="A1146" i="1"/>
  <c r="H1145" i="1"/>
  <c r="G1145" i="1"/>
  <c r="F1145" i="1"/>
  <c r="E1145" i="1"/>
  <c r="D1145" i="1"/>
  <c r="C1145" i="1"/>
  <c r="A1145" i="1"/>
  <c r="H1144" i="1"/>
  <c r="G1144" i="1"/>
  <c r="F1144" i="1"/>
  <c r="E1144" i="1"/>
  <c r="D1144" i="1"/>
  <c r="C1144" i="1"/>
  <c r="A1144" i="1"/>
  <c r="H1143" i="1"/>
  <c r="G1143" i="1"/>
  <c r="F1143" i="1"/>
  <c r="E1143" i="1"/>
  <c r="D1143" i="1"/>
  <c r="C1143" i="1"/>
  <c r="A1143" i="1"/>
  <c r="H1142" i="1"/>
  <c r="G1142" i="1"/>
  <c r="F1142" i="1"/>
  <c r="E1142" i="1"/>
  <c r="D1142" i="1"/>
  <c r="C1142" i="1"/>
  <c r="A1142" i="1"/>
  <c r="H1141" i="1"/>
  <c r="G1141" i="1"/>
  <c r="F1141" i="1"/>
  <c r="E1141" i="1"/>
  <c r="D1141" i="1"/>
  <c r="C1141" i="1"/>
  <c r="A1141" i="1"/>
  <c r="H1140" i="1"/>
  <c r="G1140" i="1"/>
  <c r="F1140" i="1"/>
  <c r="E1140" i="1"/>
  <c r="D1140" i="1"/>
  <c r="C1140" i="1"/>
  <c r="A1140" i="1"/>
  <c r="H1139" i="1"/>
  <c r="G1139" i="1"/>
  <c r="F1139" i="1"/>
  <c r="E1139" i="1"/>
  <c r="D1139" i="1"/>
  <c r="C1139" i="1"/>
  <c r="A1139" i="1"/>
  <c r="H1138" i="1"/>
  <c r="G1138" i="1"/>
  <c r="F1138" i="1"/>
  <c r="E1138" i="1"/>
  <c r="D1138" i="1"/>
  <c r="C1138" i="1"/>
  <c r="A1138" i="1"/>
  <c r="H1137" i="1"/>
  <c r="G1137" i="1"/>
  <c r="F1137" i="1"/>
  <c r="E1137" i="1"/>
  <c r="D1137" i="1"/>
  <c r="C1137" i="1"/>
  <c r="A1137" i="1"/>
  <c r="H1136" i="1"/>
  <c r="G1136" i="1"/>
  <c r="F1136" i="1"/>
  <c r="E1136" i="1"/>
  <c r="D1136" i="1"/>
  <c r="C1136" i="1"/>
  <c r="A1136" i="1"/>
  <c r="H1135" i="1"/>
  <c r="G1135" i="1"/>
  <c r="F1135" i="1"/>
  <c r="E1135" i="1"/>
  <c r="D1135" i="1"/>
  <c r="C1135" i="1"/>
  <c r="A1135" i="1"/>
  <c r="H1134" i="1"/>
  <c r="G1134" i="1"/>
  <c r="F1134" i="1"/>
  <c r="E1134" i="1"/>
  <c r="D1134" i="1"/>
  <c r="C1134" i="1"/>
  <c r="A1134" i="1"/>
  <c r="H1133" i="1"/>
  <c r="G1133" i="1"/>
  <c r="F1133" i="1"/>
  <c r="E1133" i="1"/>
  <c r="D1133" i="1"/>
  <c r="C1133" i="1"/>
  <c r="A1133" i="1"/>
  <c r="H1132" i="1"/>
  <c r="G1132" i="1"/>
  <c r="F1132" i="1"/>
  <c r="E1132" i="1"/>
  <c r="D1132" i="1"/>
  <c r="C1132" i="1"/>
  <c r="A1132" i="1"/>
  <c r="H1131" i="1"/>
  <c r="G1131" i="1"/>
  <c r="F1131" i="1"/>
  <c r="E1131" i="1"/>
  <c r="D1131" i="1"/>
  <c r="C1131" i="1"/>
  <c r="A1131" i="1"/>
  <c r="H1130" i="1"/>
  <c r="G1130" i="1"/>
  <c r="F1130" i="1"/>
  <c r="E1130" i="1"/>
  <c r="D1130" i="1"/>
  <c r="C1130" i="1"/>
  <c r="A1130" i="1"/>
  <c r="H1129" i="1"/>
  <c r="G1129" i="1"/>
  <c r="F1129" i="1"/>
  <c r="E1129" i="1"/>
  <c r="D1129" i="1"/>
  <c r="C1129" i="1"/>
  <c r="A1129" i="1"/>
  <c r="H1128" i="1"/>
  <c r="G1128" i="1"/>
  <c r="F1128" i="1"/>
  <c r="E1128" i="1"/>
  <c r="D1128" i="1"/>
  <c r="C1128" i="1"/>
  <c r="A1128" i="1"/>
  <c r="H1127" i="1"/>
  <c r="G1127" i="1"/>
  <c r="F1127" i="1"/>
  <c r="E1127" i="1"/>
  <c r="D1127" i="1"/>
  <c r="C1127" i="1"/>
  <c r="A1127" i="1"/>
  <c r="H1126" i="1"/>
  <c r="G1126" i="1"/>
  <c r="F1126" i="1"/>
  <c r="E1126" i="1"/>
  <c r="D1126" i="1"/>
  <c r="C1126" i="1"/>
  <c r="A1126" i="1"/>
  <c r="H1125" i="1"/>
  <c r="G1125" i="1"/>
  <c r="F1125" i="1"/>
  <c r="E1125" i="1"/>
  <c r="D1125" i="1"/>
  <c r="C1125" i="1"/>
  <c r="A1125" i="1"/>
  <c r="H1124" i="1"/>
  <c r="G1124" i="1"/>
  <c r="F1124" i="1"/>
  <c r="E1124" i="1"/>
  <c r="D1124" i="1"/>
  <c r="C1124" i="1"/>
  <c r="A1124" i="1"/>
  <c r="H1123" i="1"/>
  <c r="G1123" i="1"/>
  <c r="F1123" i="1"/>
  <c r="E1123" i="1"/>
  <c r="D1123" i="1"/>
  <c r="C1123" i="1"/>
  <c r="A1123" i="1"/>
  <c r="H1122" i="1"/>
  <c r="G1122" i="1"/>
  <c r="F1122" i="1"/>
  <c r="E1122" i="1"/>
  <c r="D1122" i="1"/>
  <c r="C1122" i="1"/>
  <c r="A1122" i="1"/>
  <c r="H1121" i="1"/>
  <c r="G1121" i="1"/>
  <c r="F1121" i="1"/>
  <c r="E1121" i="1"/>
  <c r="D1121" i="1"/>
  <c r="C1121" i="1"/>
  <c r="A1121" i="1"/>
  <c r="H1120" i="1"/>
  <c r="G1120" i="1"/>
  <c r="F1120" i="1"/>
  <c r="E1120" i="1"/>
  <c r="D1120" i="1"/>
  <c r="C1120" i="1"/>
  <c r="A1120" i="1"/>
  <c r="H1119" i="1"/>
  <c r="G1119" i="1"/>
  <c r="F1119" i="1"/>
  <c r="E1119" i="1"/>
  <c r="D1119" i="1"/>
  <c r="C1119" i="1"/>
  <c r="A1119" i="1"/>
  <c r="H1118" i="1"/>
  <c r="G1118" i="1"/>
  <c r="F1118" i="1"/>
  <c r="E1118" i="1"/>
  <c r="D1118" i="1"/>
  <c r="C1118" i="1"/>
  <c r="A1118" i="1"/>
  <c r="H1117" i="1"/>
  <c r="G1117" i="1"/>
  <c r="F1117" i="1"/>
  <c r="E1117" i="1"/>
  <c r="D1117" i="1"/>
  <c r="C1117" i="1"/>
  <c r="A1117" i="1"/>
  <c r="H1116" i="1"/>
  <c r="G1116" i="1"/>
  <c r="F1116" i="1"/>
  <c r="E1116" i="1"/>
  <c r="D1116" i="1"/>
  <c r="C1116" i="1"/>
  <c r="A1116" i="1"/>
  <c r="H1115" i="1"/>
  <c r="G1115" i="1"/>
  <c r="F1115" i="1"/>
  <c r="E1115" i="1"/>
  <c r="D1115" i="1"/>
  <c r="C1115" i="1"/>
  <c r="A1115" i="1"/>
  <c r="H1114" i="1"/>
  <c r="G1114" i="1"/>
  <c r="F1114" i="1"/>
  <c r="E1114" i="1"/>
  <c r="D1114" i="1"/>
  <c r="C1114" i="1"/>
  <c r="A1114" i="1"/>
  <c r="H1113" i="1"/>
  <c r="G1113" i="1"/>
  <c r="F1113" i="1"/>
  <c r="E1113" i="1"/>
  <c r="D1113" i="1"/>
  <c r="C1113" i="1"/>
  <c r="A1113" i="1"/>
  <c r="H1112" i="1"/>
  <c r="G1112" i="1"/>
  <c r="F1112" i="1"/>
  <c r="E1112" i="1"/>
  <c r="D1112" i="1"/>
  <c r="C1112" i="1"/>
  <c r="A1112" i="1"/>
  <c r="H1111" i="1"/>
  <c r="G1111" i="1"/>
  <c r="F1111" i="1"/>
  <c r="E1111" i="1"/>
  <c r="D1111" i="1"/>
  <c r="C1111" i="1"/>
  <c r="A1111" i="1"/>
  <c r="H1110" i="1"/>
  <c r="G1110" i="1"/>
  <c r="F1110" i="1"/>
  <c r="E1110" i="1"/>
  <c r="D1110" i="1"/>
  <c r="C1110" i="1"/>
  <c r="A1110" i="1"/>
  <c r="H1109" i="1"/>
  <c r="G1109" i="1"/>
  <c r="F1109" i="1"/>
  <c r="E1109" i="1"/>
  <c r="D1109" i="1"/>
  <c r="C1109" i="1"/>
  <c r="A1109" i="1"/>
  <c r="H1108" i="1"/>
  <c r="G1108" i="1"/>
  <c r="F1108" i="1"/>
  <c r="E1108" i="1"/>
  <c r="D1108" i="1"/>
  <c r="C1108" i="1"/>
  <c r="A1108" i="1"/>
  <c r="H1107" i="1"/>
  <c r="G1107" i="1"/>
  <c r="F1107" i="1"/>
  <c r="E1107" i="1"/>
  <c r="D1107" i="1"/>
  <c r="C1107" i="1"/>
  <c r="A1107" i="1"/>
  <c r="H1106" i="1"/>
  <c r="G1106" i="1"/>
  <c r="F1106" i="1"/>
  <c r="E1106" i="1"/>
  <c r="D1106" i="1"/>
  <c r="C1106" i="1"/>
  <c r="A1106" i="1"/>
  <c r="H1105" i="1"/>
  <c r="G1105" i="1"/>
  <c r="F1105" i="1"/>
  <c r="E1105" i="1"/>
  <c r="D1105" i="1"/>
  <c r="C1105" i="1"/>
  <c r="A1105" i="1"/>
  <c r="H1104" i="1"/>
  <c r="G1104" i="1"/>
  <c r="F1104" i="1"/>
  <c r="E1104" i="1"/>
  <c r="D1104" i="1"/>
  <c r="C1104" i="1"/>
  <c r="A1104" i="1"/>
  <c r="H1103" i="1"/>
  <c r="G1103" i="1"/>
  <c r="F1103" i="1"/>
  <c r="E1103" i="1"/>
  <c r="D1103" i="1"/>
  <c r="C1103" i="1"/>
  <c r="A1103" i="1"/>
  <c r="H1102" i="1"/>
  <c r="G1102" i="1"/>
  <c r="F1102" i="1"/>
  <c r="E1102" i="1"/>
  <c r="D1102" i="1"/>
  <c r="C1102" i="1"/>
  <c r="A1102" i="1"/>
  <c r="H1101" i="1"/>
  <c r="G1101" i="1"/>
  <c r="F1101" i="1"/>
  <c r="E1101" i="1"/>
  <c r="D1101" i="1"/>
  <c r="C1101" i="1"/>
  <c r="A1101" i="1"/>
  <c r="H1100" i="1"/>
  <c r="G1100" i="1"/>
  <c r="F1100" i="1"/>
  <c r="E1100" i="1"/>
  <c r="D1100" i="1"/>
  <c r="C1100" i="1"/>
  <c r="A1100" i="1"/>
  <c r="H1099" i="1"/>
  <c r="G1099" i="1"/>
  <c r="F1099" i="1"/>
  <c r="E1099" i="1"/>
  <c r="D1099" i="1"/>
  <c r="C1099" i="1"/>
  <c r="A1099" i="1"/>
  <c r="H1098" i="1"/>
  <c r="G1098" i="1"/>
  <c r="F1098" i="1"/>
  <c r="E1098" i="1"/>
  <c r="D1098" i="1"/>
  <c r="C1098" i="1"/>
  <c r="A1098" i="1"/>
  <c r="H1097" i="1"/>
  <c r="G1097" i="1"/>
  <c r="F1097" i="1"/>
  <c r="E1097" i="1"/>
  <c r="D1097" i="1"/>
  <c r="C1097" i="1"/>
  <c r="A1097" i="1"/>
  <c r="H1096" i="1"/>
  <c r="G1096" i="1"/>
  <c r="F1096" i="1"/>
  <c r="E1096" i="1"/>
  <c r="D1096" i="1"/>
  <c r="C1096" i="1"/>
  <c r="A1096" i="1"/>
  <c r="H1095" i="1"/>
  <c r="G1095" i="1"/>
  <c r="F1095" i="1"/>
  <c r="E1095" i="1"/>
  <c r="D1095" i="1"/>
  <c r="C1095" i="1"/>
  <c r="A1095" i="1"/>
  <c r="H1094" i="1"/>
  <c r="G1094" i="1"/>
  <c r="F1094" i="1"/>
  <c r="E1094" i="1"/>
  <c r="D1094" i="1"/>
  <c r="C1094" i="1"/>
  <c r="A1094" i="1"/>
  <c r="H1093" i="1"/>
  <c r="G1093" i="1"/>
  <c r="F1093" i="1"/>
  <c r="E1093" i="1"/>
  <c r="D1093" i="1"/>
  <c r="C1093" i="1"/>
  <c r="A1093" i="1"/>
  <c r="H1092" i="1"/>
  <c r="G1092" i="1"/>
  <c r="F1092" i="1"/>
  <c r="E1092" i="1"/>
  <c r="D1092" i="1"/>
  <c r="C1092" i="1"/>
  <c r="A1092" i="1"/>
  <c r="H1091" i="1"/>
  <c r="G1091" i="1"/>
  <c r="F1091" i="1"/>
  <c r="E1091" i="1"/>
  <c r="D1091" i="1"/>
  <c r="C1091" i="1"/>
  <c r="A1091" i="1"/>
  <c r="H1090" i="1"/>
  <c r="G1090" i="1"/>
  <c r="F1090" i="1"/>
  <c r="E1090" i="1"/>
  <c r="D1090" i="1"/>
  <c r="C1090" i="1"/>
  <c r="A1090" i="1"/>
  <c r="H1089" i="1"/>
  <c r="G1089" i="1"/>
  <c r="F1089" i="1"/>
  <c r="E1089" i="1"/>
  <c r="D1089" i="1"/>
  <c r="C1089" i="1"/>
  <c r="A1089" i="1"/>
  <c r="H1088" i="1"/>
  <c r="G1088" i="1"/>
  <c r="F1088" i="1"/>
  <c r="E1088" i="1"/>
  <c r="D1088" i="1"/>
  <c r="C1088" i="1"/>
  <c r="A1088" i="1"/>
  <c r="H1087" i="1"/>
  <c r="G1087" i="1"/>
  <c r="F1087" i="1"/>
  <c r="E1087" i="1"/>
  <c r="D1087" i="1"/>
  <c r="C1087" i="1"/>
  <c r="A1087" i="1"/>
  <c r="H1086" i="1"/>
  <c r="G1086" i="1"/>
  <c r="F1086" i="1"/>
  <c r="E1086" i="1"/>
  <c r="D1086" i="1"/>
  <c r="C1086" i="1"/>
  <c r="A1086" i="1"/>
  <c r="H1085" i="1"/>
  <c r="G1085" i="1"/>
  <c r="F1085" i="1"/>
  <c r="E1085" i="1"/>
  <c r="D1085" i="1"/>
  <c r="C1085" i="1"/>
  <c r="A1085" i="1"/>
  <c r="H1084" i="1"/>
  <c r="G1084" i="1"/>
  <c r="F1084" i="1"/>
  <c r="E1084" i="1"/>
  <c r="D1084" i="1"/>
  <c r="C1084" i="1"/>
  <c r="A1084" i="1"/>
  <c r="H1083" i="1"/>
  <c r="G1083" i="1"/>
  <c r="F1083" i="1"/>
  <c r="E1083" i="1"/>
  <c r="D1083" i="1"/>
  <c r="C1083" i="1"/>
  <c r="A1083" i="1"/>
  <c r="H1082" i="1"/>
  <c r="G1082" i="1"/>
  <c r="F1082" i="1"/>
  <c r="E1082" i="1"/>
  <c r="D1082" i="1"/>
  <c r="C1082" i="1"/>
  <c r="A1082" i="1"/>
  <c r="H1081" i="1"/>
  <c r="G1081" i="1"/>
  <c r="F1081" i="1"/>
  <c r="E1081" i="1"/>
  <c r="D1081" i="1"/>
  <c r="C1081" i="1"/>
  <c r="A1081" i="1"/>
  <c r="H1080" i="1"/>
  <c r="G1080" i="1"/>
  <c r="F1080" i="1"/>
  <c r="E1080" i="1"/>
  <c r="D1080" i="1"/>
  <c r="C1080" i="1"/>
  <c r="A1080" i="1"/>
  <c r="H1079" i="1"/>
  <c r="G1079" i="1"/>
  <c r="F1079" i="1"/>
  <c r="E1079" i="1"/>
  <c r="D1079" i="1"/>
  <c r="C1079" i="1"/>
  <c r="A1079" i="1"/>
  <c r="H1078" i="1"/>
  <c r="G1078" i="1"/>
  <c r="F1078" i="1"/>
  <c r="E1078" i="1"/>
  <c r="D1078" i="1"/>
  <c r="C1078" i="1"/>
  <c r="A1078" i="1"/>
  <c r="H1077" i="1"/>
  <c r="G1077" i="1"/>
  <c r="F1077" i="1"/>
  <c r="E1077" i="1"/>
  <c r="D1077" i="1"/>
  <c r="C1077" i="1"/>
  <c r="A1077" i="1"/>
  <c r="H1076" i="1"/>
  <c r="G1076" i="1"/>
  <c r="F1076" i="1"/>
  <c r="E1076" i="1"/>
  <c r="D1076" i="1"/>
  <c r="C1076" i="1"/>
  <c r="A1076" i="1"/>
  <c r="H1075" i="1"/>
  <c r="G1075" i="1"/>
  <c r="F1075" i="1"/>
  <c r="E1075" i="1"/>
  <c r="D1075" i="1"/>
  <c r="C1075" i="1"/>
  <c r="A1075" i="1"/>
  <c r="H1074" i="1"/>
  <c r="G1074" i="1"/>
  <c r="F1074" i="1"/>
  <c r="E1074" i="1"/>
  <c r="D1074" i="1"/>
  <c r="C1074" i="1"/>
  <c r="A1074" i="1"/>
  <c r="H1073" i="1"/>
  <c r="G1073" i="1"/>
  <c r="F1073" i="1"/>
  <c r="E1073" i="1"/>
  <c r="D1073" i="1"/>
  <c r="C1073" i="1"/>
  <c r="A1073" i="1"/>
  <c r="H1072" i="1"/>
  <c r="G1072" i="1"/>
  <c r="F1072" i="1"/>
  <c r="E1072" i="1"/>
  <c r="D1072" i="1"/>
  <c r="C1072" i="1"/>
  <c r="A1072" i="1"/>
  <c r="H1071" i="1"/>
  <c r="G1071" i="1"/>
  <c r="F1071" i="1"/>
  <c r="E1071" i="1"/>
  <c r="D1071" i="1"/>
  <c r="C1071" i="1"/>
  <c r="A1071" i="1"/>
  <c r="H1070" i="1"/>
  <c r="G1070" i="1"/>
  <c r="F1070" i="1"/>
  <c r="E1070" i="1"/>
  <c r="D1070" i="1"/>
  <c r="C1070" i="1"/>
  <c r="A1070" i="1"/>
  <c r="H1069" i="1"/>
  <c r="G1069" i="1"/>
  <c r="F1069" i="1"/>
  <c r="E1069" i="1"/>
  <c r="D1069" i="1"/>
  <c r="C1069" i="1"/>
  <c r="A1069" i="1"/>
  <c r="H1068" i="1"/>
  <c r="G1068" i="1"/>
  <c r="F1068" i="1"/>
  <c r="E1068" i="1"/>
  <c r="D1068" i="1"/>
  <c r="C1068" i="1"/>
  <c r="A1068" i="1"/>
  <c r="H1067" i="1"/>
  <c r="G1067" i="1"/>
  <c r="F1067" i="1"/>
  <c r="E1067" i="1"/>
  <c r="D1067" i="1"/>
  <c r="C1067" i="1"/>
  <c r="A1067" i="1"/>
  <c r="H1066" i="1"/>
  <c r="G1066" i="1"/>
  <c r="F1066" i="1"/>
  <c r="E1066" i="1"/>
  <c r="D1066" i="1"/>
  <c r="C1066" i="1"/>
  <c r="A1066" i="1"/>
  <c r="H1065" i="1"/>
  <c r="G1065" i="1"/>
  <c r="F1065" i="1"/>
  <c r="E1065" i="1"/>
  <c r="D1065" i="1"/>
  <c r="C1065" i="1"/>
  <c r="A1065" i="1"/>
  <c r="H1064" i="1"/>
  <c r="G1064" i="1"/>
  <c r="F1064" i="1"/>
  <c r="E1064" i="1"/>
  <c r="D1064" i="1"/>
  <c r="C1064" i="1"/>
  <c r="A1064" i="1"/>
  <c r="H1063" i="1"/>
  <c r="G1063" i="1"/>
  <c r="F1063" i="1"/>
  <c r="E1063" i="1"/>
  <c r="D1063" i="1"/>
  <c r="C1063" i="1"/>
  <c r="A1063" i="1"/>
  <c r="H1062" i="1"/>
  <c r="G1062" i="1"/>
  <c r="F1062" i="1"/>
  <c r="E1062" i="1"/>
  <c r="D1062" i="1"/>
  <c r="C1062" i="1"/>
  <c r="A1062" i="1"/>
  <c r="H1061" i="1"/>
  <c r="G1061" i="1"/>
  <c r="F1061" i="1"/>
  <c r="E1061" i="1"/>
  <c r="D1061" i="1"/>
  <c r="C1061" i="1"/>
  <c r="A1061" i="1"/>
  <c r="H1060" i="1"/>
  <c r="G1060" i="1"/>
  <c r="F1060" i="1"/>
  <c r="E1060" i="1"/>
  <c r="D1060" i="1"/>
  <c r="C1060" i="1"/>
  <c r="A1060" i="1"/>
  <c r="H1059" i="1"/>
  <c r="G1059" i="1"/>
  <c r="F1059" i="1"/>
  <c r="E1059" i="1"/>
  <c r="D1059" i="1"/>
  <c r="C1059" i="1"/>
  <c r="A1059" i="1"/>
  <c r="H1058" i="1"/>
  <c r="G1058" i="1"/>
  <c r="F1058" i="1"/>
  <c r="E1058" i="1"/>
  <c r="D1058" i="1"/>
  <c r="C1058" i="1"/>
  <c r="A1058" i="1"/>
  <c r="H1057" i="1"/>
  <c r="G1057" i="1"/>
  <c r="F1057" i="1"/>
  <c r="E1057" i="1"/>
  <c r="D1057" i="1"/>
  <c r="C1057" i="1"/>
  <c r="A1057" i="1"/>
  <c r="H1056" i="1"/>
  <c r="G1056" i="1"/>
  <c r="F1056" i="1"/>
  <c r="E1056" i="1"/>
  <c r="D1056" i="1"/>
  <c r="C1056" i="1"/>
  <c r="A1056" i="1"/>
  <c r="H1055" i="1"/>
  <c r="G1055" i="1"/>
  <c r="F1055" i="1"/>
  <c r="E1055" i="1"/>
  <c r="D1055" i="1"/>
  <c r="C1055" i="1"/>
  <c r="A1055" i="1"/>
  <c r="H1054" i="1"/>
  <c r="G1054" i="1"/>
  <c r="F1054" i="1"/>
  <c r="E1054" i="1"/>
  <c r="D1054" i="1"/>
  <c r="C1054" i="1"/>
  <c r="A1054" i="1"/>
  <c r="H1053" i="1"/>
  <c r="G1053" i="1"/>
  <c r="F1053" i="1"/>
  <c r="E1053" i="1"/>
  <c r="D1053" i="1"/>
  <c r="C1053" i="1"/>
  <c r="A1053" i="1"/>
  <c r="H1052" i="1"/>
  <c r="G1052" i="1"/>
  <c r="F1052" i="1"/>
  <c r="E1052" i="1"/>
  <c r="D1052" i="1"/>
  <c r="C1052" i="1"/>
  <c r="A1052" i="1"/>
  <c r="H1051" i="1"/>
  <c r="G1051" i="1"/>
  <c r="F1051" i="1"/>
  <c r="E1051" i="1"/>
  <c r="D1051" i="1"/>
  <c r="C1051" i="1"/>
  <c r="A1051" i="1"/>
  <c r="H1050" i="1"/>
  <c r="G1050" i="1"/>
  <c r="F1050" i="1"/>
  <c r="E1050" i="1"/>
  <c r="D1050" i="1"/>
  <c r="C1050" i="1"/>
  <c r="A1050" i="1"/>
  <c r="H1049" i="1"/>
  <c r="G1049" i="1"/>
  <c r="F1049" i="1"/>
  <c r="E1049" i="1"/>
  <c r="D1049" i="1"/>
  <c r="C1049" i="1"/>
  <c r="A1049" i="1"/>
  <c r="H1048" i="1"/>
  <c r="G1048" i="1"/>
  <c r="F1048" i="1"/>
  <c r="E1048" i="1"/>
  <c r="D1048" i="1"/>
  <c r="C1048" i="1"/>
  <c r="A1048" i="1"/>
  <c r="H1047" i="1"/>
  <c r="G1047" i="1"/>
  <c r="F1047" i="1"/>
  <c r="E1047" i="1"/>
  <c r="D1047" i="1"/>
  <c r="C1047" i="1"/>
  <c r="A1047" i="1"/>
  <c r="H1046" i="1"/>
  <c r="G1046" i="1"/>
  <c r="F1046" i="1"/>
  <c r="E1046" i="1"/>
  <c r="D1046" i="1"/>
  <c r="C1046" i="1"/>
  <c r="A1046" i="1"/>
  <c r="H1045" i="1"/>
  <c r="G1045" i="1"/>
  <c r="F1045" i="1"/>
  <c r="E1045" i="1"/>
  <c r="D1045" i="1"/>
  <c r="C1045" i="1"/>
  <c r="A1045" i="1"/>
  <c r="H1044" i="1"/>
  <c r="G1044" i="1"/>
  <c r="F1044" i="1"/>
  <c r="E1044" i="1"/>
  <c r="D1044" i="1"/>
  <c r="C1044" i="1"/>
  <c r="A1044" i="1"/>
  <c r="H1043" i="1"/>
  <c r="G1043" i="1"/>
  <c r="F1043" i="1"/>
  <c r="E1043" i="1"/>
  <c r="D1043" i="1"/>
  <c r="C1043" i="1"/>
  <c r="A1043" i="1"/>
  <c r="H1042" i="1"/>
  <c r="G1042" i="1"/>
  <c r="F1042" i="1"/>
  <c r="E1042" i="1"/>
  <c r="D1042" i="1"/>
  <c r="C1042" i="1"/>
  <c r="A1042" i="1"/>
  <c r="H1041" i="1"/>
  <c r="G1041" i="1"/>
  <c r="F1041" i="1"/>
  <c r="E1041" i="1"/>
  <c r="D1041" i="1"/>
  <c r="C1041" i="1"/>
  <c r="A1041" i="1"/>
  <c r="H1040" i="1"/>
  <c r="G1040" i="1"/>
  <c r="F1040" i="1"/>
  <c r="E1040" i="1"/>
  <c r="D1040" i="1"/>
  <c r="C1040" i="1"/>
  <c r="A1040" i="1"/>
  <c r="H1039" i="1"/>
  <c r="G1039" i="1"/>
  <c r="F1039" i="1"/>
  <c r="E1039" i="1"/>
  <c r="D1039" i="1"/>
  <c r="C1039" i="1"/>
  <c r="A1039" i="1"/>
  <c r="H1038" i="1"/>
  <c r="G1038" i="1"/>
  <c r="F1038" i="1"/>
  <c r="E1038" i="1"/>
  <c r="D1038" i="1"/>
  <c r="C1038" i="1"/>
  <c r="A1038" i="1"/>
  <c r="H1037" i="1"/>
  <c r="G1037" i="1"/>
  <c r="F1037" i="1"/>
  <c r="E1037" i="1"/>
  <c r="D1037" i="1"/>
  <c r="C1037" i="1"/>
  <c r="A1037" i="1"/>
  <c r="H1036" i="1"/>
  <c r="G1036" i="1"/>
  <c r="F1036" i="1"/>
  <c r="E1036" i="1"/>
  <c r="D1036" i="1"/>
  <c r="C1036" i="1"/>
  <c r="A1036" i="1"/>
  <c r="H1035" i="1"/>
  <c r="G1035" i="1"/>
  <c r="F1035" i="1"/>
  <c r="E1035" i="1"/>
  <c r="D1035" i="1"/>
  <c r="C1035" i="1"/>
  <c r="A1035" i="1"/>
  <c r="H1034" i="1"/>
  <c r="G1034" i="1"/>
  <c r="F1034" i="1"/>
  <c r="E1034" i="1"/>
  <c r="D1034" i="1"/>
  <c r="C1034" i="1"/>
  <c r="A1034" i="1"/>
  <c r="H1033" i="1"/>
  <c r="G1033" i="1"/>
  <c r="F1033" i="1"/>
  <c r="E1033" i="1"/>
  <c r="D1033" i="1"/>
  <c r="C1033" i="1"/>
  <c r="A1033" i="1"/>
  <c r="H1032" i="1"/>
  <c r="G1032" i="1"/>
  <c r="F1032" i="1"/>
  <c r="E1032" i="1"/>
  <c r="D1032" i="1"/>
  <c r="C1032" i="1"/>
  <c r="A1032" i="1"/>
  <c r="H1031" i="1"/>
  <c r="G1031" i="1"/>
  <c r="F1031" i="1"/>
  <c r="E1031" i="1"/>
  <c r="D1031" i="1"/>
  <c r="C1031" i="1"/>
  <c r="A1031" i="1"/>
  <c r="H1030" i="1"/>
  <c r="G1030" i="1"/>
  <c r="F1030" i="1"/>
  <c r="E1030" i="1"/>
  <c r="D1030" i="1"/>
  <c r="C1030" i="1"/>
  <c r="A1030" i="1"/>
  <c r="H1029" i="1"/>
  <c r="G1029" i="1"/>
  <c r="F1029" i="1"/>
  <c r="E1029" i="1"/>
  <c r="D1029" i="1"/>
  <c r="C1029" i="1"/>
  <c r="A1029" i="1"/>
  <c r="H1028" i="1"/>
  <c r="G1028" i="1"/>
  <c r="F1028" i="1"/>
  <c r="E1028" i="1"/>
  <c r="D1028" i="1"/>
  <c r="C1028" i="1"/>
  <c r="A1028" i="1"/>
  <c r="H1027" i="1"/>
  <c r="G1027" i="1"/>
  <c r="F1027" i="1"/>
  <c r="E1027" i="1"/>
  <c r="D1027" i="1"/>
  <c r="C1027" i="1"/>
  <c r="A1027" i="1"/>
  <c r="H1026" i="1"/>
  <c r="G1026" i="1"/>
  <c r="F1026" i="1"/>
  <c r="E1026" i="1"/>
  <c r="D1026" i="1"/>
  <c r="C1026" i="1"/>
  <c r="A1026" i="1"/>
  <c r="H1025" i="1"/>
  <c r="G1025" i="1"/>
  <c r="F1025" i="1"/>
  <c r="E1025" i="1"/>
  <c r="D1025" i="1"/>
  <c r="C1025" i="1"/>
  <c r="A1025" i="1"/>
  <c r="H1024" i="1"/>
  <c r="G1024" i="1"/>
  <c r="F1024" i="1"/>
  <c r="E1024" i="1"/>
  <c r="D1024" i="1"/>
  <c r="C1024" i="1"/>
  <c r="A1024" i="1"/>
  <c r="H1023" i="1"/>
  <c r="G1023" i="1"/>
  <c r="F1023" i="1"/>
  <c r="E1023" i="1"/>
  <c r="D1023" i="1"/>
  <c r="C1023" i="1"/>
  <c r="A1023" i="1"/>
  <c r="H1022" i="1"/>
  <c r="G1022" i="1"/>
  <c r="F1022" i="1"/>
  <c r="E1022" i="1"/>
  <c r="D1022" i="1"/>
  <c r="C1022" i="1"/>
  <c r="A1022" i="1"/>
  <c r="H1021" i="1"/>
  <c r="G1021" i="1"/>
  <c r="F1021" i="1"/>
  <c r="E1021" i="1"/>
  <c r="D1021" i="1"/>
  <c r="C1021" i="1"/>
  <c r="A1021" i="1"/>
  <c r="H1020" i="1"/>
  <c r="G1020" i="1"/>
  <c r="F1020" i="1"/>
  <c r="E1020" i="1"/>
  <c r="D1020" i="1"/>
  <c r="C1020" i="1"/>
  <c r="A1020" i="1"/>
  <c r="H1019" i="1"/>
  <c r="G1019" i="1"/>
  <c r="F1019" i="1"/>
  <c r="E1019" i="1"/>
  <c r="D1019" i="1"/>
  <c r="C1019" i="1"/>
  <c r="A1019" i="1"/>
  <c r="H1018" i="1"/>
  <c r="G1018" i="1"/>
  <c r="F1018" i="1"/>
  <c r="E1018" i="1"/>
  <c r="D1018" i="1"/>
  <c r="C1018" i="1"/>
  <c r="A1018" i="1"/>
  <c r="H1017" i="1"/>
  <c r="G1017" i="1"/>
  <c r="F1017" i="1"/>
  <c r="E1017" i="1"/>
  <c r="D1017" i="1"/>
  <c r="C1017" i="1"/>
  <c r="A1017" i="1"/>
  <c r="H1016" i="1"/>
  <c r="G1016" i="1"/>
  <c r="F1016" i="1"/>
  <c r="E1016" i="1"/>
  <c r="D1016" i="1"/>
  <c r="C1016" i="1"/>
  <c r="A1016" i="1"/>
  <c r="H1015" i="1"/>
  <c r="G1015" i="1"/>
  <c r="F1015" i="1"/>
  <c r="E1015" i="1"/>
  <c r="D1015" i="1"/>
  <c r="C1015" i="1"/>
  <c r="A1015" i="1"/>
  <c r="H1014" i="1"/>
  <c r="G1014" i="1"/>
  <c r="F1014" i="1"/>
  <c r="E1014" i="1"/>
  <c r="D1014" i="1"/>
  <c r="C1014" i="1"/>
  <c r="A1014" i="1"/>
  <c r="H1013" i="1"/>
  <c r="G1013" i="1"/>
  <c r="F1013" i="1"/>
  <c r="E1013" i="1"/>
  <c r="D1013" i="1"/>
  <c r="C1013" i="1"/>
  <c r="A1013" i="1"/>
  <c r="H1012" i="1"/>
  <c r="G1012" i="1"/>
  <c r="F1012" i="1"/>
  <c r="E1012" i="1"/>
  <c r="D1012" i="1"/>
  <c r="C1012" i="1"/>
  <c r="A1012" i="1"/>
  <c r="H1011" i="1"/>
  <c r="G1011" i="1"/>
  <c r="F1011" i="1"/>
  <c r="E1011" i="1"/>
  <c r="D1011" i="1"/>
  <c r="C1011" i="1"/>
  <c r="A1011" i="1"/>
  <c r="H1010" i="1"/>
  <c r="G1010" i="1"/>
  <c r="F1010" i="1"/>
  <c r="E1010" i="1"/>
  <c r="D1010" i="1"/>
  <c r="C1010" i="1"/>
  <c r="A1010" i="1"/>
  <c r="H1009" i="1"/>
  <c r="G1009" i="1"/>
  <c r="F1009" i="1"/>
  <c r="E1009" i="1"/>
  <c r="D1009" i="1"/>
  <c r="C1009" i="1"/>
  <c r="A1009" i="1"/>
  <c r="H1008" i="1"/>
  <c r="G1008" i="1"/>
  <c r="F1008" i="1"/>
  <c r="E1008" i="1"/>
  <c r="D1008" i="1"/>
  <c r="C1008" i="1"/>
  <c r="A1008" i="1"/>
  <c r="H1007" i="1"/>
  <c r="G1007" i="1"/>
  <c r="F1007" i="1"/>
  <c r="E1007" i="1"/>
  <c r="D1007" i="1"/>
  <c r="C1007" i="1"/>
  <c r="A1007" i="1"/>
  <c r="H1006" i="1"/>
  <c r="G1006" i="1"/>
  <c r="F1006" i="1"/>
  <c r="E1006" i="1"/>
  <c r="D1006" i="1"/>
  <c r="C1006" i="1"/>
  <c r="A1006" i="1"/>
  <c r="H1005" i="1"/>
  <c r="G1005" i="1"/>
  <c r="F1005" i="1"/>
  <c r="E1005" i="1"/>
  <c r="D1005" i="1"/>
  <c r="C1005" i="1"/>
  <c r="A1005" i="1"/>
  <c r="H1004" i="1"/>
  <c r="G1004" i="1"/>
  <c r="F1004" i="1"/>
  <c r="E1004" i="1"/>
  <c r="D1004" i="1"/>
  <c r="C1004" i="1"/>
  <c r="A1004" i="1"/>
  <c r="H1003" i="1"/>
  <c r="G1003" i="1"/>
  <c r="F1003" i="1"/>
  <c r="E1003" i="1"/>
  <c r="D1003" i="1"/>
  <c r="C1003" i="1"/>
  <c r="A1003" i="1"/>
  <c r="H1002" i="1"/>
  <c r="G1002" i="1"/>
  <c r="F1002" i="1"/>
  <c r="E1002" i="1"/>
  <c r="D1002" i="1"/>
  <c r="C1002" i="1"/>
  <c r="A1002" i="1"/>
  <c r="H1001" i="1"/>
  <c r="G1001" i="1"/>
  <c r="F1001" i="1"/>
  <c r="E1001" i="1"/>
  <c r="D1001" i="1"/>
  <c r="C1001" i="1"/>
  <c r="A1001" i="1"/>
  <c r="H1000" i="1"/>
  <c r="G1000" i="1"/>
  <c r="F1000" i="1"/>
  <c r="E1000" i="1"/>
  <c r="D1000" i="1"/>
  <c r="C1000" i="1"/>
  <c r="A1000" i="1"/>
  <c r="H999" i="1"/>
  <c r="G999" i="1"/>
  <c r="F999" i="1"/>
  <c r="E999" i="1"/>
  <c r="D999" i="1"/>
  <c r="C999" i="1"/>
  <c r="A999" i="1"/>
  <c r="H998" i="1"/>
  <c r="G998" i="1"/>
  <c r="F998" i="1"/>
  <c r="E998" i="1"/>
  <c r="D998" i="1"/>
  <c r="C998" i="1"/>
  <c r="A998" i="1"/>
  <c r="H997" i="1"/>
  <c r="G997" i="1"/>
  <c r="F997" i="1"/>
  <c r="E997" i="1"/>
  <c r="D997" i="1"/>
  <c r="C997" i="1"/>
  <c r="A997" i="1"/>
  <c r="H996" i="1"/>
  <c r="G996" i="1"/>
  <c r="F996" i="1"/>
  <c r="E996" i="1"/>
  <c r="D996" i="1"/>
  <c r="C996" i="1"/>
  <c r="A996" i="1"/>
  <c r="H995" i="1"/>
  <c r="G995" i="1"/>
  <c r="F995" i="1"/>
  <c r="E995" i="1"/>
  <c r="D995" i="1"/>
  <c r="C995" i="1"/>
  <c r="A995" i="1"/>
  <c r="H994" i="1"/>
  <c r="G994" i="1"/>
  <c r="F994" i="1"/>
  <c r="E994" i="1"/>
  <c r="D994" i="1"/>
  <c r="C994" i="1"/>
  <c r="A994" i="1"/>
  <c r="H993" i="1"/>
  <c r="G993" i="1"/>
  <c r="F993" i="1"/>
  <c r="E993" i="1"/>
  <c r="D993" i="1"/>
  <c r="C993" i="1"/>
  <c r="A993" i="1"/>
  <c r="H992" i="1"/>
  <c r="G992" i="1"/>
  <c r="F992" i="1"/>
  <c r="E992" i="1"/>
  <c r="D992" i="1"/>
  <c r="C992" i="1"/>
  <c r="A992" i="1"/>
  <c r="H991" i="1"/>
  <c r="G991" i="1"/>
  <c r="F991" i="1"/>
  <c r="E991" i="1"/>
  <c r="D991" i="1"/>
  <c r="C991" i="1"/>
  <c r="A991" i="1"/>
  <c r="H990" i="1"/>
  <c r="G990" i="1"/>
  <c r="F990" i="1"/>
  <c r="E990" i="1"/>
  <c r="D990" i="1"/>
  <c r="C990" i="1"/>
  <c r="A990" i="1"/>
  <c r="H989" i="1"/>
  <c r="G989" i="1"/>
  <c r="F989" i="1"/>
  <c r="E989" i="1"/>
  <c r="D989" i="1"/>
  <c r="C989" i="1"/>
  <c r="A989" i="1"/>
  <c r="H988" i="1"/>
  <c r="G988" i="1"/>
  <c r="F988" i="1"/>
  <c r="E988" i="1"/>
  <c r="D988" i="1"/>
  <c r="C988" i="1"/>
  <c r="A988" i="1"/>
  <c r="H987" i="1"/>
  <c r="G987" i="1"/>
  <c r="F987" i="1"/>
  <c r="E987" i="1"/>
  <c r="D987" i="1"/>
  <c r="C987" i="1"/>
  <c r="A987" i="1"/>
  <c r="H986" i="1"/>
  <c r="G986" i="1"/>
  <c r="F986" i="1"/>
  <c r="E986" i="1"/>
  <c r="D986" i="1"/>
  <c r="C986" i="1"/>
  <c r="A986" i="1"/>
  <c r="H985" i="1"/>
  <c r="G985" i="1"/>
  <c r="F985" i="1"/>
  <c r="E985" i="1"/>
  <c r="D985" i="1"/>
  <c r="C985" i="1"/>
  <c r="A985" i="1"/>
  <c r="H984" i="1"/>
  <c r="G984" i="1"/>
  <c r="F984" i="1"/>
  <c r="E984" i="1"/>
  <c r="D984" i="1"/>
  <c r="C984" i="1"/>
  <c r="A984" i="1"/>
  <c r="H983" i="1"/>
  <c r="G983" i="1"/>
  <c r="F983" i="1"/>
  <c r="E983" i="1"/>
  <c r="D983" i="1"/>
  <c r="C983" i="1"/>
  <c r="A983" i="1"/>
  <c r="H982" i="1"/>
  <c r="G982" i="1"/>
  <c r="F982" i="1"/>
  <c r="E982" i="1"/>
  <c r="D982" i="1"/>
  <c r="C982" i="1"/>
  <c r="A982" i="1"/>
  <c r="H981" i="1"/>
  <c r="G981" i="1"/>
  <c r="F981" i="1"/>
  <c r="E981" i="1"/>
  <c r="D981" i="1"/>
  <c r="C981" i="1"/>
  <c r="A981" i="1"/>
  <c r="H980" i="1"/>
  <c r="G980" i="1"/>
  <c r="F980" i="1"/>
  <c r="E980" i="1"/>
  <c r="D980" i="1"/>
  <c r="C980" i="1"/>
  <c r="A980" i="1"/>
  <c r="H979" i="1"/>
  <c r="G979" i="1"/>
  <c r="F979" i="1"/>
  <c r="E979" i="1"/>
  <c r="D979" i="1"/>
  <c r="C979" i="1"/>
  <c r="A979" i="1"/>
  <c r="H978" i="1"/>
  <c r="G978" i="1"/>
  <c r="F978" i="1"/>
  <c r="E978" i="1"/>
  <c r="D978" i="1"/>
  <c r="C978" i="1"/>
  <c r="A978" i="1"/>
  <c r="H977" i="1"/>
  <c r="G977" i="1"/>
  <c r="F977" i="1"/>
  <c r="E977" i="1"/>
  <c r="D977" i="1"/>
  <c r="C977" i="1"/>
  <c r="A977" i="1"/>
  <c r="H976" i="1"/>
  <c r="G976" i="1"/>
  <c r="F976" i="1"/>
  <c r="E976" i="1"/>
  <c r="D976" i="1"/>
  <c r="C976" i="1"/>
  <c r="A976" i="1"/>
  <c r="H975" i="1"/>
  <c r="G975" i="1"/>
  <c r="F975" i="1"/>
  <c r="E975" i="1"/>
  <c r="D975" i="1"/>
  <c r="C975" i="1"/>
  <c r="A975" i="1"/>
  <c r="H974" i="1"/>
  <c r="G974" i="1"/>
  <c r="F974" i="1"/>
  <c r="E974" i="1"/>
  <c r="D974" i="1"/>
  <c r="C974" i="1"/>
  <c r="A974" i="1"/>
  <c r="H973" i="1"/>
  <c r="G973" i="1"/>
  <c r="F973" i="1"/>
  <c r="E973" i="1"/>
  <c r="D973" i="1"/>
  <c r="C973" i="1"/>
  <c r="A973" i="1"/>
  <c r="H972" i="1"/>
  <c r="G972" i="1"/>
  <c r="F972" i="1"/>
  <c r="E972" i="1"/>
  <c r="D972" i="1"/>
  <c r="C972" i="1"/>
  <c r="A972" i="1"/>
  <c r="H971" i="1"/>
  <c r="G971" i="1"/>
  <c r="F971" i="1"/>
  <c r="E971" i="1"/>
  <c r="D971" i="1"/>
  <c r="C971" i="1"/>
  <c r="A971" i="1"/>
  <c r="H970" i="1"/>
  <c r="G970" i="1"/>
  <c r="F970" i="1"/>
  <c r="E970" i="1"/>
  <c r="D970" i="1"/>
  <c r="C970" i="1"/>
  <c r="A970" i="1"/>
  <c r="H969" i="1"/>
  <c r="G969" i="1"/>
  <c r="F969" i="1"/>
  <c r="E969" i="1"/>
  <c r="D969" i="1"/>
  <c r="C969" i="1"/>
  <c r="A969" i="1"/>
  <c r="H968" i="1"/>
  <c r="G968" i="1"/>
  <c r="F968" i="1"/>
  <c r="E968" i="1"/>
  <c r="D968" i="1"/>
  <c r="C968" i="1"/>
  <c r="A968" i="1"/>
  <c r="H967" i="1"/>
  <c r="G967" i="1"/>
  <c r="F967" i="1"/>
  <c r="E967" i="1"/>
  <c r="D967" i="1"/>
  <c r="C967" i="1"/>
  <c r="A967" i="1"/>
  <c r="H966" i="1"/>
  <c r="G966" i="1"/>
  <c r="F966" i="1"/>
  <c r="E966" i="1"/>
  <c r="D966" i="1"/>
  <c r="C966" i="1"/>
  <c r="A966" i="1"/>
  <c r="H965" i="1"/>
  <c r="G965" i="1"/>
  <c r="F965" i="1"/>
  <c r="E965" i="1"/>
  <c r="D965" i="1"/>
  <c r="C965" i="1"/>
  <c r="A965" i="1"/>
  <c r="H964" i="1"/>
  <c r="G964" i="1"/>
  <c r="F964" i="1"/>
  <c r="E964" i="1"/>
  <c r="D964" i="1"/>
  <c r="C964" i="1"/>
  <c r="A964" i="1"/>
  <c r="H963" i="1"/>
  <c r="G963" i="1"/>
  <c r="F963" i="1"/>
  <c r="E963" i="1"/>
  <c r="D963" i="1"/>
  <c r="C963" i="1"/>
  <c r="A963" i="1"/>
  <c r="H962" i="1"/>
  <c r="G962" i="1"/>
  <c r="F962" i="1"/>
  <c r="E962" i="1"/>
  <c r="D962" i="1"/>
  <c r="C962" i="1"/>
  <c r="A962" i="1"/>
  <c r="H961" i="1"/>
  <c r="G961" i="1"/>
  <c r="F961" i="1"/>
  <c r="E961" i="1"/>
  <c r="D961" i="1"/>
  <c r="C961" i="1"/>
  <c r="A961" i="1"/>
  <c r="H960" i="1"/>
  <c r="G960" i="1"/>
  <c r="F960" i="1"/>
  <c r="E960" i="1"/>
  <c r="D960" i="1"/>
  <c r="C960" i="1"/>
  <c r="A960" i="1"/>
  <c r="H959" i="1"/>
  <c r="G959" i="1"/>
  <c r="F959" i="1"/>
  <c r="E959" i="1"/>
  <c r="D959" i="1"/>
  <c r="C959" i="1"/>
  <c r="A959" i="1"/>
  <c r="H958" i="1"/>
  <c r="G958" i="1"/>
  <c r="F958" i="1"/>
  <c r="E958" i="1"/>
  <c r="D958" i="1"/>
  <c r="C958" i="1"/>
  <c r="A958" i="1"/>
  <c r="H957" i="1"/>
  <c r="G957" i="1"/>
  <c r="F957" i="1"/>
  <c r="E957" i="1"/>
  <c r="D957" i="1"/>
  <c r="C957" i="1"/>
  <c r="A957" i="1"/>
  <c r="H956" i="1"/>
  <c r="G956" i="1"/>
  <c r="F956" i="1"/>
  <c r="E956" i="1"/>
  <c r="D956" i="1"/>
  <c r="C956" i="1"/>
  <c r="A956" i="1"/>
  <c r="H955" i="1"/>
  <c r="G955" i="1"/>
  <c r="F955" i="1"/>
  <c r="E955" i="1"/>
  <c r="D955" i="1"/>
  <c r="C955" i="1"/>
  <c r="A955" i="1"/>
  <c r="H954" i="1"/>
  <c r="G954" i="1"/>
  <c r="F954" i="1"/>
  <c r="E954" i="1"/>
  <c r="D954" i="1"/>
  <c r="C954" i="1"/>
  <c r="A954" i="1"/>
  <c r="H953" i="1"/>
  <c r="G953" i="1"/>
  <c r="F953" i="1"/>
  <c r="E953" i="1"/>
  <c r="D953" i="1"/>
  <c r="C953" i="1"/>
  <c r="A953" i="1"/>
  <c r="H952" i="1"/>
  <c r="G952" i="1"/>
  <c r="F952" i="1"/>
  <c r="E952" i="1"/>
  <c r="D952" i="1"/>
  <c r="C952" i="1"/>
  <c r="A952" i="1"/>
  <c r="H951" i="1"/>
  <c r="G951" i="1"/>
  <c r="F951" i="1"/>
  <c r="E951" i="1"/>
  <c r="D951" i="1"/>
  <c r="C951" i="1"/>
  <c r="A951" i="1"/>
  <c r="H950" i="1"/>
  <c r="G950" i="1"/>
  <c r="F950" i="1"/>
  <c r="E950" i="1"/>
  <c r="D950" i="1"/>
  <c r="C950" i="1"/>
  <c r="A950" i="1"/>
  <c r="H949" i="1"/>
  <c r="G949" i="1"/>
  <c r="F949" i="1"/>
  <c r="E949" i="1"/>
  <c r="D949" i="1"/>
  <c r="C949" i="1"/>
  <c r="A949" i="1"/>
  <c r="H948" i="1"/>
  <c r="G948" i="1"/>
  <c r="F948" i="1"/>
  <c r="E948" i="1"/>
  <c r="D948" i="1"/>
  <c r="C948" i="1"/>
  <c r="A948" i="1"/>
  <c r="H947" i="1"/>
  <c r="G947" i="1"/>
  <c r="F947" i="1"/>
  <c r="E947" i="1"/>
  <c r="D947" i="1"/>
  <c r="C947" i="1"/>
  <c r="A947" i="1"/>
  <c r="H946" i="1"/>
  <c r="G946" i="1"/>
  <c r="F946" i="1"/>
  <c r="E946" i="1"/>
  <c r="D946" i="1"/>
  <c r="C946" i="1"/>
  <c r="A946" i="1"/>
  <c r="H945" i="1"/>
  <c r="G945" i="1"/>
  <c r="F945" i="1"/>
  <c r="E945" i="1"/>
  <c r="D945" i="1"/>
  <c r="C945" i="1"/>
  <c r="A945" i="1"/>
  <c r="H944" i="1"/>
  <c r="G944" i="1"/>
  <c r="F944" i="1"/>
  <c r="E944" i="1"/>
  <c r="D944" i="1"/>
  <c r="C944" i="1"/>
  <c r="A944" i="1"/>
  <c r="H943" i="1"/>
  <c r="G943" i="1"/>
  <c r="F943" i="1"/>
  <c r="E943" i="1"/>
  <c r="D943" i="1"/>
  <c r="C943" i="1"/>
  <c r="A943" i="1"/>
  <c r="H942" i="1"/>
  <c r="G942" i="1"/>
  <c r="F942" i="1"/>
  <c r="E942" i="1"/>
  <c r="D942" i="1"/>
  <c r="C942" i="1"/>
  <c r="A942" i="1"/>
  <c r="H941" i="1"/>
  <c r="G941" i="1"/>
  <c r="F941" i="1"/>
  <c r="E941" i="1"/>
  <c r="D941" i="1"/>
  <c r="C941" i="1"/>
  <c r="A941" i="1"/>
  <c r="H940" i="1"/>
  <c r="G940" i="1"/>
  <c r="F940" i="1"/>
  <c r="E940" i="1"/>
  <c r="D940" i="1"/>
  <c r="C940" i="1"/>
  <c r="A940" i="1"/>
  <c r="H939" i="1"/>
  <c r="G939" i="1"/>
  <c r="F939" i="1"/>
  <c r="E939" i="1"/>
  <c r="D939" i="1"/>
  <c r="C939" i="1"/>
  <c r="A939" i="1"/>
  <c r="H938" i="1"/>
  <c r="G938" i="1"/>
  <c r="F938" i="1"/>
  <c r="E938" i="1"/>
  <c r="D938" i="1"/>
  <c r="C938" i="1"/>
  <c r="A938" i="1"/>
  <c r="H937" i="1"/>
  <c r="G937" i="1"/>
  <c r="F937" i="1"/>
  <c r="E937" i="1"/>
  <c r="D937" i="1"/>
  <c r="C937" i="1"/>
  <c r="A937" i="1"/>
  <c r="H936" i="1"/>
  <c r="G936" i="1"/>
  <c r="F936" i="1"/>
  <c r="E936" i="1"/>
  <c r="D936" i="1"/>
  <c r="C936" i="1"/>
  <c r="A936" i="1"/>
  <c r="H935" i="1"/>
  <c r="G935" i="1"/>
  <c r="F935" i="1"/>
  <c r="E935" i="1"/>
  <c r="D935" i="1"/>
  <c r="C935" i="1"/>
  <c r="A935" i="1"/>
  <c r="H934" i="1"/>
  <c r="G934" i="1"/>
  <c r="F934" i="1"/>
  <c r="E934" i="1"/>
  <c r="D934" i="1"/>
  <c r="C934" i="1"/>
  <c r="A934" i="1"/>
  <c r="H933" i="1"/>
  <c r="G933" i="1"/>
  <c r="F933" i="1"/>
  <c r="E933" i="1"/>
  <c r="D933" i="1"/>
  <c r="C933" i="1"/>
  <c r="A933" i="1"/>
  <c r="H932" i="1"/>
  <c r="G932" i="1"/>
  <c r="F932" i="1"/>
  <c r="E932" i="1"/>
  <c r="D932" i="1"/>
  <c r="C932" i="1"/>
  <c r="A932" i="1"/>
  <c r="H931" i="1"/>
  <c r="G931" i="1"/>
  <c r="F931" i="1"/>
  <c r="E931" i="1"/>
  <c r="D931" i="1"/>
  <c r="C931" i="1"/>
  <c r="A931" i="1"/>
  <c r="H930" i="1"/>
  <c r="G930" i="1"/>
  <c r="F930" i="1"/>
  <c r="E930" i="1"/>
  <c r="D930" i="1"/>
  <c r="C930" i="1"/>
  <c r="A930" i="1"/>
  <c r="H929" i="1"/>
  <c r="G929" i="1"/>
  <c r="F929" i="1"/>
  <c r="E929" i="1"/>
  <c r="D929" i="1"/>
  <c r="C929" i="1"/>
  <c r="A929" i="1"/>
  <c r="H928" i="1"/>
  <c r="G928" i="1"/>
  <c r="F928" i="1"/>
  <c r="E928" i="1"/>
  <c r="D928" i="1"/>
  <c r="C928" i="1"/>
  <c r="A928" i="1"/>
  <c r="H927" i="1"/>
  <c r="G927" i="1"/>
  <c r="F927" i="1"/>
  <c r="E927" i="1"/>
  <c r="D927" i="1"/>
  <c r="C927" i="1"/>
  <c r="A927" i="1"/>
  <c r="H926" i="1"/>
  <c r="G926" i="1"/>
  <c r="F926" i="1"/>
  <c r="E926" i="1"/>
  <c r="D926" i="1"/>
  <c r="C926" i="1"/>
  <c r="A926" i="1"/>
  <c r="H925" i="1"/>
  <c r="G925" i="1"/>
  <c r="F925" i="1"/>
  <c r="E925" i="1"/>
  <c r="D925" i="1"/>
  <c r="C925" i="1"/>
  <c r="A925" i="1"/>
  <c r="H924" i="1"/>
  <c r="G924" i="1"/>
  <c r="F924" i="1"/>
  <c r="E924" i="1"/>
  <c r="D924" i="1"/>
  <c r="C924" i="1"/>
  <c r="A924" i="1"/>
  <c r="H923" i="1"/>
  <c r="G923" i="1"/>
  <c r="F923" i="1"/>
  <c r="E923" i="1"/>
  <c r="D923" i="1"/>
  <c r="C923" i="1"/>
  <c r="A923" i="1"/>
  <c r="H922" i="1"/>
  <c r="G922" i="1"/>
  <c r="F922" i="1"/>
  <c r="E922" i="1"/>
  <c r="D922" i="1"/>
  <c r="C922" i="1"/>
  <c r="A922" i="1"/>
  <c r="H921" i="1"/>
  <c r="G921" i="1"/>
  <c r="F921" i="1"/>
  <c r="E921" i="1"/>
  <c r="D921" i="1"/>
  <c r="C921" i="1"/>
  <c r="A921" i="1"/>
  <c r="H920" i="1"/>
  <c r="G920" i="1"/>
  <c r="F920" i="1"/>
  <c r="E920" i="1"/>
  <c r="D920" i="1"/>
  <c r="C920" i="1"/>
  <c r="A920" i="1"/>
  <c r="H919" i="1"/>
  <c r="G919" i="1"/>
  <c r="F919" i="1"/>
  <c r="E919" i="1"/>
  <c r="D919" i="1"/>
  <c r="C919" i="1"/>
  <c r="A919" i="1"/>
  <c r="H918" i="1"/>
  <c r="G918" i="1"/>
  <c r="F918" i="1"/>
  <c r="E918" i="1"/>
  <c r="D918" i="1"/>
  <c r="C918" i="1"/>
  <c r="A918" i="1"/>
  <c r="H917" i="1"/>
  <c r="G917" i="1"/>
  <c r="F917" i="1"/>
  <c r="E917" i="1"/>
  <c r="D917" i="1"/>
  <c r="C917" i="1"/>
  <c r="A917" i="1"/>
  <c r="H916" i="1"/>
  <c r="G916" i="1"/>
  <c r="F916" i="1"/>
  <c r="E916" i="1"/>
  <c r="D916" i="1"/>
  <c r="C916" i="1"/>
  <c r="A916" i="1"/>
  <c r="H915" i="1"/>
  <c r="G915" i="1"/>
  <c r="F915" i="1"/>
  <c r="E915" i="1"/>
  <c r="D915" i="1"/>
  <c r="C915" i="1"/>
  <c r="A915" i="1"/>
  <c r="H914" i="1"/>
  <c r="G914" i="1"/>
  <c r="F914" i="1"/>
  <c r="E914" i="1"/>
  <c r="D914" i="1"/>
  <c r="C914" i="1"/>
  <c r="A914" i="1"/>
  <c r="H913" i="1"/>
  <c r="G913" i="1"/>
  <c r="F913" i="1"/>
  <c r="E913" i="1"/>
  <c r="D913" i="1"/>
  <c r="C913" i="1"/>
  <c r="A913" i="1"/>
  <c r="H912" i="1"/>
  <c r="G912" i="1"/>
  <c r="F912" i="1"/>
  <c r="E912" i="1"/>
  <c r="D912" i="1"/>
  <c r="C912" i="1"/>
  <c r="A912" i="1"/>
  <c r="H911" i="1"/>
  <c r="G911" i="1"/>
  <c r="F911" i="1"/>
  <c r="E911" i="1"/>
  <c r="D911" i="1"/>
  <c r="C911" i="1"/>
  <c r="A911" i="1"/>
  <c r="H910" i="1"/>
  <c r="G910" i="1"/>
  <c r="F910" i="1"/>
  <c r="E910" i="1"/>
  <c r="D910" i="1"/>
  <c r="C910" i="1"/>
  <c r="A910" i="1"/>
  <c r="H909" i="1"/>
  <c r="G909" i="1"/>
  <c r="F909" i="1"/>
  <c r="E909" i="1"/>
  <c r="D909" i="1"/>
  <c r="C909" i="1"/>
  <c r="A909" i="1"/>
  <c r="H908" i="1"/>
  <c r="G908" i="1"/>
  <c r="F908" i="1"/>
  <c r="E908" i="1"/>
  <c r="D908" i="1"/>
  <c r="C908" i="1"/>
  <c r="A908" i="1"/>
  <c r="H907" i="1"/>
  <c r="G907" i="1"/>
  <c r="F907" i="1"/>
  <c r="E907" i="1"/>
  <c r="D907" i="1"/>
  <c r="C907" i="1"/>
  <c r="A907" i="1"/>
  <c r="H906" i="1"/>
  <c r="G906" i="1"/>
  <c r="F906" i="1"/>
  <c r="E906" i="1"/>
  <c r="D906" i="1"/>
  <c r="C906" i="1"/>
  <c r="A906" i="1"/>
  <c r="H905" i="1"/>
  <c r="G905" i="1"/>
  <c r="F905" i="1"/>
  <c r="E905" i="1"/>
  <c r="D905" i="1"/>
  <c r="C905" i="1"/>
  <c r="A905" i="1"/>
  <c r="H904" i="1"/>
  <c r="G904" i="1"/>
  <c r="F904" i="1"/>
  <c r="E904" i="1"/>
  <c r="D904" i="1"/>
  <c r="C904" i="1"/>
  <c r="A904" i="1"/>
  <c r="H903" i="1"/>
  <c r="G903" i="1"/>
  <c r="F903" i="1"/>
  <c r="E903" i="1"/>
  <c r="D903" i="1"/>
  <c r="A903" i="1"/>
  <c r="H902" i="1"/>
  <c r="G902" i="1"/>
  <c r="F902" i="1"/>
  <c r="E902" i="1"/>
  <c r="D902" i="1"/>
  <c r="A902" i="1"/>
  <c r="H901" i="1"/>
  <c r="G901" i="1"/>
  <c r="F901" i="1"/>
  <c r="E901" i="1"/>
  <c r="D901" i="1"/>
  <c r="A901" i="1"/>
  <c r="H900" i="1"/>
  <c r="G900" i="1"/>
  <c r="F900" i="1"/>
  <c r="E900" i="1"/>
  <c r="D900" i="1"/>
  <c r="A900" i="1"/>
  <c r="H899" i="1"/>
  <c r="G899" i="1"/>
  <c r="F899" i="1"/>
  <c r="E899" i="1"/>
  <c r="D899" i="1"/>
  <c r="A899" i="1"/>
  <c r="H898" i="1"/>
  <c r="G898" i="1"/>
  <c r="F898" i="1"/>
  <c r="E898" i="1"/>
  <c r="D898" i="1"/>
  <c r="A898" i="1"/>
  <c r="H897" i="1"/>
  <c r="G897" i="1"/>
  <c r="F897" i="1"/>
  <c r="E897" i="1"/>
  <c r="D897" i="1"/>
  <c r="A897" i="1"/>
  <c r="H896" i="1"/>
  <c r="G896" i="1"/>
  <c r="F896" i="1"/>
  <c r="E896" i="1"/>
  <c r="D896" i="1"/>
  <c r="A896" i="1"/>
  <c r="H895" i="1"/>
  <c r="G895" i="1"/>
  <c r="F895" i="1"/>
  <c r="E895" i="1"/>
  <c r="D895" i="1"/>
  <c r="A895" i="1"/>
  <c r="H894" i="1"/>
  <c r="G894" i="1"/>
  <c r="F894" i="1"/>
  <c r="E894" i="1"/>
  <c r="D894" i="1"/>
  <c r="A894" i="1"/>
  <c r="H893" i="1"/>
  <c r="G893" i="1"/>
  <c r="F893" i="1"/>
  <c r="E893" i="1"/>
  <c r="D893" i="1"/>
  <c r="A893" i="1"/>
  <c r="H892" i="1"/>
  <c r="G892" i="1"/>
  <c r="F892" i="1"/>
  <c r="E892" i="1"/>
  <c r="D892" i="1"/>
  <c r="A892" i="1"/>
  <c r="H891" i="1"/>
  <c r="G891" i="1"/>
  <c r="F891" i="1"/>
  <c r="E891" i="1"/>
  <c r="D891" i="1"/>
  <c r="A891" i="1"/>
  <c r="H890" i="1"/>
  <c r="G890" i="1"/>
  <c r="F890" i="1"/>
  <c r="E890" i="1"/>
  <c r="D890" i="1"/>
  <c r="A890" i="1"/>
  <c r="H889" i="1"/>
  <c r="G889" i="1"/>
  <c r="F889" i="1"/>
  <c r="E889" i="1"/>
  <c r="D889" i="1"/>
  <c r="A889" i="1"/>
  <c r="H888" i="1"/>
  <c r="G888" i="1"/>
  <c r="F888" i="1"/>
  <c r="E888" i="1"/>
  <c r="D888" i="1"/>
  <c r="A888" i="1"/>
  <c r="H887" i="1"/>
  <c r="G887" i="1"/>
  <c r="F887" i="1"/>
  <c r="E887" i="1"/>
  <c r="D887" i="1"/>
  <c r="A887" i="1"/>
  <c r="H886" i="1"/>
  <c r="G886" i="1"/>
  <c r="F886" i="1"/>
  <c r="E886" i="1"/>
  <c r="D886" i="1"/>
  <c r="A886" i="1"/>
  <c r="H885" i="1"/>
  <c r="G885" i="1"/>
  <c r="F885" i="1"/>
  <c r="E885" i="1"/>
  <c r="D885" i="1"/>
  <c r="A885" i="1"/>
  <c r="H884" i="1"/>
  <c r="G884" i="1"/>
  <c r="F884" i="1"/>
  <c r="E884" i="1"/>
  <c r="D884" i="1"/>
  <c r="A884" i="1"/>
  <c r="H883" i="1"/>
  <c r="G883" i="1"/>
  <c r="F883" i="1"/>
  <c r="E883" i="1"/>
  <c r="D883" i="1"/>
  <c r="A883" i="1"/>
  <c r="H882" i="1"/>
  <c r="G882" i="1"/>
  <c r="F882" i="1"/>
  <c r="E882" i="1"/>
  <c r="D882" i="1"/>
  <c r="A882" i="1"/>
  <c r="H881" i="1"/>
  <c r="G881" i="1"/>
  <c r="F881" i="1"/>
  <c r="E881" i="1"/>
  <c r="D881" i="1"/>
  <c r="A881" i="1"/>
  <c r="H880" i="1"/>
  <c r="G880" i="1"/>
  <c r="F880" i="1"/>
  <c r="E880" i="1"/>
  <c r="D880" i="1"/>
  <c r="A880" i="1"/>
  <c r="H879" i="1"/>
  <c r="G879" i="1"/>
  <c r="F879" i="1"/>
  <c r="E879" i="1"/>
  <c r="D879" i="1"/>
  <c r="A879" i="1"/>
  <c r="H878" i="1"/>
  <c r="G878" i="1"/>
  <c r="F878" i="1"/>
  <c r="E878" i="1"/>
  <c r="D878" i="1"/>
  <c r="A878" i="1"/>
  <c r="H877" i="1"/>
  <c r="G877" i="1"/>
  <c r="F877" i="1"/>
  <c r="E877" i="1"/>
  <c r="D877" i="1"/>
  <c r="A877" i="1"/>
  <c r="H876" i="1"/>
  <c r="G876" i="1"/>
  <c r="F876" i="1"/>
  <c r="E876" i="1"/>
  <c r="D876" i="1"/>
  <c r="A876" i="1"/>
  <c r="H875" i="1"/>
  <c r="G875" i="1"/>
  <c r="F875" i="1"/>
  <c r="E875" i="1"/>
  <c r="D875" i="1"/>
  <c r="A875" i="1"/>
  <c r="H874" i="1"/>
  <c r="G874" i="1"/>
  <c r="F874" i="1"/>
  <c r="E874" i="1"/>
  <c r="D874" i="1"/>
  <c r="A874" i="1"/>
  <c r="H873" i="1"/>
  <c r="G873" i="1"/>
  <c r="F873" i="1"/>
  <c r="E873" i="1"/>
  <c r="D873" i="1"/>
  <c r="A873" i="1"/>
  <c r="H872" i="1"/>
  <c r="G872" i="1"/>
  <c r="F872" i="1"/>
  <c r="E872" i="1"/>
  <c r="D872" i="1"/>
  <c r="A872" i="1"/>
  <c r="H871" i="1"/>
  <c r="G871" i="1"/>
  <c r="F871" i="1"/>
  <c r="E871" i="1"/>
  <c r="D871" i="1"/>
  <c r="A871" i="1"/>
  <c r="H870" i="1"/>
  <c r="G870" i="1"/>
  <c r="F870" i="1"/>
  <c r="E870" i="1"/>
  <c r="D870" i="1"/>
  <c r="A870" i="1"/>
  <c r="H869" i="1"/>
  <c r="G869" i="1"/>
  <c r="F869" i="1"/>
  <c r="E869" i="1"/>
  <c r="D869" i="1"/>
  <c r="A869" i="1"/>
  <c r="H868" i="1"/>
  <c r="G868" i="1"/>
  <c r="F868" i="1"/>
  <c r="E868" i="1"/>
  <c r="D868" i="1"/>
  <c r="A868" i="1"/>
  <c r="H867" i="1"/>
  <c r="G867" i="1"/>
  <c r="F867" i="1"/>
  <c r="E867" i="1"/>
  <c r="D867" i="1"/>
  <c r="A867" i="1"/>
  <c r="H866" i="1"/>
  <c r="G866" i="1"/>
  <c r="F866" i="1"/>
  <c r="E866" i="1"/>
  <c r="D866" i="1"/>
  <c r="A866" i="1"/>
  <c r="H865" i="1"/>
  <c r="G865" i="1"/>
  <c r="F865" i="1"/>
  <c r="E865" i="1"/>
  <c r="D865" i="1"/>
  <c r="A865" i="1"/>
  <c r="H864" i="1"/>
  <c r="G864" i="1"/>
  <c r="F864" i="1"/>
  <c r="E864" i="1"/>
  <c r="D864" i="1"/>
  <c r="A864" i="1"/>
  <c r="H863" i="1"/>
  <c r="G863" i="1"/>
  <c r="F863" i="1"/>
  <c r="E863" i="1"/>
  <c r="D863" i="1"/>
  <c r="A863" i="1"/>
  <c r="H862" i="1"/>
  <c r="G862" i="1"/>
  <c r="F862" i="1"/>
  <c r="E862" i="1"/>
  <c r="D862" i="1"/>
  <c r="A862" i="1"/>
  <c r="H861" i="1"/>
  <c r="G861" i="1"/>
  <c r="F861" i="1"/>
  <c r="E861" i="1"/>
  <c r="D861" i="1"/>
  <c r="A861" i="1"/>
  <c r="H860" i="1"/>
  <c r="G860" i="1"/>
  <c r="F860" i="1"/>
  <c r="E860" i="1"/>
  <c r="D860" i="1"/>
  <c r="A860" i="1"/>
  <c r="H859" i="1"/>
  <c r="G859" i="1"/>
  <c r="F859" i="1"/>
  <c r="E859" i="1"/>
  <c r="D859" i="1"/>
  <c r="A859" i="1"/>
  <c r="H858" i="1"/>
  <c r="G858" i="1"/>
  <c r="F858" i="1"/>
  <c r="E858" i="1"/>
  <c r="D858" i="1"/>
  <c r="A858" i="1"/>
  <c r="H857" i="1"/>
  <c r="G857" i="1"/>
  <c r="F857" i="1"/>
  <c r="E857" i="1"/>
  <c r="D857" i="1"/>
  <c r="A857" i="1"/>
  <c r="H856" i="1"/>
  <c r="G856" i="1"/>
  <c r="F856" i="1"/>
  <c r="E856" i="1"/>
  <c r="D856" i="1"/>
  <c r="A856" i="1"/>
  <c r="H855" i="1"/>
  <c r="G855" i="1"/>
  <c r="F855" i="1"/>
  <c r="E855" i="1"/>
  <c r="D855" i="1"/>
  <c r="A855" i="1"/>
  <c r="H854" i="1"/>
  <c r="G854" i="1"/>
  <c r="F854" i="1"/>
  <c r="E854" i="1"/>
  <c r="D854" i="1"/>
  <c r="A854" i="1"/>
  <c r="H853" i="1"/>
  <c r="G853" i="1"/>
  <c r="F853" i="1"/>
  <c r="E853" i="1"/>
  <c r="D853" i="1"/>
  <c r="A853" i="1"/>
  <c r="H852" i="1"/>
  <c r="G852" i="1"/>
  <c r="F852" i="1"/>
  <c r="E852" i="1"/>
  <c r="D852" i="1"/>
  <c r="A852" i="1"/>
  <c r="H851" i="1"/>
  <c r="G851" i="1"/>
  <c r="F851" i="1"/>
  <c r="E851" i="1"/>
  <c r="D851" i="1"/>
  <c r="A851" i="1"/>
  <c r="H850" i="1"/>
  <c r="G850" i="1"/>
  <c r="F850" i="1"/>
  <c r="E850" i="1"/>
  <c r="D850" i="1"/>
  <c r="A850" i="1"/>
  <c r="H849" i="1"/>
  <c r="G849" i="1"/>
  <c r="F849" i="1"/>
  <c r="E849" i="1"/>
  <c r="D849" i="1"/>
  <c r="A849" i="1"/>
  <c r="H848" i="1"/>
  <c r="G848" i="1"/>
  <c r="F848" i="1"/>
  <c r="E848" i="1"/>
  <c r="D848" i="1"/>
  <c r="A848" i="1"/>
  <c r="H847" i="1"/>
  <c r="G847" i="1"/>
  <c r="F847" i="1"/>
  <c r="E847" i="1"/>
  <c r="D847" i="1"/>
  <c r="A847" i="1"/>
  <c r="H846" i="1"/>
  <c r="G846" i="1"/>
  <c r="F846" i="1"/>
  <c r="E846" i="1"/>
  <c r="D846" i="1"/>
  <c r="A846" i="1"/>
  <c r="H845" i="1"/>
  <c r="G845" i="1"/>
  <c r="F845" i="1"/>
  <c r="E845" i="1"/>
  <c r="D845" i="1"/>
  <c r="A845" i="1"/>
  <c r="H844" i="1"/>
  <c r="G844" i="1"/>
  <c r="F844" i="1"/>
  <c r="E844" i="1"/>
  <c r="D844" i="1"/>
  <c r="A844" i="1"/>
  <c r="H843" i="1"/>
  <c r="G843" i="1"/>
  <c r="F843" i="1"/>
  <c r="E843" i="1"/>
  <c r="D843" i="1"/>
  <c r="A843" i="1"/>
  <c r="H842" i="1"/>
  <c r="G842" i="1"/>
  <c r="F842" i="1"/>
  <c r="E842" i="1"/>
  <c r="D842" i="1"/>
  <c r="A842" i="1"/>
  <c r="H841" i="1"/>
  <c r="G841" i="1"/>
  <c r="F841" i="1"/>
  <c r="E841" i="1"/>
  <c r="D841" i="1"/>
  <c r="A841" i="1"/>
  <c r="H840" i="1"/>
  <c r="G840" i="1"/>
  <c r="F840" i="1"/>
  <c r="E840" i="1"/>
  <c r="D840" i="1"/>
  <c r="A840" i="1"/>
  <c r="H839" i="1"/>
  <c r="G839" i="1"/>
  <c r="F839" i="1"/>
  <c r="E839" i="1"/>
  <c r="D839" i="1"/>
  <c r="A839" i="1"/>
  <c r="H838" i="1"/>
  <c r="G838" i="1"/>
  <c r="F838" i="1"/>
  <c r="E838" i="1"/>
  <c r="D838" i="1"/>
  <c r="A838" i="1"/>
  <c r="H837" i="1"/>
  <c r="G837" i="1"/>
  <c r="F837" i="1"/>
  <c r="E837" i="1"/>
  <c r="D837" i="1"/>
  <c r="A837" i="1"/>
  <c r="H836" i="1"/>
  <c r="G836" i="1"/>
  <c r="F836" i="1"/>
  <c r="E836" i="1"/>
  <c r="D836" i="1"/>
  <c r="A836" i="1"/>
  <c r="H835" i="1"/>
  <c r="G835" i="1"/>
  <c r="F835" i="1"/>
  <c r="E835" i="1"/>
  <c r="D835" i="1"/>
  <c r="A835" i="1"/>
  <c r="H834" i="1"/>
  <c r="G834" i="1"/>
  <c r="F834" i="1"/>
  <c r="E834" i="1"/>
  <c r="D834" i="1"/>
  <c r="A834" i="1"/>
  <c r="H833" i="1"/>
  <c r="G833" i="1"/>
  <c r="F833" i="1"/>
  <c r="E833" i="1"/>
  <c r="D833" i="1"/>
  <c r="A833" i="1"/>
  <c r="H832" i="1"/>
  <c r="G832" i="1"/>
  <c r="F832" i="1"/>
  <c r="E832" i="1"/>
  <c r="D832" i="1"/>
  <c r="A832" i="1"/>
  <c r="H831" i="1"/>
  <c r="G831" i="1"/>
  <c r="F831" i="1"/>
  <c r="E831" i="1"/>
  <c r="D831" i="1"/>
  <c r="A831" i="1"/>
  <c r="H830" i="1"/>
  <c r="G830" i="1"/>
  <c r="F830" i="1"/>
  <c r="E830" i="1"/>
  <c r="D830" i="1"/>
  <c r="A830" i="1"/>
  <c r="H829" i="1"/>
  <c r="G829" i="1"/>
  <c r="F829" i="1"/>
  <c r="E829" i="1"/>
  <c r="D829" i="1"/>
  <c r="A829" i="1"/>
  <c r="H828" i="1"/>
  <c r="G828" i="1"/>
  <c r="F828" i="1"/>
  <c r="E828" i="1"/>
  <c r="D828" i="1"/>
  <c r="A828" i="1"/>
  <c r="H827" i="1"/>
  <c r="G827" i="1"/>
  <c r="F827" i="1"/>
  <c r="E827" i="1"/>
  <c r="D827" i="1"/>
  <c r="A827" i="1"/>
  <c r="H826" i="1"/>
  <c r="G826" i="1"/>
  <c r="F826" i="1"/>
  <c r="E826" i="1"/>
  <c r="D826" i="1"/>
  <c r="A826" i="1"/>
  <c r="H825" i="1"/>
  <c r="G825" i="1"/>
  <c r="F825" i="1"/>
  <c r="E825" i="1"/>
  <c r="D825" i="1"/>
  <c r="A825" i="1"/>
  <c r="H824" i="1"/>
  <c r="G824" i="1"/>
  <c r="F824" i="1"/>
  <c r="E824" i="1"/>
  <c r="D824" i="1"/>
  <c r="A824" i="1"/>
  <c r="H823" i="1"/>
  <c r="G823" i="1"/>
  <c r="F823" i="1"/>
  <c r="E823" i="1"/>
  <c r="D823" i="1"/>
  <c r="A823" i="1"/>
  <c r="H822" i="1"/>
  <c r="G822" i="1"/>
  <c r="F822" i="1"/>
  <c r="E822" i="1"/>
  <c r="D822" i="1"/>
  <c r="A822" i="1"/>
  <c r="H821" i="1"/>
  <c r="G821" i="1"/>
  <c r="F821" i="1"/>
  <c r="E821" i="1"/>
  <c r="D821" i="1"/>
  <c r="A821" i="1"/>
  <c r="H820" i="1"/>
  <c r="G820" i="1"/>
  <c r="F820" i="1"/>
  <c r="E820" i="1"/>
  <c r="D820" i="1"/>
  <c r="A820" i="1"/>
  <c r="H819" i="1"/>
  <c r="G819" i="1"/>
  <c r="F819" i="1"/>
  <c r="E819" i="1"/>
  <c r="D819" i="1"/>
  <c r="A819" i="1"/>
  <c r="H818" i="1"/>
  <c r="G818" i="1"/>
  <c r="F818" i="1"/>
  <c r="E818" i="1"/>
  <c r="D818" i="1"/>
  <c r="A818" i="1"/>
  <c r="H817" i="1"/>
  <c r="G817" i="1"/>
  <c r="F817" i="1"/>
  <c r="E817" i="1"/>
  <c r="D817" i="1"/>
  <c r="A817" i="1"/>
  <c r="H816" i="1"/>
  <c r="G816" i="1"/>
  <c r="F816" i="1"/>
  <c r="E816" i="1"/>
  <c r="D816" i="1"/>
  <c r="A816" i="1"/>
  <c r="H815" i="1"/>
  <c r="G815" i="1"/>
  <c r="F815" i="1"/>
  <c r="E815" i="1"/>
  <c r="D815" i="1"/>
  <c r="A815" i="1"/>
  <c r="H814" i="1"/>
  <c r="G814" i="1"/>
  <c r="F814" i="1"/>
  <c r="E814" i="1"/>
  <c r="D814" i="1"/>
  <c r="A814" i="1"/>
  <c r="H813" i="1"/>
  <c r="G813" i="1"/>
  <c r="F813" i="1"/>
  <c r="E813" i="1"/>
  <c r="D813" i="1"/>
  <c r="A813" i="1"/>
  <c r="H812" i="1"/>
  <c r="G812" i="1"/>
  <c r="F812" i="1"/>
  <c r="E812" i="1"/>
  <c r="D812" i="1"/>
  <c r="A812" i="1"/>
  <c r="H811" i="1"/>
  <c r="G811" i="1"/>
  <c r="F811" i="1"/>
  <c r="E811" i="1"/>
  <c r="D811" i="1"/>
  <c r="A811" i="1"/>
  <c r="H810" i="1"/>
  <c r="G810" i="1"/>
  <c r="F810" i="1"/>
  <c r="E810" i="1"/>
  <c r="D810" i="1"/>
  <c r="A810" i="1"/>
  <c r="H809" i="1"/>
  <c r="G809" i="1"/>
  <c r="F809" i="1"/>
  <c r="E809" i="1"/>
  <c r="D809" i="1"/>
  <c r="A809" i="1"/>
  <c r="H808" i="1"/>
  <c r="G808" i="1"/>
  <c r="F808" i="1"/>
  <c r="E808" i="1"/>
  <c r="D808" i="1"/>
  <c r="A808" i="1"/>
  <c r="H807" i="1"/>
  <c r="G807" i="1"/>
  <c r="F807" i="1"/>
  <c r="E807" i="1"/>
  <c r="D807" i="1"/>
  <c r="A807" i="1"/>
  <c r="H806" i="1"/>
  <c r="G806" i="1"/>
  <c r="F806" i="1"/>
  <c r="E806" i="1"/>
  <c r="D806" i="1"/>
  <c r="A806" i="1"/>
  <c r="H805" i="1"/>
  <c r="G805" i="1"/>
  <c r="F805" i="1"/>
  <c r="E805" i="1"/>
  <c r="D805" i="1"/>
  <c r="A805" i="1"/>
  <c r="H804" i="1"/>
  <c r="G804" i="1"/>
  <c r="F804" i="1"/>
  <c r="E804" i="1"/>
  <c r="D804" i="1"/>
  <c r="A804" i="1"/>
  <c r="H803" i="1"/>
  <c r="G803" i="1"/>
  <c r="F803" i="1"/>
  <c r="E803" i="1"/>
  <c r="D803" i="1"/>
  <c r="A803" i="1"/>
  <c r="H802" i="1"/>
  <c r="G802" i="1"/>
  <c r="F802" i="1"/>
  <c r="E802" i="1"/>
  <c r="D802" i="1"/>
  <c r="A802" i="1"/>
  <c r="H801" i="1"/>
  <c r="G801" i="1"/>
  <c r="F801" i="1"/>
  <c r="E801" i="1"/>
  <c r="D801" i="1"/>
  <c r="A801" i="1"/>
  <c r="H800" i="1"/>
  <c r="G800" i="1"/>
  <c r="F800" i="1"/>
  <c r="E800" i="1"/>
  <c r="D800" i="1"/>
  <c r="A800" i="1"/>
  <c r="H799" i="1"/>
  <c r="G799" i="1"/>
  <c r="F799" i="1"/>
  <c r="E799" i="1"/>
  <c r="D799" i="1"/>
  <c r="A799" i="1"/>
  <c r="H798" i="1"/>
  <c r="G798" i="1"/>
  <c r="F798" i="1"/>
  <c r="E798" i="1"/>
  <c r="D798" i="1"/>
  <c r="A798" i="1"/>
  <c r="H797" i="1"/>
  <c r="G797" i="1"/>
  <c r="F797" i="1"/>
  <c r="E797" i="1"/>
  <c r="D797" i="1"/>
  <c r="A797" i="1"/>
  <c r="H796" i="1"/>
  <c r="G796" i="1"/>
  <c r="F796" i="1"/>
  <c r="E796" i="1"/>
  <c r="D796" i="1"/>
  <c r="A796" i="1"/>
  <c r="H795" i="1"/>
  <c r="G795" i="1"/>
  <c r="F795" i="1"/>
  <c r="E795" i="1"/>
  <c r="D795" i="1"/>
  <c r="A795" i="1"/>
  <c r="H794" i="1"/>
  <c r="G794" i="1"/>
  <c r="F794" i="1"/>
  <c r="E794" i="1"/>
  <c r="D794" i="1"/>
  <c r="A794" i="1"/>
  <c r="H793" i="1"/>
  <c r="G793" i="1"/>
  <c r="F793" i="1"/>
  <c r="E793" i="1"/>
  <c r="D793" i="1"/>
  <c r="A793" i="1"/>
  <c r="H792" i="1"/>
  <c r="G792" i="1"/>
  <c r="F792" i="1"/>
  <c r="E792" i="1"/>
  <c r="D792" i="1"/>
  <c r="A792" i="1"/>
  <c r="H791" i="1"/>
  <c r="G791" i="1"/>
  <c r="F791" i="1"/>
  <c r="E791" i="1"/>
  <c r="D791" i="1"/>
  <c r="A791" i="1"/>
  <c r="H790" i="1"/>
  <c r="G790" i="1"/>
  <c r="F790" i="1"/>
  <c r="E790" i="1"/>
  <c r="D790" i="1"/>
  <c r="A790" i="1"/>
  <c r="H789" i="1"/>
  <c r="G789" i="1"/>
  <c r="F789" i="1"/>
  <c r="E789" i="1"/>
  <c r="D789" i="1"/>
  <c r="A789" i="1"/>
  <c r="H788" i="1"/>
  <c r="G788" i="1"/>
  <c r="F788" i="1"/>
  <c r="E788" i="1"/>
  <c r="D788" i="1"/>
  <c r="A788" i="1"/>
  <c r="H787" i="1"/>
  <c r="G787" i="1"/>
  <c r="F787" i="1"/>
  <c r="E787" i="1"/>
  <c r="D787" i="1"/>
  <c r="A787" i="1"/>
  <c r="H786" i="1"/>
  <c r="G786" i="1"/>
  <c r="F786" i="1"/>
  <c r="E786" i="1"/>
  <c r="D786" i="1"/>
  <c r="A786" i="1"/>
  <c r="H785" i="1"/>
  <c r="G785" i="1"/>
  <c r="F785" i="1"/>
  <c r="E785" i="1"/>
  <c r="D785" i="1"/>
  <c r="A785" i="1"/>
  <c r="H784" i="1"/>
  <c r="G784" i="1"/>
  <c r="F784" i="1"/>
  <c r="E784" i="1"/>
  <c r="D784" i="1"/>
  <c r="A784" i="1"/>
  <c r="H783" i="1"/>
  <c r="G783" i="1"/>
  <c r="F783" i="1"/>
  <c r="E783" i="1"/>
  <c r="D783" i="1"/>
  <c r="A783" i="1"/>
  <c r="H782" i="1"/>
  <c r="G782" i="1"/>
  <c r="F782" i="1"/>
  <c r="E782" i="1"/>
  <c r="D782" i="1"/>
  <c r="A782" i="1"/>
  <c r="H781" i="1"/>
  <c r="G781" i="1"/>
  <c r="F781" i="1"/>
  <c r="E781" i="1"/>
  <c r="D781" i="1"/>
  <c r="A781" i="1"/>
  <c r="H780" i="1"/>
  <c r="G780" i="1"/>
  <c r="F780" i="1"/>
  <c r="E780" i="1"/>
  <c r="D780" i="1"/>
  <c r="A780" i="1"/>
  <c r="H779" i="1"/>
  <c r="G779" i="1"/>
  <c r="F779" i="1"/>
  <c r="E779" i="1"/>
  <c r="D779" i="1"/>
  <c r="A779" i="1"/>
  <c r="H778" i="1"/>
  <c r="G778" i="1"/>
  <c r="F778" i="1"/>
  <c r="E778" i="1"/>
  <c r="D778" i="1"/>
  <c r="A778" i="1"/>
  <c r="H777" i="1"/>
  <c r="G777" i="1"/>
  <c r="F777" i="1"/>
  <c r="E777" i="1"/>
  <c r="D777" i="1"/>
  <c r="A777" i="1"/>
  <c r="H776" i="1"/>
  <c r="G776" i="1"/>
  <c r="F776" i="1"/>
  <c r="E776" i="1"/>
  <c r="D776" i="1"/>
  <c r="A776" i="1"/>
  <c r="H775" i="1"/>
  <c r="G775" i="1"/>
  <c r="F775" i="1"/>
  <c r="E775" i="1"/>
  <c r="D775" i="1"/>
  <c r="A775" i="1"/>
  <c r="H774" i="1"/>
  <c r="G774" i="1"/>
  <c r="F774" i="1"/>
  <c r="E774" i="1"/>
  <c r="D774" i="1"/>
  <c r="A774" i="1"/>
  <c r="H773" i="1"/>
  <c r="G773" i="1"/>
  <c r="F773" i="1"/>
  <c r="E773" i="1"/>
  <c r="D773" i="1"/>
  <c r="A773" i="1"/>
  <c r="H772" i="1"/>
  <c r="G772" i="1"/>
  <c r="F772" i="1"/>
  <c r="E772" i="1"/>
  <c r="D772" i="1"/>
  <c r="A772" i="1"/>
  <c r="H771" i="1"/>
  <c r="G771" i="1"/>
  <c r="F771" i="1"/>
  <c r="E771" i="1"/>
  <c r="D771" i="1"/>
  <c r="A771" i="1"/>
  <c r="H770" i="1"/>
  <c r="G770" i="1"/>
  <c r="F770" i="1"/>
  <c r="E770" i="1"/>
  <c r="D770" i="1"/>
  <c r="A770" i="1"/>
  <c r="H769" i="1"/>
  <c r="G769" i="1"/>
  <c r="F769" i="1"/>
  <c r="E769" i="1"/>
  <c r="D769" i="1"/>
  <c r="A769" i="1"/>
  <c r="H768" i="1"/>
  <c r="G768" i="1"/>
  <c r="F768" i="1"/>
  <c r="E768" i="1"/>
  <c r="D768" i="1"/>
  <c r="A768" i="1"/>
  <c r="H767" i="1"/>
  <c r="G767" i="1"/>
  <c r="F767" i="1"/>
  <c r="E767" i="1"/>
  <c r="D767" i="1"/>
  <c r="A767" i="1"/>
  <c r="H766" i="1"/>
  <c r="G766" i="1"/>
  <c r="F766" i="1"/>
  <c r="E766" i="1"/>
  <c r="D766" i="1"/>
  <c r="A766" i="1"/>
  <c r="H765" i="1"/>
  <c r="G765" i="1"/>
  <c r="F765" i="1"/>
  <c r="E765" i="1"/>
  <c r="D765" i="1"/>
  <c r="A765" i="1"/>
  <c r="H764" i="1"/>
  <c r="G764" i="1"/>
  <c r="F764" i="1"/>
  <c r="E764" i="1"/>
  <c r="D764" i="1"/>
  <c r="A764" i="1"/>
  <c r="H763" i="1"/>
  <c r="G763" i="1"/>
  <c r="F763" i="1"/>
  <c r="E763" i="1"/>
  <c r="D763" i="1"/>
  <c r="A763" i="1"/>
  <c r="H762" i="1"/>
  <c r="G762" i="1"/>
  <c r="F762" i="1"/>
  <c r="E762" i="1"/>
  <c r="D762" i="1"/>
  <c r="A762" i="1"/>
  <c r="H761" i="1"/>
  <c r="G761" i="1"/>
  <c r="F761" i="1"/>
  <c r="E761" i="1"/>
  <c r="D761" i="1"/>
  <c r="A761" i="1"/>
  <c r="H760" i="1"/>
  <c r="G760" i="1"/>
  <c r="F760" i="1"/>
  <c r="E760" i="1"/>
  <c r="D760" i="1"/>
  <c r="A760" i="1"/>
  <c r="H759" i="1"/>
  <c r="G759" i="1"/>
  <c r="F759" i="1"/>
  <c r="E759" i="1"/>
  <c r="D759" i="1"/>
  <c r="A759" i="1"/>
  <c r="H758" i="1"/>
  <c r="G758" i="1"/>
  <c r="F758" i="1"/>
  <c r="E758" i="1"/>
  <c r="D758" i="1"/>
  <c r="A758" i="1"/>
  <c r="H757" i="1"/>
  <c r="G757" i="1"/>
  <c r="F757" i="1"/>
  <c r="E757" i="1"/>
  <c r="D757" i="1"/>
  <c r="A757" i="1"/>
  <c r="H756" i="1"/>
  <c r="G756" i="1"/>
  <c r="F756" i="1"/>
  <c r="E756" i="1"/>
  <c r="D756" i="1"/>
  <c r="A756" i="1"/>
  <c r="H755" i="1"/>
  <c r="G755" i="1"/>
  <c r="F755" i="1"/>
  <c r="E755" i="1"/>
  <c r="D755" i="1"/>
  <c r="A755" i="1"/>
  <c r="H754" i="1"/>
  <c r="G754" i="1"/>
  <c r="F754" i="1"/>
  <c r="E754" i="1"/>
  <c r="D754" i="1"/>
  <c r="A754" i="1"/>
  <c r="H753" i="1"/>
  <c r="G753" i="1"/>
  <c r="F753" i="1"/>
  <c r="E753" i="1"/>
  <c r="D753" i="1"/>
  <c r="A753" i="1"/>
  <c r="H752" i="1"/>
  <c r="G752" i="1"/>
  <c r="F752" i="1"/>
  <c r="E752" i="1"/>
  <c r="D752" i="1"/>
  <c r="A752" i="1"/>
  <c r="H751" i="1"/>
  <c r="G751" i="1"/>
  <c r="F751" i="1"/>
  <c r="E751" i="1"/>
  <c r="D751" i="1"/>
  <c r="A751" i="1"/>
  <c r="H750" i="1"/>
  <c r="G750" i="1"/>
  <c r="F750" i="1"/>
  <c r="E750" i="1"/>
  <c r="D750" i="1"/>
  <c r="A750" i="1"/>
  <c r="H749" i="1"/>
  <c r="G749" i="1"/>
  <c r="F749" i="1"/>
  <c r="E749" i="1"/>
  <c r="D749" i="1"/>
  <c r="A749" i="1"/>
  <c r="H748" i="1"/>
  <c r="G748" i="1"/>
  <c r="F748" i="1"/>
  <c r="E748" i="1"/>
  <c r="D748" i="1"/>
  <c r="A748" i="1"/>
  <c r="H747" i="1"/>
  <c r="G747" i="1"/>
  <c r="F747" i="1"/>
  <c r="E747" i="1"/>
  <c r="D747" i="1"/>
  <c r="A747" i="1"/>
  <c r="H746" i="1"/>
  <c r="G746" i="1"/>
  <c r="F746" i="1"/>
  <c r="E746" i="1"/>
  <c r="D746" i="1"/>
  <c r="A746" i="1"/>
  <c r="H745" i="1"/>
  <c r="G745" i="1"/>
  <c r="F745" i="1"/>
  <c r="E745" i="1"/>
  <c r="D745" i="1"/>
  <c r="A745" i="1"/>
  <c r="H744" i="1"/>
  <c r="G744" i="1"/>
  <c r="F744" i="1"/>
  <c r="E744" i="1"/>
  <c r="D744" i="1"/>
  <c r="A744" i="1"/>
  <c r="H743" i="1"/>
  <c r="G743" i="1"/>
  <c r="F743" i="1"/>
  <c r="E743" i="1"/>
  <c r="D743" i="1"/>
  <c r="A743" i="1"/>
  <c r="H742" i="1"/>
  <c r="G742" i="1"/>
  <c r="F742" i="1"/>
  <c r="E742" i="1"/>
  <c r="D742" i="1"/>
  <c r="A742" i="1"/>
  <c r="H741" i="1"/>
  <c r="G741" i="1"/>
  <c r="F741" i="1"/>
  <c r="E741" i="1"/>
  <c r="D741" i="1"/>
  <c r="A741" i="1"/>
  <c r="H740" i="1"/>
  <c r="G740" i="1"/>
  <c r="F740" i="1"/>
  <c r="E740" i="1"/>
  <c r="D740" i="1"/>
  <c r="A740" i="1"/>
  <c r="H739" i="1"/>
  <c r="G739" i="1"/>
  <c r="F739" i="1"/>
  <c r="E739" i="1"/>
  <c r="D739" i="1"/>
  <c r="A739" i="1"/>
  <c r="H738" i="1"/>
  <c r="G738" i="1"/>
  <c r="F738" i="1"/>
  <c r="E738" i="1"/>
  <c r="D738" i="1"/>
  <c r="A738" i="1"/>
  <c r="H737" i="1"/>
  <c r="G737" i="1"/>
  <c r="F737" i="1"/>
  <c r="E737" i="1"/>
  <c r="D737" i="1"/>
  <c r="A737" i="1"/>
  <c r="H736" i="1"/>
  <c r="G736" i="1"/>
  <c r="F736" i="1"/>
  <c r="E736" i="1"/>
  <c r="D736" i="1"/>
  <c r="A736" i="1"/>
  <c r="H735" i="1"/>
  <c r="G735" i="1"/>
  <c r="F735" i="1"/>
  <c r="E735" i="1"/>
  <c r="D735" i="1"/>
  <c r="A735" i="1"/>
  <c r="H734" i="1"/>
  <c r="G734" i="1"/>
  <c r="F734" i="1"/>
  <c r="E734" i="1"/>
  <c r="D734" i="1"/>
  <c r="A734" i="1"/>
  <c r="H733" i="1"/>
  <c r="G733" i="1"/>
  <c r="F733" i="1"/>
  <c r="E733" i="1"/>
  <c r="D733" i="1"/>
  <c r="A733" i="1"/>
  <c r="H732" i="1"/>
  <c r="G732" i="1"/>
  <c r="F732" i="1"/>
  <c r="E732" i="1"/>
  <c r="D732" i="1"/>
  <c r="A732" i="1"/>
  <c r="H731" i="1"/>
  <c r="G731" i="1"/>
  <c r="F731" i="1"/>
  <c r="E731" i="1"/>
  <c r="D731" i="1"/>
  <c r="A731" i="1"/>
  <c r="H730" i="1"/>
  <c r="G730" i="1"/>
  <c r="F730" i="1"/>
  <c r="E730" i="1"/>
  <c r="D730" i="1"/>
  <c r="A730" i="1"/>
  <c r="H729" i="1"/>
  <c r="G729" i="1"/>
  <c r="F729" i="1"/>
  <c r="E729" i="1"/>
  <c r="D729" i="1"/>
  <c r="A729" i="1"/>
  <c r="H728" i="1"/>
  <c r="G728" i="1"/>
  <c r="F728" i="1"/>
  <c r="E728" i="1"/>
  <c r="D728" i="1"/>
  <c r="A728" i="1"/>
  <c r="H727" i="1"/>
  <c r="G727" i="1"/>
  <c r="F727" i="1"/>
  <c r="E727" i="1"/>
  <c r="D727" i="1"/>
  <c r="A727" i="1"/>
  <c r="H726" i="1"/>
  <c r="G726" i="1"/>
  <c r="F726" i="1"/>
  <c r="E726" i="1"/>
  <c r="D726" i="1"/>
  <c r="A726" i="1"/>
  <c r="H725" i="1"/>
  <c r="G725" i="1"/>
  <c r="F725" i="1"/>
  <c r="E725" i="1"/>
  <c r="D725" i="1"/>
  <c r="A725" i="1"/>
  <c r="H724" i="1"/>
  <c r="G724" i="1"/>
  <c r="F724" i="1"/>
  <c r="E724" i="1"/>
  <c r="D724" i="1"/>
  <c r="A724" i="1"/>
  <c r="H723" i="1"/>
  <c r="G723" i="1"/>
  <c r="F723" i="1"/>
  <c r="E723" i="1"/>
  <c r="D723" i="1"/>
  <c r="A723" i="1"/>
  <c r="H722" i="1"/>
  <c r="G722" i="1"/>
  <c r="F722" i="1"/>
  <c r="E722" i="1"/>
  <c r="D722" i="1"/>
  <c r="A722" i="1"/>
  <c r="H721" i="1"/>
  <c r="G721" i="1"/>
  <c r="F721" i="1"/>
  <c r="E721" i="1"/>
  <c r="D721" i="1"/>
  <c r="A721" i="1"/>
  <c r="H720" i="1"/>
  <c r="G720" i="1"/>
  <c r="F720" i="1"/>
  <c r="E720" i="1"/>
  <c r="D720" i="1"/>
  <c r="A720" i="1"/>
  <c r="H719" i="1"/>
  <c r="G719" i="1"/>
  <c r="F719" i="1"/>
  <c r="E719" i="1"/>
  <c r="D719" i="1"/>
  <c r="A719" i="1"/>
  <c r="H718" i="1"/>
  <c r="G718" i="1"/>
  <c r="F718" i="1"/>
  <c r="E718" i="1"/>
  <c r="D718" i="1"/>
  <c r="A718" i="1"/>
  <c r="H717" i="1"/>
  <c r="G717" i="1"/>
  <c r="F717" i="1"/>
  <c r="E717" i="1"/>
  <c r="D717" i="1"/>
  <c r="A717" i="1"/>
  <c r="H716" i="1"/>
  <c r="G716" i="1"/>
  <c r="F716" i="1"/>
  <c r="E716" i="1"/>
  <c r="D716" i="1"/>
  <c r="A716" i="1"/>
  <c r="H715" i="1"/>
  <c r="G715" i="1"/>
  <c r="F715" i="1"/>
  <c r="E715" i="1"/>
  <c r="D715" i="1"/>
  <c r="A715" i="1"/>
  <c r="H714" i="1"/>
  <c r="G714" i="1"/>
  <c r="F714" i="1"/>
  <c r="E714" i="1"/>
  <c r="D714" i="1"/>
  <c r="A714" i="1"/>
  <c r="H713" i="1"/>
  <c r="G713" i="1"/>
  <c r="F713" i="1"/>
  <c r="E713" i="1"/>
  <c r="D713" i="1"/>
  <c r="A713" i="1"/>
  <c r="H712" i="1"/>
  <c r="G712" i="1"/>
  <c r="F712" i="1"/>
  <c r="E712" i="1"/>
  <c r="D712" i="1"/>
  <c r="A712" i="1"/>
  <c r="H711" i="1"/>
  <c r="G711" i="1"/>
  <c r="F711" i="1"/>
  <c r="E711" i="1"/>
  <c r="D711" i="1"/>
  <c r="A711" i="1"/>
  <c r="H710" i="1"/>
  <c r="G710" i="1"/>
  <c r="F710" i="1"/>
  <c r="E710" i="1"/>
  <c r="D710" i="1"/>
  <c r="A710" i="1"/>
  <c r="H709" i="1"/>
  <c r="G709" i="1"/>
  <c r="F709" i="1"/>
  <c r="E709" i="1"/>
  <c r="D709" i="1"/>
  <c r="A709" i="1"/>
  <c r="H708" i="1"/>
  <c r="G708" i="1"/>
  <c r="F708" i="1"/>
  <c r="E708" i="1"/>
  <c r="D708" i="1"/>
  <c r="A708" i="1"/>
  <c r="H707" i="1"/>
  <c r="G707" i="1"/>
  <c r="F707" i="1"/>
  <c r="E707" i="1"/>
  <c r="D707" i="1"/>
  <c r="A707" i="1"/>
  <c r="H706" i="1"/>
  <c r="G706" i="1"/>
  <c r="F706" i="1"/>
  <c r="E706" i="1"/>
  <c r="D706" i="1"/>
  <c r="A706" i="1"/>
  <c r="H705" i="1"/>
  <c r="G705" i="1"/>
  <c r="F705" i="1"/>
  <c r="E705" i="1"/>
  <c r="D705" i="1"/>
  <c r="A705" i="1"/>
  <c r="H704" i="1"/>
  <c r="G704" i="1"/>
  <c r="F704" i="1"/>
  <c r="E704" i="1"/>
  <c r="D704" i="1"/>
  <c r="A704" i="1"/>
  <c r="H703" i="1"/>
  <c r="G703" i="1"/>
  <c r="F703" i="1"/>
  <c r="E703" i="1"/>
  <c r="D703" i="1"/>
  <c r="A703" i="1"/>
  <c r="H702" i="1"/>
  <c r="G702" i="1"/>
  <c r="F702" i="1"/>
  <c r="E702" i="1"/>
  <c r="D702" i="1"/>
  <c r="A702" i="1"/>
  <c r="H701" i="1"/>
  <c r="G701" i="1"/>
  <c r="F701" i="1"/>
  <c r="E701" i="1"/>
  <c r="D701" i="1"/>
  <c r="A701" i="1"/>
  <c r="H700" i="1"/>
  <c r="G700" i="1"/>
  <c r="F700" i="1"/>
  <c r="E700" i="1"/>
  <c r="D700" i="1"/>
  <c r="A700" i="1"/>
  <c r="H699" i="1"/>
  <c r="G699" i="1"/>
  <c r="F699" i="1"/>
  <c r="E699" i="1"/>
  <c r="D699" i="1"/>
  <c r="A699" i="1"/>
  <c r="H698" i="1"/>
  <c r="G698" i="1"/>
  <c r="F698" i="1"/>
  <c r="E698" i="1"/>
  <c r="D698" i="1"/>
  <c r="A698" i="1"/>
  <c r="H697" i="1"/>
  <c r="G697" i="1"/>
  <c r="F697" i="1"/>
  <c r="E697" i="1"/>
  <c r="D697" i="1"/>
  <c r="A697" i="1"/>
  <c r="H696" i="1"/>
  <c r="G696" i="1"/>
  <c r="F696" i="1"/>
  <c r="E696" i="1"/>
  <c r="D696" i="1"/>
  <c r="A696" i="1"/>
  <c r="H695" i="1"/>
  <c r="G695" i="1"/>
  <c r="F695" i="1"/>
  <c r="E695" i="1"/>
  <c r="D695" i="1"/>
  <c r="A695" i="1"/>
  <c r="H694" i="1"/>
  <c r="G694" i="1"/>
  <c r="F694" i="1"/>
  <c r="E694" i="1"/>
  <c r="D694" i="1"/>
  <c r="A694" i="1"/>
  <c r="H693" i="1"/>
  <c r="G693" i="1"/>
  <c r="F693" i="1"/>
  <c r="E693" i="1"/>
  <c r="D693" i="1"/>
  <c r="A693" i="1"/>
  <c r="H692" i="1"/>
  <c r="G692" i="1"/>
  <c r="F692" i="1"/>
  <c r="E692" i="1"/>
  <c r="D692" i="1"/>
  <c r="A692" i="1"/>
  <c r="H691" i="1"/>
  <c r="G691" i="1"/>
  <c r="F691" i="1"/>
  <c r="E691" i="1"/>
  <c r="D691" i="1"/>
  <c r="A691" i="1"/>
  <c r="H690" i="1"/>
  <c r="G690" i="1"/>
  <c r="F690" i="1"/>
  <c r="E690" i="1"/>
  <c r="D690" i="1"/>
  <c r="A690" i="1"/>
  <c r="H689" i="1"/>
  <c r="G689" i="1"/>
  <c r="F689" i="1"/>
  <c r="E689" i="1"/>
  <c r="D689" i="1"/>
  <c r="A689" i="1"/>
  <c r="H688" i="1"/>
  <c r="G688" i="1"/>
  <c r="F688" i="1"/>
  <c r="E688" i="1"/>
  <c r="D688" i="1"/>
  <c r="A688" i="1"/>
  <c r="H687" i="1"/>
  <c r="G687" i="1"/>
  <c r="F687" i="1"/>
  <c r="E687" i="1"/>
  <c r="D687" i="1"/>
  <c r="A687" i="1"/>
  <c r="H686" i="1"/>
  <c r="G686" i="1"/>
  <c r="F686" i="1"/>
  <c r="E686" i="1"/>
  <c r="D686" i="1"/>
  <c r="A686" i="1"/>
  <c r="H685" i="1"/>
  <c r="G685" i="1"/>
  <c r="F685" i="1"/>
  <c r="E685" i="1"/>
  <c r="D685" i="1"/>
  <c r="A685" i="1"/>
  <c r="H684" i="1"/>
  <c r="G684" i="1"/>
  <c r="F684" i="1"/>
  <c r="E684" i="1"/>
  <c r="D684" i="1"/>
  <c r="A684" i="1"/>
  <c r="H683" i="1"/>
  <c r="G683" i="1"/>
  <c r="F683" i="1"/>
  <c r="E683" i="1"/>
  <c r="D683" i="1"/>
  <c r="A683" i="1"/>
  <c r="H682" i="1"/>
  <c r="G682" i="1"/>
  <c r="F682" i="1"/>
  <c r="E682" i="1"/>
  <c r="D682" i="1"/>
  <c r="A682" i="1"/>
  <c r="H681" i="1"/>
  <c r="G681" i="1"/>
  <c r="F681" i="1"/>
  <c r="E681" i="1"/>
  <c r="D681" i="1"/>
  <c r="A681" i="1"/>
  <c r="H680" i="1"/>
  <c r="G680" i="1"/>
  <c r="F680" i="1"/>
  <c r="E680" i="1"/>
  <c r="D680" i="1"/>
  <c r="A680" i="1"/>
  <c r="H679" i="1"/>
  <c r="G679" i="1"/>
  <c r="F679" i="1"/>
  <c r="E679" i="1"/>
  <c r="D679" i="1"/>
  <c r="A679" i="1"/>
  <c r="H678" i="1"/>
  <c r="G678" i="1"/>
  <c r="F678" i="1"/>
  <c r="E678" i="1"/>
  <c r="D678" i="1"/>
  <c r="A678" i="1"/>
  <c r="H677" i="1"/>
  <c r="G677" i="1"/>
  <c r="F677" i="1"/>
  <c r="E677" i="1"/>
  <c r="D677" i="1"/>
  <c r="A677" i="1"/>
  <c r="H676" i="1"/>
  <c r="G676" i="1"/>
  <c r="F676" i="1"/>
  <c r="E676" i="1"/>
  <c r="D676" i="1"/>
  <c r="A676" i="1"/>
  <c r="H675" i="1"/>
  <c r="G675" i="1"/>
  <c r="F675" i="1"/>
  <c r="E675" i="1"/>
  <c r="D675" i="1"/>
  <c r="A675" i="1"/>
  <c r="H674" i="1"/>
  <c r="G674" i="1"/>
  <c r="F674" i="1"/>
  <c r="E674" i="1"/>
  <c r="D674" i="1"/>
  <c r="A674" i="1"/>
  <c r="H673" i="1"/>
  <c r="G673" i="1"/>
  <c r="F673" i="1"/>
  <c r="E673" i="1"/>
  <c r="D673" i="1"/>
  <c r="A673" i="1"/>
  <c r="H672" i="1"/>
  <c r="G672" i="1"/>
  <c r="F672" i="1"/>
  <c r="E672" i="1"/>
  <c r="D672" i="1"/>
  <c r="A672" i="1"/>
  <c r="H671" i="1"/>
  <c r="G671" i="1"/>
  <c r="F671" i="1"/>
  <c r="E671" i="1"/>
  <c r="D671" i="1"/>
  <c r="A671" i="1"/>
  <c r="H670" i="1"/>
  <c r="G670" i="1"/>
  <c r="F670" i="1"/>
  <c r="E670" i="1"/>
  <c r="D670" i="1"/>
  <c r="A670" i="1"/>
  <c r="H669" i="1"/>
  <c r="G669" i="1"/>
  <c r="F669" i="1"/>
  <c r="E669" i="1"/>
  <c r="D669" i="1"/>
  <c r="A669" i="1"/>
  <c r="H668" i="1"/>
  <c r="G668" i="1"/>
  <c r="F668" i="1"/>
  <c r="E668" i="1"/>
  <c r="D668" i="1"/>
  <c r="A668" i="1"/>
  <c r="H667" i="1"/>
  <c r="G667" i="1"/>
  <c r="F667" i="1"/>
  <c r="E667" i="1"/>
  <c r="D667" i="1"/>
  <c r="A667" i="1"/>
  <c r="H666" i="1"/>
  <c r="G666" i="1"/>
  <c r="F666" i="1"/>
  <c r="E666" i="1"/>
  <c r="D666" i="1"/>
  <c r="A666" i="1"/>
  <c r="H665" i="1"/>
  <c r="G665" i="1"/>
  <c r="F665" i="1"/>
  <c r="E665" i="1"/>
  <c r="D665" i="1"/>
  <c r="A665" i="1"/>
  <c r="H664" i="1"/>
  <c r="G664" i="1"/>
  <c r="F664" i="1"/>
  <c r="E664" i="1"/>
  <c r="D664" i="1"/>
  <c r="A664" i="1"/>
  <c r="H663" i="1"/>
  <c r="G663" i="1"/>
  <c r="F663" i="1"/>
  <c r="E663" i="1"/>
  <c r="D663" i="1"/>
  <c r="A663" i="1"/>
  <c r="H662" i="1"/>
  <c r="G662" i="1"/>
  <c r="F662" i="1"/>
  <c r="E662" i="1"/>
  <c r="D662" i="1"/>
  <c r="A662" i="1"/>
  <c r="H661" i="1"/>
  <c r="G661" i="1"/>
  <c r="F661" i="1"/>
  <c r="E661" i="1"/>
  <c r="D661" i="1"/>
  <c r="A661" i="1"/>
  <c r="H660" i="1"/>
  <c r="G660" i="1"/>
  <c r="F660" i="1"/>
  <c r="E660" i="1"/>
  <c r="D660" i="1"/>
  <c r="A660" i="1"/>
  <c r="H659" i="1"/>
  <c r="G659" i="1"/>
  <c r="F659" i="1"/>
  <c r="E659" i="1"/>
  <c r="D659" i="1"/>
  <c r="A659" i="1"/>
  <c r="H658" i="1"/>
  <c r="G658" i="1"/>
  <c r="F658" i="1"/>
  <c r="E658" i="1"/>
  <c r="D658" i="1"/>
  <c r="A658" i="1"/>
  <c r="H657" i="1"/>
  <c r="G657" i="1"/>
  <c r="F657" i="1"/>
  <c r="E657" i="1"/>
  <c r="D657" i="1"/>
  <c r="A657" i="1"/>
  <c r="H656" i="1"/>
  <c r="G656" i="1"/>
  <c r="F656" i="1"/>
  <c r="E656" i="1"/>
  <c r="D656" i="1"/>
  <c r="A656" i="1"/>
  <c r="H655" i="1"/>
  <c r="G655" i="1"/>
  <c r="F655" i="1"/>
  <c r="E655" i="1"/>
  <c r="D655" i="1"/>
  <c r="A655" i="1"/>
  <c r="H654" i="1"/>
  <c r="G654" i="1"/>
  <c r="F654" i="1"/>
  <c r="E654" i="1"/>
  <c r="D654" i="1"/>
  <c r="A654" i="1"/>
  <c r="H653" i="1"/>
  <c r="G653" i="1"/>
  <c r="F653" i="1"/>
  <c r="E653" i="1"/>
  <c r="D653" i="1"/>
  <c r="A653" i="1"/>
  <c r="H652" i="1"/>
  <c r="G652" i="1"/>
  <c r="F652" i="1"/>
  <c r="E652" i="1"/>
  <c r="D652" i="1"/>
  <c r="A652" i="1"/>
  <c r="H651" i="1"/>
  <c r="G651" i="1"/>
  <c r="F651" i="1"/>
  <c r="E651" i="1"/>
  <c r="D651" i="1"/>
  <c r="A651" i="1"/>
  <c r="H650" i="1"/>
  <c r="G650" i="1"/>
  <c r="F650" i="1"/>
  <c r="E650" i="1"/>
  <c r="D650" i="1"/>
  <c r="A650" i="1"/>
  <c r="H649" i="1"/>
  <c r="G649" i="1"/>
  <c r="F649" i="1"/>
  <c r="E649" i="1"/>
  <c r="D649" i="1"/>
  <c r="A649" i="1"/>
  <c r="H648" i="1"/>
  <c r="G648" i="1"/>
  <c r="F648" i="1"/>
  <c r="E648" i="1"/>
  <c r="D648" i="1"/>
  <c r="A648" i="1"/>
  <c r="H647" i="1"/>
  <c r="G647" i="1"/>
  <c r="F647" i="1"/>
  <c r="E647" i="1"/>
  <c r="D647" i="1"/>
  <c r="A647" i="1"/>
  <c r="H646" i="1"/>
  <c r="G646" i="1"/>
  <c r="F646" i="1"/>
  <c r="E646" i="1"/>
  <c r="D646" i="1"/>
  <c r="A646" i="1"/>
  <c r="H645" i="1"/>
  <c r="G645" i="1"/>
  <c r="F645" i="1"/>
  <c r="E645" i="1"/>
  <c r="D645" i="1"/>
  <c r="A645" i="1"/>
  <c r="H644" i="1"/>
  <c r="G644" i="1"/>
  <c r="F644" i="1"/>
  <c r="E644" i="1"/>
  <c r="D644" i="1"/>
  <c r="A644" i="1"/>
  <c r="H643" i="1"/>
  <c r="G643" i="1"/>
  <c r="F643" i="1"/>
  <c r="E643" i="1"/>
  <c r="D643" i="1"/>
  <c r="A643" i="1"/>
  <c r="H642" i="1"/>
  <c r="G642" i="1"/>
  <c r="F642" i="1"/>
  <c r="E642" i="1"/>
  <c r="D642" i="1"/>
  <c r="A642" i="1"/>
  <c r="H641" i="1"/>
  <c r="G641" i="1"/>
  <c r="F641" i="1"/>
  <c r="E641" i="1"/>
  <c r="D641" i="1"/>
  <c r="A641" i="1"/>
  <c r="H640" i="1"/>
  <c r="G640" i="1"/>
  <c r="F640" i="1"/>
  <c r="E640" i="1"/>
  <c r="D640" i="1"/>
  <c r="A640" i="1"/>
  <c r="H639" i="1"/>
  <c r="G639" i="1"/>
  <c r="F639" i="1"/>
  <c r="E639" i="1"/>
  <c r="D639" i="1"/>
  <c r="A639" i="1"/>
  <c r="H638" i="1"/>
  <c r="G638" i="1"/>
  <c r="F638" i="1"/>
  <c r="E638" i="1"/>
  <c r="D638" i="1"/>
  <c r="A638" i="1"/>
  <c r="H637" i="1"/>
  <c r="G637" i="1"/>
  <c r="F637" i="1"/>
  <c r="E637" i="1"/>
  <c r="D637" i="1"/>
  <c r="A637" i="1"/>
  <c r="H636" i="1"/>
  <c r="G636" i="1"/>
  <c r="F636" i="1"/>
  <c r="E636" i="1"/>
  <c r="D636" i="1"/>
  <c r="A636" i="1"/>
  <c r="H635" i="1"/>
  <c r="G635" i="1"/>
  <c r="F635" i="1"/>
  <c r="E635" i="1"/>
  <c r="D635" i="1"/>
  <c r="A635" i="1"/>
  <c r="H634" i="1"/>
  <c r="G634" i="1"/>
  <c r="F634" i="1"/>
  <c r="E634" i="1"/>
  <c r="D634" i="1"/>
  <c r="A634" i="1"/>
  <c r="H633" i="1"/>
  <c r="G633" i="1"/>
  <c r="F633" i="1"/>
  <c r="E633" i="1"/>
  <c r="D633" i="1"/>
  <c r="A633" i="1"/>
  <c r="H632" i="1"/>
  <c r="G632" i="1"/>
  <c r="F632" i="1"/>
  <c r="E632" i="1"/>
  <c r="D632" i="1"/>
  <c r="A632" i="1"/>
  <c r="H631" i="1"/>
  <c r="G631" i="1"/>
  <c r="F631" i="1"/>
  <c r="E631" i="1"/>
  <c r="D631" i="1"/>
  <c r="A631" i="1"/>
  <c r="H630" i="1"/>
  <c r="G630" i="1"/>
  <c r="F630" i="1"/>
  <c r="E630" i="1"/>
  <c r="D630" i="1"/>
  <c r="A630" i="1"/>
  <c r="H629" i="1"/>
  <c r="G629" i="1"/>
  <c r="F629" i="1"/>
  <c r="E629" i="1"/>
  <c r="D629" i="1"/>
  <c r="A629" i="1"/>
  <c r="H628" i="1"/>
  <c r="G628" i="1"/>
  <c r="F628" i="1"/>
  <c r="E628" i="1"/>
  <c r="D628" i="1"/>
  <c r="A628" i="1"/>
  <c r="H627" i="1"/>
  <c r="G627" i="1"/>
  <c r="F627" i="1"/>
  <c r="E627" i="1"/>
  <c r="D627" i="1"/>
  <c r="A627" i="1"/>
  <c r="H626" i="1"/>
  <c r="G626" i="1"/>
  <c r="F626" i="1"/>
  <c r="E626" i="1"/>
  <c r="D626" i="1"/>
  <c r="A626" i="1"/>
  <c r="H625" i="1"/>
  <c r="G625" i="1"/>
  <c r="F625" i="1"/>
  <c r="E625" i="1"/>
  <c r="D625" i="1"/>
  <c r="A625" i="1"/>
  <c r="H624" i="1"/>
  <c r="G624" i="1"/>
  <c r="F624" i="1"/>
  <c r="E624" i="1"/>
  <c r="D624" i="1"/>
  <c r="A624" i="1"/>
  <c r="H623" i="1"/>
  <c r="G623" i="1"/>
  <c r="F623" i="1"/>
  <c r="E623" i="1"/>
  <c r="D623" i="1"/>
  <c r="A623" i="1"/>
  <c r="H622" i="1"/>
  <c r="G622" i="1"/>
  <c r="F622" i="1"/>
  <c r="E622" i="1"/>
  <c r="D622" i="1"/>
  <c r="A622" i="1"/>
  <c r="H621" i="1"/>
  <c r="G621" i="1"/>
  <c r="F621" i="1"/>
  <c r="E621" i="1"/>
  <c r="D621" i="1"/>
  <c r="A621" i="1"/>
  <c r="H620" i="1"/>
  <c r="G620" i="1"/>
  <c r="F620" i="1"/>
  <c r="E620" i="1"/>
  <c r="D620" i="1"/>
  <c r="A620" i="1"/>
  <c r="H619" i="1"/>
  <c r="G619" i="1"/>
  <c r="F619" i="1"/>
  <c r="E619" i="1"/>
  <c r="D619" i="1"/>
  <c r="A619" i="1"/>
  <c r="H618" i="1"/>
  <c r="G618" i="1"/>
  <c r="F618" i="1"/>
  <c r="E618" i="1"/>
  <c r="D618" i="1"/>
  <c r="A618" i="1"/>
  <c r="H617" i="1"/>
  <c r="G617" i="1"/>
  <c r="F617" i="1"/>
  <c r="E617" i="1"/>
  <c r="D617" i="1"/>
  <c r="A617" i="1"/>
  <c r="H616" i="1"/>
  <c r="G616" i="1"/>
  <c r="F616" i="1"/>
  <c r="E616" i="1"/>
  <c r="D616" i="1"/>
  <c r="A616" i="1"/>
  <c r="H615" i="1"/>
  <c r="G615" i="1"/>
  <c r="F615" i="1"/>
  <c r="E615" i="1"/>
  <c r="D615" i="1"/>
  <c r="A615" i="1"/>
  <c r="H614" i="1"/>
  <c r="G614" i="1"/>
  <c r="F614" i="1"/>
  <c r="E614" i="1"/>
  <c r="D614" i="1"/>
  <c r="A614" i="1"/>
  <c r="H613" i="1"/>
  <c r="G613" i="1"/>
  <c r="F613" i="1"/>
  <c r="E613" i="1"/>
  <c r="D613" i="1"/>
  <c r="A613" i="1"/>
  <c r="H612" i="1"/>
  <c r="G612" i="1"/>
  <c r="F612" i="1"/>
  <c r="E612" i="1"/>
  <c r="D612" i="1"/>
  <c r="A612" i="1"/>
  <c r="H611" i="1"/>
  <c r="G611" i="1"/>
  <c r="F611" i="1"/>
  <c r="E611" i="1"/>
  <c r="D611" i="1"/>
  <c r="A611" i="1"/>
  <c r="H610" i="1"/>
  <c r="G610" i="1"/>
  <c r="F610" i="1"/>
  <c r="E610" i="1"/>
  <c r="D610" i="1"/>
  <c r="A610" i="1"/>
  <c r="H609" i="1"/>
  <c r="G609" i="1"/>
  <c r="F609" i="1"/>
  <c r="E609" i="1"/>
  <c r="D609" i="1"/>
  <c r="A609" i="1"/>
  <c r="H608" i="1"/>
  <c r="G608" i="1"/>
  <c r="F608" i="1"/>
  <c r="E608" i="1"/>
  <c r="D608" i="1"/>
  <c r="A608" i="1"/>
  <c r="H607" i="1"/>
  <c r="G607" i="1"/>
  <c r="F607" i="1"/>
  <c r="E607" i="1"/>
  <c r="D607" i="1"/>
  <c r="A607" i="1"/>
  <c r="H606" i="1"/>
  <c r="G606" i="1"/>
  <c r="F606" i="1"/>
  <c r="E606" i="1"/>
  <c r="D606" i="1"/>
  <c r="A606" i="1"/>
  <c r="H605" i="1"/>
  <c r="G605" i="1"/>
  <c r="F605" i="1"/>
  <c r="E605" i="1"/>
  <c r="D605" i="1"/>
  <c r="A605" i="1"/>
  <c r="H604" i="1"/>
  <c r="G604" i="1"/>
  <c r="F604" i="1"/>
  <c r="E604" i="1"/>
  <c r="D604" i="1"/>
  <c r="A604" i="1"/>
  <c r="H603" i="1"/>
  <c r="G603" i="1"/>
  <c r="F603" i="1"/>
  <c r="E603" i="1"/>
  <c r="D603" i="1"/>
  <c r="A603" i="1"/>
  <c r="H602" i="1"/>
  <c r="G602" i="1"/>
  <c r="F602" i="1"/>
  <c r="E602" i="1"/>
  <c r="D602" i="1"/>
  <c r="A602" i="1"/>
  <c r="H601" i="1"/>
  <c r="G601" i="1"/>
  <c r="F601" i="1"/>
  <c r="E601" i="1"/>
  <c r="D601" i="1"/>
  <c r="A601" i="1"/>
  <c r="H600" i="1"/>
  <c r="G600" i="1"/>
  <c r="F600" i="1"/>
  <c r="E600" i="1"/>
  <c r="D600" i="1"/>
  <c r="A600" i="1"/>
  <c r="H599" i="1"/>
  <c r="G599" i="1"/>
  <c r="F599" i="1"/>
  <c r="E599" i="1"/>
  <c r="D599" i="1"/>
  <c r="A599" i="1"/>
  <c r="H598" i="1"/>
  <c r="G598" i="1"/>
  <c r="F598" i="1"/>
  <c r="E598" i="1"/>
  <c r="D598" i="1"/>
  <c r="A598" i="1"/>
  <c r="H597" i="1"/>
  <c r="G597" i="1"/>
  <c r="F597" i="1"/>
  <c r="E597" i="1"/>
  <c r="D597" i="1"/>
  <c r="A597" i="1"/>
  <c r="H596" i="1"/>
  <c r="G596" i="1"/>
  <c r="F596" i="1"/>
  <c r="E596" i="1"/>
  <c r="D596" i="1"/>
  <c r="A596" i="1"/>
  <c r="H595" i="1"/>
  <c r="G595" i="1"/>
  <c r="F595" i="1"/>
  <c r="E595" i="1"/>
  <c r="D595" i="1"/>
  <c r="A595" i="1"/>
  <c r="H594" i="1"/>
  <c r="G594" i="1"/>
  <c r="F594" i="1"/>
  <c r="E594" i="1"/>
  <c r="D594" i="1"/>
  <c r="A594" i="1"/>
  <c r="H593" i="1"/>
  <c r="G593" i="1"/>
  <c r="F593" i="1"/>
  <c r="E593" i="1"/>
  <c r="D593" i="1"/>
  <c r="A593" i="1"/>
  <c r="H592" i="1"/>
  <c r="G592" i="1"/>
  <c r="F592" i="1"/>
  <c r="E592" i="1"/>
  <c r="D592" i="1"/>
  <c r="A592" i="1"/>
  <c r="H591" i="1"/>
  <c r="G591" i="1"/>
  <c r="F591" i="1"/>
  <c r="E591" i="1"/>
  <c r="D591" i="1"/>
  <c r="A591" i="1"/>
  <c r="H590" i="1"/>
  <c r="G590" i="1"/>
  <c r="F590" i="1"/>
  <c r="E590" i="1"/>
  <c r="D590" i="1"/>
  <c r="A590" i="1"/>
  <c r="H589" i="1"/>
  <c r="G589" i="1"/>
  <c r="F589" i="1"/>
  <c r="E589" i="1"/>
  <c r="D589" i="1"/>
  <c r="A589" i="1"/>
  <c r="H588" i="1"/>
  <c r="G588" i="1"/>
  <c r="F588" i="1"/>
  <c r="E588" i="1"/>
  <c r="D588" i="1"/>
  <c r="A588" i="1"/>
  <c r="H587" i="1"/>
  <c r="G587" i="1"/>
  <c r="F587" i="1"/>
  <c r="E587" i="1"/>
  <c r="D587" i="1"/>
  <c r="A587" i="1"/>
  <c r="H586" i="1"/>
  <c r="G586" i="1"/>
  <c r="F586" i="1"/>
  <c r="E586" i="1"/>
  <c r="D586" i="1"/>
  <c r="A586" i="1"/>
  <c r="H585" i="1"/>
  <c r="G585" i="1"/>
  <c r="F585" i="1"/>
  <c r="E585" i="1"/>
  <c r="D585" i="1"/>
  <c r="A585" i="1"/>
  <c r="H584" i="1"/>
  <c r="G584" i="1"/>
  <c r="F584" i="1"/>
  <c r="E584" i="1"/>
  <c r="D584" i="1"/>
  <c r="A584" i="1"/>
  <c r="H583" i="1"/>
  <c r="G583" i="1"/>
  <c r="F583" i="1"/>
  <c r="E583" i="1"/>
  <c r="D583" i="1"/>
  <c r="A583" i="1"/>
  <c r="H582" i="1"/>
  <c r="G582" i="1"/>
  <c r="F582" i="1"/>
  <c r="E582" i="1"/>
  <c r="D582" i="1"/>
  <c r="A582" i="1"/>
  <c r="H581" i="1"/>
  <c r="G581" i="1"/>
  <c r="F581" i="1"/>
  <c r="E581" i="1"/>
  <c r="D581" i="1"/>
  <c r="A581" i="1"/>
  <c r="H580" i="1"/>
  <c r="G580" i="1"/>
  <c r="F580" i="1"/>
  <c r="E580" i="1"/>
  <c r="D580" i="1"/>
  <c r="A580" i="1"/>
  <c r="H579" i="1"/>
  <c r="G579" i="1"/>
  <c r="F579" i="1"/>
  <c r="E579" i="1"/>
  <c r="D579" i="1"/>
  <c r="A579" i="1"/>
  <c r="H578" i="1"/>
  <c r="G578" i="1"/>
  <c r="F578" i="1"/>
  <c r="E578" i="1"/>
  <c r="D578" i="1"/>
  <c r="A578" i="1"/>
  <c r="H577" i="1"/>
  <c r="G577" i="1"/>
  <c r="F577" i="1"/>
  <c r="E577" i="1"/>
  <c r="D577" i="1"/>
  <c r="A577" i="1"/>
  <c r="H576" i="1"/>
  <c r="G576" i="1"/>
  <c r="F576" i="1"/>
  <c r="E576" i="1"/>
  <c r="D576" i="1"/>
  <c r="A576" i="1"/>
  <c r="H575" i="1"/>
  <c r="G575" i="1"/>
  <c r="F575" i="1"/>
  <c r="E575" i="1"/>
  <c r="D575" i="1"/>
  <c r="A575" i="1"/>
  <c r="H574" i="1"/>
  <c r="G574" i="1"/>
  <c r="F574" i="1"/>
  <c r="E574" i="1"/>
  <c r="D574" i="1"/>
  <c r="A574" i="1"/>
  <c r="H573" i="1"/>
  <c r="G573" i="1"/>
  <c r="F573" i="1"/>
  <c r="E573" i="1"/>
  <c r="D573" i="1"/>
  <c r="A573" i="1"/>
  <c r="H572" i="1"/>
  <c r="G572" i="1"/>
  <c r="F572" i="1"/>
  <c r="E572" i="1"/>
  <c r="D572" i="1"/>
  <c r="A572" i="1"/>
  <c r="H571" i="1"/>
  <c r="G571" i="1"/>
  <c r="F571" i="1"/>
  <c r="E571" i="1"/>
  <c r="D571" i="1"/>
  <c r="A571" i="1"/>
  <c r="H570" i="1"/>
  <c r="G570" i="1"/>
  <c r="F570" i="1"/>
  <c r="E570" i="1"/>
  <c r="D570" i="1"/>
  <c r="A570" i="1"/>
  <c r="H569" i="1"/>
  <c r="G569" i="1"/>
  <c r="F569" i="1"/>
  <c r="E569" i="1"/>
  <c r="D569" i="1"/>
  <c r="A569" i="1"/>
  <c r="H568" i="1"/>
  <c r="G568" i="1"/>
  <c r="F568" i="1"/>
  <c r="E568" i="1"/>
  <c r="D568" i="1"/>
  <c r="A568" i="1"/>
  <c r="H567" i="1"/>
  <c r="G567" i="1"/>
  <c r="F567" i="1"/>
  <c r="E567" i="1"/>
  <c r="D567" i="1"/>
  <c r="A567" i="1"/>
  <c r="H566" i="1"/>
  <c r="G566" i="1"/>
  <c r="F566" i="1"/>
  <c r="E566" i="1"/>
  <c r="D566" i="1"/>
  <c r="A566" i="1"/>
  <c r="H565" i="1"/>
  <c r="G565" i="1"/>
  <c r="F565" i="1"/>
  <c r="E565" i="1"/>
  <c r="D565" i="1"/>
  <c r="A565" i="1"/>
  <c r="H564" i="1"/>
  <c r="G564" i="1"/>
  <c r="F564" i="1"/>
  <c r="E564" i="1"/>
  <c r="D564" i="1"/>
  <c r="A564" i="1"/>
  <c r="H563" i="1"/>
  <c r="G563" i="1"/>
  <c r="F563" i="1"/>
  <c r="E563" i="1"/>
  <c r="D563" i="1"/>
  <c r="A563" i="1"/>
  <c r="H562" i="1"/>
  <c r="G562" i="1"/>
  <c r="F562" i="1"/>
  <c r="E562" i="1"/>
  <c r="D562" i="1"/>
  <c r="A562" i="1"/>
  <c r="H561" i="1"/>
  <c r="G561" i="1"/>
  <c r="F561" i="1"/>
  <c r="E561" i="1"/>
  <c r="D561" i="1"/>
  <c r="A561" i="1"/>
  <c r="H560" i="1"/>
  <c r="G560" i="1"/>
  <c r="F560" i="1"/>
  <c r="E560" i="1"/>
  <c r="D560" i="1"/>
  <c r="A560" i="1"/>
  <c r="H559" i="1"/>
  <c r="G559" i="1"/>
  <c r="F559" i="1"/>
  <c r="E559" i="1"/>
  <c r="D559" i="1"/>
  <c r="A559" i="1"/>
  <c r="H558" i="1"/>
  <c r="G558" i="1"/>
  <c r="F558" i="1"/>
  <c r="E558" i="1"/>
  <c r="D558" i="1"/>
  <c r="A558" i="1"/>
  <c r="H557" i="1"/>
  <c r="G557" i="1"/>
  <c r="F557" i="1"/>
  <c r="E557" i="1"/>
  <c r="D557" i="1"/>
  <c r="A557" i="1"/>
  <c r="H556" i="1"/>
  <c r="G556" i="1"/>
  <c r="F556" i="1"/>
  <c r="E556" i="1"/>
  <c r="D556" i="1"/>
  <c r="A556" i="1"/>
  <c r="H555" i="1"/>
  <c r="G555" i="1"/>
  <c r="F555" i="1"/>
  <c r="E555" i="1"/>
  <c r="D555" i="1"/>
  <c r="A555" i="1"/>
  <c r="H554" i="1"/>
  <c r="G554" i="1"/>
  <c r="F554" i="1"/>
  <c r="E554" i="1"/>
  <c r="D554" i="1"/>
  <c r="A554" i="1"/>
  <c r="H553" i="1"/>
  <c r="G553" i="1"/>
  <c r="F553" i="1"/>
  <c r="E553" i="1"/>
  <c r="D553" i="1"/>
  <c r="A553" i="1"/>
  <c r="H552" i="1"/>
  <c r="G552" i="1"/>
  <c r="F552" i="1"/>
  <c r="E552" i="1"/>
  <c r="D552" i="1"/>
  <c r="A552" i="1"/>
  <c r="H551" i="1"/>
  <c r="G551" i="1"/>
  <c r="F551" i="1"/>
  <c r="E551" i="1"/>
  <c r="D551" i="1"/>
  <c r="A551" i="1"/>
  <c r="H550" i="1"/>
  <c r="G550" i="1"/>
  <c r="F550" i="1"/>
  <c r="E550" i="1"/>
  <c r="D550" i="1"/>
  <c r="A550" i="1"/>
  <c r="H549" i="1"/>
  <c r="G549" i="1"/>
  <c r="F549" i="1"/>
  <c r="E549" i="1"/>
  <c r="D549" i="1"/>
  <c r="A549" i="1"/>
  <c r="H548" i="1"/>
  <c r="G548" i="1"/>
  <c r="F548" i="1"/>
  <c r="E548" i="1"/>
  <c r="D548" i="1"/>
  <c r="A548" i="1"/>
  <c r="H547" i="1"/>
  <c r="G547" i="1"/>
  <c r="F547" i="1"/>
  <c r="E547" i="1"/>
  <c r="D547" i="1"/>
  <c r="A547" i="1"/>
  <c r="H546" i="1"/>
  <c r="G546" i="1"/>
  <c r="F546" i="1"/>
  <c r="E546" i="1"/>
  <c r="D546" i="1"/>
  <c r="A546" i="1"/>
  <c r="H545" i="1"/>
  <c r="G545" i="1"/>
  <c r="F545" i="1"/>
  <c r="E545" i="1"/>
  <c r="D545" i="1"/>
  <c r="A545" i="1"/>
  <c r="H544" i="1"/>
  <c r="G544" i="1"/>
  <c r="F544" i="1"/>
  <c r="E544" i="1"/>
  <c r="D544" i="1"/>
  <c r="A544" i="1"/>
  <c r="H543" i="1"/>
  <c r="G543" i="1"/>
  <c r="F543" i="1"/>
  <c r="E543" i="1"/>
  <c r="D543" i="1"/>
  <c r="A543" i="1"/>
  <c r="H542" i="1"/>
  <c r="G542" i="1"/>
  <c r="F542" i="1"/>
  <c r="E542" i="1"/>
  <c r="D542" i="1"/>
  <c r="A542" i="1"/>
  <c r="H541" i="1"/>
  <c r="G541" i="1"/>
  <c r="F541" i="1"/>
  <c r="E541" i="1"/>
  <c r="D541" i="1"/>
  <c r="A541" i="1"/>
  <c r="H540" i="1"/>
  <c r="G540" i="1"/>
  <c r="F540" i="1"/>
  <c r="E540" i="1"/>
  <c r="D540" i="1"/>
  <c r="A540" i="1"/>
  <c r="H539" i="1"/>
  <c r="G539" i="1"/>
  <c r="F539" i="1"/>
  <c r="E539" i="1"/>
  <c r="D539" i="1"/>
  <c r="A539" i="1"/>
  <c r="H538" i="1"/>
  <c r="G538" i="1"/>
  <c r="F538" i="1"/>
  <c r="E538" i="1"/>
  <c r="D538" i="1"/>
  <c r="A538" i="1"/>
  <c r="H537" i="1"/>
  <c r="G537" i="1"/>
  <c r="F537" i="1"/>
  <c r="E537" i="1"/>
  <c r="D537" i="1"/>
  <c r="A537" i="1"/>
  <c r="H536" i="1"/>
  <c r="G536" i="1"/>
  <c r="F536" i="1"/>
  <c r="E536" i="1"/>
  <c r="D536" i="1"/>
  <c r="A536" i="1"/>
  <c r="H535" i="1"/>
  <c r="G535" i="1"/>
  <c r="F535" i="1"/>
  <c r="E535" i="1"/>
  <c r="D535" i="1"/>
  <c r="A535" i="1"/>
  <c r="H534" i="1"/>
  <c r="G534" i="1"/>
  <c r="F534" i="1"/>
  <c r="E534" i="1"/>
  <c r="D534" i="1"/>
  <c r="A534" i="1"/>
  <c r="H533" i="1"/>
  <c r="G533" i="1"/>
  <c r="F533" i="1"/>
  <c r="E533" i="1"/>
  <c r="D533" i="1"/>
  <c r="A533" i="1"/>
  <c r="H532" i="1"/>
  <c r="G532" i="1"/>
  <c r="F532" i="1"/>
  <c r="E532" i="1"/>
  <c r="D532" i="1"/>
  <c r="A532" i="1"/>
  <c r="H531" i="1"/>
  <c r="G531" i="1"/>
  <c r="F531" i="1"/>
  <c r="E531" i="1"/>
  <c r="D531" i="1"/>
  <c r="A531" i="1"/>
  <c r="H530" i="1"/>
  <c r="G530" i="1"/>
  <c r="F530" i="1"/>
  <c r="E530" i="1"/>
  <c r="D530" i="1"/>
  <c r="A530" i="1"/>
  <c r="H529" i="1"/>
  <c r="G529" i="1"/>
  <c r="F529" i="1"/>
  <c r="E529" i="1"/>
  <c r="D529" i="1"/>
  <c r="A529" i="1"/>
  <c r="H528" i="1"/>
  <c r="G528" i="1"/>
  <c r="F528" i="1"/>
  <c r="E528" i="1"/>
  <c r="D528" i="1"/>
  <c r="A528" i="1"/>
  <c r="H527" i="1"/>
  <c r="G527" i="1"/>
  <c r="F527" i="1"/>
  <c r="E527" i="1"/>
  <c r="D527" i="1"/>
  <c r="A527" i="1"/>
  <c r="H526" i="1"/>
  <c r="G526" i="1"/>
  <c r="F526" i="1"/>
  <c r="E526" i="1"/>
  <c r="D526" i="1"/>
  <c r="A526" i="1"/>
  <c r="H525" i="1"/>
  <c r="G525" i="1"/>
  <c r="F525" i="1"/>
  <c r="E525" i="1"/>
  <c r="D525" i="1"/>
  <c r="A525" i="1"/>
  <c r="H524" i="1"/>
  <c r="G524" i="1"/>
  <c r="F524" i="1"/>
  <c r="E524" i="1"/>
  <c r="D524" i="1"/>
  <c r="A524" i="1"/>
  <c r="H523" i="1"/>
  <c r="G523" i="1"/>
  <c r="F523" i="1"/>
  <c r="E523" i="1"/>
  <c r="D523" i="1"/>
  <c r="A523" i="1"/>
  <c r="H522" i="1"/>
  <c r="G522" i="1"/>
  <c r="F522" i="1"/>
  <c r="E522" i="1"/>
  <c r="D522" i="1"/>
  <c r="A522" i="1"/>
  <c r="H521" i="1"/>
  <c r="G521" i="1"/>
  <c r="F521" i="1"/>
  <c r="E521" i="1"/>
  <c r="D521" i="1"/>
  <c r="A521" i="1"/>
  <c r="H520" i="1"/>
  <c r="G520" i="1"/>
  <c r="F520" i="1"/>
  <c r="E520" i="1"/>
  <c r="D520" i="1"/>
  <c r="A520" i="1"/>
  <c r="H519" i="1"/>
  <c r="G519" i="1"/>
  <c r="F519" i="1"/>
  <c r="E519" i="1"/>
  <c r="D519" i="1"/>
  <c r="A519" i="1"/>
  <c r="H518" i="1"/>
  <c r="G518" i="1"/>
  <c r="F518" i="1"/>
  <c r="E518" i="1"/>
  <c r="D518" i="1"/>
  <c r="A518" i="1"/>
  <c r="H517" i="1"/>
  <c r="G517" i="1"/>
  <c r="F517" i="1"/>
  <c r="E517" i="1"/>
  <c r="D517" i="1"/>
  <c r="A517" i="1"/>
  <c r="H516" i="1"/>
  <c r="G516" i="1"/>
  <c r="F516" i="1"/>
  <c r="E516" i="1"/>
  <c r="D516" i="1"/>
  <c r="A516" i="1"/>
  <c r="H515" i="1"/>
  <c r="G515" i="1"/>
  <c r="F515" i="1"/>
  <c r="E515" i="1"/>
  <c r="D515" i="1"/>
  <c r="A515" i="1"/>
  <c r="H514" i="1"/>
  <c r="G514" i="1"/>
  <c r="F514" i="1"/>
  <c r="E514" i="1"/>
  <c r="D514" i="1"/>
  <c r="A514" i="1"/>
  <c r="H513" i="1"/>
  <c r="G513" i="1"/>
  <c r="F513" i="1"/>
  <c r="E513" i="1"/>
  <c r="D513" i="1"/>
  <c r="A513" i="1"/>
  <c r="H512" i="1"/>
  <c r="G512" i="1"/>
  <c r="F512" i="1"/>
  <c r="E512" i="1"/>
  <c r="D512" i="1"/>
  <c r="A512" i="1"/>
  <c r="H511" i="1"/>
  <c r="G511" i="1"/>
  <c r="F511" i="1"/>
  <c r="E511" i="1"/>
  <c r="D511" i="1"/>
  <c r="A511" i="1"/>
  <c r="H510" i="1"/>
  <c r="G510" i="1"/>
  <c r="F510" i="1"/>
  <c r="E510" i="1"/>
  <c r="D510" i="1"/>
  <c r="A510" i="1"/>
  <c r="H509" i="1"/>
  <c r="G509" i="1"/>
  <c r="F509" i="1"/>
  <c r="E509" i="1"/>
  <c r="D509" i="1"/>
  <c r="A509" i="1"/>
  <c r="H508" i="1"/>
  <c r="G508" i="1"/>
  <c r="F508" i="1"/>
  <c r="E508" i="1"/>
  <c r="D508" i="1"/>
  <c r="A508" i="1"/>
  <c r="H507" i="1"/>
  <c r="G507" i="1"/>
  <c r="F507" i="1"/>
  <c r="E507" i="1"/>
  <c r="D507" i="1"/>
  <c r="A507" i="1"/>
  <c r="H506" i="1"/>
  <c r="G506" i="1"/>
  <c r="F506" i="1"/>
  <c r="E506" i="1"/>
  <c r="D506" i="1"/>
  <c r="A506" i="1"/>
  <c r="H505" i="1"/>
  <c r="G505" i="1"/>
  <c r="F505" i="1"/>
  <c r="E505" i="1"/>
  <c r="D505" i="1"/>
  <c r="A505" i="1"/>
  <c r="H504" i="1"/>
  <c r="G504" i="1"/>
  <c r="F504" i="1"/>
  <c r="E504" i="1"/>
  <c r="D504" i="1"/>
  <c r="A504" i="1"/>
  <c r="H503" i="1"/>
  <c r="G503" i="1"/>
  <c r="F503" i="1"/>
  <c r="E503" i="1"/>
  <c r="D503" i="1"/>
  <c r="A503" i="1"/>
  <c r="H502" i="1"/>
  <c r="G502" i="1"/>
  <c r="F502" i="1"/>
  <c r="E502" i="1"/>
  <c r="D502" i="1"/>
  <c r="A502" i="1"/>
  <c r="H501" i="1"/>
  <c r="G501" i="1"/>
  <c r="F501" i="1"/>
  <c r="E501" i="1"/>
  <c r="D501" i="1"/>
  <c r="A501" i="1"/>
  <c r="H500" i="1"/>
  <c r="G500" i="1"/>
  <c r="F500" i="1"/>
  <c r="E500" i="1"/>
  <c r="D500" i="1"/>
  <c r="A500" i="1"/>
  <c r="H499" i="1"/>
  <c r="G499" i="1"/>
  <c r="F499" i="1"/>
  <c r="E499" i="1"/>
  <c r="D499" i="1"/>
  <c r="A499" i="1"/>
  <c r="H498" i="1"/>
  <c r="G498" i="1"/>
  <c r="F498" i="1"/>
  <c r="E498" i="1"/>
  <c r="D498" i="1"/>
  <c r="A498" i="1"/>
  <c r="H497" i="1"/>
  <c r="G497" i="1"/>
  <c r="F497" i="1"/>
  <c r="E497" i="1"/>
  <c r="D497" i="1"/>
  <c r="A497" i="1"/>
  <c r="H496" i="1"/>
  <c r="G496" i="1"/>
  <c r="F496" i="1"/>
  <c r="E496" i="1"/>
  <c r="D496" i="1"/>
  <c r="A496" i="1"/>
  <c r="H495" i="1"/>
  <c r="G495" i="1"/>
  <c r="F495" i="1"/>
  <c r="E495" i="1"/>
  <c r="D495" i="1"/>
  <c r="A495" i="1"/>
  <c r="H494" i="1"/>
  <c r="G494" i="1"/>
  <c r="F494" i="1"/>
  <c r="E494" i="1"/>
  <c r="D494" i="1"/>
  <c r="A494" i="1"/>
  <c r="H493" i="1"/>
  <c r="G493" i="1"/>
  <c r="F493" i="1"/>
  <c r="E493" i="1"/>
  <c r="D493" i="1"/>
  <c r="A493" i="1"/>
  <c r="H492" i="1"/>
  <c r="G492" i="1"/>
  <c r="F492" i="1"/>
  <c r="E492" i="1"/>
  <c r="D492" i="1"/>
  <c r="A492" i="1"/>
  <c r="H491" i="1"/>
  <c r="G491" i="1"/>
  <c r="F491" i="1"/>
  <c r="E491" i="1"/>
  <c r="D491" i="1"/>
  <c r="A491" i="1"/>
  <c r="H490" i="1"/>
  <c r="G490" i="1"/>
  <c r="F490" i="1"/>
  <c r="E490" i="1"/>
  <c r="D490" i="1"/>
  <c r="A490" i="1"/>
  <c r="H489" i="1"/>
  <c r="G489" i="1"/>
  <c r="F489" i="1"/>
  <c r="E489" i="1"/>
  <c r="D489" i="1"/>
  <c r="A489" i="1"/>
  <c r="H488" i="1"/>
  <c r="G488" i="1"/>
  <c r="F488" i="1"/>
  <c r="E488" i="1"/>
  <c r="D488" i="1"/>
  <c r="A488" i="1"/>
  <c r="H487" i="1"/>
  <c r="G487" i="1"/>
  <c r="F487" i="1"/>
  <c r="E487" i="1"/>
  <c r="D487" i="1"/>
  <c r="A487" i="1"/>
  <c r="H486" i="1"/>
  <c r="G486" i="1"/>
  <c r="F486" i="1"/>
  <c r="E486" i="1"/>
  <c r="D486" i="1"/>
  <c r="A486" i="1"/>
  <c r="H485" i="1"/>
  <c r="G485" i="1"/>
  <c r="F485" i="1"/>
  <c r="E485" i="1"/>
  <c r="D485" i="1"/>
  <c r="A485" i="1"/>
  <c r="H484" i="1"/>
  <c r="G484" i="1"/>
  <c r="F484" i="1"/>
  <c r="E484" i="1"/>
  <c r="D484" i="1"/>
  <c r="A484" i="1"/>
  <c r="H483" i="1"/>
  <c r="G483" i="1"/>
  <c r="F483" i="1"/>
  <c r="E483" i="1"/>
  <c r="D483" i="1"/>
  <c r="A483" i="1"/>
  <c r="H482" i="1"/>
  <c r="G482" i="1"/>
  <c r="F482" i="1"/>
  <c r="E482" i="1"/>
  <c r="D482" i="1"/>
  <c r="A482" i="1"/>
  <c r="H481" i="1"/>
  <c r="G481" i="1"/>
  <c r="F481" i="1"/>
  <c r="E481" i="1"/>
  <c r="D481" i="1"/>
  <c r="A481" i="1"/>
  <c r="H480" i="1"/>
  <c r="G480" i="1"/>
  <c r="F480" i="1"/>
  <c r="E480" i="1"/>
  <c r="D480" i="1"/>
  <c r="A480" i="1"/>
  <c r="H479" i="1"/>
  <c r="G479" i="1"/>
  <c r="F479" i="1"/>
  <c r="E479" i="1"/>
  <c r="D479" i="1"/>
  <c r="A479" i="1"/>
  <c r="H478" i="1"/>
  <c r="G478" i="1"/>
  <c r="F478" i="1"/>
  <c r="E478" i="1"/>
  <c r="D478" i="1"/>
  <c r="A478" i="1"/>
  <c r="H477" i="1"/>
  <c r="G477" i="1"/>
  <c r="F477" i="1"/>
  <c r="E477" i="1"/>
  <c r="D477" i="1"/>
  <c r="A477" i="1"/>
  <c r="H476" i="1"/>
  <c r="G476" i="1"/>
  <c r="F476" i="1"/>
  <c r="E476" i="1"/>
  <c r="D476" i="1"/>
  <c r="A476" i="1"/>
  <c r="H475" i="1"/>
  <c r="G475" i="1"/>
  <c r="F475" i="1"/>
  <c r="E475" i="1"/>
  <c r="D475" i="1"/>
  <c r="A475" i="1"/>
  <c r="H474" i="1"/>
  <c r="G474" i="1"/>
  <c r="F474" i="1"/>
  <c r="E474" i="1"/>
  <c r="D474" i="1"/>
  <c r="A474" i="1"/>
  <c r="H473" i="1"/>
  <c r="G473" i="1"/>
  <c r="F473" i="1"/>
  <c r="E473" i="1"/>
  <c r="D473" i="1"/>
  <c r="A473" i="1"/>
  <c r="H472" i="1"/>
  <c r="G472" i="1"/>
  <c r="F472" i="1"/>
  <c r="E472" i="1"/>
  <c r="D472" i="1"/>
  <c r="A472" i="1"/>
  <c r="H471" i="1"/>
  <c r="G471" i="1"/>
  <c r="F471" i="1"/>
  <c r="E471" i="1"/>
  <c r="D471" i="1"/>
  <c r="A471" i="1"/>
  <c r="H470" i="1"/>
  <c r="G470" i="1"/>
  <c r="F470" i="1"/>
  <c r="E470" i="1"/>
  <c r="D470" i="1"/>
  <c r="A470" i="1"/>
  <c r="H469" i="1"/>
  <c r="G469" i="1"/>
  <c r="F469" i="1"/>
  <c r="E469" i="1"/>
  <c r="D469" i="1"/>
  <c r="A469" i="1"/>
  <c r="H468" i="1"/>
  <c r="G468" i="1"/>
  <c r="F468" i="1"/>
  <c r="E468" i="1"/>
  <c r="D468" i="1"/>
  <c r="A468" i="1"/>
  <c r="H467" i="1"/>
  <c r="G467" i="1"/>
  <c r="F467" i="1"/>
  <c r="E467" i="1"/>
  <c r="D467" i="1"/>
  <c r="A467" i="1"/>
  <c r="H466" i="1"/>
  <c r="G466" i="1"/>
  <c r="F466" i="1"/>
  <c r="E466" i="1"/>
  <c r="D466" i="1"/>
  <c r="A466" i="1"/>
  <c r="H465" i="1"/>
  <c r="G465" i="1"/>
  <c r="F465" i="1"/>
  <c r="E465" i="1"/>
  <c r="D465" i="1"/>
  <c r="A465" i="1"/>
  <c r="H464" i="1"/>
  <c r="G464" i="1"/>
  <c r="F464" i="1"/>
  <c r="E464" i="1"/>
  <c r="D464" i="1"/>
  <c r="A464" i="1"/>
  <c r="H463" i="1"/>
  <c r="G463" i="1"/>
  <c r="F463" i="1"/>
  <c r="E463" i="1"/>
  <c r="D463" i="1"/>
  <c r="A463" i="1"/>
  <c r="H462" i="1"/>
  <c r="G462" i="1"/>
  <c r="F462" i="1"/>
  <c r="E462" i="1"/>
  <c r="D462" i="1"/>
  <c r="A462" i="1"/>
  <c r="H461" i="1"/>
  <c r="G461" i="1"/>
  <c r="F461" i="1"/>
  <c r="E461" i="1"/>
  <c r="D461" i="1"/>
  <c r="A461" i="1"/>
  <c r="H460" i="1"/>
  <c r="G460" i="1"/>
  <c r="F460" i="1"/>
  <c r="E460" i="1"/>
  <c r="D460" i="1"/>
  <c r="A460" i="1"/>
  <c r="H459" i="1"/>
  <c r="G459" i="1"/>
  <c r="F459" i="1"/>
  <c r="E459" i="1"/>
  <c r="D459" i="1"/>
  <c r="A459" i="1"/>
  <c r="H458" i="1"/>
  <c r="G458" i="1"/>
  <c r="F458" i="1"/>
  <c r="E458" i="1"/>
  <c r="D458" i="1"/>
  <c r="A458" i="1"/>
  <c r="H457" i="1"/>
  <c r="G457" i="1"/>
  <c r="F457" i="1"/>
  <c r="E457" i="1"/>
  <c r="D457" i="1"/>
  <c r="A457" i="1"/>
  <c r="H456" i="1"/>
  <c r="G456" i="1"/>
  <c r="F456" i="1"/>
  <c r="E456" i="1"/>
  <c r="D456" i="1"/>
  <c r="A456" i="1"/>
  <c r="H455" i="1"/>
  <c r="G455" i="1"/>
  <c r="F455" i="1"/>
  <c r="E455" i="1"/>
  <c r="D455" i="1"/>
  <c r="A455" i="1"/>
  <c r="H454" i="1"/>
  <c r="G454" i="1"/>
  <c r="F454" i="1"/>
  <c r="E454" i="1"/>
  <c r="D454" i="1"/>
  <c r="A454" i="1"/>
  <c r="H453" i="1"/>
  <c r="G453" i="1"/>
  <c r="F453" i="1"/>
  <c r="E453" i="1"/>
  <c r="D453" i="1"/>
  <c r="A453" i="1"/>
  <c r="H452" i="1"/>
  <c r="G452" i="1"/>
  <c r="F452" i="1"/>
  <c r="E452" i="1"/>
  <c r="D452" i="1"/>
  <c r="A452" i="1"/>
  <c r="H451" i="1"/>
  <c r="G451" i="1"/>
  <c r="F451" i="1"/>
  <c r="E451" i="1"/>
  <c r="D451" i="1"/>
  <c r="A451" i="1"/>
  <c r="H450" i="1"/>
  <c r="G450" i="1"/>
  <c r="F450" i="1"/>
  <c r="E450" i="1"/>
  <c r="D450" i="1"/>
  <c r="A450" i="1"/>
  <c r="H449" i="1"/>
  <c r="G449" i="1"/>
  <c r="F449" i="1"/>
  <c r="E449" i="1"/>
  <c r="D449" i="1"/>
  <c r="A449" i="1"/>
  <c r="H448" i="1"/>
  <c r="G448" i="1"/>
  <c r="F448" i="1"/>
  <c r="E448" i="1"/>
  <c r="D448" i="1"/>
  <c r="A448" i="1"/>
  <c r="H447" i="1"/>
  <c r="G447" i="1"/>
  <c r="F447" i="1"/>
  <c r="E447" i="1"/>
  <c r="D447" i="1"/>
  <c r="A447" i="1"/>
  <c r="H446" i="1"/>
  <c r="G446" i="1"/>
  <c r="F446" i="1"/>
  <c r="E446" i="1"/>
  <c r="D446" i="1"/>
  <c r="A446" i="1"/>
  <c r="H445" i="1"/>
  <c r="G445" i="1"/>
  <c r="F445" i="1"/>
  <c r="E445" i="1"/>
  <c r="D445" i="1"/>
  <c r="A445" i="1"/>
  <c r="H444" i="1"/>
  <c r="G444" i="1"/>
  <c r="F444" i="1"/>
  <c r="E444" i="1"/>
  <c r="D444" i="1"/>
  <c r="A444" i="1"/>
  <c r="H443" i="1"/>
  <c r="G443" i="1"/>
  <c r="F443" i="1"/>
  <c r="E443" i="1"/>
  <c r="D443" i="1"/>
  <c r="A443" i="1"/>
  <c r="H442" i="1"/>
  <c r="G442" i="1"/>
  <c r="F442" i="1"/>
  <c r="E442" i="1"/>
  <c r="D442" i="1"/>
  <c r="A442" i="1"/>
  <c r="H441" i="1"/>
  <c r="G441" i="1"/>
  <c r="F441" i="1"/>
  <c r="E441" i="1"/>
  <c r="D441" i="1"/>
  <c r="A441" i="1"/>
  <c r="H440" i="1"/>
  <c r="G440" i="1"/>
  <c r="F440" i="1"/>
  <c r="E440" i="1"/>
  <c r="D440" i="1"/>
  <c r="A440" i="1"/>
  <c r="H439" i="1"/>
  <c r="G439" i="1"/>
  <c r="F439" i="1"/>
  <c r="E439" i="1"/>
  <c r="D439" i="1"/>
  <c r="A439" i="1"/>
  <c r="H438" i="1"/>
  <c r="G438" i="1"/>
  <c r="F438" i="1"/>
  <c r="E438" i="1"/>
  <c r="D438" i="1"/>
  <c r="A438" i="1"/>
  <c r="H437" i="1"/>
  <c r="G437" i="1"/>
  <c r="F437" i="1"/>
  <c r="E437" i="1"/>
  <c r="D437" i="1"/>
  <c r="A437" i="1"/>
  <c r="H436" i="1"/>
  <c r="G436" i="1"/>
  <c r="F436" i="1"/>
  <c r="E436" i="1"/>
  <c r="D436" i="1"/>
  <c r="A436" i="1"/>
  <c r="H435" i="1"/>
  <c r="G435" i="1"/>
  <c r="F435" i="1"/>
  <c r="E435" i="1"/>
  <c r="D435" i="1"/>
  <c r="A435" i="1"/>
  <c r="H434" i="1"/>
  <c r="G434" i="1"/>
  <c r="F434" i="1"/>
  <c r="E434" i="1"/>
  <c r="D434" i="1"/>
  <c r="A434" i="1"/>
  <c r="H433" i="1"/>
  <c r="G433" i="1"/>
  <c r="F433" i="1"/>
  <c r="E433" i="1"/>
  <c r="D433" i="1"/>
  <c r="A433" i="1"/>
  <c r="H432" i="1"/>
  <c r="G432" i="1"/>
  <c r="F432" i="1"/>
  <c r="E432" i="1"/>
  <c r="D432" i="1"/>
  <c r="A432" i="1"/>
  <c r="H431" i="1"/>
  <c r="G431" i="1"/>
  <c r="F431" i="1"/>
  <c r="E431" i="1"/>
  <c r="D431" i="1"/>
  <c r="A431" i="1"/>
  <c r="H430" i="1"/>
  <c r="G430" i="1"/>
  <c r="F430" i="1"/>
  <c r="E430" i="1"/>
  <c r="D430" i="1"/>
  <c r="A430" i="1"/>
  <c r="H429" i="1"/>
  <c r="G429" i="1"/>
  <c r="F429" i="1"/>
  <c r="E429" i="1"/>
  <c r="D429" i="1"/>
  <c r="A429" i="1"/>
  <c r="H428" i="1"/>
  <c r="G428" i="1"/>
  <c r="F428" i="1"/>
  <c r="E428" i="1"/>
  <c r="D428" i="1"/>
  <c r="A428" i="1"/>
  <c r="H427" i="1"/>
  <c r="G427" i="1"/>
  <c r="F427" i="1"/>
  <c r="E427" i="1"/>
  <c r="D427" i="1"/>
  <c r="A427" i="1"/>
  <c r="H426" i="1"/>
  <c r="G426" i="1"/>
  <c r="F426" i="1"/>
  <c r="E426" i="1"/>
  <c r="D426" i="1"/>
  <c r="A426" i="1"/>
  <c r="H425" i="1"/>
  <c r="G425" i="1"/>
  <c r="F425" i="1"/>
  <c r="E425" i="1"/>
  <c r="D425" i="1"/>
  <c r="A425" i="1"/>
  <c r="H424" i="1"/>
  <c r="G424" i="1"/>
  <c r="F424" i="1"/>
  <c r="E424" i="1"/>
  <c r="D424" i="1"/>
  <c r="A424" i="1"/>
  <c r="H423" i="1"/>
  <c r="G423" i="1"/>
  <c r="F423" i="1"/>
  <c r="E423" i="1"/>
  <c r="D423" i="1"/>
  <c r="A423" i="1"/>
  <c r="H422" i="1"/>
  <c r="G422" i="1"/>
  <c r="F422" i="1"/>
  <c r="E422" i="1"/>
  <c r="D422" i="1"/>
  <c r="A422" i="1"/>
  <c r="H421" i="1"/>
  <c r="G421" i="1"/>
  <c r="F421" i="1"/>
  <c r="E421" i="1"/>
  <c r="D421" i="1"/>
  <c r="A421" i="1"/>
  <c r="H420" i="1"/>
  <c r="G420" i="1"/>
  <c r="F420" i="1"/>
  <c r="E420" i="1"/>
  <c r="D420" i="1"/>
  <c r="A420" i="1"/>
  <c r="H419" i="1"/>
  <c r="G419" i="1"/>
  <c r="F419" i="1"/>
  <c r="E419" i="1"/>
  <c r="D419" i="1"/>
  <c r="A419" i="1"/>
  <c r="H418" i="1"/>
  <c r="G418" i="1"/>
  <c r="F418" i="1"/>
  <c r="E418" i="1"/>
  <c r="D418" i="1"/>
  <c r="A418" i="1"/>
  <c r="H417" i="1"/>
  <c r="G417" i="1"/>
  <c r="F417" i="1"/>
  <c r="E417" i="1"/>
  <c r="D417" i="1"/>
  <c r="A417" i="1"/>
  <c r="H416" i="1"/>
  <c r="G416" i="1"/>
  <c r="F416" i="1"/>
  <c r="E416" i="1"/>
  <c r="D416" i="1"/>
  <c r="A416" i="1"/>
  <c r="H415" i="1"/>
  <c r="G415" i="1"/>
  <c r="F415" i="1"/>
  <c r="E415" i="1"/>
  <c r="D415" i="1"/>
  <c r="A415" i="1"/>
  <c r="H414" i="1"/>
  <c r="G414" i="1"/>
  <c r="F414" i="1"/>
  <c r="E414" i="1"/>
  <c r="D414" i="1"/>
  <c r="A414" i="1"/>
  <c r="H413" i="1"/>
  <c r="G413" i="1"/>
  <c r="F413" i="1"/>
  <c r="E413" i="1"/>
  <c r="D413" i="1"/>
  <c r="A413" i="1"/>
  <c r="H412" i="1"/>
  <c r="G412" i="1"/>
  <c r="F412" i="1"/>
  <c r="E412" i="1"/>
  <c r="D412" i="1"/>
  <c r="A412" i="1"/>
  <c r="H411" i="1"/>
  <c r="G411" i="1"/>
  <c r="F411" i="1"/>
  <c r="E411" i="1"/>
  <c r="D411" i="1"/>
  <c r="A411" i="1"/>
  <c r="H410" i="1"/>
  <c r="G410" i="1"/>
  <c r="F410" i="1"/>
  <c r="E410" i="1"/>
  <c r="D410" i="1"/>
  <c r="A410" i="1"/>
  <c r="H409" i="1"/>
  <c r="G409" i="1"/>
  <c r="F409" i="1"/>
  <c r="E409" i="1"/>
  <c r="D409" i="1"/>
  <c r="A409" i="1"/>
  <c r="H408" i="1"/>
  <c r="G408" i="1"/>
  <c r="F408" i="1"/>
  <c r="E408" i="1"/>
  <c r="D408" i="1"/>
  <c r="A408" i="1"/>
  <c r="H407" i="1"/>
  <c r="G407" i="1"/>
  <c r="F407" i="1"/>
  <c r="E407" i="1"/>
  <c r="D407" i="1"/>
  <c r="A407" i="1"/>
  <c r="H406" i="1"/>
  <c r="G406" i="1"/>
  <c r="F406" i="1"/>
  <c r="E406" i="1"/>
  <c r="D406" i="1"/>
  <c r="A406" i="1"/>
  <c r="H405" i="1"/>
  <c r="G405" i="1"/>
  <c r="F405" i="1"/>
  <c r="E405" i="1"/>
  <c r="D405" i="1"/>
  <c r="A405" i="1"/>
  <c r="H404" i="1"/>
  <c r="G404" i="1"/>
  <c r="F404" i="1"/>
  <c r="E404" i="1"/>
  <c r="D404" i="1"/>
  <c r="A404" i="1"/>
  <c r="H403" i="1"/>
  <c r="G403" i="1"/>
  <c r="F403" i="1"/>
  <c r="E403" i="1"/>
  <c r="D403" i="1"/>
  <c r="A403" i="1"/>
  <c r="H402" i="1"/>
  <c r="G402" i="1"/>
  <c r="F402" i="1"/>
  <c r="E402" i="1"/>
  <c r="D402" i="1"/>
  <c r="A402" i="1"/>
  <c r="H401" i="1"/>
  <c r="G401" i="1"/>
  <c r="F401" i="1"/>
  <c r="E401" i="1"/>
  <c r="D401" i="1"/>
  <c r="A401" i="1"/>
  <c r="H400" i="1"/>
  <c r="G400" i="1"/>
  <c r="F400" i="1"/>
  <c r="E400" i="1"/>
  <c r="D400" i="1"/>
  <c r="A400" i="1"/>
  <c r="H399" i="1"/>
  <c r="G399" i="1"/>
  <c r="F399" i="1"/>
  <c r="E399" i="1"/>
  <c r="D399" i="1"/>
  <c r="A399" i="1"/>
  <c r="H398" i="1"/>
  <c r="G398" i="1"/>
  <c r="F398" i="1"/>
  <c r="E398" i="1"/>
  <c r="D398" i="1"/>
  <c r="A398" i="1"/>
  <c r="H397" i="1"/>
  <c r="G397" i="1"/>
  <c r="F397" i="1"/>
  <c r="E397" i="1"/>
  <c r="D397" i="1"/>
  <c r="A397" i="1"/>
  <c r="H396" i="1"/>
  <c r="G396" i="1"/>
  <c r="F396" i="1"/>
  <c r="E396" i="1"/>
  <c r="D396" i="1"/>
  <c r="A396" i="1"/>
  <c r="H395" i="1"/>
  <c r="G395" i="1"/>
  <c r="F395" i="1"/>
  <c r="E395" i="1"/>
  <c r="D395" i="1"/>
  <c r="A395" i="1"/>
  <c r="H394" i="1"/>
  <c r="G394" i="1"/>
  <c r="F394" i="1"/>
  <c r="E394" i="1"/>
  <c r="D394" i="1"/>
  <c r="A394" i="1"/>
  <c r="H393" i="1"/>
  <c r="G393" i="1"/>
  <c r="F393" i="1"/>
  <c r="E393" i="1"/>
  <c r="D393" i="1"/>
  <c r="A393" i="1"/>
  <c r="H392" i="1"/>
  <c r="G392" i="1"/>
  <c r="F392" i="1"/>
  <c r="E392" i="1"/>
  <c r="D392" i="1"/>
  <c r="A392" i="1"/>
  <c r="H391" i="1"/>
  <c r="G391" i="1"/>
  <c r="F391" i="1"/>
  <c r="E391" i="1"/>
  <c r="D391" i="1"/>
  <c r="A391" i="1"/>
  <c r="H390" i="1"/>
  <c r="G390" i="1"/>
  <c r="F390" i="1"/>
  <c r="E390" i="1"/>
  <c r="D390" i="1"/>
  <c r="A390" i="1"/>
  <c r="H389" i="1"/>
  <c r="G389" i="1"/>
  <c r="F389" i="1"/>
  <c r="E389" i="1"/>
  <c r="D389" i="1"/>
  <c r="A389" i="1"/>
  <c r="H388" i="1"/>
  <c r="G388" i="1"/>
  <c r="F388" i="1"/>
  <c r="E388" i="1"/>
  <c r="D388" i="1"/>
  <c r="A388" i="1"/>
  <c r="H387" i="1"/>
  <c r="G387" i="1"/>
  <c r="F387" i="1"/>
  <c r="E387" i="1"/>
  <c r="D387" i="1"/>
  <c r="A387" i="1"/>
  <c r="H386" i="1"/>
  <c r="G386" i="1"/>
  <c r="F386" i="1"/>
  <c r="E386" i="1"/>
  <c r="D386" i="1"/>
  <c r="A386" i="1"/>
  <c r="H385" i="1"/>
  <c r="G385" i="1"/>
  <c r="F385" i="1"/>
  <c r="E385" i="1"/>
  <c r="D385" i="1"/>
  <c r="A385" i="1"/>
  <c r="H384" i="1"/>
  <c r="G384" i="1"/>
  <c r="F384" i="1"/>
  <c r="E384" i="1"/>
  <c r="D384" i="1"/>
  <c r="A384" i="1"/>
  <c r="H383" i="1"/>
  <c r="G383" i="1"/>
  <c r="F383" i="1"/>
  <c r="E383" i="1"/>
  <c r="D383" i="1"/>
  <c r="A383" i="1"/>
  <c r="H382" i="1"/>
  <c r="G382" i="1"/>
  <c r="F382" i="1"/>
  <c r="E382" i="1"/>
  <c r="D382" i="1"/>
  <c r="A382" i="1"/>
  <c r="H381" i="1"/>
  <c r="G381" i="1"/>
  <c r="F381" i="1"/>
  <c r="E381" i="1"/>
  <c r="D381" i="1"/>
  <c r="A381" i="1"/>
  <c r="H380" i="1"/>
  <c r="G380" i="1"/>
  <c r="F380" i="1"/>
  <c r="E380" i="1"/>
  <c r="D380" i="1"/>
  <c r="A380" i="1"/>
  <c r="H379" i="1"/>
  <c r="G379" i="1"/>
  <c r="F379" i="1"/>
  <c r="E379" i="1"/>
  <c r="D379" i="1"/>
  <c r="A379" i="1"/>
  <c r="H378" i="1"/>
  <c r="G378" i="1"/>
  <c r="F378" i="1"/>
  <c r="E378" i="1"/>
  <c r="D378" i="1"/>
  <c r="A378" i="1"/>
  <c r="H377" i="1"/>
  <c r="G377" i="1"/>
  <c r="F377" i="1"/>
  <c r="E377" i="1"/>
  <c r="D377" i="1"/>
  <c r="A377" i="1"/>
  <c r="H376" i="1"/>
  <c r="G376" i="1"/>
  <c r="F376" i="1"/>
  <c r="E376" i="1"/>
  <c r="D376" i="1"/>
  <c r="A376" i="1"/>
  <c r="H375" i="1"/>
  <c r="G375" i="1"/>
  <c r="F375" i="1"/>
  <c r="E375" i="1"/>
  <c r="D375" i="1"/>
  <c r="A375" i="1"/>
  <c r="H374" i="1"/>
  <c r="G374" i="1"/>
  <c r="F374" i="1"/>
  <c r="E374" i="1"/>
  <c r="D374" i="1"/>
  <c r="A374" i="1"/>
  <c r="H373" i="1"/>
  <c r="G373" i="1"/>
  <c r="F373" i="1"/>
  <c r="E373" i="1"/>
  <c r="D373" i="1"/>
  <c r="A373" i="1"/>
  <c r="H372" i="1"/>
  <c r="G372" i="1"/>
  <c r="F372" i="1"/>
  <c r="E372" i="1"/>
  <c r="D372" i="1"/>
  <c r="A372" i="1"/>
  <c r="H371" i="1"/>
  <c r="G371" i="1"/>
  <c r="F371" i="1"/>
  <c r="E371" i="1"/>
  <c r="D371" i="1"/>
  <c r="A371" i="1"/>
  <c r="H370" i="1"/>
  <c r="G370" i="1"/>
  <c r="F370" i="1"/>
  <c r="E370" i="1"/>
  <c r="D370" i="1"/>
  <c r="A370" i="1"/>
  <c r="H369" i="1"/>
  <c r="G369" i="1"/>
  <c r="F369" i="1"/>
  <c r="E369" i="1"/>
  <c r="D369" i="1"/>
  <c r="A369" i="1"/>
  <c r="H368" i="1"/>
  <c r="G368" i="1"/>
  <c r="F368" i="1"/>
  <c r="E368" i="1"/>
  <c r="D368" i="1"/>
  <c r="A368" i="1"/>
  <c r="H367" i="1"/>
  <c r="G367" i="1"/>
  <c r="F367" i="1"/>
  <c r="E367" i="1"/>
  <c r="D367" i="1"/>
  <c r="A367" i="1"/>
  <c r="H366" i="1"/>
  <c r="G366" i="1"/>
  <c r="F366" i="1"/>
  <c r="E366" i="1"/>
  <c r="D366" i="1"/>
  <c r="A366" i="1"/>
  <c r="H365" i="1"/>
  <c r="G365" i="1"/>
  <c r="F365" i="1"/>
  <c r="E365" i="1"/>
  <c r="D365" i="1"/>
  <c r="A365" i="1"/>
  <c r="H364" i="1"/>
  <c r="G364" i="1"/>
  <c r="F364" i="1"/>
  <c r="E364" i="1"/>
  <c r="D364" i="1"/>
  <c r="A364" i="1"/>
  <c r="H363" i="1"/>
  <c r="G363" i="1"/>
  <c r="F363" i="1"/>
  <c r="E363" i="1"/>
  <c r="D363" i="1"/>
  <c r="A363" i="1"/>
  <c r="H362" i="1"/>
  <c r="G362" i="1"/>
  <c r="F362" i="1"/>
  <c r="E362" i="1"/>
  <c r="D362" i="1"/>
  <c r="A362" i="1"/>
  <c r="H361" i="1"/>
  <c r="G361" i="1"/>
  <c r="F361" i="1"/>
  <c r="E361" i="1"/>
  <c r="D361" i="1"/>
  <c r="A361" i="1"/>
  <c r="H360" i="1"/>
  <c r="G360" i="1"/>
  <c r="F360" i="1"/>
  <c r="E360" i="1"/>
  <c r="D360" i="1"/>
  <c r="A360" i="1"/>
  <c r="H359" i="1"/>
  <c r="G359" i="1"/>
  <c r="F359" i="1"/>
  <c r="E359" i="1"/>
  <c r="D359" i="1"/>
  <c r="A359" i="1"/>
  <c r="H358" i="1"/>
  <c r="G358" i="1"/>
  <c r="F358" i="1"/>
  <c r="E358" i="1"/>
  <c r="D358" i="1"/>
  <c r="A358" i="1"/>
  <c r="H357" i="1"/>
  <c r="G357" i="1"/>
  <c r="F357" i="1"/>
  <c r="E357" i="1"/>
  <c r="D357" i="1"/>
  <c r="A357" i="1"/>
  <c r="H356" i="1"/>
  <c r="G356" i="1"/>
  <c r="F356" i="1"/>
  <c r="E356" i="1"/>
  <c r="D356" i="1"/>
  <c r="A356" i="1"/>
  <c r="H355" i="1"/>
  <c r="G355" i="1"/>
  <c r="F355" i="1"/>
  <c r="E355" i="1"/>
  <c r="D355" i="1"/>
  <c r="A355" i="1"/>
  <c r="H354" i="1"/>
  <c r="G354" i="1"/>
  <c r="F354" i="1"/>
  <c r="E354" i="1"/>
  <c r="D354" i="1"/>
  <c r="A354" i="1"/>
  <c r="H353" i="1"/>
  <c r="G353" i="1"/>
  <c r="F353" i="1"/>
  <c r="E353" i="1"/>
  <c r="D353" i="1"/>
  <c r="A353" i="1"/>
  <c r="H352" i="1"/>
  <c r="G352" i="1"/>
  <c r="F352" i="1"/>
  <c r="E352" i="1"/>
  <c r="D352" i="1"/>
  <c r="A352" i="1"/>
  <c r="H351" i="1"/>
  <c r="G351" i="1"/>
  <c r="F351" i="1"/>
  <c r="E351" i="1"/>
  <c r="D351" i="1"/>
  <c r="A351" i="1"/>
  <c r="H350" i="1"/>
  <c r="G350" i="1"/>
  <c r="F350" i="1"/>
  <c r="E350" i="1"/>
  <c r="D350" i="1"/>
  <c r="A350" i="1"/>
  <c r="H349" i="1"/>
  <c r="G349" i="1"/>
  <c r="F349" i="1"/>
  <c r="E349" i="1"/>
  <c r="D349" i="1"/>
  <c r="A349" i="1"/>
  <c r="H348" i="1"/>
  <c r="G348" i="1"/>
  <c r="F348" i="1"/>
  <c r="E348" i="1"/>
  <c r="D348" i="1"/>
  <c r="A348" i="1"/>
  <c r="H347" i="1"/>
  <c r="G347" i="1"/>
  <c r="F347" i="1"/>
  <c r="E347" i="1"/>
  <c r="D347" i="1"/>
  <c r="A347" i="1"/>
  <c r="H346" i="1"/>
  <c r="G346" i="1"/>
  <c r="F346" i="1"/>
  <c r="E346" i="1"/>
  <c r="D346" i="1"/>
  <c r="A346" i="1"/>
  <c r="H345" i="1"/>
  <c r="G345" i="1"/>
  <c r="F345" i="1"/>
  <c r="E345" i="1"/>
  <c r="D345" i="1"/>
  <c r="A345" i="1"/>
  <c r="H344" i="1"/>
  <c r="G344" i="1"/>
  <c r="F344" i="1"/>
  <c r="E344" i="1"/>
  <c r="D344" i="1"/>
  <c r="A344" i="1"/>
  <c r="H343" i="1"/>
  <c r="G343" i="1"/>
  <c r="F343" i="1"/>
  <c r="E343" i="1"/>
  <c r="D343" i="1"/>
  <c r="A343" i="1"/>
  <c r="H342" i="1"/>
  <c r="G342" i="1"/>
  <c r="F342" i="1"/>
  <c r="E342" i="1"/>
  <c r="D342" i="1"/>
  <c r="A342" i="1"/>
  <c r="H341" i="1"/>
  <c r="G341" i="1"/>
  <c r="F341" i="1"/>
  <c r="E341" i="1"/>
  <c r="D341" i="1"/>
  <c r="A341" i="1"/>
  <c r="H340" i="1"/>
  <c r="G340" i="1"/>
  <c r="F340" i="1"/>
  <c r="E340" i="1"/>
  <c r="D340" i="1"/>
  <c r="A340" i="1"/>
  <c r="H339" i="1"/>
  <c r="G339" i="1"/>
  <c r="F339" i="1"/>
  <c r="E339" i="1"/>
  <c r="D339" i="1"/>
  <c r="A339" i="1"/>
  <c r="H338" i="1"/>
  <c r="G338" i="1"/>
  <c r="F338" i="1"/>
  <c r="E338" i="1"/>
  <c r="D338" i="1"/>
  <c r="A338" i="1"/>
  <c r="H337" i="1"/>
  <c r="G337" i="1"/>
  <c r="F337" i="1"/>
  <c r="E337" i="1"/>
  <c r="D337" i="1"/>
  <c r="A337" i="1"/>
  <c r="H336" i="1"/>
  <c r="G336" i="1"/>
  <c r="F336" i="1"/>
  <c r="E336" i="1"/>
  <c r="D336" i="1"/>
  <c r="A336" i="1"/>
  <c r="H335" i="1"/>
  <c r="G335" i="1"/>
  <c r="F335" i="1"/>
  <c r="E335" i="1"/>
  <c r="D335" i="1"/>
  <c r="A335" i="1"/>
  <c r="H334" i="1"/>
  <c r="G334" i="1"/>
  <c r="F334" i="1"/>
  <c r="E334" i="1"/>
  <c r="D334" i="1"/>
  <c r="A334" i="1"/>
  <c r="H333" i="1"/>
  <c r="G333" i="1"/>
  <c r="F333" i="1"/>
  <c r="E333" i="1"/>
  <c r="D333" i="1"/>
  <c r="A333" i="1"/>
  <c r="H332" i="1"/>
  <c r="G332" i="1"/>
  <c r="F332" i="1"/>
  <c r="E332" i="1"/>
  <c r="D332" i="1"/>
  <c r="A332" i="1"/>
  <c r="H331" i="1"/>
  <c r="G331" i="1"/>
  <c r="F331" i="1"/>
  <c r="E331" i="1"/>
  <c r="D331" i="1"/>
  <c r="A331" i="1"/>
  <c r="H330" i="1"/>
  <c r="G330" i="1"/>
  <c r="F330" i="1"/>
  <c r="E330" i="1"/>
  <c r="D330" i="1"/>
  <c r="A330" i="1"/>
  <c r="H329" i="1"/>
  <c r="G329" i="1"/>
  <c r="F329" i="1"/>
  <c r="E329" i="1"/>
  <c r="D329" i="1"/>
  <c r="A329" i="1"/>
  <c r="H328" i="1"/>
  <c r="G328" i="1"/>
  <c r="F328" i="1"/>
  <c r="E328" i="1"/>
  <c r="D328" i="1"/>
  <c r="A328" i="1"/>
  <c r="H327" i="1"/>
  <c r="G327" i="1"/>
  <c r="F327" i="1"/>
  <c r="E327" i="1"/>
  <c r="D327" i="1"/>
  <c r="A327" i="1"/>
  <c r="H326" i="1"/>
  <c r="G326" i="1"/>
  <c r="F326" i="1"/>
  <c r="E326" i="1"/>
  <c r="D326" i="1"/>
  <c r="A326" i="1"/>
  <c r="H325" i="1"/>
  <c r="G325" i="1"/>
  <c r="F325" i="1"/>
  <c r="E325" i="1"/>
  <c r="D325" i="1"/>
  <c r="A325" i="1"/>
  <c r="H324" i="1"/>
  <c r="G324" i="1"/>
  <c r="F324" i="1"/>
  <c r="E324" i="1"/>
  <c r="D324" i="1"/>
  <c r="A324" i="1"/>
  <c r="H323" i="1"/>
  <c r="G323" i="1"/>
  <c r="F323" i="1"/>
  <c r="E323" i="1"/>
  <c r="D323" i="1"/>
  <c r="A323" i="1"/>
  <c r="H322" i="1"/>
  <c r="G322" i="1"/>
  <c r="F322" i="1"/>
  <c r="E322" i="1"/>
  <c r="D322" i="1"/>
  <c r="A322" i="1"/>
  <c r="H321" i="1"/>
  <c r="G321" i="1"/>
  <c r="F321" i="1"/>
  <c r="E321" i="1"/>
  <c r="D321" i="1"/>
  <c r="A321" i="1"/>
  <c r="H320" i="1"/>
  <c r="G320" i="1"/>
  <c r="F320" i="1"/>
  <c r="E320" i="1"/>
  <c r="D320" i="1"/>
  <c r="A320" i="1"/>
  <c r="H319" i="1"/>
  <c r="G319" i="1"/>
  <c r="F319" i="1"/>
  <c r="E319" i="1"/>
  <c r="D319" i="1"/>
  <c r="A319" i="1"/>
  <c r="H318" i="1"/>
  <c r="G318" i="1"/>
  <c r="F318" i="1"/>
  <c r="E318" i="1"/>
  <c r="D318" i="1"/>
  <c r="A318" i="1"/>
  <c r="H317" i="1"/>
  <c r="G317" i="1"/>
  <c r="F317" i="1"/>
  <c r="E317" i="1"/>
  <c r="D317" i="1"/>
  <c r="A317" i="1"/>
  <c r="H316" i="1"/>
  <c r="G316" i="1"/>
  <c r="F316" i="1"/>
  <c r="E316" i="1"/>
  <c r="D316" i="1"/>
  <c r="A316" i="1"/>
  <c r="H315" i="1"/>
  <c r="G315" i="1"/>
  <c r="F315" i="1"/>
  <c r="E315" i="1"/>
  <c r="D315" i="1"/>
  <c r="A315" i="1"/>
  <c r="H314" i="1"/>
  <c r="G314" i="1"/>
  <c r="F314" i="1"/>
  <c r="E314" i="1"/>
  <c r="D314" i="1"/>
  <c r="A314" i="1"/>
  <c r="H313" i="1"/>
  <c r="G313" i="1"/>
  <c r="F313" i="1"/>
  <c r="E313" i="1"/>
  <c r="D313" i="1"/>
  <c r="A313" i="1"/>
  <c r="H312" i="1"/>
  <c r="G312" i="1"/>
  <c r="F312" i="1"/>
  <c r="E312" i="1"/>
  <c r="D312" i="1"/>
  <c r="A312" i="1"/>
  <c r="H311" i="1"/>
  <c r="G311" i="1"/>
  <c r="F311" i="1"/>
  <c r="E311" i="1"/>
  <c r="D311" i="1"/>
  <c r="A311" i="1"/>
  <c r="H310" i="1"/>
  <c r="G310" i="1"/>
  <c r="F310" i="1"/>
  <c r="E310" i="1"/>
  <c r="D310" i="1"/>
  <c r="A310" i="1"/>
  <c r="H309" i="1"/>
  <c r="G309" i="1"/>
  <c r="F309" i="1"/>
  <c r="E309" i="1"/>
  <c r="D309" i="1"/>
  <c r="A309" i="1"/>
  <c r="H308" i="1"/>
  <c r="G308" i="1"/>
  <c r="F308" i="1"/>
  <c r="E308" i="1"/>
  <c r="D308" i="1"/>
  <c r="A308" i="1"/>
  <c r="H307" i="1"/>
  <c r="G307" i="1"/>
  <c r="F307" i="1"/>
  <c r="E307" i="1"/>
  <c r="D307" i="1"/>
  <c r="A307" i="1"/>
  <c r="H306" i="1"/>
  <c r="G306" i="1"/>
  <c r="F306" i="1"/>
  <c r="E306" i="1"/>
  <c r="D306" i="1"/>
  <c r="A306" i="1"/>
  <c r="H305" i="1"/>
  <c r="G305" i="1"/>
  <c r="F305" i="1"/>
  <c r="E305" i="1"/>
  <c r="D305" i="1"/>
  <c r="A305" i="1"/>
  <c r="H304" i="1"/>
  <c r="G304" i="1"/>
  <c r="F304" i="1"/>
  <c r="E304" i="1"/>
  <c r="D304" i="1"/>
  <c r="A304" i="1"/>
  <c r="H303" i="1"/>
  <c r="G303" i="1"/>
  <c r="F303" i="1"/>
  <c r="E303" i="1"/>
  <c r="D303" i="1"/>
  <c r="A303" i="1"/>
  <c r="H302" i="1"/>
  <c r="G302" i="1"/>
  <c r="F302" i="1"/>
  <c r="E302" i="1"/>
  <c r="D302" i="1"/>
  <c r="A302" i="1"/>
  <c r="H301" i="1"/>
  <c r="G301" i="1"/>
  <c r="F301" i="1"/>
  <c r="E301" i="1"/>
  <c r="D301" i="1"/>
  <c r="A301" i="1"/>
  <c r="H300" i="1"/>
  <c r="G300" i="1"/>
  <c r="F300" i="1"/>
  <c r="E300" i="1"/>
  <c r="D300" i="1"/>
  <c r="A300" i="1"/>
  <c r="H299" i="1"/>
  <c r="G299" i="1"/>
  <c r="F299" i="1"/>
  <c r="E299" i="1"/>
  <c r="D299" i="1"/>
  <c r="A299" i="1"/>
  <c r="H298" i="1"/>
  <c r="G298" i="1"/>
  <c r="F298" i="1"/>
  <c r="E298" i="1"/>
  <c r="D298" i="1"/>
  <c r="A298" i="1"/>
  <c r="H297" i="1"/>
  <c r="G297" i="1"/>
  <c r="F297" i="1"/>
  <c r="E297" i="1"/>
  <c r="D297" i="1"/>
  <c r="A297" i="1"/>
  <c r="H296" i="1"/>
  <c r="G296" i="1"/>
  <c r="F296" i="1"/>
  <c r="E296" i="1"/>
  <c r="D296" i="1"/>
  <c r="A296" i="1"/>
  <c r="H295" i="1"/>
  <c r="G295" i="1"/>
  <c r="F295" i="1"/>
  <c r="E295" i="1"/>
  <c r="D295" i="1"/>
  <c r="A295" i="1"/>
  <c r="H294" i="1"/>
  <c r="G294" i="1"/>
  <c r="F294" i="1"/>
  <c r="E294" i="1"/>
  <c r="D294" i="1"/>
  <c r="A294" i="1"/>
  <c r="H293" i="1"/>
  <c r="G293" i="1"/>
  <c r="F293" i="1"/>
  <c r="E293" i="1"/>
  <c r="D293" i="1"/>
  <c r="A293" i="1"/>
  <c r="H292" i="1"/>
  <c r="G292" i="1"/>
  <c r="F292" i="1"/>
  <c r="E292" i="1"/>
  <c r="D292" i="1"/>
  <c r="A292" i="1"/>
  <c r="H291" i="1"/>
  <c r="G291" i="1"/>
  <c r="F291" i="1"/>
  <c r="E291" i="1"/>
  <c r="D291" i="1"/>
  <c r="A291" i="1"/>
  <c r="H290" i="1"/>
  <c r="G290" i="1"/>
  <c r="F290" i="1"/>
  <c r="E290" i="1"/>
  <c r="D290" i="1"/>
  <c r="A290" i="1"/>
  <c r="H289" i="1"/>
  <c r="G289" i="1"/>
  <c r="F289" i="1"/>
  <c r="E289" i="1"/>
  <c r="D289" i="1"/>
  <c r="A289" i="1"/>
  <c r="H288" i="1"/>
  <c r="G288" i="1"/>
  <c r="F288" i="1"/>
  <c r="E288" i="1"/>
  <c r="D288" i="1"/>
  <c r="A288" i="1"/>
  <c r="H287" i="1"/>
  <c r="G287" i="1"/>
  <c r="F287" i="1"/>
  <c r="E287" i="1"/>
  <c r="D287" i="1"/>
  <c r="A287" i="1"/>
  <c r="H286" i="1"/>
  <c r="G286" i="1"/>
  <c r="F286" i="1"/>
  <c r="E286" i="1"/>
  <c r="D286" i="1"/>
  <c r="A286" i="1"/>
  <c r="H285" i="1"/>
  <c r="G285" i="1"/>
  <c r="F285" i="1"/>
  <c r="E285" i="1"/>
  <c r="D285" i="1"/>
  <c r="A285" i="1"/>
  <c r="H284" i="1"/>
  <c r="G284" i="1"/>
  <c r="F284" i="1"/>
  <c r="E284" i="1"/>
  <c r="D284" i="1"/>
  <c r="A284" i="1"/>
  <c r="H283" i="1"/>
  <c r="G283" i="1"/>
  <c r="F283" i="1"/>
  <c r="E283" i="1"/>
  <c r="D283" i="1"/>
  <c r="A283" i="1"/>
  <c r="H282" i="1"/>
  <c r="G282" i="1"/>
  <c r="F282" i="1"/>
  <c r="E282" i="1"/>
  <c r="D282" i="1"/>
  <c r="A282" i="1"/>
  <c r="H281" i="1"/>
  <c r="G281" i="1"/>
  <c r="F281" i="1"/>
  <c r="E281" i="1"/>
  <c r="D281" i="1"/>
  <c r="A281" i="1"/>
  <c r="H280" i="1"/>
  <c r="G280" i="1"/>
  <c r="F280" i="1"/>
  <c r="E280" i="1"/>
  <c r="D280" i="1"/>
  <c r="A280" i="1"/>
  <c r="H279" i="1"/>
  <c r="G279" i="1"/>
  <c r="F279" i="1"/>
  <c r="E279" i="1"/>
  <c r="D279" i="1"/>
  <c r="A279" i="1"/>
  <c r="H278" i="1"/>
  <c r="G278" i="1"/>
  <c r="F278" i="1"/>
  <c r="E278" i="1"/>
  <c r="D278" i="1"/>
  <c r="A278" i="1"/>
  <c r="H277" i="1"/>
  <c r="G277" i="1"/>
  <c r="F277" i="1"/>
  <c r="E277" i="1"/>
  <c r="D277" i="1"/>
  <c r="A277" i="1"/>
  <c r="H276" i="1"/>
  <c r="G276" i="1"/>
  <c r="F276" i="1"/>
  <c r="E276" i="1"/>
  <c r="D276" i="1"/>
  <c r="A276" i="1"/>
  <c r="H275" i="1"/>
  <c r="G275" i="1"/>
  <c r="F275" i="1"/>
  <c r="E275" i="1"/>
  <c r="D275" i="1"/>
  <c r="A275" i="1"/>
  <c r="H274" i="1"/>
  <c r="G274" i="1"/>
  <c r="F274" i="1"/>
  <c r="E274" i="1"/>
  <c r="D274" i="1"/>
  <c r="A274" i="1"/>
  <c r="H273" i="1"/>
  <c r="G273" i="1"/>
  <c r="F273" i="1"/>
  <c r="E273" i="1"/>
  <c r="D273" i="1"/>
  <c r="A273" i="1"/>
  <c r="H272" i="1"/>
  <c r="G272" i="1"/>
  <c r="F272" i="1"/>
  <c r="E272" i="1"/>
  <c r="D272" i="1"/>
  <c r="A272" i="1"/>
  <c r="H271" i="1"/>
  <c r="G271" i="1"/>
  <c r="F271" i="1"/>
  <c r="E271" i="1"/>
  <c r="D271" i="1"/>
  <c r="A271" i="1"/>
  <c r="H270" i="1"/>
  <c r="G270" i="1"/>
  <c r="F270" i="1"/>
  <c r="E270" i="1"/>
  <c r="D270" i="1"/>
  <c r="A270" i="1"/>
  <c r="H269" i="1"/>
  <c r="G269" i="1"/>
  <c r="F269" i="1"/>
  <c r="E269" i="1"/>
  <c r="D269" i="1"/>
  <c r="A269" i="1"/>
  <c r="H268" i="1"/>
  <c r="G268" i="1"/>
  <c r="F268" i="1"/>
  <c r="E268" i="1"/>
  <c r="D268" i="1"/>
  <c r="A268" i="1"/>
  <c r="H267" i="1"/>
  <c r="G267" i="1"/>
  <c r="F267" i="1"/>
  <c r="E267" i="1"/>
  <c r="D267" i="1"/>
  <c r="A267" i="1"/>
  <c r="H266" i="1"/>
  <c r="G266" i="1"/>
  <c r="F266" i="1"/>
  <c r="E266" i="1"/>
  <c r="D266" i="1"/>
  <c r="A266" i="1"/>
  <c r="H265" i="1"/>
  <c r="G265" i="1"/>
  <c r="F265" i="1"/>
  <c r="E265" i="1"/>
  <c r="D265" i="1"/>
  <c r="A265" i="1"/>
  <c r="H264" i="1"/>
  <c r="G264" i="1"/>
  <c r="F264" i="1"/>
  <c r="E264" i="1"/>
  <c r="D264" i="1"/>
  <c r="A264" i="1"/>
  <c r="H263" i="1"/>
  <c r="G263" i="1"/>
  <c r="F263" i="1"/>
  <c r="E263" i="1"/>
  <c r="D263" i="1"/>
  <c r="A263" i="1"/>
  <c r="H262" i="1"/>
  <c r="G262" i="1"/>
  <c r="F262" i="1"/>
  <c r="E262" i="1"/>
  <c r="D262" i="1"/>
  <c r="A262" i="1"/>
  <c r="H261" i="1"/>
  <c r="G261" i="1"/>
  <c r="F261" i="1"/>
  <c r="E261" i="1"/>
  <c r="D261" i="1"/>
  <c r="A261" i="1"/>
  <c r="H260" i="1"/>
  <c r="G260" i="1"/>
  <c r="F260" i="1"/>
  <c r="E260" i="1"/>
  <c r="D260" i="1"/>
  <c r="A260" i="1"/>
  <c r="H259" i="1"/>
  <c r="G259" i="1"/>
  <c r="F259" i="1"/>
  <c r="E259" i="1"/>
  <c r="D259" i="1"/>
  <c r="A259" i="1"/>
  <c r="H258" i="1"/>
  <c r="G258" i="1"/>
  <c r="F258" i="1"/>
  <c r="E258" i="1"/>
  <c r="D258" i="1"/>
  <c r="A258" i="1"/>
  <c r="H257" i="1"/>
  <c r="G257" i="1"/>
  <c r="F257" i="1"/>
  <c r="E257" i="1"/>
  <c r="D257" i="1"/>
  <c r="A257" i="1"/>
  <c r="H256" i="1"/>
  <c r="G256" i="1"/>
  <c r="F256" i="1"/>
  <c r="E256" i="1"/>
  <c r="D256" i="1"/>
  <c r="A256" i="1"/>
  <c r="H255" i="1"/>
  <c r="G255" i="1"/>
  <c r="F255" i="1"/>
  <c r="E255" i="1"/>
  <c r="D255" i="1"/>
  <c r="A255" i="1"/>
  <c r="H254" i="1"/>
  <c r="G254" i="1"/>
  <c r="F254" i="1"/>
  <c r="E254" i="1"/>
  <c r="D254" i="1"/>
  <c r="A254" i="1"/>
  <c r="H253" i="1"/>
  <c r="G253" i="1"/>
  <c r="F253" i="1"/>
  <c r="E253" i="1"/>
  <c r="D253" i="1"/>
  <c r="A253" i="1"/>
  <c r="H252" i="1"/>
  <c r="G252" i="1"/>
  <c r="F252" i="1"/>
  <c r="E252" i="1"/>
  <c r="D252" i="1"/>
  <c r="A252" i="1"/>
  <c r="H251" i="1"/>
  <c r="G251" i="1"/>
  <c r="F251" i="1"/>
  <c r="E251" i="1"/>
  <c r="D251" i="1"/>
  <c r="A251" i="1"/>
  <c r="H250" i="1"/>
  <c r="G250" i="1"/>
  <c r="F250" i="1"/>
  <c r="E250" i="1"/>
  <c r="D250" i="1"/>
  <c r="A250" i="1"/>
  <c r="H249" i="1"/>
  <c r="G249" i="1"/>
  <c r="F249" i="1"/>
  <c r="E249" i="1"/>
  <c r="D249" i="1"/>
  <c r="A249" i="1"/>
  <c r="H248" i="1"/>
  <c r="G248" i="1"/>
  <c r="F248" i="1"/>
  <c r="E248" i="1"/>
  <c r="D248" i="1"/>
  <c r="A248" i="1"/>
  <c r="H247" i="1"/>
  <c r="G247" i="1"/>
  <c r="F247" i="1"/>
  <c r="E247" i="1"/>
  <c r="D247" i="1"/>
  <c r="A247" i="1"/>
  <c r="H246" i="1"/>
  <c r="G246" i="1"/>
  <c r="F246" i="1"/>
  <c r="E246" i="1"/>
  <c r="D246" i="1"/>
  <c r="A246" i="1"/>
  <c r="H245" i="1"/>
  <c r="G245" i="1"/>
  <c r="F245" i="1"/>
  <c r="E245" i="1"/>
  <c r="D245" i="1"/>
  <c r="A245" i="1"/>
  <c r="H244" i="1"/>
  <c r="G244" i="1"/>
  <c r="F244" i="1"/>
  <c r="E244" i="1"/>
  <c r="D244" i="1"/>
  <c r="A244" i="1"/>
  <c r="H243" i="1"/>
  <c r="G243" i="1"/>
  <c r="F243" i="1"/>
  <c r="E243" i="1"/>
  <c r="D243" i="1"/>
  <c r="A243" i="1"/>
  <c r="H242" i="1"/>
  <c r="G242" i="1"/>
  <c r="F242" i="1"/>
  <c r="E242" i="1"/>
  <c r="D242" i="1"/>
  <c r="A242" i="1"/>
  <c r="H241" i="1"/>
  <c r="G241" i="1"/>
  <c r="F241" i="1"/>
  <c r="E241" i="1"/>
  <c r="D241" i="1"/>
  <c r="A241" i="1"/>
  <c r="H240" i="1"/>
  <c r="G240" i="1"/>
  <c r="F240" i="1"/>
  <c r="E240" i="1"/>
  <c r="D240" i="1"/>
  <c r="A240" i="1"/>
  <c r="H239" i="1"/>
  <c r="G239" i="1"/>
  <c r="F239" i="1"/>
  <c r="E239" i="1"/>
  <c r="D239" i="1"/>
  <c r="A239" i="1"/>
  <c r="H238" i="1"/>
  <c r="G238" i="1"/>
  <c r="F238" i="1"/>
  <c r="E238" i="1"/>
  <c r="D238" i="1"/>
  <c r="A238" i="1"/>
  <c r="H237" i="1"/>
  <c r="G237" i="1"/>
  <c r="F237" i="1"/>
  <c r="E237" i="1"/>
  <c r="D237" i="1"/>
  <c r="A237" i="1"/>
  <c r="H236" i="1"/>
  <c r="G236" i="1"/>
  <c r="F236" i="1"/>
  <c r="E236" i="1"/>
  <c r="D236" i="1"/>
  <c r="A236" i="1"/>
  <c r="H235" i="1"/>
  <c r="G235" i="1"/>
  <c r="F235" i="1"/>
  <c r="E235" i="1"/>
  <c r="D235" i="1"/>
  <c r="A235" i="1"/>
  <c r="H234" i="1"/>
  <c r="G234" i="1"/>
  <c r="F234" i="1"/>
  <c r="E234" i="1"/>
  <c r="D234" i="1"/>
  <c r="A234" i="1"/>
  <c r="H233" i="1"/>
  <c r="G233" i="1"/>
  <c r="F233" i="1"/>
  <c r="E233" i="1"/>
  <c r="D233" i="1"/>
  <c r="A233" i="1"/>
  <c r="H232" i="1"/>
  <c r="G232" i="1"/>
  <c r="F232" i="1"/>
  <c r="E232" i="1"/>
  <c r="D232" i="1"/>
  <c r="A232" i="1"/>
  <c r="H231" i="1"/>
  <c r="G231" i="1"/>
  <c r="F231" i="1"/>
  <c r="E231" i="1"/>
  <c r="D231" i="1"/>
  <c r="A231" i="1"/>
  <c r="H230" i="1"/>
  <c r="G230" i="1"/>
  <c r="F230" i="1"/>
  <c r="E230" i="1"/>
  <c r="D230" i="1"/>
  <c r="A230" i="1"/>
  <c r="H229" i="1"/>
  <c r="G229" i="1"/>
  <c r="F229" i="1"/>
  <c r="E229" i="1"/>
  <c r="D229" i="1"/>
  <c r="A229" i="1"/>
  <c r="H228" i="1"/>
  <c r="G228" i="1"/>
  <c r="F228" i="1"/>
  <c r="E228" i="1"/>
  <c r="D228" i="1"/>
  <c r="A228" i="1"/>
  <c r="H227" i="1"/>
  <c r="G227" i="1"/>
  <c r="F227" i="1"/>
  <c r="E227" i="1"/>
  <c r="D227" i="1"/>
  <c r="A227" i="1"/>
  <c r="H226" i="1"/>
  <c r="G226" i="1"/>
  <c r="F226" i="1"/>
  <c r="E226" i="1"/>
  <c r="D226" i="1"/>
  <c r="A226" i="1"/>
  <c r="H225" i="1"/>
  <c r="G225" i="1"/>
  <c r="F225" i="1"/>
  <c r="E225" i="1"/>
  <c r="D225" i="1"/>
  <c r="A225" i="1"/>
  <c r="H224" i="1"/>
  <c r="G224" i="1"/>
  <c r="F224" i="1"/>
  <c r="E224" i="1"/>
  <c r="D224" i="1"/>
  <c r="A224" i="1"/>
  <c r="H223" i="1"/>
  <c r="G223" i="1"/>
  <c r="F223" i="1"/>
  <c r="E223" i="1"/>
  <c r="D223" i="1"/>
  <c r="A223" i="1"/>
  <c r="H222" i="1"/>
  <c r="G222" i="1"/>
  <c r="F222" i="1"/>
  <c r="E222" i="1"/>
  <c r="D222" i="1"/>
  <c r="A222" i="1"/>
  <c r="H221" i="1"/>
  <c r="G221" i="1"/>
  <c r="F221" i="1"/>
  <c r="E221" i="1"/>
  <c r="D221" i="1"/>
  <c r="A221" i="1"/>
  <c r="H220" i="1"/>
  <c r="G220" i="1"/>
  <c r="F220" i="1"/>
  <c r="E220" i="1"/>
  <c r="D220" i="1"/>
  <c r="A220" i="1"/>
  <c r="H219" i="1"/>
  <c r="G219" i="1"/>
  <c r="F219" i="1"/>
  <c r="E219" i="1"/>
  <c r="D219" i="1"/>
  <c r="A219" i="1"/>
  <c r="H218" i="1"/>
  <c r="G218" i="1"/>
  <c r="F218" i="1"/>
  <c r="E218" i="1"/>
  <c r="D218" i="1"/>
  <c r="A218" i="1"/>
  <c r="H217" i="1"/>
  <c r="G217" i="1"/>
  <c r="F217" i="1"/>
  <c r="E217" i="1"/>
  <c r="D217" i="1"/>
  <c r="A217" i="1"/>
  <c r="H216" i="1"/>
  <c r="G216" i="1"/>
  <c r="F216" i="1"/>
  <c r="E216" i="1"/>
  <c r="D216" i="1"/>
  <c r="A216" i="1"/>
  <c r="H215" i="1"/>
  <c r="G215" i="1"/>
  <c r="F215" i="1"/>
  <c r="E215" i="1"/>
  <c r="D215" i="1"/>
  <c r="A215" i="1"/>
  <c r="H214" i="1"/>
  <c r="G214" i="1"/>
  <c r="F214" i="1"/>
  <c r="E214" i="1"/>
  <c r="D214" i="1"/>
  <c r="A214" i="1"/>
  <c r="H213" i="1"/>
  <c r="G213" i="1"/>
  <c r="F213" i="1"/>
  <c r="E213" i="1"/>
  <c r="D213" i="1"/>
  <c r="A213" i="1"/>
  <c r="H212" i="1"/>
  <c r="G212" i="1"/>
  <c r="F212" i="1"/>
  <c r="E212" i="1"/>
  <c r="D212" i="1"/>
  <c r="A212" i="1"/>
  <c r="H211" i="1"/>
  <c r="G211" i="1"/>
  <c r="F211" i="1"/>
  <c r="E211" i="1"/>
  <c r="D211" i="1"/>
  <c r="A211" i="1"/>
  <c r="H210" i="1"/>
  <c r="G210" i="1"/>
  <c r="F210" i="1"/>
  <c r="E210" i="1"/>
  <c r="D210" i="1"/>
  <c r="A210" i="1"/>
  <c r="H209" i="1"/>
  <c r="G209" i="1"/>
  <c r="F209" i="1"/>
  <c r="E209" i="1"/>
  <c r="D209" i="1"/>
  <c r="A209" i="1"/>
  <c r="H208" i="1"/>
  <c r="G208" i="1"/>
  <c r="F208" i="1"/>
  <c r="E208" i="1"/>
  <c r="D208" i="1"/>
  <c r="A208" i="1"/>
  <c r="H207" i="1"/>
  <c r="G207" i="1"/>
  <c r="F207" i="1"/>
  <c r="E207" i="1"/>
  <c r="D207" i="1"/>
  <c r="A207" i="1"/>
  <c r="H206" i="1"/>
  <c r="G206" i="1"/>
  <c r="F206" i="1"/>
  <c r="E206" i="1"/>
  <c r="D206" i="1"/>
  <c r="A206" i="1"/>
  <c r="H205" i="1"/>
  <c r="G205" i="1"/>
  <c r="F205" i="1"/>
  <c r="E205" i="1"/>
  <c r="D205" i="1"/>
  <c r="A205" i="1"/>
  <c r="H204" i="1"/>
  <c r="G204" i="1"/>
  <c r="F204" i="1"/>
  <c r="E204" i="1"/>
  <c r="D204" i="1"/>
  <c r="A204" i="1"/>
  <c r="H203" i="1"/>
  <c r="G203" i="1"/>
  <c r="F203" i="1"/>
  <c r="E203" i="1"/>
  <c r="D203" i="1"/>
  <c r="A203" i="1"/>
  <c r="H202" i="1"/>
  <c r="G202" i="1"/>
  <c r="F202" i="1"/>
  <c r="E202" i="1"/>
  <c r="D202" i="1"/>
  <c r="A202" i="1"/>
  <c r="H201" i="1"/>
  <c r="G201" i="1"/>
  <c r="F201" i="1"/>
  <c r="E201" i="1"/>
  <c r="D201" i="1"/>
  <c r="A201" i="1"/>
  <c r="H200" i="1"/>
  <c r="G200" i="1"/>
  <c r="F200" i="1"/>
  <c r="E200" i="1"/>
  <c r="D200" i="1"/>
  <c r="A200" i="1"/>
  <c r="H199" i="1"/>
  <c r="G199" i="1"/>
  <c r="F199" i="1"/>
  <c r="E199" i="1"/>
  <c r="D199" i="1"/>
  <c r="A199" i="1"/>
  <c r="H198" i="1"/>
  <c r="G198" i="1"/>
  <c r="F198" i="1"/>
  <c r="E198" i="1"/>
  <c r="D198" i="1"/>
  <c r="A198" i="1"/>
  <c r="H197" i="1"/>
  <c r="G197" i="1"/>
  <c r="F197" i="1"/>
  <c r="E197" i="1"/>
  <c r="D197" i="1"/>
  <c r="A197" i="1"/>
  <c r="H196" i="1"/>
  <c r="G196" i="1"/>
  <c r="F196" i="1"/>
  <c r="E196" i="1"/>
  <c r="D196" i="1"/>
  <c r="A196" i="1"/>
  <c r="H195" i="1"/>
  <c r="G195" i="1"/>
  <c r="F195" i="1"/>
  <c r="E195" i="1"/>
  <c r="D195" i="1"/>
  <c r="A195" i="1"/>
  <c r="H194" i="1"/>
  <c r="G194" i="1"/>
  <c r="F194" i="1"/>
  <c r="E194" i="1"/>
  <c r="D194" i="1"/>
  <c r="A194" i="1"/>
  <c r="H193" i="1"/>
  <c r="G193" i="1"/>
  <c r="F193" i="1"/>
  <c r="E193" i="1"/>
  <c r="D193" i="1"/>
  <c r="A193" i="1"/>
  <c r="H192" i="1"/>
  <c r="G192" i="1"/>
  <c r="F192" i="1"/>
  <c r="E192" i="1"/>
  <c r="D192" i="1"/>
  <c r="A192" i="1"/>
  <c r="H191" i="1"/>
  <c r="G191" i="1"/>
  <c r="F191" i="1"/>
  <c r="E191" i="1"/>
  <c r="D191" i="1"/>
  <c r="A191" i="1"/>
  <c r="H190" i="1"/>
  <c r="G190" i="1"/>
  <c r="F190" i="1"/>
  <c r="E190" i="1"/>
  <c r="D190" i="1"/>
  <c r="A190" i="1"/>
  <c r="H189" i="1"/>
  <c r="G189" i="1"/>
  <c r="F189" i="1"/>
  <c r="E189" i="1"/>
  <c r="D189" i="1"/>
  <c r="A189" i="1"/>
  <c r="H188" i="1"/>
  <c r="G188" i="1"/>
  <c r="F188" i="1"/>
  <c r="E188" i="1"/>
  <c r="D188" i="1"/>
  <c r="A188" i="1"/>
  <c r="H187" i="1"/>
  <c r="G187" i="1"/>
  <c r="F187" i="1"/>
  <c r="E187" i="1"/>
  <c r="D187" i="1"/>
  <c r="A187" i="1"/>
  <c r="H186" i="1"/>
  <c r="G186" i="1"/>
  <c r="F186" i="1"/>
  <c r="E186" i="1"/>
  <c r="D186" i="1"/>
  <c r="A186" i="1"/>
  <c r="H185" i="1"/>
  <c r="G185" i="1"/>
  <c r="F185" i="1"/>
  <c r="E185" i="1"/>
  <c r="D185" i="1"/>
  <c r="A185" i="1"/>
  <c r="H184" i="1"/>
  <c r="G184" i="1"/>
  <c r="F184" i="1"/>
  <c r="E184" i="1"/>
  <c r="D184" i="1"/>
  <c r="A184" i="1"/>
  <c r="H183" i="1"/>
  <c r="G183" i="1"/>
  <c r="F183" i="1"/>
  <c r="E183" i="1"/>
  <c r="D183" i="1"/>
  <c r="A183" i="1"/>
  <c r="H182" i="1"/>
  <c r="G182" i="1"/>
  <c r="F182" i="1"/>
  <c r="E182" i="1"/>
  <c r="D182" i="1"/>
  <c r="A182" i="1"/>
  <c r="H181" i="1"/>
  <c r="G181" i="1"/>
  <c r="F181" i="1"/>
  <c r="E181" i="1"/>
  <c r="D181" i="1"/>
  <c r="A181" i="1"/>
  <c r="H180" i="1"/>
  <c r="G180" i="1"/>
  <c r="F180" i="1"/>
  <c r="E180" i="1"/>
  <c r="D180" i="1"/>
  <c r="A180" i="1"/>
  <c r="H179" i="1"/>
  <c r="G179" i="1"/>
  <c r="F179" i="1"/>
  <c r="E179" i="1"/>
  <c r="D179" i="1"/>
  <c r="A179" i="1"/>
  <c r="H178" i="1"/>
  <c r="G178" i="1"/>
  <c r="F178" i="1"/>
  <c r="E178" i="1"/>
  <c r="D178" i="1"/>
  <c r="A178" i="1"/>
  <c r="H177" i="1"/>
  <c r="G177" i="1"/>
  <c r="F177" i="1"/>
  <c r="E177" i="1"/>
  <c r="D177" i="1"/>
  <c r="A177" i="1"/>
  <c r="H176" i="1"/>
  <c r="G176" i="1"/>
  <c r="F176" i="1"/>
  <c r="E176" i="1"/>
  <c r="D176" i="1"/>
  <c r="A176" i="1"/>
  <c r="H175" i="1"/>
  <c r="G175" i="1"/>
  <c r="F175" i="1"/>
  <c r="E175" i="1"/>
  <c r="D175" i="1"/>
  <c r="A175" i="1"/>
  <c r="H174" i="1"/>
  <c r="G174" i="1"/>
  <c r="F174" i="1"/>
  <c r="E174" i="1"/>
  <c r="D174" i="1"/>
  <c r="A174" i="1"/>
  <c r="H173" i="1"/>
  <c r="G173" i="1"/>
  <c r="F173" i="1"/>
  <c r="E173" i="1"/>
  <c r="D173" i="1"/>
  <c r="A173" i="1"/>
  <c r="H172" i="1"/>
  <c r="G172" i="1"/>
  <c r="F172" i="1"/>
  <c r="E172" i="1"/>
  <c r="D172" i="1"/>
  <c r="A172" i="1"/>
  <c r="H171" i="1"/>
  <c r="G171" i="1"/>
  <c r="F171" i="1"/>
  <c r="E171" i="1"/>
  <c r="D171" i="1"/>
  <c r="A171" i="1"/>
  <c r="H170" i="1"/>
  <c r="G170" i="1"/>
  <c r="F170" i="1"/>
  <c r="E170" i="1"/>
  <c r="D170" i="1"/>
  <c r="A170" i="1"/>
  <c r="H169" i="1"/>
  <c r="G169" i="1"/>
  <c r="F169" i="1"/>
  <c r="E169" i="1"/>
  <c r="D169" i="1"/>
  <c r="A169" i="1"/>
  <c r="H168" i="1"/>
  <c r="G168" i="1"/>
  <c r="F168" i="1"/>
  <c r="E168" i="1"/>
  <c r="D168" i="1"/>
  <c r="A168" i="1"/>
  <c r="H167" i="1"/>
  <c r="G167" i="1"/>
  <c r="F167" i="1"/>
  <c r="E167" i="1"/>
  <c r="D167" i="1"/>
  <c r="A167" i="1"/>
  <c r="H166" i="1"/>
  <c r="G166" i="1"/>
  <c r="F166" i="1"/>
  <c r="E166" i="1"/>
  <c r="D166" i="1"/>
  <c r="A166" i="1"/>
  <c r="H165" i="1"/>
  <c r="G165" i="1"/>
  <c r="F165" i="1"/>
  <c r="E165" i="1"/>
  <c r="D165" i="1"/>
  <c r="A165" i="1"/>
  <c r="H164" i="1"/>
  <c r="G164" i="1"/>
  <c r="F164" i="1"/>
  <c r="E164" i="1"/>
  <c r="D164" i="1"/>
  <c r="A164" i="1"/>
  <c r="H163" i="1"/>
  <c r="G163" i="1"/>
  <c r="F163" i="1"/>
  <c r="E163" i="1"/>
  <c r="D163" i="1"/>
  <c r="A163" i="1"/>
  <c r="H162" i="1"/>
  <c r="G162" i="1"/>
  <c r="F162" i="1"/>
  <c r="E162" i="1"/>
  <c r="D162" i="1"/>
  <c r="A162" i="1"/>
  <c r="H161" i="1"/>
  <c r="G161" i="1"/>
  <c r="F161" i="1"/>
  <c r="E161" i="1"/>
  <c r="D161" i="1"/>
  <c r="A161" i="1"/>
  <c r="H160" i="1"/>
  <c r="G160" i="1"/>
  <c r="F160" i="1"/>
  <c r="E160" i="1"/>
  <c r="D160" i="1"/>
  <c r="A160" i="1"/>
  <c r="H159" i="1"/>
  <c r="G159" i="1"/>
  <c r="F159" i="1"/>
  <c r="E159" i="1"/>
  <c r="D159" i="1"/>
  <c r="A159" i="1"/>
  <c r="H158" i="1"/>
  <c r="G158" i="1"/>
  <c r="F158" i="1"/>
  <c r="E158" i="1"/>
  <c r="D158" i="1"/>
  <c r="A158" i="1"/>
  <c r="H157" i="1"/>
  <c r="G157" i="1"/>
  <c r="F157" i="1"/>
  <c r="E157" i="1"/>
  <c r="D157" i="1"/>
  <c r="A157" i="1"/>
  <c r="H156" i="1"/>
  <c r="G156" i="1"/>
  <c r="F156" i="1"/>
  <c r="E156" i="1"/>
  <c r="D156" i="1"/>
  <c r="A156" i="1"/>
  <c r="H155" i="1"/>
  <c r="G155" i="1"/>
  <c r="F155" i="1"/>
  <c r="E155" i="1"/>
  <c r="D155" i="1"/>
  <c r="A155" i="1"/>
  <c r="H154" i="1"/>
  <c r="G154" i="1"/>
  <c r="F154" i="1"/>
  <c r="E154" i="1"/>
  <c r="D154" i="1"/>
  <c r="A154" i="1"/>
  <c r="H153" i="1"/>
  <c r="G153" i="1"/>
  <c r="F153" i="1"/>
  <c r="E153" i="1"/>
  <c r="D153" i="1"/>
  <c r="A153" i="1"/>
  <c r="H152" i="1"/>
  <c r="G152" i="1"/>
  <c r="F152" i="1"/>
  <c r="E152" i="1"/>
  <c r="D152" i="1"/>
  <c r="A152" i="1"/>
  <c r="H151" i="1"/>
  <c r="G151" i="1"/>
  <c r="F151" i="1"/>
  <c r="E151" i="1"/>
  <c r="D151" i="1"/>
  <c r="A151" i="1"/>
  <c r="H150" i="1"/>
  <c r="G150" i="1"/>
  <c r="F150" i="1"/>
  <c r="E150" i="1"/>
  <c r="D150" i="1"/>
  <c r="A150" i="1"/>
  <c r="H149" i="1"/>
  <c r="G149" i="1"/>
  <c r="F149" i="1"/>
  <c r="E149" i="1"/>
  <c r="D149" i="1"/>
  <c r="A149" i="1"/>
  <c r="H148" i="1"/>
  <c r="G148" i="1"/>
  <c r="F148" i="1"/>
  <c r="E148" i="1"/>
  <c r="D148" i="1"/>
  <c r="A148" i="1"/>
  <c r="H147" i="1"/>
  <c r="G147" i="1"/>
  <c r="F147" i="1"/>
  <c r="E147" i="1"/>
  <c r="D147" i="1"/>
  <c r="A147" i="1"/>
  <c r="H146" i="1"/>
  <c r="G146" i="1"/>
  <c r="F146" i="1"/>
  <c r="E146" i="1"/>
  <c r="D146" i="1"/>
  <c r="A146" i="1"/>
  <c r="H145" i="1"/>
  <c r="G145" i="1"/>
  <c r="F145" i="1"/>
  <c r="E145" i="1"/>
  <c r="D145" i="1"/>
  <c r="A145" i="1"/>
  <c r="H144" i="1"/>
  <c r="G144" i="1"/>
  <c r="F144" i="1"/>
  <c r="E144" i="1"/>
  <c r="D144" i="1"/>
  <c r="A144" i="1"/>
  <c r="H143" i="1"/>
  <c r="G143" i="1"/>
  <c r="F143" i="1"/>
  <c r="E143" i="1"/>
  <c r="D143" i="1"/>
  <c r="A143" i="1"/>
  <c r="H142" i="1"/>
  <c r="G142" i="1"/>
  <c r="F142" i="1"/>
  <c r="E142" i="1"/>
  <c r="D142" i="1"/>
  <c r="A142" i="1"/>
  <c r="H141" i="1"/>
  <c r="G141" i="1"/>
  <c r="F141" i="1"/>
  <c r="E141" i="1"/>
  <c r="D141" i="1"/>
  <c r="A141" i="1"/>
  <c r="H140" i="1"/>
  <c r="G140" i="1"/>
  <c r="F140" i="1"/>
  <c r="E140" i="1"/>
  <c r="D140" i="1"/>
  <c r="A140" i="1"/>
  <c r="H139" i="1"/>
  <c r="G139" i="1"/>
  <c r="F139" i="1"/>
  <c r="E139" i="1"/>
  <c r="D139" i="1"/>
  <c r="A139" i="1"/>
  <c r="H138" i="1"/>
  <c r="G138" i="1"/>
  <c r="F138" i="1"/>
  <c r="E138" i="1"/>
  <c r="D138" i="1"/>
  <c r="A138" i="1"/>
  <c r="H137" i="1"/>
  <c r="G137" i="1"/>
  <c r="F137" i="1"/>
  <c r="E137" i="1"/>
  <c r="D137" i="1"/>
  <c r="A137" i="1"/>
  <c r="H136" i="1"/>
  <c r="G136" i="1"/>
  <c r="F136" i="1"/>
  <c r="E136" i="1"/>
  <c r="D136" i="1"/>
  <c r="A136" i="1"/>
  <c r="H135" i="1"/>
  <c r="G135" i="1"/>
  <c r="F135" i="1"/>
  <c r="E135" i="1"/>
  <c r="D135" i="1"/>
  <c r="A135" i="1"/>
  <c r="H134" i="1"/>
  <c r="G134" i="1"/>
  <c r="F134" i="1"/>
  <c r="E134" i="1"/>
  <c r="D134" i="1"/>
  <c r="A134" i="1"/>
  <c r="H133" i="1"/>
  <c r="G133" i="1"/>
  <c r="F133" i="1"/>
  <c r="E133" i="1"/>
  <c r="D133" i="1"/>
  <c r="A133" i="1"/>
  <c r="H132" i="1"/>
  <c r="G132" i="1"/>
  <c r="F132" i="1"/>
  <c r="E132" i="1"/>
  <c r="D132" i="1"/>
  <c r="A132" i="1"/>
  <c r="H131" i="1"/>
  <c r="G131" i="1"/>
  <c r="F131" i="1"/>
  <c r="E131" i="1"/>
  <c r="D131" i="1"/>
  <c r="A131" i="1"/>
  <c r="H130" i="1"/>
  <c r="G130" i="1"/>
  <c r="F130" i="1"/>
  <c r="E130" i="1"/>
  <c r="D130" i="1"/>
  <c r="A130" i="1"/>
  <c r="H129" i="1"/>
  <c r="G129" i="1"/>
  <c r="F129" i="1"/>
  <c r="E129" i="1"/>
  <c r="D129" i="1"/>
  <c r="A129" i="1"/>
  <c r="H128" i="1"/>
  <c r="G128" i="1"/>
  <c r="F128" i="1"/>
  <c r="E128" i="1"/>
  <c r="D128" i="1"/>
  <c r="A128" i="1"/>
  <c r="H127" i="1"/>
  <c r="G127" i="1"/>
  <c r="F127" i="1"/>
  <c r="E127" i="1"/>
  <c r="D127" i="1"/>
  <c r="A127" i="1"/>
  <c r="H126" i="1"/>
  <c r="G126" i="1"/>
  <c r="F126" i="1"/>
  <c r="E126" i="1"/>
  <c r="D126" i="1"/>
  <c r="A126" i="1"/>
  <c r="H125" i="1"/>
  <c r="G125" i="1"/>
  <c r="F125" i="1"/>
  <c r="E125" i="1"/>
  <c r="D125" i="1"/>
  <c r="A125" i="1"/>
  <c r="H124" i="1"/>
  <c r="G124" i="1"/>
  <c r="F124" i="1"/>
  <c r="E124" i="1"/>
  <c r="D124" i="1"/>
  <c r="A124" i="1"/>
  <c r="H123" i="1"/>
  <c r="G123" i="1"/>
  <c r="F123" i="1"/>
  <c r="E123" i="1"/>
  <c r="D123" i="1"/>
  <c r="A123" i="1"/>
  <c r="H122" i="1"/>
  <c r="G122" i="1"/>
  <c r="F122" i="1"/>
  <c r="E122" i="1"/>
  <c r="D122" i="1"/>
  <c r="A122" i="1"/>
  <c r="H121" i="1"/>
  <c r="G121" i="1"/>
  <c r="F121" i="1"/>
  <c r="E121" i="1"/>
  <c r="D121" i="1"/>
  <c r="A121" i="1"/>
  <c r="H120" i="1"/>
  <c r="G120" i="1"/>
  <c r="F120" i="1"/>
  <c r="E120" i="1"/>
  <c r="D120" i="1"/>
  <c r="A120" i="1"/>
  <c r="H119" i="1"/>
  <c r="G119" i="1"/>
  <c r="F119" i="1"/>
  <c r="E119" i="1"/>
  <c r="D119" i="1"/>
  <c r="A119" i="1"/>
  <c r="H118" i="1"/>
  <c r="G118" i="1"/>
  <c r="F118" i="1"/>
  <c r="E118" i="1"/>
  <c r="D118" i="1"/>
  <c r="A118" i="1"/>
  <c r="H117" i="1"/>
  <c r="G117" i="1"/>
  <c r="F117" i="1"/>
  <c r="E117" i="1"/>
  <c r="D117" i="1"/>
  <c r="A117" i="1"/>
  <c r="H116" i="1"/>
  <c r="G116" i="1"/>
  <c r="F116" i="1"/>
  <c r="E116" i="1"/>
  <c r="D116" i="1"/>
  <c r="A116" i="1"/>
  <c r="H115" i="1"/>
  <c r="G115" i="1"/>
  <c r="F115" i="1"/>
  <c r="E115" i="1"/>
  <c r="D115" i="1"/>
  <c r="A115" i="1"/>
  <c r="H114" i="1"/>
  <c r="G114" i="1"/>
  <c r="F114" i="1"/>
  <c r="E114" i="1"/>
  <c r="D114" i="1"/>
  <c r="A114" i="1"/>
  <c r="H113" i="1"/>
  <c r="G113" i="1"/>
  <c r="F113" i="1"/>
  <c r="E113" i="1"/>
  <c r="D113" i="1"/>
  <c r="A113" i="1"/>
  <c r="H112" i="1"/>
  <c r="G112" i="1"/>
  <c r="F112" i="1"/>
  <c r="E112" i="1"/>
  <c r="D112" i="1"/>
  <c r="A112" i="1"/>
  <c r="H111" i="1"/>
  <c r="G111" i="1"/>
  <c r="F111" i="1"/>
  <c r="E111" i="1"/>
  <c r="D111" i="1"/>
  <c r="A111" i="1"/>
  <c r="H110" i="1"/>
  <c r="G110" i="1"/>
  <c r="F110" i="1"/>
  <c r="E110" i="1"/>
  <c r="D110" i="1"/>
  <c r="A110" i="1"/>
  <c r="H109" i="1"/>
  <c r="G109" i="1"/>
  <c r="F109" i="1"/>
  <c r="E109" i="1"/>
  <c r="D109" i="1"/>
  <c r="A109" i="1"/>
  <c r="H108" i="1"/>
  <c r="G108" i="1"/>
  <c r="F108" i="1"/>
  <c r="E108" i="1"/>
  <c r="D108" i="1"/>
  <c r="A108" i="1"/>
  <c r="H107" i="1"/>
  <c r="G107" i="1"/>
  <c r="F107" i="1"/>
  <c r="E107" i="1"/>
  <c r="D107" i="1"/>
  <c r="A107" i="1"/>
  <c r="H106" i="1"/>
  <c r="G106" i="1"/>
  <c r="F106" i="1"/>
  <c r="E106" i="1"/>
  <c r="D106" i="1"/>
  <c r="A106" i="1"/>
  <c r="H105" i="1"/>
  <c r="G105" i="1"/>
  <c r="F105" i="1"/>
  <c r="E105" i="1"/>
  <c r="D105" i="1"/>
  <c r="A105" i="1"/>
  <c r="H104" i="1"/>
  <c r="G104" i="1"/>
  <c r="F104" i="1"/>
  <c r="E104" i="1"/>
  <c r="D104" i="1"/>
  <c r="A104" i="1"/>
  <c r="H103" i="1"/>
  <c r="G103" i="1"/>
  <c r="F103" i="1"/>
  <c r="E103" i="1"/>
  <c r="D103" i="1"/>
  <c r="A103" i="1"/>
  <c r="H102" i="1"/>
  <c r="G102" i="1"/>
  <c r="F102" i="1"/>
  <c r="E102" i="1"/>
  <c r="D102" i="1"/>
  <c r="A102" i="1"/>
  <c r="H101" i="1"/>
  <c r="G101" i="1"/>
  <c r="F101" i="1"/>
  <c r="E101" i="1"/>
  <c r="D101" i="1"/>
  <c r="A101" i="1"/>
  <c r="H100" i="1"/>
  <c r="G100" i="1"/>
  <c r="F100" i="1"/>
  <c r="E100" i="1"/>
  <c r="D100" i="1"/>
  <c r="A100" i="1"/>
  <c r="H99" i="1"/>
  <c r="G99" i="1"/>
  <c r="F99" i="1"/>
  <c r="E99" i="1"/>
  <c r="D99" i="1"/>
  <c r="A99" i="1"/>
  <c r="H98" i="1"/>
  <c r="G98" i="1"/>
  <c r="F98" i="1"/>
  <c r="E98" i="1"/>
  <c r="D98" i="1"/>
  <c r="A98" i="1"/>
  <c r="H97" i="1"/>
  <c r="G97" i="1"/>
  <c r="F97" i="1"/>
  <c r="E97" i="1"/>
  <c r="D97" i="1"/>
  <c r="A97" i="1"/>
  <c r="H96" i="1"/>
  <c r="G96" i="1"/>
  <c r="F96" i="1"/>
  <c r="E96" i="1"/>
  <c r="D96" i="1"/>
  <c r="A96" i="1"/>
  <c r="H95" i="1"/>
  <c r="G95" i="1"/>
  <c r="F95" i="1"/>
  <c r="E95" i="1"/>
  <c r="D95" i="1"/>
  <c r="A95" i="1"/>
  <c r="H94" i="1"/>
  <c r="G94" i="1"/>
  <c r="F94" i="1"/>
  <c r="E94" i="1"/>
  <c r="D94" i="1"/>
  <c r="A94" i="1"/>
  <c r="H93" i="1"/>
  <c r="G93" i="1"/>
  <c r="F93" i="1"/>
  <c r="E93" i="1"/>
  <c r="D93" i="1"/>
  <c r="A93" i="1"/>
  <c r="H92" i="1"/>
  <c r="G92" i="1"/>
  <c r="F92" i="1"/>
  <c r="E92" i="1"/>
  <c r="D92" i="1"/>
  <c r="A92" i="1"/>
  <c r="H91" i="1"/>
  <c r="G91" i="1"/>
  <c r="F91" i="1"/>
  <c r="E91" i="1"/>
  <c r="D91" i="1"/>
  <c r="A91" i="1"/>
  <c r="H90" i="1"/>
  <c r="G90" i="1"/>
  <c r="F90" i="1"/>
  <c r="E90" i="1"/>
  <c r="D90" i="1"/>
  <c r="A90" i="1"/>
  <c r="H89" i="1"/>
  <c r="G89" i="1"/>
  <c r="F89" i="1"/>
  <c r="E89" i="1"/>
  <c r="D89" i="1"/>
  <c r="A89" i="1"/>
  <c r="H88" i="1"/>
  <c r="G88" i="1"/>
  <c r="F88" i="1"/>
  <c r="E88" i="1"/>
  <c r="D88" i="1"/>
  <c r="A88" i="1"/>
  <c r="H87" i="1"/>
  <c r="G87" i="1"/>
  <c r="F87" i="1"/>
  <c r="E87" i="1"/>
  <c r="D87" i="1"/>
  <c r="A87" i="1"/>
  <c r="H86" i="1"/>
  <c r="G86" i="1"/>
  <c r="F86" i="1"/>
  <c r="E86" i="1"/>
  <c r="D86" i="1"/>
  <c r="A86" i="1"/>
  <c r="H85" i="1"/>
  <c r="G85" i="1"/>
  <c r="F85" i="1"/>
  <c r="E85" i="1"/>
  <c r="D85" i="1"/>
  <c r="A85" i="1"/>
  <c r="H84" i="1"/>
  <c r="G84" i="1"/>
  <c r="F84" i="1"/>
  <c r="E84" i="1"/>
  <c r="D84" i="1"/>
  <c r="A84" i="1"/>
  <c r="H83" i="1"/>
  <c r="G83" i="1"/>
  <c r="F83" i="1"/>
  <c r="E83" i="1"/>
  <c r="D83" i="1"/>
  <c r="A83" i="1"/>
  <c r="H82" i="1"/>
  <c r="G82" i="1"/>
  <c r="F82" i="1"/>
  <c r="E82" i="1"/>
  <c r="D82" i="1"/>
  <c r="A82" i="1"/>
  <c r="H81" i="1"/>
  <c r="G81" i="1"/>
  <c r="F81" i="1"/>
  <c r="E81" i="1"/>
  <c r="D81" i="1"/>
  <c r="A81" i="1"/>
  <c r="H80" i="1"/>
  <c r="G80" i="1"/>
  <c r="F80" i="1"/>
  <c r="E80" i="1"/>
  <c r="D80" i="1"/>
  <c r="A80" i="1"/>
  <c r="H79" i="1"/>
  <c r="G79" i="1"/>
  <c r="F79" i="1"/>
  <c r="E79" i="1"/>
  <c r="D79" i="1"/>
  <c r="A79" i="1"/>
  <c r="H78" i="1"/>
  <c r="G78" i="1"/>
  <c r="F78" i="1"/>
  <c r="E78" i="1"/>
  <c r="D78" i="1"/>
  <c r="A78" i="1"/>
  <c r="H77" i="1"/>
  <c r="G77" i="1"/>
  <c r="F77" i="1"/>
  <c r="E77" i="1"/>
  <c r="D77" i="1"/>
  <c r="A77" i="1"/>
  <c r="H76" i="1"/>
  <c r="G76" i="1"/>
  <c r="F76" i="1"/>
  <c r="E76" i="1"/>
  <c r="D76" i="1"/>
  <c r="A76" i="1"/>
  <c r="H75" i="1"/>
  <c r="G75" i="1"/>
  <c r="F75" i="1"/>
  <c r="E75" i="1"/>
  <c r="D75" i="1"/>
  <c r="A75" i="1"/>
  <c r="H74" i="1"/>
  <c r="G74" i="1"/>
  <c r="F74" i="1"/>
  <c r="E74" i="1"/>
  <c r="D74" i="1"/>
  <c r="A74" i="1"/>
  <c r="H73" i="1"/>
  <c r="G73" i="1"/>
  <c r="F73" i="1"/>
  <c r="E73" i="1"/>
  <c r="D73" i="1"/>
  <c r="A73" i="1"/>
  <c r="H72" i="1"/>
  <c r="G72" i="1"/>
  <c r="F72" i="1"/>
  <c r="E72" i="1"/>
  <c r="D72" i="1"/>
  <c r="A72" i="1"/>
  <c r="H71" i="1"/>
  <c r="G71" i="1"/>
  <c r="F71" i="1"/>
  <c r="E71" i="1"/>
  <c r="D71" i="1"/>
  <c r="A71" i="1"/>
  <c r="H70" i="1"/>
  <c r="G70" i="1"/>
  <c r="F70" i="1"/>
  <c r="E70" i="1"/>
  <c r="D70" i="1"/>
  <c r="A70" i="1"/>
  <c r="H69" i="1"/>
  <c r="G69" i="1"/>
  <c r="F69" i="1"/>
  <c r="E69" i="1"/>
  <c r="D69" i="1"/>
  <c r="A69" i="1"/>
  <c r="H68" i="1"/>
  <c r="G68" i="1"/>
  <c r="F68" i="1"/>
  <c r="E68" i="1"/>
  <c r="D68" i="1"/>
  <c r="A68" i="1"/>
  <c r="H67" i="1"/>
  <c r="G67" i="1"/>
  <c r="F67" i="1"/>
  <c r="E67" i="1"/>
  <c r="D67" i="1"/>
  <c r="A67" i="1"/>
  <c r="H66" i="1"/>
  <c r="G66" i="1"/>
  <c r="F66" i="1"/>
  <c r="E66" i="1"/>
  <c r="D66" i="1"/>
  <c r="A66" i="1"/>
  <c r="H65" i="1"/>
  <c r="G65" i="1"/>
  <c r="F65" i="1"/>
  <c r="E65" i="1"/>
  <c r="D65" i="1"/>
  <c r="A65" i="1"/>
  <c r="H64" i="1"/>
  <c r="G64" i="1"/>
  <c r="F64" i="1"/>
  <c r="E64" i="1"/>
  <c r="D64" i="1"/>
  <c r="A64" i="1"/>
  <c r="H63" i="1"/>
  <c r="G63" i="1"/>
  <c r="F63" i="1"/>
  <c r="E63" i="1"/>
  <c r="D63" i="1"/>
  <c r="A63" i="1"/>
  <c r="H62" i="1"/>
  <c r="G62" i="1"/>
  <c r="F62" i="1"/>
  <c r="E62" i="1"/>
  <c r="D62" i="1"/>
  <c r="A62" i="1"/>
  <c r="H61" i="1"/>
  <c r="G61" i="1"/>
  <c r="F61" i="1"/>
  <c r="E61" i="1"/>
  <c r="D61" i="1"/>
  <c r="A61" i="1"/>
  <c r="H60" i="1"/>
  <c r="G60" i="1"/>
  <c r="F60" i="1"/>
  <c r="E60" i="1"/>
  <c r="D60" i="1"/>
  <c r="A60" i="1"/>
  <c r="H59" i="1"/>
  <c r="G59" i="1"/>
  <c r="F59" i="1"/>
  <c r="E59" i="1"/>
  <c r="D59" i="1"/>
  <c r="A59" i="1"/>
  <c r="H58" i="1"/>
  <c r="G58" i="1"/>
  <c r="F58" i="1"/>
  <c r="E58" i="1"/>
  <c r="D58" i="1"/>
  <c r="A58" i="1"/>
  <c r="H57" i="1"/>
  <c r="G57" i="1"/>
  <c r="F57" i="1"/>
  <c r="E57" i="1"/>
  <c r="D57" i="1"/>
  <c r="A57" i="1"/>
  <c r="H56" i="1"/>
  <c r="G56" i="1"/>
  <c r="F56" i="1"/>
  <c r="E56" i="1"/>
  <c r="D56" i="1"/>
  <c r="A56" i="1"/>
  <c r="H55" i="1"/>
  <c r="G55" i="1"/>
  <c r="F55" i="1"/>
  <c r="E55" i="1"/>
  <c r="D55" i="1"/>
  <c r="A55" i="1"/>
  <c r="H54" i="1"/>
  <c r="G54" i="1"/>
  <c r="F54" i="1"/>
  <c r="E54" i="1"/>
  <c r="D54" i="1"/>
  <c r="A54" i="1"/>
  <c r="H53" i="1"/>
  <c r="G53" i="1"/>
  <c r="F53" i="1"/>
  <c r="E53" i="1"/>
  <c r="D53" i="1"/>
  <c r="A53" i="1"/>
  <c r="H52" i="1"/>
  <c r="G52" i="1"/>
  <c r="F52" i="1"/>
  <c r="E52" i="1"/>
  <c r="D52" i="1"/>
  <c r="A52" i="1"/>
  <c r="H51" i="1"/>
  <c r="G51" i="1"/>
  <c r="F51" i="1"/>
  <c r="E51" i="1"/>
  <c r="D51" i="1"/>
  <c r="A51" i="1"/>
  <c r="H50" i="1"/>
  <c r="G50" i="1"/>
  <c r="F50" i="1"/>
  <c r="E50" i="1"/>
  <c r="D50" i="1"/>
  <c r="A50" i="1"/>
  <c r="H49" i="1"/>
  <c r="G49" i="1"/>
  <c r="F49" i="1"/>
  <c r="E49" i="1"/>
  <c r="D49" i="1"/>
  <c r="A49" i="1"/>
  <c r="H48" i="1"/>
  <c r="G48" i="1"/>
  <c r="F48" i="1"/>
  <c r="E48" i="1"/>
  <c r="D48" i="1"/>
  <c r="A48" i="1"/>
  <c r="H47" i="1"/>
  <c r="G47" i="1"/>
  <c r="F47" i="1"/>
  <c r="E47" i="1"/>
  <c r="D47" i="1"/>
  <c r="A47" i="1"/>
  <c r="H46" i="1"/>
  <c r="G46" i="1"/>
  <c r="F46" i="1"/>
  <c r="E46" i="1"/>
  <c r="D46" i="1"/>
  <c r="A46" i="1"/>
  <c r="H45" i="1"/>
  <c r="G45" i="1"/>
  <c r="F45" i="1"/>
  <c r="E45" i="1"/>
  <c r="D45" i="1"/>
  <c r="A45" i="1"/>
  <c r="H44" i="1"/>
  <c r="G44" i="1"/>
  <c r="F44" i="1"/>
  <c r="E44" i="1"/>
  <c r="D44" i="1"/>
  <c r="A44" i="1"/>
  <c r="H43" i="1"/>
  <c r="G43" i="1"/>
  <c r="F43" i="1"/>
  <c r="E43" i="1"/>
  <c r="D43" i="1"/>
  <c r="A43" i="1"/>
  <c r="H42" i="1"/>
  <c r="G42" i="1"/>
  <c r="F42" i="1"/>
  <c r="E42" i="1"/>
  <c r="D42" i="1"/>
  <c r="A42" i="1"/>
  <c r="H41" i="1"/>
  <c r="G41" i="1"/>
  <c r="F41" i="1"/>
  <c r="E41" i="1"/>
  <c r="D41" i="1"/>
  <c r="A41" i="1"/>
  <c r="H40" i="1"/>
  <c r="G40" i="1"/>
  <c r="F40" i="1"/>
  <c r="E40" i="1"/>
  <c r="D40" i="1"/>
  <c r="A40" i="1"/>
  <c r="H39" i="1"/>
  <c r="G39" i="1"/>
  <c r="F39" i="1"/>
  <c r="E39" i="1"/>
  <c r="D39" i="1"/>
  <c r="A39" i="1"/>
  <c r="H38" i="1"/>
  <c r="G38" i="1"/>
  <c r="F38" i="1"/>
  <c r="E38" i="1"/>
  <c r="D38" i="1"/>
  <c r="A38" i="1"/>
  <c r="H37" i="1"/>
  <c r="G37" i="1"/>
  <c r="F37" i="1"/>
  <c r="E37" i="1"/>
  <c r="D37" i="1"/>
  <c r="A37" i="1"/>
  <c r="H36" i="1"/>
  <c r="G36" i="1"/>
  <c r="F36" i="1"/>
  <c r="E36" i="1"/>
  <c r="D36" i="1"/>
  <c r="A36" i="1"/>
  <c r="H35" i="1"/>
  <c r="G35" i="1"/>
  <c r="F35" i="1"/>
  <c r="E35" i="1"/>
  <c r="D35" i="1"/>
  <c r="A35" i="1"/>
  <c r="H34" i="1"/>
  <c r="G34" i="1"/>
  <c r="F34" i="1"/>
  <c r="E34" i="1"/>
  <c r="D34" i="1"/>
  <c r="A34" i="1"/>
  <c r="H33" i="1"/>
  <c r="G33" i="1"/>
  <c r="F33" i="1"/>
  <c r="E33" i="1"/>
  <c r="D33" i="1"/>
  <c r="A33" i="1"/>
  <c r="H32" i="1"/>
  <c r="G32" i="1"/>
  <c r="F32" i="1"/>
  <c r="E32" i="1"/>
  <c r="D32" i="1"/>
  <c r="A32" i="1"/>
  <c r="H31" i="1"/>
  <c r="G31" i="1"/>
  <c r="F31" i="1"/>
  <c r="E31" i="1"/>
  <c r="D31" i="1"/>
  <c r="A31" i="1"/>
  <c r="H30" i="1"/>
  <c r="G30" i="1"/>
  <c r="F30" i="1"/>
  <c r="E30" i="1"/>
  <c r="D30" i="1"/>
  <c r="A30" i="1"/>
  <c r="H29" i="1"/>
  <c r="G29" i="1"/>
  <c r="F29" i="1"/>
  <c r="E29" i="1"/>
  <c r="D29" i="1"/>
  <c r="A29" i="1"/>
  <c r="H28" i="1"/>
  <c r="G28" i="1"/>
  <c r="F28" i="1"/>
  <c r="E28" i="1"/>
  <c r="D28" i="1"/>
  <c r="A28" i="1"/>
  <c r="H27" i="1"/>
  <c r="G27" i="1"/>
  <c r="F27" i="1"/>
  <c r="E27" i="1"/>
  <c r="D27" i="1"/>
  <c r="A27" i="1"/>
  <c r="H26" i="1"/>
  <c r="G26" i="1"/>
  <c r="F26" i="1"/>
  <c r="E26" i="1"/>
  <c r="D26" i="1"/>
  <c r="A26" i="1"/>
  <c r="H25" i="1"/>
  <c r="G25" i="1"/>
  <c r="F25" i="1"/>
  <c r="E25" i="1"/>
  <c r="D25" i="1"/>
  <c r="A25" i="1"/>
  <c r="H24" i="1"/>
  <c r="G24" i="1"/>
  <c r="F24" i="1"/>
  <c r="E24" i="1"/>
  <c r="D24" i="1"/>
  <c r="A24" i="1"/>
  <c r="H23" i="1"/>
  <c r="G23" i="1"/>
  <c r="F23" i="1"/>
  <c r="E23" i="1"/>
  <c r="D23" i="1"/>
  <c r="A23" i="1"/>
  <c r="H22" i="1"/>
  <c r="G22" i="1"/>
  <c r="F22" i="1"/>
  <c r="E22" i="1"/>
  <c r="D22" i="1"/>
  <c r="A22" i="1"/>
  <c r="H21" i="1"/>
  <c r="G21" i="1"/>
  <c r="F21" i="1"/>
  <c r="E21" i="1"/>
  <c r="D21" i="1"/>
  <c r="A21" i="1"/>
  <c r="H20" i="1"/>
  <c r="G20" i="1"/>
  <c r="F20" i="1"/>
  <c r="E20" i="1"/>
  <c r="D20" i="1"/>
  <c r="A20" i="1"/>
  <c r="H19" i="1"/>
  <c r="G19" i="1"/>
  <c r="F19" i="1"/>
  <c r="E19" i="1"/>
  <c r="D19" i="1"/>
  <c r="A19" i="1"/>
  <c r="H18" i="1"/>
  <c r="G18" i="1"/>
  <c r="F18" i="1"/>
  <c r="E18" i="1"/>
  <c r="D18" i="1"/>
  <c r="A18" i="1"/>
  <c r="H17" i="1"/>
  <c r="G17" i="1"/>
  <c r="F17" i="1"/>
  <c r="E17" i="1"/>
  <c r="D17" i="1"/>
  <c r="A17" i="1"/>
  <c r="H16" i="1"/>
  <c r="G16" i="1"/>
  <c r="F16" i="1"/>
  <c r="E16" i="1"/>
  <c r="D16" i="1"/>
  <c r="A16" i="1"/>
  <c r="H15" i="1"/>
  <c r="G15" i="1"/>
  <c r="F15" i="1"/>
  <c r="E15" i="1"/>
  <c r="D15" i="1"/>
  <c r="A15" i="1"/>
  <c r="H14" i="1"/>
  <c r="G14" i="1"/>
  <c r="F14" i="1"/>
  <c r="E14" i="1"/>
  <c r="D14" i="1"/>
  <c r="A14" i="1"/>
  <c r="H13" i="1"/>
  <c r="G13" i="1"/>
  <c r="F13" i="1"/>
  <c r="E13" i="1"/>
  <c r="D13" i="1"/>
  <c r="A13" i="1"/>
  <c r="H12" i="1"/>
  <c r="G12" i="1"/>
  <c r="F12" i="1"/>
  <c r="E12" i="1"/>
  <c r="D12" i="1"/>
  <c r="A12" i="1"/>
  <c r="H11" i="1"/>
  <c r="G11" i="1"/>
  <c r="F11" i="1"/>
  <c r="E11" i="1"/>
  <c r="D11" i="1"/>
  <c r="A11" i="1"/>
  <c r="H10" i="1"/>
  <c r="G10" i="1"/>
  <c r="F10" i="1"/>
  <c r="E10" i="1"/>
  <c r="D10" i="1"/>
  <c r="A10" i="1"/>
  <c r="H9" i="1"/>
  <c r="G9" i="1"/>
  <c r="F9" i="1"/>
  <c r="E9" i="1"/>
  <c r="D9" i="1"/>
  <c r="A9" i="1"/>
  <c r="H8" i="1"/>
  <c r="G8" i="1"/>
  <c r="F8" i="1"/>
  <c r="E8" i="1"/>
  <c r="D8" i="1"/>
  <c r="A8" i="1"/>
  <c r="H7" i="1"/>
  <c r="G7" i="1"/>
  <c r="F7" i="1"/>
  <c r="E7" i="1"/>
  <c r="D7" i="1"/>
  <c r="A7" i="1"/>
  <c r="H6" i="1"/>
  <c r="G6" i="1"/>
  <c r="F6" i="1"/>
  <c r="E6" i="1"/>
  <c r="D6" i="1"/>
  <c r="A6" i="1"/>
  <c r="H5" i="1"/>
  <c r="G5" i="1"/>
  <c r="F5" i="1"/>
  <c r="E5" i="1"/>
  <c r="D5" i="1"/>
  <c r="A5" i="1"/>
  <c r="H4" i="1"/>
  <c r="G4" i="1"/>
  <c r="F4" i="1"/>
  <c r="E4" i="1"/>
  <c r="D4" i="1"/>
  <c r="A4" i="1"/>
  <c r="H3" i="1"/>
  <c r="G3" i="1"/>
  <c r="F3" i="1"/>
  <c r="E3" i="1"/>
  <c r="D3" i="1"/>
  <c r="A3" i="1"/>
  <c r="H2" i="1"/>
  <c r="G2" i="1"/>
  <c r="F2" i="1"/>
  <c r="E2" i="1"/>
  <c r="D2" i="1"/>
  <c r="A2" i="1"/>
</calcChain>
</file>

<file path=xl/sharedStrings.xml><?xml version="1.0" encoding="utf-8"?>
<sst xmlns="http://schemas.openxmlformats.org/spreadsheetml/2006/main" count="36059" uniqueCount="9947">
  <si>
    <t>INVITACIÓN</t>
  </si>
  <si>
    <t>CEDULA</t>
  </si>
  <si>
    <t>NOMBRE</t>
  </si>
  <si>
    <t>Nombre Nivel 2</t>
  </si>
  <si>
    <t>Nombre Nivel 3</t>
  </si>
  <si>
    <t>Descripción Cargo</t>
  </si>
  <si>
    <t>Nombre Centro Costo</t>
  </si>
  <si>
    <t>ESCUELA</t>
  </si>
  <si>
    <t>1018432702</t>
  </si>
  <si>
    <t>SUAVITA PACHON SANDY VIVIANA</t>
  </si>
  <si>
    <t>1049651609</t>
  </si>
  <si>
    <t>JIMENEZ KATHERIN</t>
  </si>
  <si>
    <t>1067881438</t>
  </si>
  <si>
    <t>JIMENEZ MARVIN</t>
  </si>
  <si>
    <t>1013605549</t>
  </si>
  <si>
    <t>BLANCO CARRENO ANGIE MARICELLA</t>
  </si>
  <si>
    <t>43626114</t>
  </si>
  <si>
    <t>VASQUEZ RENDON DIANA CATALINA</t>
  </si>
  <si>
    <t>1143366944</t>
  </si>
  <si>
    <t>MARTINEZ CRISTIAN</t>
  </si>
  <si>
    <t>1023024030</t>
  </si>
  <si>
    <t>NOVOA BOBADILLA YULI TATIANA</t>
  </si>
  <si>
    <t>1098805687</t>
  </si>
  <si>
    <t>ESPITIA BARROS STEPHANY MARIA</t>
  </si>
  <si>
    <t>52996196</t>
  </si>
  <si>
    <t>MUNOZ FAJARDO MARIA CLAUDIA</t>
  </si>
  <si>
    <t>1030666008</t>
  </si>
  <si>
    <t>MONTES SERGIO NICOLAS</t>
  </si>
  <si>
    <t>1037638978</t>
  </si>
  <si>
    <t>MADRID TATIANA</t>
  </si>
  <si>
    <t>1110564323</t>
  </si>
  <si>
    <t>ORTIZ KEVIN</t>
  </si>
  <si>
    <t>1077973516</t>
  </si>
  <si>
    <t>MAHECHA JOSE ALEJANDRO</t>
  </si>
  <si>
    <t>1085316893</t>
  </si>
  <si>
    <t>MORENO LUCERO DIANA CAMILA</t>
  </si>
  <si>
    <t>1030568671</t>
  </si>
  <si>
    <t>GARCIA RODRIGUEZ DANIEL ALEJANDRO</t>
  </si>
  <si>
    <t>1143131682</t>
  </si>
  <si>
    <t>MEJIA ROSA</t>
  </si>
  <si>
    <t>91491578</t>
  </si>
  <si>
    <t>ZAMBRANO VALDIVIESO OSCAR JAVIER</t>
  </si>
  <si>
    <t>1019123955</t>
  </si>
  <si>
    <t>QUINTERO SAAVEDRA IRMA VICTORIA</t>
  </si>
  <si>
    <t>60343118</t>
  </si>
  <si>
    <t>DAVILA LOPEZ EVELIN SOFIA</t>
  </si>
  <si>
    <t>1075682856</t>
  </si>
  <si>
    <t>BOTONERO RODRIGUEZ JUAN CAMILO</t>
  </si>
  <si>
    <t>1082985223</t>
  </si>
  <si>
    <t>VEGA PENA ELIANA KARINA</t>
  </si>
  <si>
    <t>92098029</t>
  </si>
  <si>
    <t>HERNANDEZ JAYDER</t>
  </si>
  <si>
    <t>1110481707</t>
  </si>
  <si>
    <t>SERNA HERNANDEZ LUIS FERNANDO</t>
  </si>
  <si>
    <t>1193546208</t>
  </si>
  <si>
    <t>MOSCOSO RAMIREZ LAURA VALENTINA</t>
  </si>
  <si>
    <t>43157380</t>
  </si>
  <si>
    <t>GONZALEZ VASQUEZ LORMA VENCY</t>
  </si>
  <si>
    <t>94415760</t>
  </si>
  <si>
    <t>LIZCANO LOPEZ JHONNY ALEXIS</t>
  </si>
  <si>
    <t>76327577</t>
  </si>
  <si>
    <t>POLINDARA VELASCO JIMMY JEOVANY</t>
  </si>
  <si>
    <t>1098729791</t>
  </si>
  <si>
    <t>LOPEZ FLOREZ FRANKIN</t>
  </si>
  <si>
    <t>1098674090</t>
  </si>
  <si>
    <t>LEON QUIJANO SERGIO RICARDO</t>
  </si>
  <si>
    <t>1026581193</t>
  </si>
  <si>
    <t>OSORIO ROMERO ANGGIE STEFANIA</t>
  </si>
  <si>
    <t>1070961899</t>
  </si>
  <si>
    <t>AREVALO FELIPE</t>
  </si>
  <si>
    <t>79908489</t>
  </si>
  <si>
    <t>RIVERA-PLATA ALEJANDRO</t>
  </si>
  <si>
    <t>1031162225</t>
  </si>
  <si>
    <t>PORTUGUEZ RODRIGUEZ ANGEL LEONARDO</t>
  </si>
  <si>
    <t>7628681</t>
  </si>
  <si>
    <t>BRICENO ARIZA LEONAR JAVIER</t>
  </si>
  <si>
    <t>93387266</t>
  </si>
  <si>
    <t>BALLESTEROS HERRERA SERGIO ELADIOS</t>
  </si>
  <si>
    <t>1144137913</t>
  </si>
  <si>
    <t>RIASCOS FRANCISCO</t>
  </si>
  <si>
    <t>1085337433</t>
  </si>
  <si>
    <t>PORTILLO DELGADO LEIDY TATIANA</t>
  </si>
  <si>
    <t>87066255</t>
  </si>
  <si>
    <t>ALBORNOZ ALVARO</t>
  </si>
  <si>
    <t>1018474208</t>
  </si>
  <si>
    <t>SANCHEZ GUAL NATALY</t>
  </si>
  <si>
    <t>1129510093</t>
  </si>
  <si>
    <t>POSSO MENCO LAURA</t>
  </si>
  <si>
    <t>1030594467</t>
  </si>
  <si>
    <t>ZAPATA BARBOSA MICHAEL STEVEN</t>
  </si>
  <si>
    <t>52837475</t>
  </si>
  <si>
    <t>SANJUAN PABON LILIAN KATHERINE</t>
  </si>
  <si>
    <t>53055373</t>
  </si>
  <si>
    <t>LOAIZA JENNY</t>
  </si>
  <si>
    <t>1061773124</t>
  </si>
  <si>
    <t>SOLIS PINO ANDRES FELIPE</t>
  </si>
  <si>
    <t>1093788233</t>
  </si>
  <si>
    <t>RIVERA CANAS CRISTIAN FELIPE</t>
  </si>
  <si>
    <t>1026577799</t>
  </si>
  <si>
    <t>HERNANDEZ MILLAN DIANA KATHERINE</t>
  </si>
  <si>
    <t>1065879077</t>
  </si>
  <si>
    <t>MONTANO PLATA LUIS CARLOS</t>
  </si>
  <si>
    <t>1082936017</t>
  </si>
  <si>
    <t>LARA RODRIGUEZ MARTHA ROCIO</t>
  </si>
  <si>
    <t>1090463040</t>
  </si>
  <si>
    <t>ECHEVERRIA AVELLA ANA MARIA</t>
  </si>
  <si>
    <t>1067905069</t>
  </si>
  <si>
    <t>ANGULO GALLEGO YUBELLIZ DA</t>
  </si>
  <si>
    <t>79917783</t>
  </si>
  <si>
    <t>ESCOBAR PARDO OSCAR FRADIQUE</t>
  </si>
  <si>
    <t>1083025676</t>
  </si>
  <si>
    <t>PEREZ ARITAMA ANA MARIA</t>
  </si>
  <si>
    <t>1128481659</t>
  </si>
  <si>
    <t>MARTINEZ PALACIO LIZETH VANESSA</t>
  </si>
  <si>
    <t>1121838723</t>
  </si>
  <si>
    <t>RODRIGUEZ URUENA YAMILE</t>
  </si>
  <si>
    <t>1022330338</t>
  </si>
  <si>
    <t>RUBIO BUITRAGO NATHALIA CAROLINA</t>
  </si>
  <si>
    <t>1082938302</t>
  </si>
  <si>
    <t>ATEHORTUA LILIANA</t>
  </si>
  <si>
    <t>40670934</t>
  </si>
  <si>
    <t>CUERVO AULLON MONICA</t>
  </si>
  <si>
    <t>91294411</t>
  </si>
  <si>
    <t>RANGEL JAIME</t>
  </si>
  <si>
    <t>1075658839</t>
  </si>
  <si>
    <t>RODRIGUEZ CAROLINA</t>
  </si>
  <si>
    <t>1083006582</t>
  </si>
  <si>
    <t>ARZUZA SOFIA</t>
  </si>
  <si>
    <t>52311269</t>
  </si>
  <si>
    <t>CALENTURA PINILLA ROCIO</t>
  </si>
  <si>
    <t>37728273</t>
  </si>
  <si>
    <t>CARRENO SERRANO IVONNE</t>
  </si>
  <si>
    <t>1098772724</t>
  </si>
  <si>
    <t>CASTELLANOS GONZALEZ NIVER</t>
  </si>
  <si>
    <t>79712250</t>
  </si>
  <si>
    <t>VARGAS MARTINEZ JOSE FREDY</t>
  </si>
  <si>
    <t>1098612632</t>
  </si>
  <si>
    <t>PASACHOA LUNA LAURA MARCELA</t>
  </si>
  <si>
    <t>88285006</t>
  </si>
  <si>
    <t>CASADIEGO SARMIENTO RAFAEL EMILIO</t>
  </si>
  <si>
    <t>34607880</t>
  </si>
  <si>
    <t>ZAPATA NAVALES LUISA FERNANDA</t>
  </si>
  <si>
    <t>32106776</t>
  </si>
  <si>
    <t>GOMEZ NATALIA</t>
  </si>
  <si>
    <t>7175280</t>
  </si>
  <si>
    <t>PACHON EUGENIO JULIO CESAR</t>
  </si>
  <si>
    <t>1010176844</t>
  </si>
  <si>
    <t>CASTANEDA SANCHEZ ESTEBAN</t>
  </si>
  <si>
    <t>1018502574</t>
  </si>
  <si>
    <t>FORERO MARYLIN</t>
  </si>
  <si>
    <t>80858742</t>
  </si>
  <si>
    <t>PRIETO WILLIAM</t>
  </si>
  <si>
    <t>1020752802</t>
  </si>
  <si>
    <t>REINA CRISTOBAL</t>
  </si>
  <si>
    <t>52426062</t>
  </si>
  <si>
    <t>ANGARITA NINO DIANA PAOLA</t>
  </si>
  <si>
    <t>32852406</t>
  </si>
  <si>
    <t>JIMENEZ CORONADO ANGELICA MARIA</t>
  </si>
  <si>
    <t>1010245467</t>
  </si>
  <si>
    <t>SOLANO MILQUEZ LUISA FERNANDA</t>
  </si>
  <si>
    <t>80170838</t>
  </si>
  <si>
    <t>SEGURA FELIX EDUARDO</t>
  </si>
  <si>
    <t>1110498938</t>
  </si>
  <si>
    <t>GOMEZ GAMEZ CHARLINE GUISELY</t>
  </si>
  <si>
    <t>1073246656</t>
  </si>
  <si>
    <t>CORDERO MARTINEZ JULIAN ANDRES</t>
  </si>
  <si>
    <t>1104383780</t>
  </si>
  <si>
    <t>AGUAS RUTH</t>
  </si>
  <si>
    <t>1071143177</t>
  </si>
  <si>
    <t>RODRIGUEZ VELANDIA DIANA NAYIBE</t>
  </si>
  <si>
    <t>1031139139</t>
  </si>
  <si>
    <t>PARRA VIA CATHERINE</t>
  </si>
  <si>
    <t>80158429</t>
  </si>
  <si>
    <t>BOHORQUEZ GUZMAN MICHAEL LEONARDO</t>
  </si>
  <si>
    <t>1036621162</t>
  </si>
  <si>
    <t>CASTILLO MARTINEZ LUIS EDUARDO</t>
  </si>
  <si>
    <t>80850111</t>
  </si>
  <si>
    <t>PINZON RODRIGUEZ ANDRES FELIPE</t>
  </si>
  <si>
    <t>1102799105</t>
  </si>
  <si>
    <t>SEVERICHE SIERRA CARLOS ALBERTO</t>
  </si>
  <si>
    <t>1121881737</t>
  </si>
  <si>
    <t>ARIAS FRANCO JIMMY FERNANDO</t>
  </si>
  <si>
    <t>52961878</t>
  </si>
  <si>
    <t>MARINO SANDRA</t>
  </si>
  <si>
    <t>1014265157</t>
  </si>
  <si>
    <t>MONROY TATIANA</t>
  </si>
  <si>
    <t>78701547</t>
  </si>
  <si>
    <t>MARRUGO GONZALEZ RAMIRO ANTONIO</t>
  </si>
  <si>
    <t>1075291304</t>
  </si>
  <si>
    <t>TOVAR CLAROS CAMILO EDUARDO</t>
  </si>
  <si>
    <t>1075227985</t>
  </si>
  <si>
    <t>DIAZ TOVAR DIEGO FELIPE</t>
  </si>
  <si>
    <t>1143443135</t>
  </si>
  <si>
    <t>RODRIGUEZ MOLINA DANIELLA</t>
  </si>
  <si>
    <t>52384395</t>
  </si>
  <si>
    <t>FLOREZ GUTIERREZ MARLENE</t>
  </si>
  <si>
    <t>1098785431</t>
  </si>
  <si>
    <t>CASTRO QUINTERO JUAN PABLO</t>
  </si>
  <si>
    <t>80820052</t>
  </si>
  <si>
    <t>AREVALO VARGAS ISIDRO</t>
  </si>
  <si>
    <t>8642585</t>
  </si>
  <si>
    <t>HERRERA ESTRADA JUAN CARLOS</t>
  </si>
  <si>
    <t>25285106</t>
  </si>
  <si>
    <t>RIVERA SANCLEMENTE MARIA FERNANDA</t>
  </si>
  <si>
    <t>1121845334</t>
  </si>
  <si>
    <t>ROMERO SIERRA HAYDER ALEJANDRO</t>
  </si>
  <si>
    <t>1221964314</t>
  </si>
  <si>
    <t>GENOY HERNANDEZ LUZ ADRIANA</t>
  </si>
  <si>
    <t>52961282</t>
  </si>
  <si>
    <t>CAMACHO YANEZ ANDREA CAROLINA</t>
  </si>
  <si>
    <t>7727092</t>
  </si>
  <si>
    <t>HERNANDEZ SUAREZ JOSE SANTIAGO</t>
  </si>
  <si>
    <t>1019131801</t>
  </si>
  <si>
    <t>CASTILLO HIGUERA SANTIAGO</t>
  </si>
  <si>
    <t>1022351022</t>
  </si>
  <si>
    <t>CARRILLO GONZALEZ ANDRES</t>
  </si>
  <si>
    <t>1066745475</t>
  </si>
  <si>
    <t>MIRANDA MARIA ALEJANDRA DIAZ</t>
  </si>
  <si>
    <t>1077857943</t>
  </si>
  <si>
    <t>BARRERA SUAREZ SINDY JULIETH</t>
  </si>
  <si>
    <t>1012325080</t>
  </si>
  <si>
    <t>BERNAL MORENO HELBER MAURICIO</t>
  </si>
  <si>
    <t>80008786</t>
  </si>
  <si>
    <t>HEREDIA SANCHEZ GERMAN FERNANDO</t>
  </si>
  <si>
    <t>88209112</t>
  </si>
  <si>
    <t>BONILLA PABON WILSON</t>
  </si>
  <si>
    <t>63524441</t>
  </si>
  <si>
    <t>LESMES GOMEZ MARIA EDELMIRA</t>
  </si>
  <si>
    <t>1100958499</t>
  </si>
  <si>
    <t>MORA NOVOA SERGIO ALEXANDER</t>
  </si>
  <si>
    <t>78304161</t>
  </si>
  <si>
    <t>ROMERO TORRES MARIANO ESTEBAN</t>
  </si>
  <si>
    <t>1128277335</t>
  </si>
  <si>
    <t>ESCOBAR MEJIA MARIA JOSE</t>
  </si>
  <si>
    <t>1070014819</t>
  </si>
  <si>
    <t>MISERQUE MARTINEZ DIEGO SALIM</t>
  </si>
  <si>
    <t>94040452</t>
  </si>
  <si>
    <t>RIVERA FLOR HAMILTON</t>
  </si>
  <si>
    <t>1143358414</t>
  </si>
  <si>
    <t>JIMENEZ TOVAR MARY</t>
  </si>
  <si>
    <t>1026281005</t>
  </si>
  <si>
    <t>CASTANO VARGAS NIKY AXEL</t>
  </si>
  <si>
    <t>11318138</t>
  </si>
  <si>
    <t>RODRIGUEZ GARCIA MAURICIO</t>
  </si>
  <si>
    <t>1098750510</t>
  </si>
  <si>
    <t>ALVAREZ NELLY JOHANA</t>
  </si>
  <si>
    <t>87717473</t>
  </si>
  <si>
    <t>CHALAPUD NARVAEZ EDUARDO DAVID</t>
  </si>
  <si>
    <t>1100392179</t>
  </si>
  <si>
    <t>PARODIS HERRERA WILMER DE JESUS</t>
  </si>
  <si>
    <t>52837924</t>
  </si>
  <si>
    <t>VELEZ RUIZ IVETTE</t>
  </si>
  <si>
    <t>1064113622</t>
  </si>
  <si>
    <t>POLO KATERINE</t>
  </si>
  <si>
    <t>80903356</t>
  </si>
  <si>
    <t>SACRISTAN DAVID</t>
  </si>
  <si>
    <t>1090479144</t>
  </si>
  <si>
    <t>SIERRA CHACON YEISON</t>
  </si>
  <si>
    <t>38144894</t>
  </si>
  <si>
    <t>DIAZ SANCHEZ DIANA JOHANA</t>
  </si>
  <si>
    <t>33376443</t>
  </si>
  <si>
    <t>GONZALEZ BARON LINA JOHANA</t>
  </si>
  <si>
    <t>1082978773</t>
  </si>
  <si>
    <t>CABANA OLIVELLA ELVA MARIA</t>
  </si>
  <si>
    <t>63548400</t>
  </si>
  <si>
    <t>VILLAMIZAR PEREIRA GLORIA JULIANA</t>
  </si>
  <si>
    <t>1098723214</t>
  </si>
  <si>
    <t>JAIMES QUINTANILLA MARIA ALEJANDRA</t>
  </si>
  <si>
    <t>1113646018</t>
  </si>
  <si>
    <t>SANCHEZ YAMID</t>
  </si>
  <si>
    <t>52162436</t>
  </si>
  <si>
    <t>RODRIGUEZ HERNANDEZ LAY ARACELY</t>
  </si>
  <si>
    <t>88309061</t>
  </si>
  <si>
    <t>DAVILA LOPEZ FABIAN YESID</t>
  </si>
  <si>
    <t>80192830</t>
  </si>
  <si>
    <t>CORREA NUNEZ ANDRES CAMILO</t>
  </si>
  <si>
    <t>8851549</t>
  </si>
  <si>
    <t>BLANCO JAIME</t>
  </si>
  <si>
    <t>36723248</t>
  </si>
  <si>
    <t>MORALES TOBON YENIS ALEXANDRA</t>
  </si>
  <si>
    <t>52472476</t>
  </si>
  <si>
    <t>MAHECHA NARANJO GINA MARCELA</t>
  </si>
  <si>
    <t>23582948</t>
  </si>
  <si>
    <t>VARGAS DIAZ LORENA MARIA</t>
  </si>
  <si>
    <t>1020726680</t>
  </si>
  <si>
    <t>JARAMILLO SCARPETTA JUAN PABLO</t>
  </si>
  <si>
    <t>1073519113</t>
  </si>
  <si>
    <t>CASTILLO ORTIZ DIANA MARCELA</t>
  </si>
  <si>
    <t>80413048</t>
  </si>
  <si>
    <t>SANCHEZ SANCHEZ PEDRO ALEJANDRO</t>
  </si>
  <si>
    <t>64573945</t>
  </si>
  <si>
    <t>ARAQUE GENEY ERIKA ASTRID</t>
  </si>
  <si>
    <t>80150634</t>
  </si>
  <si>
    <t>MOLINA GILBERTO</t>
  </si>
  <si>
    <t>1015406707</t>
  </si>
  <si>
    <t>RAMIREZ BARRERA OSCAR DAVID</t>
  </si>
  <si>
    <t>1002710163</t>
  </si>
  <si>
    <t>AVILA SOTO LIS ALEJANDRA</t>
  </si>
  <si>
    <t>1083025743</t>
  </si>
  <si>
    <t>MORALES BARRIOS DANIEL</t>
  </si>
  <si>
    <t>1012336056</t>
  </si>
  <si>
    <t>ROMERO LUISA</t>
  </si>
  <si>
    <t>1083013646</t>
  </si>
  <si>
    <t>ACOSTA BARROS CARLOS MARIO</t>
  </si>
  <si>
    <t>1076647036</t>
  </si>
  <si>
    <t>OLARTE PARRA YOHANA CAROLINA</t>
  </si>
  <si>
    <t>1099217598</t>
  </si>
  <si>
    <t>MOSQUERA CASAS EMMANUEL</t>
  </si>
  <si>
    <t>46454820</t>
  </si>
  <si>
    <t>ARCHILA CARDENAS KAREN GIANETH</t>
  </si>
  <si>
    <t>1049619885</t>
  </si>
  <si>
    <t>ACOSTA GONZALEZ BEICY VIVIANA</t>
  </si>
  <si>
    <t>1071164615</t>
  </si>
  <si>
    <t>AYALA SANDINO FLOR</t>
  </si>
  <si>
    <t>79218737</t>
  </si>
  <si>
    <t>MORENO MARTINEZ OSCAR JAVIER</t>
  </si>
  <si>
    <t>1082897635</t>
  </si>
  <si>
    <t>ANTOLINEZ CHACIN LUIS GABRIEL</t>
  </si>
  <si>
    <t>1235539120</t>
  </si>
  <si>
    <t>GARCIA PAREDES LUIS EDUARDO</t>
  </si>
  <si>
    <t>53133811</t>
  </si>
  <si>
    <t>POLO DIANA</t>
  </si>
  <si>
    <t>37331457</t>
  </si>
  <si>
    <t>ALEY MARTINEZ OSMANY</t>
  </si>
  <si>
    <t>7630409</t>
  </si>
  <si>
    <t>DAVILA JOSE</t>
  </si>
  <si>
    <t>1083001191</t>
  </si>
  <si>
    <t>FONTALVO LADY</t>
  </si>
  <si>
    <t>80165920</t>
  </si>
  <si>
    <t>SAAVEDRA COTRINA DEIVER</t>
  </si>
  <si>
    <t>86058147</t>
  </si>
  <si>
    <t>PAEZ ROLANDO</t>
  </si>
  <si>
    <t>3251929</t>
  </si>
  <si>
    <t>BONILLA PARRA WILDAR</t>
  </si>
  <si>
    <t>1019022412</t>
  </si>
  <si>
    <t>CAMARGO SEBASTIAN</t>
  </si>
  <si>
    <t>1105786500</t>
  </si>
  <si>
    <t>OSPINA MAYKOL</t>
  </si>
  <si>
    <t>1121841722</t>
  </si>
  <si>
    <t>GALINDO LOPEZ MAIRA ALEJANDRA</t>
  </si>
  <si>
    <t>1094923793</t>
  </si>
  <si>
    <t>FERNANDEZ PATINO ANDRES FELIPE</t>
  </si>
  <si>
    <t>1064989313</t>
  </si>
  <si>
    <t>PARODI CAMANO TOBIAS ALFONSO</t>
  </si>
  <si>
    <t>1098737903</t>
  </si>
  <si>
    <t>HERNANDEZ RAMIREZ MILDRE YURANI</t>
  </si>
  <si>
    <t>1055988260</t>
  </si>
  <si>
    <t>SANTISTEBAN SANDOVAL IVAN MAURICIO</t>
  </si>
  <si>
    <t>79962217</t>
  </si>
  <si>
    <t>MENDEZ ZOTAQUIRA WILBER GIRSEAHO</t>
  </si>
  <si>
    <t>46384401</t>
  </si>
  <si>
    <t>CHAVEZ OTALORA ALBA MATILDE</t>
  </si>
  <si>
    <t>1085303066</t>
  </si>
  <si>
    <t>VELASCO PAREDES CAMILO</t>
  </si>
  <si>
    <t>1015424668</t>
  </si>
  <si>
    <t>CLAVIJO MORENO SERGIO ENRIQUE</t>
  </si>
  <si>
    <t>1053799856</t>
  </si>
  <si>
    <t>TRUJILLO JAIME</t>
  </si>
  <si>
    <t>1086301691</t>
  </si>
  <si>
    <t>MAFLA DANIEL</t>
  </si>
  <si>
    <t>1095946413</t>
  </si>
  <si>
    <t>JAIMES LEIDY</t>
  </si>
  <si>
    <t>11224488</t>
  </si>
  <si>
    <t>CALDERON MARTINEZ ALEXANDER</t>
  </si>
  <si>
    <t>93374523</t>
  </si>
  <si>
    <t>MUNOZ HERNANDEZ HELMER</t>
  </si>
  <si>
    <t>1020795177</t>
  </si>
  <si>
    <t>LUQUE Y GUZMAN SAENZ MARIO ALFONSO</t>
  </si>
  <si>
    <t>1000330756</t>
  </si>
  <si>
    <t>CORREA MANTILLA MARIANA</t>
  </si>
  <si>
    <t>80852845</t>
  </si>
  <si>
    <t>TAPIA DANIEL</t>
  </si>
  <si>
    <t>1130640640</t>
  </si>
  <si>
    <t>PRADO LEYVA MONICA ALEJANDRA</t>
  </si>
  <si>
    <t>80092690</t>
  </si>
  <si>
    <t>PARRA SANTOS EDUWIN LEONARDO</t>
  </si>
  <si>
    <t>1082977846</t>
  </si>
  <si>
    <t>PIRELA WISMAN DANIELA</t>
  </si>
  <si>
    <t>52912760</t>
  </si>
  <si>
    <t>HERNANDEZ PACHON CAROL ANDREA</t>
  </si>
  <si>
    <t>1014207424</t>
  </si>
  <si>
    <t>RAMOS CASTANEDA MARCOS ANDRES</t>
  </si>
  <si>
    <t>53099586</t>
  </si>
  <si>
    <t>AVILA GARCIA LIZ AMANDA</t>
  </si>
  <si>
    <t>1075217087</t>
  </si>
  <si>
    <t>CONDE CAPERA ANDREA DEL PILAR</t>
  </si>
  <si>
    <t>1069732089</t>
  </si>
  <si>
    <t>GONZALEZ DIEGO</t>
  </si>
  <si>
    <t>37014348</t>
  </si>
  <si>
    <t>BASTIDAS VIVAS NANCY MARCELA</t>
  </si>
  <si>
    <t>1234642029</t>
  </si>
  <si>
    <t>ECHEVERRY SALGUERO JOHN JAIRO</t>
  </si>
  <si>
    <t>80196910</t>
  </si>
  <si>
    <t>QUINTERO MARIO</t>
  </si>
  <si>
    <t>1014194908</t>
  </si>
  <si>
    <t>CORTES ARIAS JULIETA</t>
  </si>
  <si>
    <t>1061716730</t>
  </si>
  <si>
    <t>LUNA JARAMILLO ANGELA MARCELA</t>
  </si>
  <si>
    <t>52242131</t>
  </si>
  <si>
    <t>ARIAS LUZ</t>
  </si>
  <si>
    <t>1022412631</t>
  </si>
  <si>
    <t>CAICEDO PALACIO JUAN ESTEBAN</t>
  </si>
  <si>
    <t>1083004668</t>
  </si>
  <si>
    <t>FREILE BRITTO ADRIANA</t>
  </si>
  <si>
    <t>15878750</t>
  </si>
  <si>
    <t>ARAUJO BERNAL JORGE ANDRES</t>
  </si>
  <si>
    <t>1144194156</t>
  </si>
  <si>
    <t>CASTANO JULIAN</t>
  </si>
  <si>
    <t>1015407503</t>
  </si>
  <si>
    <t>PULIDO CASTELBLANCO ANGELA PATRICIA</t>
  </si>
  <si>
    <t>79632182</t>
  </si>
  <si>
    <t>RIOS VASQUEZ JUAN CARLOS</t>
  </si>
  <si>
    <t>1026567976</t>
  </si>
  <si>
    <t>CARDENAS BAUTISTA JOHNNATHAN ALEJANDRO</t>
  </si>
  <si>
    <t>1083012806</t>
  </si>
  <si>
    <t>MENESES DANIELA</t>
  </si>
  <si>
    <t>1000454298</t>
  </si>
  <si>
    <t>HUERTAS PAULA</t>
  </si>
  <si>
    <t>1013598944</t>
  </si>
  <si>
    <t>ROJAS BERNAL MARIA ANGELICA</t>
  </si>
  <si>
    <t>52812544</t>
  </si>
  <si>
    <t>ESPITIA POVEDA CAROLINA</t>
  </si>
  <si>
    <t>1014205872</t>
  </si>
  <si>
    <t>CLARO LA ROTTA YERAZZI EDGARDO</t>
  </si>
  <si>
    <t>10305734</t>
  </si>
  <si>
    <t>RAMIREZ MEDINA GUILLERMO</t>
  </si>
  <si>
    <t>1090514582</t>
  </si>
  <si>
    <t>CARRENO FLOREZ EDGAR FARID</t>
  </si>
  <si>
    <t>52285010</t>
  </si>
  <si>
    <t>RODRIGUEZ GONZALEZ SANDRA PATRICIA</t>
  </si>
  <si>
    <t>1010118333</t>
  </si>
  <si>
    <t>MALAVER DANIEL</t>
  </si>
  <si>
    <t>28551109</t>
  </si>
  <si>
    <t>OSORIO YAMILETH</t>
  </si>
  <si>
    <t>1085920254</t>
  </si>
  <si>
    <t>MENDEZ ROSERO JANETH CRISTINA</t>
  </si>
  <si>
    <t>1024540818</t>
  </si>
  <si>
    <t>AVILAN CORTES LINA MARIA</t>
  </si>
  <si>
    <t>1100623755</t>
  </si>
  <si>
    <t>SIERRA AGUAS TONY</t>
  </si>
  <si>
    <t>1143840204</t>
  </si>
  <si>
    <t>GARCIA MARTINEZ ANA MARIA</t>
  </si>
  <si>
    <t>1113651944</t>
  </si>
  <si>
    <t>ALVARADO RIANO LINA NATALY</t>
  </si>
  <si>
    <t>1010182655</t>
  </si>
  <si>
    <t>GONZALEZ GARZON JHON ALEXANDER</t>
  </si>
  <si>
    <t>88033316</t>
  </si>
  <si>
    <t>GOMEZ ARTETA SERGIO LUIS</t>
  </si>
  <si>
    <t>1015397877</t>
  </si>
  <si>
    <t>HIDROBO CRHISTIAN</t>
  </si>
  <si>
    <t>92530129</t>
  </si>
  <si>
    <t>MARTINEZ MEZA JHON</t>
  </si>
  <si>
    <t>1093759989</t>
  </si>
  <si>
    <t>SIERRA VILLAMIZAR JESSIKA ALEXANDRA</t>
  </si>
  <si>
    <t>92532615</t>
  </si>
  <si>
    <t>TORRES CASTILLO KERWIN CARLOS</t>
  </si>
  <si>
    <t>1032363588</t>
  </si>
  <si>
    <t>BLANCO MANUEL</t>
  </si>
  <si>
    <t>1075288247</t>
  </si>
  <si>
    <t>DURAN VARGAS JOHAN SEBASTIAN</t>
  </si>
  <si>
    <t>1106889027</t>
  </si>
  <si>
    <t>FANDINO HERRAN CRISTIAN LAREL</t>
  </si>
  <si>
    <t>80064093</t>
  </si>
  <si>
    <t>AYA CARLOS</t>
  </si>
  <si>
    <t>92523364</t>
  </si>
  <si>
    <t>ARRIETA EDWIN</t>
  </si>
  <si>
    <t>92534187</t>
  </si>
  <si>
    <t>ANIBAL JOSE LOPEZ FUNEZ ANIBAL JOSE LOPEZ FUNEZ</t>
  </si>
  <si>
    <t>64479406</t>
  </si>
  <si>
    <t>CASTILLA HERNANDEZ GLENYS</t>
  </si>
  <si>
    <t>92526312</t>
  </si>
  <si>
    <t>ALMARIO NARVAEZ LUIS FERNANDO</t>
  </si>
  <si>
    <t>92532543</t>
  </si>
  <si>
    <t>PACHECO CRISTIAN</t>
  </si>
  <si>
    <t>1101758672</t>
  </si>
  <si>
    <t>MATEUS ARIZA MARIA FERNANDA</t>
  </si>
  <si>
    <t>92545363</t>
  </si>
  <si>
    <t>NUNEZ JULIO  ALEJANDRO</t>
  </si>
  <si>
    <t>1030597409</t>
  </si>
  <si>
    <t>NARVAEZ JARAMILLO LUIS ALFREDO</t>
  </si>
  <si>
    <t>64871630</t>
  </si>
  <si>
    <t>POLO SANTIS ILVA MARIA</t>
  </si>
  <si>
    <t>1005605343</t>
  </si>
  <si>
    <t>SERGIO SERGIO ANDRES NOVOA OSPINO</t>
  </si>
  <si>
    <t>1103107342</t>
  </si>
  <si>
    <t>PATERNINA LISETH</t>
  </si>
  <si>
    <t>80864426</t>
  </si>
  <si>
    <t>ALDANA NOPE ALFREDO ALEJANDRO</t>
  </si>
  <si>
    <t>64564815</t>
  </si>
  <si>
    <t>ESCOBAR SOTO LILIANA PATRICIA</t>
  </si>
  <si>
    <t>35252420</t>
  </si>
  <si>
    <t>HERNANDEZ DIAZ ANA MILENA</t>
  </si>
  <si>
    <t>1054918610</t>
  </si>
  <si>
    <t>BAENA GLORIA</t>
  </si>
  <si>
    <t>1079940873</t>
  </si>
  <si>
    <t>DE LEON PEREZ ROBINSON</t>
  </si>
  <si>
    <t>92641800</t>
  </si>
  <si>
    <t>GARRIDO ORTEGA GREGORY GENTILLE</t>
  </si>
  <si>
    <t>63555345</t>
  </si>
  <si>
    <t>CASTRO S. PAOLA A.</t>
  </si>
  <si>
    <t>1102852289</t>
  </si>
  <si>
    <t>SALAZAR GRAU PATRICIA SAIBETH</t>
  </si>
  <si>
    <t>1005570324</t>
  </si>
  <si>
    <t>MARTINEZ DANIELA</t>
  </si>
  <si>
    <t>1102860563</t>
  </si>
  <si>
    <t>PATERNINA DIAZ RAFAEL EDUARDO</t>
  </si>
  <si>
    <t>1102881685</t>
  </si>
  <si>
    <t>MENDOZA FABER</t>
  </si>
  <si>
    <t>64568378</t>
  </si>
  <si>
    <t>ALVAREZ CONTRERAS DIANA ESTHER</t>
  </si>
  <si>
    <t>1102871755</t>
  </si>
  <si>
    <t>VASQUEZ DIAZ VAIRON</t>
  </si>
  <si>
    <t>1110527105</t>
  </si>
  <si>
    <t>MEDINA MONTOYA HAROLD</t>
  </si>
  <si>
    <t>57463000</t>
  </si>
  <si>
    <t>BENAVIDES PACHECO MARTA</t>
  </si>
  <si>
    <t>1143861791</t>
  </si>
  <si>
    <t>MARTINEZ NATHALIA</t>
  </si>
  <si>
    <t>1083017970</t>
  </si>
  <si>
    <t>FONTALVO ROJANO DANIELA</t>
  </si>
  <si>
    <t>1102845521</t>
  </si>
  <si>
    <t>GALINDO MEZA ADOLFO JOSE</t>
  </si>
  <si>
    <t>1016008240</t>
  </si>
  <si>
    <t>ALBARRACIN RICARDO</t>
  </si>
  <si>
    <t>36452647</t>
  </si>
  <si>
    <t>CANTILLO IRIS MARIA</t>
  </si>
  <si>
    <t>1149451389</t>
  </si>
  <si>
    <t>BORJA MARIA</t>
  </si>
  <si>
    <t>1014178917</t>
  </si>
  <si>
    <t>CORREDOR AVILA JENNY ALEXANDRA</t>
  </si>
  <si>
    <t>1221963733</t>
  </si>
  <si>
    <t>ZABARAIN FONTALVO NICOLAS DE JESUS</t>
  </si>
  <si>
    <t>9735827</t>
  </si>
  <si>
    <t>LONDONO MEJIA NESTOR JULIAN</t>
  </si>
  <si>
    <t>39048395</t>
  </si>
  <si>
    <t>BERMUDEZ RITA</t>
  </si>
  <si>
    <t>1118540621</t>
  </si>
  <si>
    <t>RIVERA COLMENARES BERTOLT DELFIN</t>
  </si>
  <si>
    <t>1085245324</t>
  </si>
  <si>
    <t>CAJIGAS RUBIO CRISTOBAL ANDRES</t>
  </si>
  <si>
    <t>79844660</t>
  </si>
  <si>
    <t>MILLAN JOHN</t>
  </si>
  <si>
    <t>1093773069</t>
  </si>
  <si>
    <t>AMAYA SANCHEZ MICHAEL</t>
  </si>
  <si>
    <t>1013587134</t>
  </si>
  <si>
    <t>OSPINA LOPEZ CLAUDIA MILENA</t>
  </si>
  <si>
    <t>6889219</t>
  </si>
  <si>
    <t>ZUNIGA PEREZ LUIS MANUEL</t>
  </si>
  <si>
    <t>80808557</t>
  </si>
  <si>
    <t>LINARES GARZON JONATHAN</t>
  </si>
  <si>
    <t>1116256076</t>
  </si>
  <si>
    <t>CERON CIFUENTES JOHN FREDY</t>
  </si>
  <si>
    <t>1013675748</t>
  </si>
  <si>
    <t>GOMEZ MAITE</t>
  </si>
  <si>
    <t>1102812313</t>
  </si>
  <si>
    <t>VERGARA JIMENEZ SHIRLEY SOFIA</t>
  </si>
  <si>
    <t>37728258</t>
  </si>
  <si>
    <t>PENARANDA DELGADO LINA</t>
  </si>
  <si>
    <t>1102870816</t>
  </si>
  <si>
    <t>HERNANDEZ CHAMORRO MARIAN ELENA</t>
  </si>
  <si>
    <t>1065204337</t>
  </si>
  <si>
    <t>BALLESTEROS RINCON JANIER ANDRES</t>
  </si>
  <si>
    <t>92540013</t>
  </si>
  <si>
    <t>CUELLO FRANCISCO</t>
  </si>
  <si>
    <t>1022953924</t>
  </si>
  <si>
    <t>PACHON PEREZ YEISON</t>
  </si>
  <si>
    <t>40041232</t>
  </si>
  <si>
    <t>FERNANDEZ MARCELA</t>
  </si>
  <si>
    <t>79876950</t>
  </si>
  <si>
    <t>MURILLO DANILO</t>
  </si>
  <si>
    <t>57293580</t>
  </si>
  <si>
    <t>CAMPO RODRIGUEZ LINA MARGARITA</t>
  </si>
  <si>
    <t>80099466</t>
  </si>
  <si>
    <t>LEON BAQUERO ALBYN FABIAN</t>
  </si>
  <si>
    <t>1082960235</t>
  </si>
  <si>
    <t>DURAN EDINEY</t>
  </si>
  <si>
    <t>1052404214</t>
  </si>
  <si>
    <t>CARDENAS VILLATE FABIAN RICARDO</t>
  </si>
  <si>
    <t>1012352548</t>
  </si>
  <si>
    <t>CASTRO VERONICA</t>
  </si>
  <si>
    <t>26670588</t>
  </si>
  <si>
    <t>AVENDANO JIMENEZ MAXIMINA PATRICIA</t>
  </si>
  <si>
    <t>1098695868</t>
  </si>
  <si>
    <t>DELGADO MARTINEZ AMPARO CAROLINA</t>
  </si>
  <si>
    <t>1082960089</t>
  </si>
  <si>
    <t>CAROLINA JHENYFER</t>
  </si>
  <si>
    <t>1030539760</t>
  </si>
  <si>
    <t>GAVIRIA GLADYS</t>
  </si>
  <si>
    <t>72248111</t>
  </si>
  <si>
    <t>MARTINEZ CESAR</t>
  </si>
  <si>
    <t>1234338289</t>
  </si>
  <si>
    <t>ARDILA GONZALEZ SERGIO ANDRES</t>
  </si>
  <si>
    <t>79467043</t>
  </si>
  <si>
    <t>RODRIGUEZ R FRANKLY MANUEL</t>
  </si>
  <si>
    <t>60364287</t>
  </si>
  <si>
    <t>ACEVEDO ALEJANDRINA</t>
  </si>
  <si>
    <t>1088331244</t>
  </si>
  <si>
    <t>ARICAPA MUNOZ DANIELA</t>
  </si>
  <si>
    <t>1018407359</t>
  </si>
  <si>
    <t>DIAZ OLAYA JULIAN</t>
  </si>
  <si>
    <t>1052383034</t>
  </si>
  <si>
    <t>CHAVEZ JOHANNA</t>
  </si>
  <si>
    <t>35604019</t>
  </si>
  <si>
    <t>MENA MENA SANDRA PATRICIA</t>
  </si>
  <si>
    <t>1057608006</t>
  </si>
  <si>
    <t>ANDRES FELIPE BERNAL DAZA ANDRES FELIPE BERNAL DAZA</t>
  </si>
  <si>
    <t>6446210</t>
  </si>
  <si>
    <t>GARCIA CAICEDO ADRIAN MARCEL</t>
  </si>
  <si>
    <t>1117322379</t>
  </si>
  <si>
    <t>PARADA VERGARA CESAR HUMBERTO</t>
  </si>
  <si>
    <t>55300676</t>
  </si>
  <si>
    <t>LAFAURIE GARCIA JESSICA</t>
  </si>
  <si>
    <t>1094885424</t>
  </si>
  <si>
    <t>PINTO MONTES JULIAN ANDRES</t>
  </si>
  <si>
    <t>1002343890</t>
  </si>
  <si>
    <t>LLERENA ARROYO KAROL VIVIANA</t>
  </si>
  <si>
    <t>78038873</t>
  </si>
  <si>
    <t>SANCHEZ RENGIFO SERGIO LUIS</t>
  </si>
  <si>
    <t>1234090713</t>
  </si>
  <si>
    <t>SUAREZ ALEXANDRA</t>
  </si>
  <si>
    <t>11448272</t>
  </si>
  <si>
    <t>CRUZ PAEZ FABIO ORLANDO</t>
  </si>
  <si>
    <t>1010238909</t>
  </si>
  <si>
    <t>NOVOA RAMIREZ JEISSON SNEIDER</t>
  </si>
  <si>
    <t>1100692388</t>
  </si>
  <si>
    <t>LARA FLOREZ KILLIAM ALBERTO</t>
  </si>
  <si>
    <t>1107056137</t>
  </si>
  <si>
    <t>JACOBO PEREZ LUIS FERNANDO</t>
  </si>
  <si>
    <t>1047438711</t>
  </si>
  <si>
    <t>LOZANO PENARANDA LUIS</t>
  </si>
  <si>
    <t>1098762664</t>
  </si>
  <si>
    <t>VARGAS PARRA HECTOR ANDRES</t>
  </si>
  <si>
    <t>5206614</t>
  </si>
  <si>
    <t>MEJIA ROSERO GUILLERMO ANDRES</t>
  </si>
  <si>
    <t>1088324432</t>
  </si>
  <si>
    <t>HERNANDEZ GALVIS LUIS MIGUEL</t>
  </si>
  <si>
    <t>88239591</t>
  </si>
  <si>
    <t>RIANO SOLANO MILLER</t>
  </si>
  <si>
    <t>1018476068</t>
  </si>
  <si>
    <t>SERNA WILLIAMS JOHNNY STIVEN</t>
  </si>
  <si>
    <t>1053806926</t>
  </si>
  <si>
    <t>GALVIS JESSICA</t>
  </si>
  <si>
    <t>52708524</t>
  </si>
  <si>
    <t>OSORIO YECENIA</t>
  </si>
  <si>
    <t>1085319934</t>
  </si>
  <si>
    <t>ORDONEZ BOLANOS OSWALDO ANDRES</t>
  </si>
  <si>
    <t>80075323</t>
  </si>
  <si>
    <t>VARGAS MACHADO CAMILO ANDRES</t>
  </si>
  <si>
    <t>1010206615</t>
  </si>
  <si>
    <t>VERA CESAR</t>
  </si>
  <si>
    <t>75068862</t>
  </si>
  <si>
    <t>GOMEZ HENAO LUIS MIGUEL</t>
  </si>
  <si>
    <t>1140863887</t>
  </si>
  <si>
    <t>ARROYO NICOLE NATHALY</t>
  </si>
  <si>
    <t>1110466087</t>
  </si>
  <si>
    <t>GOMEZ OSPINA DARLING NATHALI</t>
  </si>
  <si>
    <t>1007255879</t>
  </si>
  <si>
    <t>ACOSTA ROMERO CAMILO ANDRES</t>
  </si>
  <si>
    <t>31432609</t>
  </si>
  <si>
    <t>ORTEGA CLAUDIA</t>
  </si>
  <si>
    <t>1110447822</t>
  </si>
  <si>
    <t>MUNOZ PENALOZA YUDDY VIVIANA</t>
  </si>
  <si>
    <t>1117539845</t>
  </si>
  <si>
    <t>JIMENEZ ALEJANDRO</t>
  </si>
  <si>
    <t>36751892</t>
  </si>
  <si>
    <t>AGUIRRE ROMO DIANA ARELY</t>
  </si>
  <si>
    <t>1015465318</t>
  </si>
  <si>
    <t>MANCERA MATEO</t>
  </si>
  <si>
    <t>1015401392</t>
  </si>
  <si>
    <t>CARRERO OSCAR</t>
  </si>
  <si>
    <t>53081743</t>
  </si>
  <si>
    <t>CANAS LEAL VIVIANA CATALINA</t>
  </si>
  <si>
    <t>1019099501</t>
  </si>
  <si>
    <t>PEREZ MELISA</t>
  </si>
  <si>
    <t>1082990244</t>
  </si>
  <si>
    <t>ANGARITA GARCERANTH ENRIQUE</t>
  </si>
  <si>
    <t>1070012671</t>
  </si>
  <si>
    <t>ROJAS JORGE</t>
  </si>
  <si>
    <t>1143116300</t>
  </si>
  <si>
    <t>FONTALVO FREDDY</t>
  </si>
  <si>
    <t>80034893</t>
  </si>
  <si>
    <t>BECERRA MORA YEYSON ALEJANDRO</t>
  </si>
  <si>
    <t>1121862398</t>
  </si>
  <si>
    <t>RODRIGUEZ AURA LUZ</t>
  </si>
  <si>
    <t>1075598622</t>
  </si>
  <si>
    <t>SANCHEZ REYES ANA TULIA</t>
  </si>
  <si>
    <t>1012356467</t>
  </si>
  <si>
    <t>ABREU AVELLANEDA CARLOS IVAN</t>
  </si>
  <si>
    <t>1053872362</t>
  </si>
  <si>
    <t>SALGADO JIMENEZ CAMILO</t>
  </si>
  <si>
    <t>14395380</t>
  </si>
  <si>
    <t>GONZALEZ CANIZALES JORGE MARIO</t>
  </si>
  <si>
    <t>72260936</t>
  </si>
  <si>
    <t>MACIAS VERA JAIRO</t>
  </si>
  <si>
    <t>1075278184</t>
  </si>
  <si>
    <t>RUBIANO MORALES INGRID NAYID</t>
  </si>
  <si>
    <t>20888240</t>
  </si>
  <si>
    <t>FORERO SOLANGE</t>
  </si>
  <si>
    <t>1083041110</t>
  </si>
  <si>
    <t>OROZCO DANIELA</t>
  </si>
  <si>
    <t>1000155866</t>
  </si>
  <si>
    <t>FAJARDO MAGNOLIA</t>
  </si>
  <si>
    <t>80756556</t>
  </si>
  <si>
    <t>MONTIEL WEIMAR</t>
  </si>
  <si>
    <t>1152941481</t>
  </si>
  <si>
    <t>RUIZ ARCON TYFFANI MARCELA</t>
  </si>
  <si>
    <t>80092752</t>
  </si>
  <si>
    <t>GUTIERREZ RONALD</t>
  </si>
  <si>
    <t>13717203</t>
  </si>
  <si>
    <t>CARDENAS CHACON GUSTAVO</t>
  </si>
  <si>
    <t>51936804</t>
  </si>
  <si>
    <t>PRIETO NUBIA INES</t>
  </si>
  <si>
    <t>80504376</t>
  </si>
  <si>
    <t>GARCIA SIERRA JULIO CESAR</t>
  </si>
  <si>
    <t>79955605</t>
  </si>
  <si>
    <t>DIAZ VASQUEZ RAFAEL FRANCISCO</t>
  </si>
  <si>
    <t>1016025517</t>
  </si>
  <si>
    <t>BARRAGAN CUERVO JOHANNA</t>
  </si>
  <si>
    <t>1118546780</t>
  </si>
  <si>
    <t>ROJAS MESA YEISON FERNANDO</t>
  </si>
  <si>
    <t>36953386</t>
  </si>
  <si>
    <t>ERASO MELO ASTRID ELIZABETH</t>
  </si>
  <si>
    <t>39532102</t>
  </si>
  <si>
    <t>ESCAMILLA LUZ MARINA</t>
  </si>
  <si>
    <t>1121824971</t>
  </si>
  <si>
    <t>GAITAN HERRERA DIANA ANDREA</t>
  </si>
  <si>
    <t>1024527436</t>
  </si>
  <si>
    <t>CARRILLO VIVIANA</t>
  </si>
  <si>
    <t>1012345950</t>
  </si>
  <si>
    <t>FAJARDO LAURA</t>
  </si>
  <si>
    <t>1123621206</t>
  </si>
  <si>
    <t>GUTIERREZ-CHARRIS ALBERTO</t>
  </si>
  <si>
    <t>1019127225</t>
  </si>
  <si>
    <t>YANEZ LAURA</t>
  </si>
  <si>
    <t>1020824840</t>
  </si>
  <si>
    <t>VELASQUEZ GONZALEZ ESTEFANIA</t>
  </si>
  <si>
    <t>79979391</t>
  </si>
  <si>
    <t>MORENO ALEXANDER</t>
  </si>
  <si>
    <t>53077309</t>
  </si>
  <si>
    <t>LINDA LINDA DIANA BUSTOS PARRA</t>
  </si>
  <si>
    <t>79311606</t>
  </si>
  <si>
    <t>RODRIGUEZ SANCHEZ EDGAR ALBERTO</t>
  </si>
  <si>
    <t>80098101</t>
  </si>
  <si>
    <t>RINCON DANILO ANDRES</t>
  </si>
  <si>
    <t>1075236563</t>
  </si>
  <si>
    <t>VALDERRAMA LOZANO JULIO CESAR</t>
  </si>
  <si>
    <t>1030533897</t>
  </si>
  <si>
    <t>ROCHA ALARCON GUSTAVO ALEXANDER</t>
  </si>
  <si>
    <t>1016020708</t>
  </si>
  <si>
    <t>GARCIA HUERFANO DIANA PILAR</t>
  </si>
  <si>
    <t>1031163375</t>
  </si>
  <si>
    <t>BENITEZ NINO JHON JAIRO</t>
  </si>
  <si>
    <t>53052233</t>
  </si>
  <si>
    <t>ARISTIZABAL GAVIRIA ANGELA MARIA</t>
  </si>
  <si>
    <t>53044416</t>
  </si>
  <si>
    <t>ROA FERNANDEZ ALEXANDRA</t>
  </si>
  <si>
    <t>93394359</t>
  </si>
  <si>
    <t>GIL LEO RODRIGO</t>
  </si>
  <si>
    <t>1030618345</t>
  </si>
  <si>
    <t>SIERRA SANCHEZ DIEGO ALEXANDER</t>
  </si>
  <si>
    <t>1023932570</t>
  </si>
  <si>
    <t>TELLEZ LUIS ANDRES</t>
  </si>
  <si>
    <t>79797858</t>
  </si>
  <si>
    <t>GOMEZ VARON JUAN CARLOS</t>
  </si>
  <si>
    <t>1024586459</t>
  </si>
  <si>
    <t>MANOSALVA FLOREZ LAURA DANIELA</t>
  </si>
  <si>
    <t>79915903</t>
  </si>
  <si>
    <t>VERGARA HINCAPIE JAIME</t>
  </si>
  <si>
    <t>52826658</t>
  </si>
  <si>
    <t>DUARTE OSPINA LEIVY RUTH</t>
  </si>
  <si>
    <t>1010214636</t>
  </si>
  <si>
    <t>MEDINA CELY ALEX DAVID</t>
  </si>
  <si>
    <t>79221205</t>
  </si>
  <si>
    <t>PIRAQUIVE CIFUENTES CARLOS ANDRES</t>
  </si>
  <si>
    <t>53155193</t>
  </si>
  <si>
    <t>GONZALEZ PAEZ JOHANNA PAOLA</t>
  </si>
  <si>
    <t>79943706</t>
  </si>
  <si>
    <t>MOGOLLON NICOLAS</t>
  </si>
  <si>
    <t>80738987</t>
  </si>
  <si>
    <t>FLOREZ VIZCAINO NESTOR IVAN</t>
  </si>
  <si>
    <t>1023879886</t>
  </si>
  <si>
    <t>AVILA CRUZ GINA MARCELA</t>
  </si>
  <si>
    <t>79668464</t>
  </si>
  <si>
    <t>CHILATRA DIAZ WILLIAM FERNEY</t>
  </si>
  <si>
    <t>1016054985</t>
  </si>
  <si>
    <t>PRIETO RIVERA LINA FERNANDA</t>
  </si>
  <si>
    <t>52365713</t>
  </si>
  <si>
    <t>ROMERO ERIKA</t>
  </si>
  <si>
    <t>80154338</t>
  </si>
  <si>
    <t>VILLAMIL VANEGAS RAUL ANDRES</t>
  </si>
  <si>
    <t>1773567</t>
  </si>
  <si>
    <t>SANCHEZ YNOJOSA ABNER</t>
  </si>
  <si>
    <t>1032405208</t>
  </si>
  <si>
    <t>CASTRO HENAO PABLO</t>
  </si>
  <si>
    <t>79004880</t>
  </si>
  <si>
    <t>CALDERON GARCIA JOHN FREDY</t>
  </si>
  <si>
    <t>1023904243</t>
  </si>
  <si>
    <t>GUERRERO BERNAL MANUEL ALEJANDRO</t>
  </si>
  <si>
    <t>1010194126</t>
  </si>
  <si>
    <t>MOLANO JESSICA</t>
  </si>
  <si>
    <t>1019011304</t>
  </si>
  <si>
    <t>GALINDO KAREN</t>
  </si>
  <si>
    <t>52982664</t>
  </si>
  <si>
    <t>OSPINA CAROLINA</t>
  </si>
  <si>
    <t>1010194281</t>
  </si>
  <si>
    <t>MAHECHA MIYER</t>
  </si>
  <si>
    <t>1031135049</t>
  </si>
  <si>
    <t>MARTINEZ PEREIRA HECTOR SNEYDER</t>
  </si>
  <si>
    <t>1098604152</t>
  </si>
  <si>
    <t>OJEDA JULIANA</t>
  </si>
  <si>
    <t>1082931770</t>
  </si>
  <si>
    <t>CAMARGO JUAN LUIS</t>
  </si>
  <si>
    <t>52432846</t>
  </si>
  <si>
    <t>LUJAN CORREAL YENNY</t>
  </si>
  <si>
    <t>79683559</t>
  </si>
  <si>
    <t>SABTOS JORGE</t>
  </si>
  <si>
    <t>1012420016</t>
  </si>
  <si>
    <t>BORJA MANCIPE VIVIANA</t>
  </si>
  <si>
    <t>52558890</t>
  </si>
  <si>
    <t>ARDILA YASMILY</t>
  </si>
  <si>
    <t>1010203514</t>
  </si>
  <si>
    <t>UYAZAN DANIEL</t>
  </si>
  <si>
    <t>80185514</t>
  </si>
  <si>
    <t>MATIZ ANDRES</t>
  </si>
  <si>
    <t>1070616352</t>
  </si>
  <si>
    <t>ESPINOSA SUAREZ MARIA CATALINA</t>
  </si>
  <si>
    <t>1019090131</t>
  </si>
  <si>
    <t>PENA GROSO JENNIFER DANIELA</t>
  </si>
  <si>
    <t>1013605574</t>
  </si>
  <si>
    <t>ROJAS ALEJANDRO</t>
  </si>
  <si>
    <t>1012410150</t>
  </si>
  <si>
    <t>USECHE LAURA</t>
  </si>
  <si>
    <t>80791764</t>
  </si>
  <si>
    <t>VILLAMIZAR EDUARDO</t>
  </si>
  <si>
    <t>1024516009</t>
  </si>
  <si>
    <t>OSORIO SALAZAR CAMILO ANDRES</t>
  </si>
  <si>
    <t>1098795736</t>
  </si>
  <si>
    <t>GOMEZ RAMIREZ HENRY ANDRES</t>
  </si>
  <si>
    <t>79698810</t>
  </si>
  <si>
    <t>DIAZ DIAZ RAFAEL ALFONSO</t>
  </si>
  <si>
    <t>1018484449</t>
  </si>
  <si>
    <t>QUIROGA SHARON</t>
  </si>
  <si>
    <t>1023010658</t>
  </si>
  <si>
    <t>TORRES JOSE SANTIAGO</t>
  </si>
  <si>
    <t>53123840</t>
  </si>
  <si>
    <t>ARCINIEGAS CHAVEZ MARIA FERNANDA</t>
  </si>
  <si>
    <t>1020788193</t>
  </si>
  <si>
    <t>BELTRAN JIMENEZ DANIEL FELIPE</t>
  </si>
  <si>
    <t>1026292388</t>
  </si>
  <si>
    <t>JIMENEZ SANCHEZ LUIS FELIPE</t>
  </si>
  <si>
    <t>52517964</t>
  </si>
  <si>
    <t>URICOECHEA FLOREZ JOHANNA</t>
  </si>
  <si>
    <t>79878520</t>
  </si>
  <si>
    <t>PANCHE BALLEN JOSE BERNARDO</t>
  </si>
  <si>
    <t>1010232652</t>
  </si>
  <si>
    <t>URREA SEPULVEDA LAURA CAMILA</t>
  </si>
  <si>
    <t>80724211</t>
  </si>
  <si>
    <t>TRUJILLO GUTIERREZ IVAN ANDRES</t>
  </si>
  <si>
    <t>1065661987</t>
  </si>
  <si>
    <t>MOLINA VICTOR A.</t>
  </si>
  <si>
    <t>1019044140</t>
  </si>
  <si>
    <t>CRUZ DIANA</t>
  </si>
  <si>
    <t>93435521</t>
  </si>
  <si>
    <t>CRUZ JHON</t>
  </si>
  <si>
    <t>79485772</t>
  </si>
  <si>
    <t>VELEZ CANDIA WILLIAN MICHEL</t>
  </si>
  <si>
    <t>1033694078</t>
  </si>
  <si>
    <t>VALDERRAMA CARVAJAL LUZ MARY</t>
  </si>
  <si>
    <t>1193054912</t>
  </si>
  <si>
    <t>HOYOS GUTIERREZ GERALDYN</t>
  </si>
  <si>
    <t>1057596832</t>
  </si>
  <si>
    <t>HENRY EMERSON</t>
  </si>
  <si>
    <t>80221637</t>
  </si>
  <si>
    <t>POVEDA CALDERON LUIS FERNANDO</t>
  </si>
  <si>
    <t>1031139289</t>
  </si>
  <si>
    <t>SEBASTIAN ANDRES</t>
  </si>
  <si>
    <t>1014271256</t>
  </si>
  <si>
    <t>MONROY MEDINA JUAN FELIPE</t>
  </si>
  <si>
    <t>80759724</t>
  </si>
  <si>
    <t>RAMIREZ DIEGO</t>
  </si>
  <si>
    <t>55172799</t>
  </si>
  <si>
    <t>PRADA SEGURA JASLEIDY ASTRID</t>
  </si>
  <si>
    <t>79788559</t>
  </si>
  <si>
    <t>SAMPEDRO CESAR</t>
  </si>
  <si>
    <t>366012</t>
  </si>
  <si>
    <t>MONROY VEREL</t>
  </si>
  <si>
    <t>51820108</t>
  </si>
  <si>
    <t>LINARES DEYANIRA</t>
  </si>
  <si>
    <t>1023872973</t>
  </si>
  <si>
    <t>MORENO PARRA CINDY PAOLA</t>
  </si>
  <si>
    <t>79840218</t>
  </si>
  <si>
    <t>BRAVO CAMILO ERNESTO</t>
  </si>
  <si>
    <t>1012425136</t>
  </si>
  <si>
    <t>PENALOZA HERRERA CARLOS ARTURO</t>
  </si>
  <si>
    <t>11227036</t>
  </si>
  <si>
    <t>LEGUIZAMON LOPEZ EDGAR MAURICIO</t>
  </si>
  <si>
    <t>79835577</t>
  </si>
  <si>
    <t>VALERO BUITRAGO GILBER GIOVANNY</t>
  </si>
  <si>
    <t>1096212070</t>
  </si>
  <si>
    <t>PENA PACHECO NADYA MARCELA</t>
  </si>
  <si>
    <t>79496712</t>
  </si>
  <si>
    <t>SALGADO ALBA MANUEL ALBERTO</t>
  </si>
  <si>
    <t>52581156</t>
  </si>
  <si>
    <t>MONTOYA AGUILAR IDIALY</t>
  </si>
  <si>
    <t>1032502487</t>
  </si>
  <si>
    <t>MORALES CENTENO JESICA MARCELA</t>
  </si>
  <si>
    <t>80201070</t>
  </si>
  <si>
    <t>SALGADO REYES JULIO ANDRES</t>
  </si>
  <si>
    <t>79783997</t>
  </si>
  <si>
    <t>STERPIN BUITRAGO DANTE GIOVANNI</t>
  </si>
  <si>
    <t>1005822436</t>
  </si>
  <si>
    <t>DONCEL RINCON PAULA ANDREA</t>
  </si>
  <si>
    <t>1033691508</t>
  </si>
  <si>
    <t>LEON LEON JOSE</t>
  </si>
  <si>
    <t>39577750</t>
  </si>
  <si>
    <t>VARON GUEVARA YOHANNA MARCELA</t>
  </si>
  <si>
    <t>79989836</t>
  </si>
  <si>
    <t>SOLAQUE RAMIREZ MARCO ANTONIO</t>
  </si>
  <si>
    <t>1032480362</t>
  </si>
  <si>
    <t>OSORIO CHAVES JOHAN SEBASTIAN</t>
  </si>
  <si>
    <t>1019135861</t>
  </si>
  <si>
    <t>MARTINEZ BENITEZ SERGIO ESTEBAN</t>
  </si>
  <si>
    <t>1030585442</t>
  </si>
  <si>
    <t>BUITRAGO DUARTE LAURA JIMENA</t>
  </si>
  <si>
    <t>1073513320</t>
  </si>
  <si>
    <t>SARMIENTO ANDRES CAMILO</t>
  </si>
  <si>
    <t>79555852</t>
  </si>
  <si>
    <t>KREJCI GARZON EDGAR</t>
  </si>
  <si>
    <t>1031125461</t>
  </si>
  <si>
    <t>MORENO PARRA JOHAN MATEO</t>
  </si>
  <si>
    <t>79135935</t>
  </si>
  <si>
    <t>RIANO CARLOS FERNANDO</t>
  </si>
  <si>
    <t>80190015</t>
  </si>
  <si>
    <t>VARGAS SALAZAR DAVID ANDRES</t>
  </si>
  <si>
    <t>1022393672</t>
  </si>
  <si>
    <t>ACOSTA BAUTISTA TANIA CAROLINA</t>
  </si>
  <si>
    <t>1026588753</t>
  </si>
  <si>
    <t>BURGOS BELTRAN ALICIA VANESSA</t>
  </si>
  <si>
    <t>80237502</t>
  </si>
  <si>
    <t>PINZON LEON LUIS ADOLFO</t>
  </si>
  <si>
    <t>91505984</t>
  </si>
  <si>
    <t>LEAL HERNANDEZ ABELARDO</t>
  </si>
  <si>
    <t>1032438117</t>
  </si>
  <si>
    <t>MALDONADO SILVA NATALY</t>
  </si>
  <si>
    <t>1073233411</t>
  </si>
  <si>
    <t>SUESCA VILLAMIL LEIDY MILENA</t>
  </si>
  <si>
    <t>1023001074</t>
  </si>
  <si>
    <t>GARAVINO JENNIFER PAOLA</t>
  </si>
  <si>
    <t>1014211418</t>
  </si>
  <si>
    <t>BRICENO GUERRERO GUSTAVO ADOLFO</t>
  </si>
  <si>
    <t>1073701100</t>
  </si>
  <si>
    <t>MENDOZA ROSAS KAREN STEPHANY</t>
  </si>
  <si>
    <t>80897478</t>
  </si>
  <si>
    <t>GOMEZ NOVOA NELSON ESTEBAN</t>
  </si>
  <si>
    <t>1026258111</t>
  </si>
  <si>
    <t>QUINTERO SEBASTIAN</t>
  </si>
  <si>
    <t>1014226860</t>
  </si>
  <si>
    <t>HERNANDEZ JOHAN</t>
  </si>
  <si>
    <t>80221696</t>
  </si>
  <si>
    <t>GARZON QUEVEDO DAGOBERTO</t>
  </si>
  <si>
    <t>1007415324</t>
  </si>
  <si>
    <t>OSPINA PEDRO</t>
  </si>
  <si>
    <t>1015466217</t>
  </si>
  <si>
    <t>LEON RODRIGUEZ VALENTINA</t>
  </si>
  <si>
    <t>80087303</t>
  </si>
  <si>
    <t>RAMIREZ BONILLA GERARDO</t>
  </si>
  <si>
    <t>15962736</t>
  </si>
  <si>
    <t>CARDONA PATINO CAMILO AUGUSTO</t>
  </si>
  <si>
    <t>75102157</t>
  </si>
  <si>
    <t>MORALES JUAN PABLO</t>
  </si>
  <si>
    <t>1049650615</t>
  </si>
  <si>
    <t>SORACA SALAMANCA KELLY DANIELA</t>
  </si>
  <si>
    <t>1015424212</t>
  </si>
  <si>
    <t>MEDINA LIZETH</t>
  </si>
  <si>
    <t>1003062606</t>
  </si>
  <si>
    <t>BRAVO KEVIN</t>
  </si>
  <si>
    <t>15372957</t>
  </si>
  <si>
    <t>PEREZ LOPEZ JOHN ANDERSON</t>
  </si>
  <si>
    <t>1000330011</t>
  </si>
  <si>
    <t>BARAJAS ROZO CAMILO ANDRES</t>
  </si>
  <si>
    <t>1075239121</t>
  </si>
  <si>
    <t>MARTINEZ ORREGO JOSE EDUARDO</t>
  </si>
  <si>
    <t>1030652709</t>
  </si>
  <si>
    <t>MEJIA OSCAR</t>
  </si>
  <si>
    <t>52753037</t>
  </si>
  <si>
    <t>PATINO CHIGUASUQUE LUZ ANDREA</t>
  </si>
  <si>
    <t>1057571376</t>
  </si>
  <si>
    <t>DUENAS BAEZ JUAN PABLO</t>
  </si>
  <si>
    <t>79372701</t>
  </si>
  <si>
    <t>VALDERRAMA GARZON JAVIER</t>
  </si>
  <si>
    <t>80132798</t>
  </si>
  <si>
    <t>MONTEALEGRE SAAVEDRA ALEXANDER</t>
  </si>
  <si>
    <t>1026584657</t>
  </si>
  <si>
    <t>GUZMAN CARDENAS JUAN DAVID</t>
  </si>
  <si>
    <t>1010205140</t>
  </si>
  <si>
    <t>ZARATE BARRANTES MARIA ISABEL</t>
  </si>
  <si>
    <t>1076670744</t>
  </si>
  <si>
    <t>MEDINA DUARTE BRAYAN FELIPE</t>
  </si>
  <si>
    <t>52530370</t>
  </si>
  <si>
    <t>RODRIGUEZ DEISSY</t>
  </si>
  <si>
    <t>1014208041</t>
  </si>
  <si>
    <t>DIAZ ALFONSO CRISTIAN NEIROTH</t>
  </si>
  <si>
    <t>53139239</t>
  </si>
  <si>
    <t>HERNANDEZ MORA JUDY ANDREA</t>
  </si>
  <si>
    <t>80015249</t>
  </si>
  <si>
    <t>CELIS FERNANDO</t>
  </si>
  <si>
    <t>52477908</t>
  </si>
  <si>
    <t>MOLANO MARIA FERNANDA</t>
  </si>
  <si>
    <t>53117704</t>
  </si>
  <si>
    <t>RODRIGUEZ MENDEZ INGRID NATHALY</t>
  </si>
  <si>
    <t>60262891</t>
  </si>
  <si>
    <t>GELVEZ GARCIA LAURA</t>
  </si>
  <si>
    <t>1122139244</t>
  </si>
  <si>
    <t>PUYO GIRALDO LEIDY NOREDY</t>
  </si>
  <si>
    <t>79223509</t>
  </si>
  <si>
    <t>CORREA ESPITIA ANDRES FELIPE</t>
  </si>
  <si>
    <t>1032373511</t>
  </si>
  <si>
    <t>ABRIL CORREDOR IVAN LEONARDO</t>
  </si>
  <si>
    <t>79048694</t>
  </si>
  <si>
    <t>CARDENAS GUALTEROS ALEJANDRO</t>
  </si>
  <si>
    <t>1019144078</t>
  </si>
  <si>
    <t>ESPANA TORO ANGIE PAOLA</t>
  </si>
  <si>
    <t>1013594528</t>
  </si>
  <si>
    <t>CASALLAS RICARDO</t>
  </si>
  <si>
    <t>1014263010</t>
  </si>
  <si>
    <t>BURBANO MORENO KAREN JIMENA</t>
  </si>
  <si>
    <t>14296488</t>
  </si>
  <si>
    <t>CAMPOS DUQUE HECTOR ANIBAL</t>
  </si>
  <si>
    <t>1019137252</t>
  </si>
  <si>
    <t>TORRES TOLOZA KAREN LIZETH</t>
  </si>
  <si>
    <t>79433959</t>
  </si>
  <si>
    <t>GUERRERO MENDEZ FREDY</t>
  </si>
  <si>
    <t>1018404720</t>
  </si>
  <si>
    <t>MARTINEZ ANDERSON</t>
  </si>
  <si>
    <t>1031158581</t>
  </si>
  <si>
    <t>JIMENEZ MORENO JUVER ANDREY</t>
  </si>
  <si>
    <t>53139022</t>
  </si>
  <si>
    <t>BORDA ALVAREZ YENI</t>
  </si>
  <si>
    <t>76313584</t>
  </si>
  <si>
    <t>AGUDELO RAUL</t>
  </si>
  <si>
    <t>1030652366</t>
  </si>
  <si>
    <t>CASTRO PINZON IVAN FELIPE</t>
  </si>
  <si>
    <t>1030632909</t>
  </si>
  <si>
    <t>ALBARRACIN FRAGUA YEISON ANDRES</t>
  </si>
  <si>
    <t>1016014872</t>
  </si>
  <si>
    <t>RODRIGUEZ DIANA</t>
  </si>
  <si>
    <t>1013651517</t>
  </si>
  <si>
    <t>BERMUDEZ ROJAS NICOLAS</t>
  </si>
  <si>
    <t>1018485987</t>
  </si>
  <si>
    <t>PACHECO MEJIA MARIA FERNANDA</t>
  </si>
  <si>
    <t>80812606</t>
  </si>
  <si>
    <t>SANDINO MARTINEZ MIGUEL ERNESTO</t>
  </si>
  <si>
    <t>1015412447</t>
  </si>
  <si>
    <t>GARCIA JUAN SEBASTIAN</t>
  </si>
  <si>
    <t>1233504005</t>
  </si>
  <si>
    <t>BUITRAGO SANTIAGO</t>
  </si>
  <si>
    <t>1023885019</t>
  </si>
  <si>
    <t>VELEZ JESUS</t>
  </si>
  <si>
    <t>80793106</t>
  </si>
  <si>
    <t>RINCON ENRIQUE</t>
  </si>
  <si>
    <t>1010201839</t>
  </si>
  <si>
    <t>BECERRA ALEJANDRO</t>
  </si>
  <si>
    <t>1010227949</t>
  </si>
  <si>
    <t>PAEZ BALAGUERA HENRY ALEJANDRO</t>
  </si>
  <si>
    <t>52973771</t>
  </si>
  <si>
    <t>CASTRO ARDILA AMALIA</t>
  </si>
  <si>
    <t>1010131353</t>
  </si>
  <si>
    <t>BARBOSA VARGAS MIGUEL ANGEL</t>
  </si>
  <si>
    <t>79802019</t>
  </si>
  <si>
    <t>LANCHEROS N LUIS GABRIEL</t>
  </si>
  <si>
    <t>52869673</t>
  </si>
  <si>
    <t>BARRERA LESLIE</t>
  </si>
  <si>
    <t>80227203</t>
  </si>
  <si>
    <t>MORA ALEX</t>
  </si>
  <si>
    <t>1090367609</t>
  </si>
  <si>
    <t>TELLEZ PARDO ANDRY YINEY</t>
  </si>
  <si>
    <t>1074134476</t>
  </si>
  <si>
    <t>CLAVIJO CASTRO JULIAN CAMILO</t>
  </si>
  <si>
    <t>1018472248</t>
  </si>
  <si>
    <t>SANCHEZ AREVALO JULIO CESAR</t>
  </si>
  <si>
    <t>79849027</t>
  </si>
  <si>
    <t>SUSA RICARDO</t>
  </si>
  <si>
    <t>52745221</t>
  </si>
  <si>
    <t>GALLEGOS JENNIFFER</t>
  </si>
  <si>
    <t>1090362638</t>
  </si>
  <si>
    <t>NAVAS CASADIEGO LILIANA ISABEL</t>
  </si>
  <si>
    <t>1069739889</t>
  </si>
  <si>
    <t>RONDON CANON ELIANA</t>
  </si>
  <si>
    <t>1053330697</t>
  </si>
  <si>
    <t>MARIN CHAVEZ WILLIAM FERNANDO</t>
  </si>
  <si>
    <t>78024830</t>
  </si>
  <si>
    <t>CASTANO PATRRNINA EMERSON MANUEL</t>
  </si>
  <si>
    <t>80088309</t>
  </si>
  <si>
    <t>GARCIA EDWIN</t>
  </si>
  <si>
    <t>1015422840</t>
  </si>
  <si>
    <t>PEREZ JEISSON</t>
  </si>
  <si>
    <t>1020720067</t>
  </si>
  <si>
    <t>ESCALLON JUAN</t>
  </si>
  <si>
    <t>1053785992</t>
  </si>
  <si>
    <t>CALDERON MARCO</t>
  </si>
  <si>
    <t>1024533793</t>
  </si>
  <si>
    <t>TRIANA JESUS</t>
  </si>
  <si>
    <t>1022403253</t>
  </si>
  <si>
    <t>MOSQUERA LAGUNA DANIEL MATEO</t>
  </si>
  <si>
    <t>1014241485</t>
  </si>
  <si>
    <t>PENA LEONARDO</t>
  </si>
  <si>
    <t>1014280203</t>
  </si>
  <si>
    <t>SEDANO FELIPE</t>
  </si>
  <si>
    <t>1015447699</t>
  </si>
  <si>
    <t>CHACON NATHALIA</t>
  </si>
  <si>
    <t>80187019</t>
  </si>
  <si>
    <t>LONDONO VILLALBA JHON UBERNEY</t>
  </si>
  <si>
    <t>1073675262</t>
  </si>
  <si>
    <t>WILLIAM JAVIER CASTELBLANCO CARO WILLIAM JAVIER CASTELBLANCO CARO</t>
  </si>
  <si>
    <t>1020765371</t>
  </si>
  <si>
    <t>GOMEZ MIRANDA OSCAR MAURICIO</t>
  </si>
  <si>
    <t>1075306193</t>
  </si>
  <si>
    <t>COY CATHERIN</t>
  </si>
  <si>
    <t>79671116</t>
  </si>
  <si>
    <t>MARTINEZ BERNAL WILSON ALEJANDRO</t>
  </si>
  <si>
    <t>1030541820</t>
  </si>
  <si>
    <t>CAMACHO PAOLA</t>
  </si>
  <si>
    <t>79168204</t>
  </si>
  <si>
    <t>SUAREZ JAIME</t>
  </si>
  <si>
    <t>1018454517</t>
  </si>
  <si>
    <t>HERNANDEZ JUAN</t>
  </si>
  <si>
    <t>1033710412</t>
  </si>
  <si>
    <t>LEON LOPEZ LUIS ALBERTO</t>
  </si>
  <si>
    <t>80824976</t>
  </si>
  <si>
    <t>GALINDO CACERES ELQUIN FABIAN</t>
  </si>
  <si>
    <t>1024509032</t>
  </si>
  <si>
    <t>MURILLO AVENDANO KATHERINE JULIED</t>
  </si>
  <si>
    <t>1012334935</t>
  </si>
  <si>
    <t>GOMEZ GINNA</t>
  </si>
  <si>
    <t>1000616624</t>
  </si>
  <si>
    <t>RINCON CAMARGO LUISA FERNANDA</t>
  </si>
  <si>
    <t>52854030</t>
  </si>
  <si>
    <t>RAMIREZ TRIANA CLAUDIA PATRICIA</t>
  </si>
  <si>
    <t>53107435</t>
  </si>
  <si>
    <t>VALENCIA QUECANO LIRA ISIS</t>
  </si>
  <si>
    <t>1015419351</t>
  </si>
  <si>
    <t>RUBIANO CASTILLO CARLOS ANDRES</t>
  </si>
  <si>
    <t>79598362</t>
  </si>
  <si>
    <t>PINZON CASTANEDA SAID</t>
  </si>
  <si>
    <t>1013643932</t>
  </si>
  <si>
    <t>PAEZ MURCIA JAVIER OSWALDO</t>
  </si>
  <si>
    <t>80833083</t>
  </si>
  <si>
    <t>MERCHAN JULIAN CAMILO</t>
  </si>
  <si>
    <t>1010165156</t>
  </si>
  <si>
    <t>VELA TIBOCHA ANDRES</t>
  </si>
  <si>
    <t>1014279349</t>
  </si>
  <si>
    <t>MEDINA SALAZAR ERIKA</t>
  </si>
  <si>
    <t>1072699908</t>
  </si>
  <si>
    <t>AREVALO DANIEL</t>
  </si>
  <si>
    <t>79864150</t>
  </si>
  <si>
    <t>GONZALEZ ALVARO</t>
  </si>
  <si>
    <t>52479406</t>
  </si>
  <si>
    <t>HERRERA HERRERA CARMEN MILENA</t>
  </si>
  <si>
    <t>52490497</t>
  </si>
  <si>
    <t>RODRIGUEZ GARZON NORMA ESPERANZA</t>
  </si>
  <si>
    <t>51988353</t>
  </si>
  <si>
    <t>REYES MARY LUZ</t>
  </si>
  <si>
    <t>79554170</t>
  </si>
  <si>
    <t>ROJAS HERNANDEZ MANUEL ANTONIO</t>
  </si>
  <si>
    <t>1022924981</t>
  </si>
  <si>
    <t>DE LA HOZ YENIFFER</t>
  </si>
  <si>
    <t>72275487</t>
  </si>
  <si>
    <t>MATEUS YECID</t>
  </si>
  <si>
    <t>1030665047</t>
  </si>
  <si>
    <t>BAZZANI MENDOZA TATIANA</t>
  </si>
  <si>
    <t>1075676262</t>
  </si>
  <si>
    <t>TORRES ESPINOSA DANIELA</t>
  </si>
  <si>
    <t>1026272735</t>
  </si>
  <si>
    <t>REYES CATOLICO LEONARDO</t>
  </si>
  <si>
    <t>1023962810</t>
  </si>
  <si>
    <t>GUALDRIA SANDOVAL CAMILA ANDREA</t>
  </si>
  <si>
    <t>18263061</t>
  </si>
  <si>
    <t>RUIZ RAMIREZ JONATHAN EDUARDO</t>
  </si>
  <si>
    <t>79958162</t>
  </si>
  <si>
    <t>ROZO DAVID</t>
  </si>
  <si>
    <t>39578035</t>
  </si>
  <si>
    <t>CHACON ROCHA CHARLIE PAOLA</t>
  </si>
  <si>
    <t>52219581</t>
  </si>
  <si>
    <t>D’LUYZ MONSALVE PAOLA ANDREA</t>
  </si>
  <si>
    <t>1032497655</t>
  </si>
  <si>
    <t>SANABRIA NICOLAS</t>
  </si>
  <si>
    <t>1121936350</t>
  </si>
  <si>
    <t>SAAVEDRA JUAN</t>
  </si>
  <si>
    <t>1020733601</t>
  </si>
  <si>
    <t>GOMEZ MENDOZA CHARLY</t>
  </si>
  <si>
    <t>1032363391</t>
  </si>
  <si>
    <t>HERNANDEZ JENNY</t>
  </si>
  <si>
    <t>1022930402</t>
  </si>
  <si>
    <t>HEREDIA MARTIN JUAN PABLO</t>
  </si>
  <si>
    <t>79882755</t>
  </si>
  <si>
    <t>MARTINEZ OLMER</t>
  </si>
  <si>
    <t>1013678613</t>
  </si>
  <si>
    <t>SANCHEZ JOHAN</t>
  </si>
  <si>
    <t>80932302</t>
  </si>
  <si>
    <t>UYAZAN JOHN</t>
  </si>
  <si>
    <t>1018497058</t>
  </si>
  <si>
    <t>ANDRADE MIGUEL</t>
  </si>
  <si>
    <t>28554711</t>
  </si>
  <si>
    <t>GONZALEZ ANGELICA</t>
  </si>
  <si>
    <t>79367346</t>
  </si>
  <si>
    <t>DUARTE RODRIGUEZ MANUEL</t>
  </si>
  <si>
    <t>38285307</t>
  </si>
  <si>
    <t>ALFONSO ORTIZ ADRIANA DEL ROCIO</t>
  </si>
  <si>
    <t>52440420</t>
  </si>
  <si>
    <t>SARMIENTO NINO NOHORA SABINA</t>
  </si>
  <si>
    <t>52362834</t>
  </si>
  <si>
    <t>RINCON GARCIA ANGELICA</t>
  </si>
  <si>
    <t>1098674380</t>
  </si>
  <si>
    <t>SAENZ GONZALEZ LAURA VANESSA</t>
  </si>
  <si>
    <t>1031139927</t>
  </si>
  <si>
    <t>RODRIGUEZ ZAPATA DANILO ESTEBAN</t>
  </si>
  <si>
    <t>1026306580</t>
  </si>
  <si>
    <t>RODRIGUEZ PENA SEBASTIAN</t>
  </si>
  <si>
    <t>52749247</t>
  </si>
  <si>
    <t>QUINTERO POVEDA AURA LUCIA</t>
  </si>
  <si>
    <t>16463452</t>
  </si>
  <si>
    <t>CHOIS MURIEL JORGE ANDRES</t>
  </si>
  <si>
    <t>1032411981</t>
  </si>
  <si>
    <t>GIOVANNI GIOVANNI GUTIERREZ MARTINEZ</t>
  </si>
  <si>
    <t>1013589965</t>
  </si>
  <si>
    <t>QUIROGA BERASTEGUI DIANA MILENA</t>
  </si>
  <si>
    <t>1016002948</t>
  </si>
  <si>
    <t>SANCHEZ MONJE LESLY YULIANA</t>
  </si>
  <si>
    <t>1012431075</t>
  </si>
  <si>
    <t>CIFUENTES JESSICA</t>
  </si>
  <si>
    <t>80497374</t>
  </si>
  <si>
    <t>MARTINEZ LUENGAS JOSE GERARDO</t>
  </si>
  <si>
    <t>1010221623</t>
  </si>
  <si>
    <t>MAYORGA OSCAR I</t>
  </si>
  <si>
    <t>1061819460</t>
  </si>
  <si>
    <t>ZUNIGA MELO SANTIAGO ALEJANDRO</t>
  </si>
  <si>
    <t>1032424495</t>
  </si>
  <si>
    <t>BAQUERO SAENZ JULIETH ESMERALDA</t>
  </si>
  <si>
    <t>1015425219</t>
  </si>
  <si>
    <t>ROMAN CINDY</t>
  </si>
  <si>
    <t>1067954816</t>
  </si>
  <si>
    <t>TAPIA WILLIAM</t>
  </si>
  <si>
    <t>1031141366</t>
  </si>
  <si>
    <t>CELY JULIAN</t>
  </si>
  <si>
    <t>1070959485</t>
  </si>
  <si>
    <t>DUENAS MORA ANGIE PAOLA</t>
  </si>
  <si>
    <t>1032461201</t>
  </si>
  <si>
    <t>BARRETO TORRES MARLEY GISEL</t>
  </si>
  <si>
    <t>79922635</t>
  </si>
  <si>
    <t>NECHIZA MILTON  RAMIRO</t>
  </si>
  <si>
    <t>1010209895</t>
  </si>
  <si>
    <t>VILLAMIL BUSTOS MIGUEL ANGEL</t>
  </si>
  <si>
    <t>52890946</t>
  </si>
  <si>
    <t>SILVA MEJIA LAURA SUSANA</t>
  </si>
  <si>
    <t>79837700</t>
  </si>
  <si>
    <t>MUNOZ ORTIZ ALEXANDER</t>
  </si>
  <si>
    <t>79510750</t>
  </si>
  <si>
    <t>GUEVARA WILFREDO</t>
  </si>
  <si>
    <t>1032481595</t>
  </si>
  <si>
    <t>UMANA GUEVARA JONNY ALEXANDER</t>
  </si>
  <si>
    <t>80223287</t>
  </si>
  <si>
    <t>PINEDA SORIANO MARIO</t>
  </si>
  <si>
    <t>80098581</t>
  </si>
  <si>
    <t>FORERO RODRIGUEZ JUAN CARLOS</t>
  </si>
  <si>
    <t>80110361</t>
  </si>
  <si>
    <t>TAUTIVA GOMEZ JAIME ANDRES</t>
  </si>
  <si>
    <t>1015460105</t>
  </si>
  <si>
    <t>GOMEZ SERGIO</t>
  </si>
  <si>
    <t>1013628967</t>
  </si>
  <si>
    <t>QUINTERO AMAYA EDWARD LEONARDO</t>
  </si>
  <si>
    <t>1073179884</t>
  </si>
  <si>
    <t>VILLARRAGA LENNIS</t>
  </si>
  <si>
    <t>1091595049</t>
  </si>
  <si>
    <t>GALVIS NELSON</t>
  </si>
  <si>
    <t>1032370242</t>
  </si>
  <si>
    <t>VILLA MARTINEZ JUAN ALEJANDRO</t>
  </si>
  <si>
    <t>1233912982</t>
  </si>
  <si>
    <t>MAYORGA CABRERA JOAN SEBASTIAN</t>
  </si>
  <si>
    <t>52998146</t>
  </si>
  <si>
    <t>BERNAL ELIZABETH</t>
  </si>
  <si>
    <t>1022356564</t>
  </si>
  <si>
    <t>CARRILLO MAHECHA KAREN LORENA</t>
  </si>
  <si>
    <t>1032415074</t>
  </si>
  <si>
    <t>ROBLEDO GIOVANNY</t>
  </si>
  <si>
    <t>1010235547</t>
  </si>
  <si>
    <t>MARTINEZ PLAZAS LINA MARIA</t>
  </si>
  <si>
    <t>1018420536</t>
  </si>
  <si>
    <t>RODRIGUEZ GINA MILENA</t>
  </si>
  <si>
    <t>1016041421</t>
  </si>
  <si>
    <t>RINCON GALAN JULIAN DAVID</t>
  </si>
  <si>
    <t>80882570</t>
  </si>
  <si>
    <t>GARRIDO ANDRES</t>
  </si>
  <si>
    <t>1022418409</t>
  </si>
  <si>
    <t>HILARION JIMENEZ LAURA</t>
  </si>
  <si>
    <t>1026577555</t>
  </si>
  <si>
    <t>ORTIZ RODRIGUEZ ERIKA</t>
  </si>
  <si>
    <t>1016031612</t>
  </si>
  <si>
    <t>VARGAS BERNAL DIANA FERNANDA</t>
  </si>
  <si>
    <t>80767663</t>
  </si>
  <si>
    <t>OLIVARES DIEGO</t>
  </si>
  <si>
    <t>52125067</t>
  </si>
  <si>
    <t>SOLER HUERTAS MARIA EUGENIA</t>
  </si>
  <si>
    <t>52438963</t>
  </si>
  <si>
    <t>BUENHOMBRE ASTRID</t>
  </si>
  <si>
    <t>80048433</t>
  </si>
  <si>
    <t>SALAZAR CESAR</t>
  </si>
  <si>
    <t>65740443</t>
  </si>
  <si>
    <t>DURAN BARBOSA LILIANA PATRICIA</t>
  </si>
  <si>
    <t>1032385583</t>
  </si>
  <si>
    <t>CUERVO BERNAL JOHANNA CAROLINA</t>
  </si>
  <si>
    <t>1022360816</t>
  </si>
  <si>
    <t>HIGUERA SANCHEZ JESSICA PAOLA</t>
  </si>
  <si>
    <t>79460238</t>
  </si>
  <si>
    <t>CHAPARRO MEDINA JORGE E</t>
  </si>
  <si>
    <t>79731123</t>
  </si>
  <si>
    <t>CASTELLANOS NANEZ OSCAR MAURICIO</t>
  </si>
  <si>
    <t>1071987725</t>
  </si>
  <si>
    <t>JUDITH SANCHEZ ADRIANA</t>
  </si>
  <si>
    <t>1012363348</t>
  </si>
  <si>
    <t>TIQUE CATANO ERIKA GINEY</t>
  </si>
  <si>
    <t>79962408</t>
  </si>
  <si>
    <t>RODRIGUEZ ROJAS MANUEL ALEJANDRO</t>
  </si>
  <si>
    <t>1000939795</t>
  </si>
  <si>
    <t>NINO CASALLAS LUZ ANGELA</t>
  </si>
  <si>
    <t>1018430455</t>
  </si>
  <si>
    <t>BUENDIA FRANCISCO JAVIER</t>
  </si>
  <si>
    <t>1022332404</t>
  </si>
  <si>
    <t>GONZALEZ ANDREA</t>
  </si>
  <si>
    <t>1023908278</t>
  </si>
  <si>
    <t>AREVALO LARA LAURA NATALI</t>
  </si>
  <si>
    <t>1032404011</t>
  </si>
  <si>
    <t>PEDRAZA ZIPA LINA ANDREA</t>
  </si>
  <si>
    <t>52524226</t>
  </si>
  <si>
    <t>FERNANDEZ ECHEVERRI MAGDA PAOLA</t>
  </si>
  <si>
    <t>1022387200</t>
  </si>
  <si>
    <t>PARDO MUNOZ INGRID SHIRLEY</t>
  </si>
  <si>
    <t>52276496</t>
  </si>
  <si>
    <t>IBAGON ROJAS LILIANA</t>
  </si>
  <si>
    <t>1233901588</t>
  </si>
  <si>
    <t>MINU CARLOS</t>
  </si>
  <si>
    <t>80047265</t>
  </si>
  <si>
    <t>CAMACHO RUIZ LEONARDO</t>
  </si>
  <si>
    <t>80034626</t>
  </si>
  <si>
    <t>BERNAL GONZALEZ FREDDY ALEJANDRO</t>
  </si>
  <si>
    <t>52761309</t>
  </si>
  <si>
    <t>CARRANZA ANGIE</t>
  </si>
  <si>
    <t>11321690</t>
  </si>
  <si>
    <t>FUERTES NIETO HERNANDO</t>
  </si>
  <si>
    <t>1030539124</t>
  </si>
  <si>
    <t>HUERTAS LADY</t>
  </si>
  <si>
    <t>1015433548</t>
  </si>
  <si>
    <t>CONTRERAS SUAREZ JUAN SEBASTIAN</t>
  </si>
  <si>
    <t>79884207</t>
  </si>
  <si>
    <t>BAEZ PALENCIA CARLOS MAURICIO</t>
  </si>
  <si>
    <t>52828470</t>
  </si>
  <si>
    <t>YAYA ZULMA</t>
  </si>
  <si>
    <t>80041636</t>
  </si>
  <si>
    <t>BONILLA GOMEZ MANUEL ALEJANDRO</t>
  </si>
  <si>
    <t>1032469434</t>
  </si>
  <si>
    <t>QUINTERO MORA IVAN ANDRES</t>
  </si>
  <si>
    <t>79948014</t>
  </si>
  <si>
    <t>CAMARGO ANDRES</t>
  </si>
  <si>
    <t>1054093212</t>
  </si>
  <si>
    <t>PINILLA PARDO ROGGER FABIAN</t>
  </si>
  <si>
    <t>1018421944</t>
  </si>
  <si>
    <t>JACOME ALVARO</t>
  </si>
  <si>
    <t>52435589</t>
  </si>
  <si>
    <t>MORENO GARCIA SANDRA MILENA</t>
  </si>
  <si>
    <t>1193559475</t>
  </si>
  <si>
    <t>BERNAL JULIAN</t>
  </si>
  <si>
    <t>1032364466</t>
  </si>
  <si>
    <t>BARRERA ANGEL JUAN SEBASTIAN</t>
  </si>
  <si>
    <t>1072714323</t>
  </si>
  <si>
    <t>ESGUERRA BUITRAGO DIEGO ALEJANDRO</t>
  </si>
  <si>
    <t>4377227</t>
  </si>
  <si>
    <t>CASTRO JARAMILLO FRANCISCO ALEJANDRO</t>
  </si>
  <si>
    <t>1005163088</t>
  </si>
  <si>
    <t>ESCOBAR DYLAN</t>
  </si>
  <si>
    <t>88031423</t>
  </si>
  <si>
    <t>TARAZONA BLANCO ELKIN MAURICIO</t>
  </si>
  <si>
    <t>1005106691</t>
  </si>
  <si>
    <t>MENA LOBO ANA MARIA</t>
  </si>
  <si>
    <t>52372495</t>
  </si>
  <si>
    <t>CASALLAS ROJAS LEILA RUTH</t>
  </si>
  <si>
    <t>79793636</t>
  </si>
  <si>
    <t>CHABUR ORLANDO</t>
  </si>
  <si>
    <t>1023890926</t>
  </si>
  <si>
    <t>RAMOS BOHORQUEZ MAURICIO ENRIQUE</t>
  </si>
  <si>
    <t>1018458766</t>
  </si>
  <si>
    <t>GONZALEZ  MENJURA CAROL NATALY</t>
  </si>
  <si>
    <t>1093749509</t>
  </si>
  <si>
    <t>SANABRIA ALARCON RUTH KATHERINE</t>
  </si>
  <si>
    <t>79713987</t>
  </si>
  <si>
    <t>CASAS CASTRO PEDRO PABLO</t>
  </si>
  <si>
    <t>80274104</t>
  </si>
  <si>
    <t>LOPEZ FERNANDEZ JUAN FRANCISCO</t>
  </si>
  <si>
    <t>1014262560</t>
  </si>
  <si>
    <t>CARDENAS BARRERA SERGIO NICOLAS</t>
  </si>
  <si>
    <t>1016015033</t>
  </si>
  <si>
    <t>CASTELLANOS JUAN DAVID</t>
  </si>
  <si>
    <t>1031156129</t>
  </si>
  <si>
    <t>BECERRA JULIAN CAMILO</t>
  </si>
  <si>
    <t>1033779677</t>
  </si>
  <si>
    <t>CARDENAS JEAN CARLO</t>
  </si>
  <si>
    <t>1023024759</t>
  </si>
  <si>
    <t>MARTINEZ GONZALEZ BEBSY DANIELA</t>
  </si>
  <si>
    <t>1014292801</t>
  </si>
  <si>
    <t>CARDENAS OSCAR</t>
  </si>
  <si>
    <t>74084459</t>
  </si>
  <si>
    <t>BARRERA JUAN FERNANDO</t>
  </si>
  <si>
    <t>79732034</t>
  </si>
  <si>
    <t>BARONA RICARDO</t>
  </si>
  <si>
    <t>79633831</t>
  </si>
  <si>
    <t>NAVAS GONZALEZ NICOLAS BERNARDO</t>
  </si>
  <si>
    <t>80415486</t>
  </si>
  <si>
    <t>CARRILLO SANTIAGO</t>
  </si>
  <si>
    <t>79468775</t>
  </si>
  <si>
    <t>RICO AREVALO CARLOS FERNANDO</t>
  </si>
  <si>
    <t>1023899660</t>
  </si>
  <si>
    <t>HOYOS HERNANDEZ JYNA PAOLA</t>
  </si>
  <si>
    <t>7174306</t>
  </si>
  <si>
    <t>MEDINA ALVAREZ GERARDO ANTONIO</t>
  </si>
  <si>
    <t>80141029</t>
  </si>
  <si>
    <t>GARZON HERNANDEZ WALTER EDGARDO</t>
  </si>
  <si>
    <t>1001285535</t>
  </si>
  <si>
    <t>NUNEZ JULIAN</t>
  </si>
  <si>
    <t>1014230294</t>
  </si>
  <si>
    <t>PATINO MORA ALEJANDRA</t>
  </si>
  <si>
    <t>1030699910</t>
  </si>
  <si>
    <t>PAEZ DANIEL</t>
  </si>
  <si>
    <t>80802834</t>
  </si>
  <si>
    <t>PRIETO DAVID</t>
  </si>
  <si>
    <t>80732722</t>
  </si>
  <si>
    <t>MORENO AVILA WILLIAM GIOVANNI</t>
  </si>
  <si>
    <t>1233492600</t>
  </si>
  <si>
    <t>CASTELLON RAMIREZ LENARD ANDRES</t>
  </si>
  <si>
    <t>80241945</t>
  </si>
  <si>
    <t>ORBEGOZO WILLIAM</t>
  </si>
  <si>
    <t>1033769811</t>
  </si>
  <si>
    <t>CALDERON ALISON</t>
  </si>
  <si>
    <t>80797663</t>
  </si>
  <si>
    <t>BAYONA ALEJANDRO</t>
  </si>
  <si>
    <t>79910923</t>
  </si>
  <si>
    <t>MEDINA SAMIR</t>
  </si>
  <si>
    <t>1012450022</t>
  </si>
  <si>
    <t>DOMINGUEZ CRUZ IVAN DAVID</t>
  </si>
  <si>
    <t>1032439036</t>
  </si>
  <si>
    <t>AGUILERA JORGE IVAN</t>
  </si>
  <si>
    <t>1072431214</t>
  </si>
  <si>
    <t>CONTO TRIANA GUILLERMO ANDRES</t>
  </si>
  <si>
    <t>80350939</t>
  </si>
  <si>
    <t>ALVAREZ TORRES ANGEL ALBERTO</t>
  </si>
  <si>
    <t>1092345677</t>
  </si>
  <si>
    <t>CASTANEDA RINCON ANDRES JULIAN</t>
  </si>
  <si>
    <t>1098740275</t>
  </si>
  <si>
    <t>BARAJAS CABALLERO GIBRAN</t>
  </si>
  <si>
    <t>1070622518</t>
  </si>
  <si>
    <t>FLORIAN SALCEDO DANIEL  FERNANDO</t>
  </si>
  <si>
    <t>1001198453</t>
  </si>
  <si>
    <t>GARCIA DIANA</t>
  </si>
  <si>
    <t>1023872081</t>
  </si>
  <si>
    <t>PENA HENRY</t>
  </si>
  <si>
    <t>1010178247</t>
  </si>
  <si>
    <t>HOYOS BUCHELI JUAN SEBASTIAN</t>
  </si>
  <si>
    <t>1001066769</t>
  </si>
  <si>
    <t>SANABRIA SOFIA</t>
  </si>
  <si>
    <t>1022401925</t>
  </si>
  <si>
    <t>DUENAS DAVID</t>
  </si>
  <si>
    <t>1018502594</t>
  </si>
  <si>
    <t>SANCHEZ CASTRO MIGUEL ANGEL</t>
  </si>
  <si>
    <t>1072711668</t>
  </si>
  <si>
    <t>CORTES SILVA ANDER</t>
  </si>
  <si>
    <t>1010235173</t>
  </si>
  <si>
    <t>BOHORQUEZ PINEROS GABRIELA VALENTINA</t>
  </si>
  <si>
    <t>1032427213</t>
  </si>
  <si>
    <t>CASTELLANOS JAQUELINE</t>
  </si>
  <si>
    <t>1013588243</t>
  </si>
  <si>
    <t>LAVERDE DONOSO MANUEL LEONARDO</t>
  </si>
  <si>
    <t>1052409524</t>
  </si>
  <si>
    <t>RODRIGUEZ JOHAN FELIPE</t>
  </si>
  <si>
    <t>1030640485</t>
  </si>
  <si>
    <t>VALERO ROMERO ADRIANA</t>
  </si>
  <si>
    <t>39810178</t>
  </si>
  <si>
    <t>LOPEZ ALBARRACIN LUZ DARY</t>
  </si>
  <si>
    <t>1030653098</t>
  </si>
  <si>
    <t>MORENO QUIROGA PAULA DANIELA</t>
  </si>
  <si>
    <t>1032476792</t>
  </si>
  <si>
    <t>GOMEZ DIAZ JUAN MANUEL</t>
  </si>
  <si>
    <t>1026287497</t>
  </si>
  <si>
    <t>PORTILLO CATHERINE</t>
  </si>
  <si>
    <t>1032443752</t>
  </si>
  <si>
    <t>LARA RODRIGUEZ SANDRA MILENA</t>
  </si>
  <si>
    <t>1140901643</t>
  </si>
  <si>
    <t>CARO TEJERA ANDRES FELIPE</t>
  </si>
  <si>
    <t>80472066</t>
  </si>
  <si>
    <t>HERNANDEZ DANIEL</t>
  </si>
  <si>
    <t>65786864</t>
  </si>
  <si>
    <t>MEDINA CASTANEDA YAMILE</t>
  </si>
  <si>
    <t>80214679</t>
  </si>
  <si>
    <t>SALINAS TACUMA ENRIQUE</t>
  </si>
  <si>
    <t>1033686550</t>
  </si>
  <si>
    <t>BATERO MANSO DIEGO FERNANDO</t>
  </si>
  <si>
    <t>1010179348</t>
  </si>
  <si>
    <t>CAMACHO OSORIO JUAN CAMILO</t>
  </si>
  <si>
    <t>1018498480</t>
  </si>
  <si>
    <t>AGATON DARIO</t>
  </si>
  <si>
    <t>1015432115</t>
  </si>
  <si>
    <t>AGUILERA LUZ</t>
  </si>
  <si>
    <t>1013623928</t>
  </si>
  <si>
    <t>BEJARANO HANS</t>
  </si>
  <si>
    <t>80099289</t>
  </si>
  <si>
    <t>SOTELO ANDRES</t>
  </si>
  <si>
    <t>60326987</t>
  </si>
  <si>
    <t>MELO ISCALA BLANCA HAYDEE</t>
  </si>
  <si>
    <t>1075874836</t>
  </si>
  <si>
    <t>PINILLA DIEGO</t>
  </si>
  <si>
    <t>53118361</t>
  </si>
  <si>
    <t>LOPEZ ZAMBRANO NATHALIA</t>
  </si>
  <si>
    <t>1020806074</t>
  </si>
  <si>
    <t>MARTINEZ NICOLAS</t>
  </si>
  <si>
    <t>1090401668</t>
  </si>
  <si>
    <t>CONTRERAS NARANJO JESUS EDUARDO</t>
  </si>
  <si>
    <t>79999330</t>
  </si>
  <si>
    <t>ARIAS CHAVARRO LUIS ENRIQUE</t>
  </si>
  <si>
    <t>5825348</t>
  </si>
  <si>
    <t>OLAYA BENITEZ EMERSON JASSAN</t>
  </si>
  <si>
    <t>1018456035</t>
  </si>
  <si>
    <t>MORA LUISA</t>
  </si>
  <si>
    <t>79611219</t>
  </si>
  <si>
    <t>ROSAS MARTINEZ GABINO</t>
  </si>
  <si>
    <t>1010228903</t>
  </si>
  <si>
    <t>MORALES JIMENEZ ANDREA</t>
  </si>
  <si>
    <t>1019117268</t>
  </si>
  <si>
    <t>LEZAMA VILLAMIL ANGIE KATERINE</t>
  </si>
  <si>
    <t>1013634532</t>
  </si>
  <si>
    <t>VIVAS ANA MARIA</t>
  </si>
  <si>
    <t>79905993</t>
  </si>
  <si>
    <t>AROCA BERMEO FAIBER ANDREY</t>
  </si>
  <si>
    <t>35413646</t>
  </si>
  <si>
    <t>CEDIIEL BRAVO LUZ ELENA</t>
  </si>
  <si>
    <t>41752256</t>
  </si>
  <si>
    <t>LEON CHAVEZ FANNY</t>
  </si>
  <si>
    <t>18958510</t>
  </si>
  <si>
    <t>MATTOS MEJIA JORGE LUIS</t>
  </si>
  <si>
    <t>1007475970</t>
  </si>
  <si>
    <t>RODRIGUEZ SIERRA JULIAN MATEO</t>
  </si>
  <si>
    <t>80068668</t>
  </si>
  <si>
    <t>MORENO DANIEL</t>
  </si>
  <si>
    <t>75094569</t>
  </si>
  <si>
    <t>ALZATE CARDONA ANDRES FELIPE</t>
  </si>
  <si>
    <t>1147687696</t>
  </si>
  <si>
    <t>RODRIGUEZ ADRIANA</t>
  </si>
  <si>
    <t>1001078325</t>
  </si>
  <si>
    <t>GUTIERREZ GARCIA JULY CAROLINA</t>
  </si>
  <si>
    <t>94457537</t>
  </si>
  <si>
    <t>GONZALEZ DORADO JHON ALEXANDER</t>
  </si>
  <si>
    <t>46454699</t>
  </si>
  <si>
    <t>FAJARDO SUA DIANA ASTRID</t>
  </si>
  <si>
    <t>10131355</t>
  </si>
  <si>
    <t>GASCA BAZURTO LUIS FERNANDO</t>
  </si>
  <si>
    <t>79223706</t>
  </si>
  <si>
    <t>GARRIDO MESA CARLOS ANDRES</t>
  </si>
  <si>
    <t>1098776027</t>
  </si>
  <si>
    <t>ARIAS QUINTERO NICOLAS SANTIAGO</t>
  </si>
  <si>
    <t>1107085116</t>
  </si>
  <si>
    <t>CHACON CAICEDO BRENDA CAROLINA</t>
  </si>
  <si>
    <t>1020798739</t>
  </si>
  <si>
    <t>ESPINEL ALARCON LINA MARIA</t>
  </si>
  <si>
    <t>80013703</t>
  </si>
  <si>
    <t>GONZALEZ MONTILLA WILSON</t>
  </si>
  <si>
    <t>1082956866</t>
  </si>
  <si>
    <t>NUNEZ LIZ</t>
  </si>
  <si>
    <t>1016040558</t>
  </si>
  <si>
    <t>RAMIREZ ACEVEDO ANDRES FELIPE</t>
  </si>
  <si>
    <t>1130670364</t>
  </si>
  <si>
    <t>ALBAN JUAN PABLO</t>
  </si>
  <si>
    <t>80798070</t>
  </si>
  <si>
    <t>COMBITA ALEX</t>
  </si>
  <si>
    <t>91269499</t>
  </si>
  <si>
    <t>MANTILLA HUGO</t>
  </si>
  <si>
    <t>80658337</t>
  </si>
  <si>
    <t>RODRIGUEZ MONTANO OSCAR LIBARDO</t>
  </si>
  <si>
    <t>1014259580</t>
  </si>
  <si>
    <t>CASTANEDA GINNA</t>
  </si>
  <si>
    <t>73144425</t>
  </si>
  <si>
    <t>ALARCON GERMAN</t>
  </si>
  <si>
    <t>1010237435</t>
  </si>
  <si>
    <t>GARIBELLO SANCHEZ LINA MARIA</t>
  </si>
  <si>
    <t>1105691259</t>
  </si>
  <si>
    <t>DIAZ NICOLAS</t>
  </si>
  <si>
    <t>80794905</t>
  </si>
  <si>
    <t>ACOSTA SANABRIA MIGUEL ANGEL</t>
  </si>
  <si>
    <t>79602436</t>
  </si>
  <si>
    <t>ZAFRA ALEJANDRO</t>
  </si>
  <si>
    <t>1067858299</t>
  </si>
  <si>
    <t>TOBON GUZMAN JUAN EMILIO</t>
  </si>
  <si>
    <t>1032452593</t>
  </si>
  <si>
    <t>BAQUERO GIOVANNI</t>
  </si>
  <si>
    <t>79398865</t>
  </si>
  <si>
    <t>79398865 JUAN CARLOS SANCHEZ GAMA</t>
  </si>
  <si>
    <t>52027093</t>
  </si>
  <si>
    <t>TORRES CORTES SONIA</t>
  </si>
  <si>
    <t>79841119</t>
  </si>
  <si>
    <t>MUNOZ GALINDO RAUL ALEJANDRO</t>
  </si>
  <si>
    <t>79329745</t>
  </si>
  <si>
    <t>CARDOZO POLANIA LUIS RODRIGO</t>
  </si>
  <si>
    <t>1070972286</t>
  </si>
  <si>
    <t>CORTES WILLMAN</t>
  </si>
  <si>
    <t>1014205233</t>
  </si>
  <si>
    <t>SALAS CARRANZA ANGIE PATRICIA</t>
  </si>
  <si>
    <t>80756697</t>
  </si>
  <si>
    <t>RUEDA MORENO JOSE LUIS</t>
  </si>
  <si>
    <t>80845705</t>
  </si>
  <si>
    <t>LOPEZ AMARIS HELBERT ARTURO</t>
  </si>
  <si>
    <t>1030565663</t>
  </si>
  <si>
    <t>PENALOZA NATALIA</t>
  </si>
  <si>
    <t>1024510434</t>
  </si>
  <si>
    <t>ARIAS MORENO JORGE LEONARDO</t>
  </si>
  <si>
    <t>1023887942</t>
  </si>
  <si>
    <t>LOPEZ LEON JONATHAN MAURICIO</t>
  </si>
  <si>
    <t>1032451810</t>
  </si>
  <si>
    <t>ALBARRACIN SANCHEZ SERGIO IVAN</t>
  </si>
  <si>
    <t>1018496380</t>
  </si>
  <si>
    <t>ERAZO ORTIZ MARIA JOSE</t>
  </si>
  <si>
    <t>1020843461</t>
  </si>
  <si>
    <t>PRIETO RODRIGUEZ SARAH LIA</t>
  </si>
  <si>
    <t>52711739</t>
  </si>
  <si>
    <t>CONTRERAS FIERRO CAROLINA</t>
  </si>
  <si>
    <t>80020383</t>
  </si>
  <si>
    <t>BERNAL OLAYA JORGE ALBERTO</t>
  </si>
  <si>
    <t>1116807112</t>
  </si>
  <si>
    <t>RINCON NAVARRO MARIA CAMILA</t>
  </si>
  <si>
    <t>80109407</t>
  </si>
  <si>
    <t>ACOSTA ALEJANDRO</t>
  </si>
  <si>
    <t>7843437</t>
  </si>
  <si>
    <t>MURCIA GARCIA SHESMAN ALEXANDER</t>
  </si>
  <si>
    <t>1012400439</t>
  </si>
  <si>
    <t>PINEDA MUNOZ LADY ESTEFANIA</t>
  </si>
  <si>
    <t>79686588</t>
  </si>
  <si>
    <t>MORALES CARVAJALINO CARLOS DARIO</t>
  </si>
  <si>
    <t>80011939</t>
  </si>
  <si>
    <t>BRICENO NINO ANDRES FELIPE</t>
  </si>
  <si>
    <t>1013603555</t>
  </si>
  <si>
    <t>JURADO MONTOYA DAVID FERNANDO</t>
  </si>
  <si>
    <t>1026297777</t>
  </si>
  <si>
    <t>SUAREZ JIMENEZ DANIELA</t>
  </si>
  <si>
    <t>1013662906</t>
  </si>
  <si>
    <t>LOPEZ HERNANDEZ JOSE ARNOLD</t>
  </si>
  <si>
    <t>1052417031</t>
  </si>
  <si>
    <t>BARRERA RINCON DAYAN RICARDO</t>
  </si>
  <si>
    <t>1113640591</t>
  </si>
  <si>
    <t>GRANDA ARCE DAMARIS</t>
  </si>
  <si>
    <t>1020809095</t>
  </si>
  <si>
    <t>MORENO MENDOZA DANIEL FELIPE</t>
  </si>
  <si>
    <t>1052411055</t>
  </si>
  <si>
    <t>PEREZ HERNANDEZ YESSICA JULIETH</t>
  </si>
  <si>
    <t>1012403324</t>
  </si>
  <si>
    <t>CANTOR TATIANA</t>
  </si>
  <si>
    <t>1013645325</t>
  </si>
  <si>
    <t>VALENZUELA SERRANO NATHALIE</t>
  </si>
  <si>
    <t>80038708</t>
  </si>
  <si>
    <t>NARVAEZ CABALLERO NIKOLAI ALEXANDER</t>
  </si>
  <si>
    <t>1001059089</t>
  </si>
  <si>
    <t>RANGEL TORRES JUAN FELIPE</t>
  </si>
  <si>
    <t>1015436045</t>
  </si>
  <si>
    <t>DIAZ BONILLA MARIA EUGENIA</t>
  </si>
  <si>
    <t>7188686</t>
  </si>
  <si>
    <t>MEDINA JOSE LUIS</t>
  </si>
  <si>
    <t>52786398</t>
  </si>
  <si>
    <t>GONZALEZ DIANA</t>
  </si>
  <si>
    <t>1013680036</t>
  </si>
  <si>
    <t>PULIDO FABIAN</t>
  </si>
  <si>
    <t>52086893</t>
  </si>
  <si>
    <t>BARBOSA PAULA</t>
  </si>
  <si>
    <t>1020803485</t>
  </si>
  <si>
    <t>VIEDA MEDINA JUAN DAVID</t>
  </si>
  <si>
    <t>1014255697</t>
  </si>
  <si>
    <t>OROZCO CESAR</t>
  </si>
  <si>
    <t>1032451106</t>
  </si>
  <si>
    <t>SARMIENTO JUAN FELIPE</t>
  </si>
  <si>
    <t>1090394115</t>
  </si>
  <si>
    <t>PENA DIEGO FERNANDO</t>
  </si>
  <si>
    <t>11185974</t>
  </si>
  <si>
    <t>OSUNA TIJARO ALEXANDRE</t>
  </si>
  <si>
    <t>1022431893</t>
  </si>
  <si>
    <t>HERNANDEZ SANDOVAL CAMILO ANDRES</t>
  </si>
  <si>
    <t>79788022</t>
  </si>
  <si>
    <t>INFANTE R SANTIAGO ANDRES</t>
  </si>
  <si>
    <t>1010092375</t>
  </si>
  <si>
    <t>MUNOZ LAURA</t>
  </si>
  <si>
    <t>80397161</t>
  </si>
  <si>
    <t>CASTRO VICTOR</t>
  </si>
  <si>
    <t>1019066088</t>
  </si>
  <si>
    <t>DELGADO CUELLAR DIEGO FERNANDO</t>
  </si>
  <si>
    <t>79949138</t>
  </si>
  <si>
    <t>GUERRERO DAVID</t>
  </si>
  <si>
    <t>1030587886</t>
  </si>
  <si>
    <t>RUBIANO JIMENEZ GUSTAVO</t>
  </si>
  <si>
    <t>52087377</t>
  </si>
  <si>
    <t>ALMANZA YANETH</t>
  </si>
  <si>
    <t>9975404</t>
  </si>
  <si>
    <t>HENAO PAULO</t>
  </si>
  <si>
    <t>1018480537</t>
  </si>
  <si>
    <t>GUTIERREZ BELTRAN PEDRO DAVID</t>
  </si>
  <si>
    <t>79818033</t>
  </si>
  <si>
    <t>RIANO CARLOS</t>
  </si>
  <si>
    <t>1022380383</t>
  </si>
  <si>
    <t>GUTIERREZ ARIAS LAURA ANDREA</t>
  </si>
  <si>
    <t>52288882</t>
  </si>
  <si>
    <t>AVILA MARTINEZ DIANA MILENA</t>
  </si>
  <si>
    <t>1030554542</t>
  </si>
  <si>
    <t>FANDINO DIEGO</t>
  </si>
  <si>
    <t>53139175</t>
  </si>
  <si>
    <t>AVILA BIBIANA</t>
  </si>
  <si>
    <t>1020721488</t>
  </si>
  <si>
    <t>PEREZ AGUILERA CARLOS ROBERTO</t>
  </si>
  <si>
    <t>52896009</t>
  </si>
  <si>
    <t>MARTINEZ AVILA CLARA YAMILE</t>
  </si>
  <si>
    <t>79766758</t>
  </si>
  <si>
    <t>CARDONA SANCHEZ FERNANDO</t>
  </si>
  <si>
    <t>53032073</t>
  </si>
  <si>
    <t>HIDALGO VERGARA MONICA ANDREA</t>
  </si>
  <si>
    <t>1053345670</t>
  </si>
  <si>
    <t>BAUTISTA ORTEGA SAMUEL HORACIO</t>
  </si>
  <si>
    <t>79048946</t>
  </si>
  <si>
    <t>RODRIGUEZ VENEGAS OSCAR ARTURO</t>
  </si>
  <si>
    <t>52210313</t>
  </si>
  <si>
    <t>ALVIRA GOMEZ LIDIA ESPERANZA</t>
  </si>
  <si>
    <t>60449313</t>
  </si>
  <si>
    <t>SEPULVEDA DIANA</t>
  </si>
  <si>
    <t>1143408564</t>
  </si>
  <si>
    <t>GARCIA MENDOZA SEBASTIAN</t>
  </si>
  <si>
    <t>1020736205</t>
  </si>
  <si>
    <t>CASAS ZULUAGA JEFERSON</t>
  </si>
  <si>
    <t>1031183690</t>
  </si>
  <si>
    <t>SUA NICOL</t>
  </si>
  <si>
    <t>73182300</t>
  </si>
  <si>
    <t>ROJAS LUIS</t>
  </si>
  <si>
    <t>80233168</t>
  </si>
  <si>
    <t>CAMARGO PLATA RAMON HUMBERTO</t>
  </si>
  <si>
    <t>1013610665</t>
  </si>
  <si>
    <t>MOYA BEDOYA LADY JOHANA</t>
  </si>
  <si>
    <t>80191728</t>
  </si>
  <si>
    <t>SOLANO GAITAN EDWIN ORLANDO</t>
  </si>
  <si>
    <t>52521459</t>
  </si>
  <si>
    <t>CORTES ROJAS KATHERINNE</t>
  </si>
  <si>
    <t>1018423036</t>
  </si>
  <si>
    <t>BUSTOS AMIN JOHN ERICK</t>
  </si>
  <si>
    <t>80793954</t>
  </si>
  <si>
    <t>HERNANDEZ OSCAR</t>
  </si>
  <si>
    <t>1003698798</t>
  </si>
  <si>
    <t>HERNANDEZ ALIRIO</t>
  </si>
  <si>
    <t>53097042</t>
  </si>
  <si>
    <t>ESCOBAR NATALIA</t>
  </si>
  <si>
    <t>1019113556</t>
  </si>
  <si>
    <t>SALAS MENESES DANIEL ALBERTO</t>
  </si>
  <si>
    <t>1030533835</t>
  </si>
  <si>
    <t>CUETO GARCIA JAVIER CAMILO</t>
  </si>
  <si>
    <t>1030588569</t>
  </si>
  <si>
    <t>FLOREZ FUENTES CATHERIN</t>
  </si>
  <si>
    <t>1031157110</t>
  </si>
  <si>
    <t>BERNAL JEYSON</t>
  </si>
  <si>
    <t>1102853205</t>
  </si>
  <si>
    <t>TUIRAN RUIZ JESUS DAVID</t>
  </si>
  <si>
    <t>13569291</t>
  </si>
  <si>
    <t>AREVALO GUILLIN WALTER</t>
  </si>
  <si>
    <t>1015427647</t>
  </si>
  <si>
    <t>SIERRA  ROBAYO EVARISTO ANDRES</t>
  </si>
  <si>
    <t>52379844</t>
  </si>
  <si>
    <t>OLAYA SANDRA</t>
  </si>
  <si>
    <t>1075313450</t>
  </si>
  <si>
    <t>SUAREZ LEIVA LIZ ALEXANDRA</t>
  </si>
  <si>
    <t>1033721963</t>
  </si>
  <si>
    <t>SALAMANCA DIEGO</t>
  </si>
  <si>
    <t>80222362</t>
  </si>
  <si>
    <t>ACOSTA HERNANDEZ ELMER GENIER</t>
  </si>
  <si>
    <t>7334393</t>
  </si>
  <si>
    <t>PINEDA ROA CARLOS ALEJANDRO</t>
  </si>
  <si>
    <t>1032363918</t>
  </si>
  <si>
    <t>RUIZ NIEVES MARCO ANTONIO</t>
  </si>
  <si>
    <t>1023965976</t>
  </si>
  <si>
    <t>MORENO ANDRES</t>
  </si>
  <si>
    <t>84006296</t>
  </si>
  <si>
    <t>BRITO CARRILLO ALDO</t>
  </si>
  <si>
    <t>1019982228</t>
  </si>
  <si>
    <t>FORERO LOSADA LUCAS MATEO</t>
  </si>
  <si>
    <t>1023945301</t>
  </si>
  <si>
    <t>BECERRA NIETO ANGIE TATIANA</t>
  </si>
  <si>
    <t>1104700404</t>
  </si>
  <si>
    <t>GUILLEN ROZO ELVER JULIAN</t>
  </si>
  <si>
    <t>79956497</t>
  </si>
  <si>
    <t>ACUNA CASTILLO JORGE ALBERTO</t>
  </si>
  <si>
    <t>1193247659</t>
  </si>
  <si>
    <t>TORRES RODRIGUEZ ERICK CAMILO</t>
  </si>
  <si>
    <t>80059300</t>
  </si>
  <si>
    <t>PINEROS BAEZ VICTOR HUGO</t>
  </si>
  <si>
    <t>1010162787</t>
  </si>
  <si>
    <t>ALONSO PALACIOS LILIAM ANGGELINE</t>
  </si>
  <si>
    <t>8731077</t>
  </si>
  <si>
    <t>VARGAS ACOSTA JAVIER</t>
  </si>
  <si>
    <t>1015407087</t>
  </si>
  <si>
    <t>MARTINEZ MARTINEZ ERIKA</t>
  </si>
  <si>
    <t>1015445961</t>
  </si>
  <si>
    <t>GIL AVILA WILLIAM CAMILO</t>
  </si>
  <si>
    <t>1032421780</t>
  </si>
  <si>
    <t>ACOSTA TRUJILLO MANUEL FRANCISCO</t>
  </si>
  <si>
    <t>1000588659</t>
  </si>
  <si>
    <t>PEREZ BOHORQUEZ DAVID STIVEN</t>
  </si>
  <si>
    <t>1022402780</t>
  </si>
  <si>
    <t>MUNAR GUAYARA MIKE ALEXANDRE</t>
  </si>
  <si>
    <t>80547263</t>
  </si>
  <si>
    <t>FERRER MAYORGA JOHN ALEXANDER</t>
  </si>
  <si>
    <t>52959771</t>
  </si>
  <si>
    <t>RODRIGUEZ YANETH</t>
  </si>
  <si>
    <t>603434118</t>
  </si>
  <si>
    <t>1073160545</t>
  </si>
  <si>
    <t>PENUELA PRIETO WILMER</t>
  </si>
  <si>
    <t>52616518</t>
  </si>
  <si>
    <t>VEGA LUGO LUZ ADILIA</t>
  </si>
  <si>
    <t>1090398205</t>
  </si>
  <si>
    <t>CONTRERAS MURILLO DIANA AZUCENA</t>
  </si>
  <si>
    <t>1067853705</t>
  </si>
  <si>
    <t>VERGARA RAMOS LINA ROCIO</t>
  </si>
  <si>
    <t>1049650160</t>
  </si>
  <si>
    <t>BOHORQUEZ CARDENAS SARA NATALIA CAROLINA</t>
  </si>
  <si>
    <t>1118122044</t>
  </si>
  <si>
    <t>ROMERO FERNANDEZ CARLOS ALEXIS</t>
  </si>
  <si>
    <t>1075234615</t>
  </si>
  <si>
    <t>RIOS CABRERA JUAN GUILLERMO</t>
  </si>
  <si>
    <t>1075238832</t>
  </si>
  <si>
    <t>RAMIREZ CHRISTIAN</t>
  </si>
  <si>
    <t>1075236168</t>
  </si>
  <si>
    <t>ORDONEZ GUSTAVO</t>
  </si>
  <si>
    <t>1075299853</t>
  </si>
  <si>
    <t>DELGADO VEGA NARJY VANESSA</t>
  </si>
  <si>
    <t>1073827354</t>
  </si>
  <si>
    <t>MANGA OSORIO CARMEN</t>
  </si>
  <si>
    <t>102020726680</t>
  </si>
  <si>
    <t>CASTELLANOS NIVER</t>
  </si>
  <si>
    <t>123409713</t>
  </si>
  <si>
    <t>53124024</t>
  </si>
  <si>
    <t>OLARTE FRANCY</t>
  </si>
  <si>
    <t>CARLOS LUIS</t>
  </si>
  <si>
    <t>1803006582</t>
  </si>
  <si>
    <t>ARZUZA MIRA SOFIA</t>
  </si>
  <si>
    <t>SERNA H LUIS F</t>
  </si>
  <si>
    <t>PEREZ ARIGANA ANA MARIA</t>
  </si>
  <si>
    <t>1014237824</t>
  </si>
  <si>
    <t>LEGUIZAMO INGRID</t>
  </si>
  <si>
    <t>JIMENEZ NARVAEZ MARVIN LUIS</t>
  </si>
  <si>
    <t>ANTONIO EDWIN</t>
  </si>
  <si>
    <t>30</t>
  </si>
  <si>
    <t>RESTREPO LUIS</t>
  </si>
  <si>
    <t>3004509954</t>
  </si>
  <si>
    <t>ARROYO TORRES JESUS RICARDO</t>
  </si>
  <si>
    <t>2286435</t>
  </si>
  <si>
    <t>GARRIDO PERALTA MARHA</t>
  </si>
  <si>
    <t>RODRIGUEZ SALAS CAROLINA</t>
  </si>
  <si>
    <t>1115041345</t>
  </si>
  <si>
    <t>LOZANO GARCIA JEFFREY</t>
  </si>
  <si>
    <t>DIAZ MIRANDA MARIA ALEJANDRA</t>
  </si>
  <si>
    <t>CARLOS JUAN</t>
  </si>
  <si>
    <t>MARTINEZ MEZA JHON JAIRO</t>
  </si>
  <si>
    <t>1110481407</t>
  </si>
  <si>
    <t>LOPEZ FLOREZ FRANKIN EDUARDO</t>
  </si>
  <si>
    <t>ANGULO GALLEGO YUBELLIZ DAYANA</t>
  </si>
  <si>
    <t>RIVERA HAMILTON</t>
  </si>
  <si>
    <t>ALEXANDRA JESSIKA</t>
  </si>
  <si>
    <t>MENDEZ JANETH CRISTINA</t>
  </si>
  <si>
    <t>108341500</t>
  </si>
  <si>
    <t>ALCAZAR QUINTO MARIA ALEJANDRA</t>
  </si>
  <si>
    <t>HERNANDEZ IRIARTE JAYDER</t>
  </si>
  <si>
    <t>BONILLA WILSON</t>
  </si>
  <si>
    <t>VILLA MARTINEZ CESAR ALBERTO</t>
  </si>
  <si>
    <t>3204593839</t>
  </si>
  <si>
    <t>AMAYA SANCHEZ MICHAEL STEVEN</t>
  </si>
  <si>
    <t>ALVAREZ IDARRAGA NELLY JOHANA</t>
  </si>
  <si>
    <t>1102850760</t>
  </si>
  <si>
    <t>TORRES ENRIQUE</t>
  </si>
  <si>
    <t>1073210682</t>
  </si>
  <si>
    <t>REY RAMIREZ OMAR SANTIAGO</t>
  </si>
  <si>
    <t>1032444531</t>
  </si>
  <si>
    <t>ROMERO CHAPARRO HOLMAN</t>
  </si>
  <si>
    <t>1018403528</t>
  </si>
  <si>
    <t>TORRES CALDERON JORGE ANDRES</t>
  </si>
  <si>
    <t>MOLINA MANDON VICTOR ALFONSO MOLINA MANDON</t>
  </si>
  <si>
    <t>101544225</t>
  </si>
  <si>
    <t>MARTINEZ SALGADO ALEJANDRA MARIA</t>
  </si>
  <si>
    <t>52414482</t>
  </si>
  <si>
    <t>PAZ ANDREA</t>
  </si>
  <si>
    <t>80726071</t>
  </si>
  <si>
    <t>OCHOA MORENO WILLIAM LEONARDO</t>
  </si>
  <si>
    <t>38285304</t>
  </si>
  <si>
    <t>ALFONSO OERIZ QDRIANA DEL ROCIO</t>
  </si>
  <si>
    <t>722264339</t>
  </si>
  <si>
    <t>MARBELLO HENAO YURY ALEXANDER</t>
  </si>
  <si>
    <t>PARRA CATHERINE</t>
  </si>
  <si>
    <t>PINEDA SORIANO MARIO ALBERTO</t>
  </si>
  <si>
    <t>102451434</t>
  </si>
  <si>
    <t>SEGURA GIL FELIX EDUARDO</t>
  </si>
  <si>
    <t>MURILLO DAZA DANILO</t>
  </si>
  <si>
    <t>1023878064</t>
  </si>
  <si>
    <t>ESTEPA NATALIA</t>
  </si>
  <si>
    <t>102386806</t>
  </si>
  <si>
    <t>1026301088</t>
  </si>
  <si>
    <t>PENA ALEJANDRO</t>
  </si>
  <si>
    <t>101849331</t>
  </si>
  <si>
    <t>GUTIERREZ GALVIS ESTEFANIA</t>
  </si>
  <si>
    <t>DUENAS ROCHA DAVID ANDRES</t>
  </si>
  <si>
    <t>MAHECHA MAHECHA JOSE ALEJANDRO</t>
  </si>
  <si>
    <t>RODRIGUEZ MANUEL</t>
  </si>
  <si>
    <t>530044000</t>
  </si>
  <si>
    <t>SIERRA KELLY JOHANNA</t>
  </si>
  <si>
    <t>5313915</t>
  </si>
  <si>
    <t>AVILA MARTINEZ BIBIANA</t>
  </si>
  <si>
    <t>604499313</t>
  </si>
  <si>
    <t>SEPULVEDA DIANA LORENA</t>
  </si>
  <si>
    <t>80161728</t>
  </si>
  <si>
    <t>80110200</t>
  </si>
  <si>
    <t>VARGAS CAMILO</t>
  </si>
  <si>
    <t>1015442238</t>
  </si>
  <si>
    <t>OSORIO PAULA</t>
  </si>
  <si>
    <t>&lt;NA&gt;</t>
  </si>
  <si>
    <t>CÉDULA ASISTENCIA</t>
  </si>
  <si>
    <t>NOMBRE ASISTENCIA</t>
  </si>
  <si>
    <t>CÉDULA PLANTA ENCONTRADA</t>
  </si>
  <si>
    <t>NOMBRE PLANTA ENCONTRADO</t>
  </si>
  <si>
    <t>ESTADO COINCIDENCIA</t>
  </si>
  <si>
    <t>PORCENTAJE SIMILITUD</t>
  </si>
  <si>
    <t>Nombre Nivel 2 (Regional)</t>
  </si>
  <si>
    <t>Nombre Nivel 3 (Sede)</t>
  </si>
  <si>
    <t>NO ENCONTRADO EN PLANTA</t>
  </si>
  <si>
    <t>SIN COINCIDENCIA EN PLANTA</t>
  </si>
  <si>
    <t>0%</t>
  </si>
  <si>
    <t>-</t>
  </si>
  <si>
    <t>EVELIN SOFIA DAVILA LOPEZ</t>
  </si>
  <si>
    <t>COINCIDENCIA EXACTA POR NOMBRE</t>
  </si>
  <si>
    <t>100%</t>
  </si>
  <si>
    <t>DOC AUX/N/V/TC/INVESTIGACIONES/INVESTIGACI</t>
  </si>
  <si>
    <t>INVESTIGACIONES</t>
  </si>
  <si>
    <t>REGIONAL SUCRE</t>
  </si>
  <si>
    <t>SINCELEJO</t>
  </si>
  <si>
    <t>1075667294</t>
  </si>
  <si>
    <t>CHRISTIAN DAVID RAMIREZ RUBIANO</t>
  </si>
  <si>
    <t>COINCIDENCIA PARCIAL (50%)</t>
  </si>
  <si>
    <t>50%</t>
  </si>
  <si>
    <t>DOCENTE AUX/N/TC/INVESTIGA/INVESTIGACION</t>
  </si>
  <si>
    <t>REGIONAL BOGOTA</t>
  </si>
  <si>
    <t>BOGOTA CENTRO</t>
  </si>
  <si>
    <t>JUAN PABLO JARAMILLO SCARPETTA</t>
  </si>
  <si>
    <t>DOC AUX T&amp;T/N/TC/DIS GRAFICO/FUN.ACADE-ADMIN</t>
  </si>
  <si>
    <t>DISEÑO GRAFICO</t>
  </si>
  <si>
    <t>REGIONAL MAGDALENA</t>
  </si>
  <si>
    <t>SANTA MARTA</t>
  </si>
  <si>
    <t>LIZ ALEXANDRA SUAREZ LEIVA</t>
  </si>
  <si>
    <t>DOC AUX T&amp;T/N/MT/CIEN BASI</t>
  </si>
  <si>
    <t>CIENCIAS BASICAS</t>
  </si>
  <si>
    <t>HEIDY SOFIA ARZUZA MORA</t>
  </si>
  <si>
    <t>COINCIDENCIA PARCIAL (40%)</t>
  </si>
  <si>
    <t>40%</t>
  </si>
  <si>
    <t>DOCENTE AUX/N/TC/COM SOC Y PER/FUN.ACADE-ADMIN</t>
  </si>
  <si>
    <t>COMUNICACION SOCIAL Y PERIODISMO</t>
  </si>
  <si>
    <t>70418218</t>
  </si>
  <si>
    <t>LUIS CARLOS RESTREPO JIMENEZ</t>
  </si>
  <si>
    <t>DOCENTE TITU/N/TC/INVESTIGA/INVESTIGACIO</t>
  </si>
  <si>
    <t>REGIONAL CORDOBA</t>
  </si>
  <si>
    <t>MONTERIA</t>
  </si>
  <si>
    <t>1102888680</t>
  </si>
  <si>
    <t>JESUS RICARDO ARROYO TORRES</t>
  </si>
  <si>
    <t>DOC AUX T&amp;T/N/MT/ING SISTEM</t>
  </si>
  <si>
    <t>INGENIERIA DE SISTEMAS</t>
  </si>
  <si>
    <t>22866435</t>
  </si>
  <si>
    <t>MARTHA LUCIA GARRIDO PERALTA</t>
  </si>
  <si>
    <t>DOCENTE AUX/N/TC/ADM SER SALU/FUN.ACADE-ADMIN</t>
  </si>
  <si>
    <t>ADMINISTRACION DE LA SEGURIDAD SOCIAL</t>
  </si>
  <si>
    <t>1115071345</t>
  </si>
  <si>
    <t>JEFFRY JASSAN LOZANO GARCIA</t>
  </si>
  <si>
    <t>DOC ASIS/N/V/TC/EMPRENDIMIENTO/FUN.ACADE-ADMIN</t>
  </si>
  <si>
    <t>EMPRENDIMIENTO</t>
  </si>
  <si>
    <t>REGIONAL VALLE DELCAUCA</t>
  </si>
  <si>
    <t>BUENAVENTURA</t>
  </si>
  <si>
    <t>LUIS FERNANDO SERNA HERNANDEZ</t>
  </si>
  <si>
    <t>DOC ASOC/N/V/TC/INVESTIGACIONES/INVESTIG</t>
  </si>
  <si>
    <t>REGIONAL CUNDINAMARCA</t>
  </si>
  <si>
    <t>CHÍA</t>
  </si>
  <si>
    <t>1083041500</t>
  </si>
  <si>
    <t>MARIA ALEJANDRA ALCAZAR QUINTO</t>
  </si>
  <si>
    <t>MICHAEL STEVEN AMAYA SANCHEZ</t>
  </si>
  <si>
    <t>DOC AUX/N/V/TC/ESP SEG SALUD TRAB/FUN.A</t>
  </si>
  <si>
    <t>ESPECIALIZACION EN SEGURIDAD Y SALUD EN EL TRABAJO</t>
  </si>
  <si>
    <t>1073240682</t>
  </si>
  <si>
    <t>OMAR SANTIAGO REY RAMIREZ</t>
  </si>
  <si>
    <t>DOC ASIS/N/V/TC/PUB Y MERC/FUN.ACADE-ADMIN</t>
  </si>
  <si>
    <t>PUBLICIDAD Y MERCADEO</t>
  </si>
  <si>
    <t>1032444532</t>
  </si>
  <si>
    <t>HOLMAN ROMERO CHAPARRO</t>
  </si>
  <si>
    <t>DOCENTE ASIS/N/TC/COM SOC Y PER/FUN.ACADE-ADMIN</t>
  </si>
  <si>
    <t>1018403525</t>
  </si>
  <si>
    <t>JORGE ANDRES TORRES CALDERON</t>
  </si>
  <si>
    <t>DOC ASIS/N/V/TC/ESP CONTRA ESTATAL/FUN.A</t>
  </si>
  <si>
    <t>ESPECIALIZACION DE CONTRATACION ESTATAL</t>
  </si>
  <si>
    <t>1015442225</t>
  </si>
  <si>
    <t>ALEJANDRA MARIA MARTINEZ SALGADO</t>
  </si>
  <si>
    <t>DOC AUX T&amp;T/N/TC/EMPRENDIMIE/FUN.ACADE-ADMIN</t>
  </si>
  <si>
    <t>80726871</t>
  </si>
  <si>
    <t>WILLIAM LEONARDO OCHOA MORENO</t>
  </si>
  <si>
    <t>DOCENTE ASIS/N/TC/ADM DEP/FUN.ACADE-ADMIN</t>
  </si>
  <si>
    <t>ADMINISTRACION DEPORTIVA</t>
  </si>
  <si>
    <t>ADRIANA DEL ROCIO ALFONSO ORTIZ</t>
  </si>
  <si>
    <t>COINCIDENCIA PARCIAL (43%)</t>
  </si>
  <si>
    <t>43%</t>
  </si>
  <si>
    <t>DOCENTE ASIS/N/TC/ADM EMP/FUN.ACADE-ADMIN</t>
  </si>
  <si>
    <t>ADMINISTRACION DE EMPRESAS</t>
  </si>
  <si>
    <t>72264339</t>
  </si>
  <si>
    <t>YURY ALEXANDER MARBELLO HENAO</t>
  </si>
  <si>
    <t>JORGE LEONARDO ARIAS MORENO</t>
  </si>
  <si>
    <t>DOC AUX T&amp;T/N/TC/DIR PROD ME AUD/FUN.ACADE-ADMIN</t>
  </si>
  <si>
    <t>DIRECCION Y PRODUCCION DE MEDIOS AUDIOVISUALES</t>
  </si>
  <si>
    <t>1023867064</t>
  </si>
  <si>
    <t>NATALIA ROCIO ESTEPA VELOZA</t>
  </si>
  <si>
    <t>DOCENTE AUX/N/TC/DIS PROD MOD/FUN.ACADE-ADMIN</t>
  </si>
  <si>
    <t>DISEÑO Y PRODUCCION DE MODAS</t>
  </si>
  <si>
    <t>1018493331</t>
  </si>
  <si>
    <t>ESTEFANIA GUTIERREZ GALVIS</t>
  </si>
  <si>
    <t>DOC AUX T&amp;T/N/V/TC/IDIOMAS/FUN.ACADE-ADMIN</t>
  </si>
  <si>
    <t>IDIOMAS</t>
  </si>
  <si>
    <t>53044000</t>
  </si>
  <si>
    <t>KELLY JOHANNA SIERRA RODRIGUEZ</t>
  </si>
  <si>
    <t>COINCIDENCIA ALTA POR NOMBRE (75%)</t>
  </si>
  <si>
    <t>75%</t>
  </si>
  <si>
    <t>BIBIANA AVILA MARTINEZ</t>
  </si>
  <si>
    <t>DOC ASIS/N/V/TC/IDIOMAS/FUN.ACADE-ADMIN</t>
  </si>
  <si>
    <t>DIANA LORENA SEPULVEDA RAMIREZ PARIS</t>
  </si>
  <si>
    <t>COINCIDENCIA ALTA POR NOMBRE (60%)</t>
  </si>
  <si>
    <t>60%</t>
  </si>
  <si>
    <t>DOCENTE ASIS/N/TC/ADM SER SALU/FUN.ACADE-ADMIN</t>
  </si>
  <si>
    <t>ADMINISTRACION EN SERVICIOS DE SALUD</t>
  </si>
  <si>
    <t>EDWIN ORLANDO SOLANO GAITAN</t>
  </si>
  <si>
    <t>DOC ASIS/N/V/TC/ESP SEG SALUD TRAB/FUN.A</t>
  </si>
  <si>
    <t>CAMILO ANDRÉS VARGAS MACHADO</t>
  </si>
  <si>
    <t>DOC TITU/N/V/TC/INVESTIGACIONES/INVESTIG</t>
  </si>
  <si>
    <t>NOMBRE COMPLETO</t>
  </si>
  <si>
    <t>Nombre Nivel 1</t>
  </si>
  <si>
    <t>Modalidad</t>
  </si>
  <si>
    <t>Correo Corporativo</t>
  </si>
  <si>
    <t>Correo Personal</t>
  </si>
  <si>
    <t>Telefono</t>
  </si>
  <si>
    <t>Tipo Contrato</t>
  </si>
  <si>
    <t>Fecha Inicio</t>
  </si>
  <si>
    <t>Fecha Vencimiento</t>
  </si>
  <si>
    <t>Nombre Centro Trabajo</t>
  </si>
  <si>
    <t>Nombres</t>
  </si>
  <si>
    <t>Apellidos</t>
  </si>
  <si>
    <t>Descripción Grupo de Prototipos</t>
  </si>
  <si>
    <t>Nombre Área</t>
  </si>
  <si>
    <t>Descripción Grupo Prototipos</t>
  </si>
  <si>
    <t>Descripción Clase Nómina</t>
  </si>
  <si>
    <t>PRESENCIAL</t>
  </si>
  <si>
    <t>GLENYS MARIA CASTILLA HERNANDEZ</t>
  </si>
  <si>
    <t>OPERACIONES</t>
  </si>
  <si>
    <t>DOCENTE ASOC/N/TC/ADM EMP/PRACTICAS</t>
  </si>
  <si>
    <t>glenys_castilla@cun.edu.co</t>
  </si>
  <si>
    <t>glenyscastillo250381@gmail.com</t>
  </si>
  <si>
    <t>3233204914</t>
  </si>
  <si>
    <t>I</t>
  </si>
  <si>
    <t>GLENYS MARIA</t>
  </si>
  <si>
    <t>CASTILLA HERNANDEZ</t>
  </si>
  <si>
    <t>DOCENTES</t>
  </si>
  <si>
    <t>SINCELEJO SEDE</t>
  </si>
  <si>
    <t>DOCENTES TIEMPO COMPLETO</t>
  </si>
  <si>
    <t>87104390</t>
  </si>
  <si>
    <t>JESUS ANDRES PEREZ SOLIS</t>
  </si>
  <si>
    <t>REGIONAL NARIñO</t>
  </si>
  <si>
    <t>IPIALES</t>
  </si>
  <si>
    <t>DOCENTE ASIS/N/MT-ADM EM</t>
  </si>
  <si>
    <t>jesus_perez@cun.edu.co</t>
  </si>
  <si>
    <t>andresperezsolis@gmail.com</t>
  </si>
  <si>
    <t>3152443652</t>
  </si>
  <si>
    <t>F</t>
  </si>
  <si>
    <t>JESUS ANDRES</t>
  </si>
  <si>
    <t>PEREZ SOLIS</t>
  </si>
  <si>
    <t>IPIALES SEDE</t>
  </si>
  <si>
    <t>DOCENTES MEDIO TIEMPO</t>
  </si>
  <si>
    <t>65708948</t>
  </si>
  <si>
    <t>VIRTUAL</t>
  </si>
  <si>
    <t>SUGEY ROJAS MORENO</t>
  </si>
  <si>
    <t>DOC ASIS/N/V/TC/ADM DE EMPRE/FUN.ACADE-ADMIN</t>
  </si>
  <si>
    <t>Sugey_Rojas@cun.edu.co</t>
  </si>
  <si>
    <t>sugeyrojas.as2021@gmail.com</t>
  </si>
  <si>
    <t>3132131647</t>
  </si>
  <si>
    <t>BOGOTA</t>
  </si>
  <si>
    <t>SUGEY</t>
  </si>
  <si>
    <t>ROJAS MORENO</t>
  </si>
  <si>
    <t>BTA SEDE N</t>
  </si>
  <si>
    <t>92525462</t>
  </si>
  <si>
    <t>YONY DEL CRISTO BENEDETTI ROMERO</t>
  </si>
  <si>
    <t>Yony_Benedetti@cun.edu.co</t>
  </si>
  <si>
    <t>yosoyadocecar@gmail.com</t>
  </si>
  <si>
    <t>3016802467</t>
  </si>
  <si>
    <t>YONY DEL CRISTO</t>
  </si>
  <si>
    <t>BENEDETTI ROMERO</t>
  </si>
  <si>
    <t>4052891</t>
  </si>
  <si>
    <t>ISIDRO RUBEN SOLANO ESPITIA</t>
  </si>
  <si>
    <t>DOCENTE ASIS/N/TC/ADM EMP/FUNC ADJET</t>
  </si>
  <si>
    <t>isidro_solano@cun.edu.co</t>
  </si>
  <si>
    <t>rubensolano62@yahoo.es</t>
  </si>
  <si>
    <t>3138390093</t>
  </si>
  <si>
    <t>ISIDRO RUBEN</t>
  </si>
  <si>
    <t>SOLANO ESPITIA</t>
  </si>
  <si>
    <t>BTA SEDE D</t>
  </si>
  <si>
    <t>FAIBER ANDREY AROCA BERMEO</t>
  </si>
  <si>
    <t>REGIONAL HUILA</t>
  </si>
  <si>
    <t>NEIVA</t>
  </si>
  <si>
    <t>DOCENTE AUX/N/MT-ADM EM</t>
  </si>
  <si>
    <t>Faiber_Aroca@cun.edu.co</t>
  </si>
  <si>
    <t>www.fa6.co@gmail.com</t>
  </si>
  <si>
    <t>3214370386</t>
  </si>
  <si>
    <t>FAIBER ANDREY</t>
  </si>
  <si>
    <t>AROCA BERMEO</t>
  </si>
  <si>
    <t>NEIVA SEDE</t>
  </si>
  <si>
    <t>JUAN CARLOS SANCHEZ GAMA</t>
  </si>
  <si>
    <t>BOGOTA SUR</t>
  </si>
  <si>
    <t>DOCENTE ASOC/N/TC/ADM EMP/FUN.ACADE-ADMIN</t>
  </si>
  <si>
    <t>Juan_Sanchez@cun.edu.co</t>
  </si>
  <si>
    <t>jsanchezgama@gmail.com</t>
  </si>
  <si>
    <t>3114500048</t>
  </si>
  <si>
    <t>JUAN CARLOS</t>
  </si>
  <si>
    <t>SANCHEZ GAMA</t>
  </si>
  <si>
    <t>BTA SEDE SUR</t>
  </si>
  <si>
    <t>1102805566</t>
  </si>
  <si>
    <t>DIEGO ARMANDO DIAZ CASTRO</t>
  </si>
  <si>
    <t>REGIONAL ATLANTICO</t>
  </si>
  <si>
    <t>BARRANQUILLA</t>
  </si>
  <si>
    <t>diego_diaz@cun.edu.co</t>
  </si>
  <si>
    <t>diardica86@gmail.com</t>
  </si>
  <si>
    <t>3182745560</t>
  </si>
  <si>
    <t>DIEGO ARMANDO</t>
  </si>
  <si>
    <t>DIAZ CASTRO</t>
  </si>
  <si>
    <t>BQUILLA SEDE</t>
  </si>
  <si>
    <t>JOHN FREDDY MILLAN CARRANZA</t>
  </si>
  <si>
    <t>DOC AUX/N/V/TC/ADM DE EMPRE/FUN.ACADE-ADMIN</t>
  </si>
  <si>
    <t>john_millan@cun.edu.co</t>
  </si>
  <si>
    <t>johnfmillan@gmail.com</t>
  </si>
  <si>
    <t>3208507831</t>
  </si>
  <si>
    <t>JOHN FREDDY</t>
  </si>
  <si>
    <t>MILLAN CARRANZA</t>
  </si>
  <si>
    <t>BTA SEDE A</t>
  </si>
  <si>
    <t>EDGAR MAURICIO LEGUIZAMON LOPEZ</t>
  </si>
  <si>
    <t>edgar_leguizamon@cun.edu.co</t>
  </si>
  <si>
    <t>edgar_mauriciol@hotmail.com</t>
  </si>
  <si>
    <t>3174207238</t>
  </si>
  <si>
    <t>EDGAR MAURICIO</t>
  </si>
  <si>
    <t>LEGUIZAMON LOPEZ</t>
  </si>
  <si>
    <t>SANDY VIVIANA SUAVITA PACHON</t>
  </si>
  <si>
    <t>sandy_suavitapa@cun.edu.co</t>
  </si>
  <si>
    <t>SSUAVITA199018@GMAIL.COM</t>
  </si>
  <si>
    <t>3183851304</t>
  </si>
  <si>
    <t>SANDY VIVIANA</t>
  </si>
  <si>
    <t>SUAVITA PACHON</t>
  </si>
  <si>
    <t>52284007</t>
  </si>
  <si>
    <t>JOHANNA EUNICE MURCIA GUTIERREZ</t>
  </si>
  <si>
    <t>DOCENTE AUX/N/TC/ADM EMP/FUN.ACADE-ADMIN</t>
  </si>
  <si>
    <t>Johanna_Murcia@cun.edu.co</t>
  </si>
  <si>
    <t>johannaemurciag@yahoo.es</t>
  </si>
  <si>
    <t>3164743253</t>
  </si>
  <si>
    <t>JOHANNA EUNICE</t>
  </si>
  <si>
    <t>MURCIA GUTIERREZ</t>
  </si>
  <si>
    <t>78710054</t>
  </si>
  <si>
    <t>ARGEMIRO JOSE ESTRELLA ZABALA</t>
  </si>
  <si>
    <t>argemiro_estrella@cun.edu.co</t>
  </si>
  <si>
    <t>JUANCHOAJEZ@GMAIL.COM</t>
  </si>
  <si>
    <t>3126546887</t>
  </si>
  <si>
    <t>ARGEMIRO JOSE</t>
  </si>
  <si>
    <t>ESTRELLA ZABALA</t>
  </si>
  <si>
    <t>MONTERIA SEDE</t>
  </si>
  <si>
    <t>55062671</t>
  </si>
  <si>
    <t>MARTHA LILIANA ALVAREZ RIVERA</t>
  </si>
  <si>
    <t>martha_alvarez@cun.edu.co</t>
  </si>
  <si>
    <t>mariana-2108@hotmail.com</t>
  </si>
  <si>
    <t>3117168512</t>
  </si>
  <si>
    <t>MARTHA LILIANA</t>
  </si>
  <si>
    <t>ALVAREZ RIVERA</t>
  </si>
  <si>
    <t>ROCÍO CALENTURA PINILLA</t>
  </si>
  <si>
    <t>rocio_calentura@cun.edu.co</t>
  </si>
  <si>
    <t>rocio_calentura@hotmail.com</t>
  </si>
  <si>
    <t>3153217189</t>
  </si>
  <si>
    <t>ROCÍO</t>
  </si>
  <si>
    <t>CALENTURA PINILLA</t>
  </si>
  <si>
    <t>YAMILETH OSORIO VALENCIA</t>
  </si>
  <si>
    <t>REGIONAL TOLIMA</t>
  </si>
  <si>
    <t>IBAGUÉ</t>
  </si>
  <si>
    <t>DOC AUX T&amp;T/N/TC/ADM EMP/FUN.ACADE-ADMIN</t>
  </si>
  <si>
    <t>yamileth_osorio@cun.edu.co</t>
  </si>
  <si>
    <t>yamileth_osorio@hotmail.com</t>
  </si>
  <si>
    <t>3002125228</t>
  </si>
  <si>
    <t>IBAGUE</t>
  </si>
  <si>
    <t>YAMILETH</t>
  </si>
  <si>
    <t>OSORIO VALENCIA</t>
  </si>
  <si>
    <t>IBAGUE SEDE</t>
  </si>
  <si>
    <t>ANGIE MARJORIE CARRANZA IBAGON</t>
  </si>
  <si>
    <t>angie_carranza@cun.edu.co</t>
  </si>
  <si>
    <t>angiecarranza@gmail.com</t>
  </si>
  <si>
    <t>3103443571</t>
  </si>
  <si>
    <t>ANGIE MARJORIE</t>
  </si>
  <si>
    <t>CARRANZA IBAGON</t>
  </si>
  <si>
    <t>WILLIAM FERNANDO ORBEGOZO ALBA</t>
  </si>
  <si>
    <t>william_orbegozo@cun.edu.co</t>
  </si>
  <si>
    <t>william.orbegozo@gmail.com</t>
  </si>
  <si>
    <t>3132645146</t>
  </si>
  <si>
    <t>WILLIAM FERNANDO</t>
  </si>
  <si>
    <t>ORBEGOZO ALBA</t>
  </si>
  <si>
    <t>JULIO ALEJANDRO NUÑEZ GUEVARA</t>
  </si>
  <si>
    <t>julio_nunez@cun.edu.co</t>
  </si>
  <si>
    <t>julioalejandronunez@gmail.com</t>
  </si>
  <si>
    <t>3045649868</t>
  </si>
  <si>
    <t>JULIO ALEJANDRO</t>
  </si>
  <si>
    <t>NUÑEZ GUEVARA</t>
  </si>
  <si>
    <t>14139417</t>
  </si>
  <si>
    <t>CESAR AUGUSTO CUELLAR MUÑOZ</t>
  </si>
  <si>
    <t>cesar_cuellar@cun.edu.co</t>
  </si>
  <si>
    <t>cacm56@hotmail.com</t>
  </si>
  <si>
    <t>3212622943</t>
  </si>
  <si>
    <t>CESAR AUGUSTO</t>
  </si>
  <si>
    <t>CUELLAR MUÑOZ</t>
  </si>
  <si>
    <t>SANDRA MILENA MORENO GARCÍA</t>
  </si>
  <si>
    <t>sandra_morenog@cun.edu.co</t>
  </si>
  <si>
    <t>morenogarciasandramilena1@gmail.com</t>
  </si>
  <si>
    <t>3153356706</t>
  </si>
  <si>
    <t>SANDRA MILENA</t>
  </si>
  <si>
    <t>MORENO GARCÍA</t>
  </si>
  <si>
    <t>80174712</t>
  </si>
  <si>
    <t>FERLEY AUGUSTO SANCHEZ CALDERON</t>
  </si>
  <si>
    <t>ferley_sanchezca@cun.edu.co</t>
  </si>
  <si>
    <t>augustosanchez28@gmail.com</t>
  </si>
  <si>
    <t>3005392364</t>
  </si>
  <si>
    <t>FERLEY AUGUSTO</t>
  </si>
  <si>
    <t>SANCHEZ CALDERON</t>
  </si>
  <si>
    <t>JUAN CARLOS RIOS VASQUEZ</t>
  </si>
  <si>
    <t>BOGOTA NORTE</t>
  </si>
  <si>
    <t>DOCENTE ASOC/N/MT-ADM EM</t>
  </si>
  <si>
    <t>juan_rios@cun.edu.co</t>
  </si>
  <si>
    <t>cherliefleng@hotmail.com</t>
  </si>
  <si>
    <t>3118740185</t>
  </si>
  <si>
    <t>RIOS VASQUEZ</t>
  </si>
  <si>
    <t>BTA SEDE NORTE</t>
  </si>
  <si>
    <t>ANA MILENA HERNANDEZ DIAZ</t>
  </si>
  <si>
    <t>ana_hernandezd@cun.edu.co</t>
  </si>
  <si>
    <t>anamilenahernandez@hotmail.com</t>
  </si>
  <si>
    <t>3103491832</t>
  </si>
  <si>
    <t>ANA MILENA</t>
  </si>
  <si>
    <t>HERNANDEZ DIAZ</t>
  </si>
  <si>
    <t>NANCY MARCELA BASTIDAS VIVAS</t>
  </si>
  <si>
    <t>Nancy_Bastidas@cun.edu.co</t>
  </si>
  <si>
    <t>cpmarcelabv@gmail.com</t>
  </si>
  <si>
    <t>3155418082</t>
  </si>
  <si>
    <t>NANCY MARCELA</t>
  </si>
  <si>
    <t>BASTIDAS VIVAS</t>
  </si>
  <si>
    <t>YUBELLIZ DAYANA ANGULO GALLEGO</t>
  </si>
  <si>
    <t>yubelliz_angulo@cun.edu.co</t>
  </si>
  <si>
    <t>DAYNAGALLEGO@GMAIL.COM</t>
  </si>
  <si>
    <t>3207739493</t>
  </si>
  <si>
    <t>YUBELLIZ DAYANA</t>
  </si>
  <si>
    <t>ANGULO GALLEGO</t>
  </si>
  <si>
    <t>JESICA MARCELA MORALES CENTENO</t>
  </si>
  <si>
    <t>DOC AUX T&amp;T/N/V/TC/ADM EMP AGROIN/FUN.ACADE-ADMIN</t>
  </si>
  <si>
    <t>Jesica_Morales@cun.edu.co</t>
  </si>
  <si>
    <t>jesica.marcela21@gmail.com</t>
  </si>
  <si>
    <t>3136224331</t>
  </si>
  <si>
    <t>JESICA MARCELA</t>
  </si>
  <si>
    <t>MORALES CENTENO</t>
  </si>
  <si>
    <t>WILLMAN DAVID CORTES DIAZ</t>
  </si>
  <si>
    <t>willman_cortes@cun.edu.co</t>
  </si>
  <si>
    <t>davidcortesdiaz60@gmail.com</t>
  </si>
  <si>
    <t>3136626003</t>
  </si>
  <si>
    <t>WILLMAN DAVID</t>
  </si>
  <si>
    <t>CORTES DIAZ</t>
  </si>
  <si>
    <t>LEILA RUTH CASALLAS ROJAS</t>
  </si>
  <si>
    <t>BOGOTA FONTIBON</t>
  </si>
  <si>
    <t>DOCENTE AUX/N/TC/ADM EMP/PROYECCION SOCI</t>
  </si>
  <si>
    <t>leila_casallas@cun.edu.co</t>
  </si>
  <si>
    <t>Leilacasrojas@gmail.com</t>
  </si>
  <si>
    <t>3104163525</t>
  </si>
  <si>
    <t>LEILA RUTH</t>
  </si>
  <si>
    <t>CASALLAS ROJAS</t>
  </si>
  <si>
    <t>BTA SEDE FONTIBON</t>
  </si>
  <si>
    <t>LAURA VANESSA SAENZ GONZALEZ</t>
  </si>
  <si>
    <t>DOCENTE ASIS/N/TC/ADM EMP/PROYECCION SOC</t>
  </si>
  <si>
    <t>laura_saenzg@cun.edu.co</t>
  </si>
  <si>
    <t>lauvanesaenz@hotmail.com</t>
  </si>
  <si>
    <t>3108580216</t>
  </si>
  <si>
    <t>LAURA VANESSA</t>
  </si>
  <si>
    <t>SAENZ GONZALEZ</t>
  </si>
  <si>
    <t>LUISA FERNANDA ZAPATA NAVALES</t>
  </si>
  <si>
    <t>DOC AUX/N/V/MT/ADM DE EMPRE</t>
  </si>
  <si>
    <t>luisa_zapata@cun.edu.co</t>
  </si>
  <si>
    <t>Lufer2079@hotmail.com</t>
  </si>
  <si>
    <t>3127791430</t>
  </si>
  <si>
    <t>LUISA FERNANDA</t>
  </si>
  <si>
    <t>ZAPATA NAVALES</t>
  </si>
  <si>
    <t>BUENAVENTURA SEDE</t>
  </si>
  <si>
    <t>DIANA ESTHER ALVAREZ CONTRERAS</t>
  </si>
  <si>
    <t>DOCENTE ASOC/N/TC/ADM EMP/INVESTIGACIONE</t>
  </si>
  <si>
    <t>diana_alvarezcon@cun.edu.co</t>
  </si>
  <si>
    <t>dianaalvarezc@yahoo.es</t>
  </si>
  <si>
    <t>3046823736</t>
  </si>
  <si>
    <t>DIANA ESTHER</t>
  </si>
  <si>
    <t>ALVAREZ CONTRERAS</t>
  </si>
  <si>
    <t>ANIBAL JOSE LOPEZ FUNEZ</t>
  </si>
  <si>
    <t>anibal_lopez@cun.edu.co</t>
  </si>
  <si>
    <t>cunsjbienestar@hotmail.com</t>
  </si>
  <si>
    <t>3013363436</t>
  </si>
  <si>
    <t>ANIBAL JOSE</t>
  </si>
  <si>
    <t>LOPEZ FUNEZ</t>
  </si>
  <si>
    <t>93238293</t>
  </si>
  <si>
    <t>EDICSON ENRIQUE RUBIANO ARANZALES</t>
  </si>
  <si>
    <t>DOC ASOC/N/V/MT/ADM DE EMPRE</t>
  </si>
  <si>
    <t>edicson_rubiano@cun.edu.co</t>
  </si>
  <si>
    <t>rubianoedicson7@gmail.com</t>
  </si>
  <si>
    <t>3183865278</t>
  </si>
  <si>
    <t>EDICSON ENRIQUE</t>
  </si>
  <si>
    <t>RUBIANO ARANZALES</t>
  </si>
  <si>
    <t>1143437873</t>
  </si>
  <si>
    <t>KELLY JOHANNA BARANDICA CRESPO</t>
  </si>
  <si>
    <t>kelly_barandica@cun.edu.co</t>
  </si>
  <si>
    <t>KELLYBARAN19@GMAIL.COM</t>
  </si>
  <si>
    <t>3014247385</t>
  </si>
  <si>
    <t>KELLY JOHANNA</t>
  </si>
  <si>
    <t>BARANDICA CRESPO</t>
  </si>
  <si>
    <t>CLARA YAMILE MARTINEZ AVILA</t>
  </si>
  <si>
    <t>BOGOTA RESTREPO</t>
  </si>
  <si>
    <t>clara_martinez@cun.edu.co</t>
  </si>
  <si>
    <t>martinez.clara1615@gmail.com</t>
  </si>
  <si>
    <t>3142776864</t>
  </si>
  <si>
    <t>SEDE RESTREPO BOGOTA</t>
  </si>
  <si>
    <t>CLARA YAMILE</t>
  </si>
  <si>
    <t>MARTINEZ AVILA</t>
  </si>
  <si>
    <t>BTA SEDE RESTREPO</t>
  </si>
  <si>
    <t>GUILLERMO ANDRES MEJIA ROSERO</t>
  </si>
  <si>
    <t>PASTO</t>
  </si>
  <si>
    <t>guillermo_mejia@cun.edu.co</t>
  </si>
  <si>
    <t>GUILLERMO.AMR@GMAIL.COM</t>
  </si>
  <si>
    <t>3154593504</t>
  </si>
  <si>
    <t>GUILLERMO ANDRES</t>
  </si>
  <si>
    <t>MEJIA ROSERO</t>
  </si>
  <si>
    <t>PASTO SEDE</t>
  </si>
  <si>
    <t>73108700</t>
  </si>
  <si>
    <t>JUAN CARLOS MARTINEZ MEJIA</t>
  </si>
  <si>
    <t>juan_martinez@cun.edu.co</t>
  </si>
  <si>
    <t>jucamar1000@gmail.com</t>
  </si>
  <si>
    <t>3043846920</t>
  </si>
  <si>
    <t>MARTINEZ MEJIA</t>
  </si>
  <si>
    <t>DOCENTES PENSIONADOS</t>
  </si>
  <si>
    <t>LINA MARGARITA CAMPO RODRIGUEZ</t>
  </si>
  <si>
    <t>lina_campo@cun.edu.co</t>
  </si>
  <si>
    <t>linacampo1107@gmail.com</t>
  </si>
  <si>
    <t>3332265099</t>
  </si>
  <si>
    <t>LINA MARGARITA</t>
  </si>
  <si>
    <t>CAMPO RODRIGUEZ</t>
  </si>
  <si>
    <t>SANTA MARTA SEDE</t>
  </si>
  <si>
    <t>LAURA INGRID FAJARDO PAEZ</t>
  </si>
  <si>
    <t>DOCENTE AUX/N/MT/ADM EM</t>
  </si>
  <si>
    <t>laura_fajardo@cun.edu.co</t>
  </si>
  <si>
    <t>lifajardop@unal.edu.co</t>
  </si>
  <si>
    <t>3134774411</t>
  </si>
  <si>
    <t>LAURA INGRID</t>
  </si>
  <si>
    <t>FAJARDO PAEZ</t>
  </si>
  <si>
    <t>NESTOR JULIAN LONDOÑO MEJIA</t>
  </si>
  <si>
    <t>REGIONAL RISARALDA</t>
  </si>
  <si>
    <t>PEREIRA</t>
  </si>
  <si>
    <t>nestor_londono@cun.edu.co</t>
  </si>
  <si>
    <t>julian3052@gmail.com</t>
  </si>
  <si>
    <t>3147737300</t>
  </si>
  <si>
    <t>NESTOR JULIAN</t>
  </si>
  <si>
    <t>LONDOÑO MEJIA</t>
  </si>
  <si>
    <t>PEREIRA SEDE</t>
  </si>
  <si>
    <t>CARLOS DARIO MORALES CARVAJALINO</t>
  </si>
  <si>
    <t>carlos_morales@cun.edu.co</t>
  </si>
  <si>
    <t>carlosdario_morales1975@hotmail.com</t>
  </si>
  <si>
    <t>3143532008</t>
  </si>
  <si>
    <t>CARLOS DARIO</t>
  </si>
  <si>
    <t>MORALES CARVAJALINO</t>
  </si>
  <si>
    <t>LUZ ARELYS SEGURA ARIAS</t>
  </si>
  <si>
    <t>luz_segura@cun.edu.co</t>
  </si>
  <si>
    <t>Lula3778@gmail.com</t>
  </si>
  <si>
    <t>3125453704</t>
  </si>
  <si>
    <t>LUZ ARELYS</t>
  </si>
  <si>
    <t>SEGURA ARIAS</t>
  </si>
  <si>
    <t>ALDO SIMON BRITO CARRILLO</t>
  </si>
  <si>
    <t>aldo_brito@cun.edu.co</t>
  </si>
  <si>
    <t>aldo1simo_asbc@yahoo.es</t>
  </si>
  <si>
    <t>3142704837</t>
  </si>
  <si>
    <t>ALDO SIMON</t>
  </si>
  <si>
    <t>BRITO CARRILLO</t>
  </si>
  <si>
    <t>SOLANGE ASTRID FORERO MEDINA</t>
  </si>
  <si>
    <t>solange_forero@cun.edu.co</t>
  </si>
  <si>
    <t>solforeromedina@gmail.com</t>
  </si>
  <si>
    <t>3212459633</t>
  </si>
  <si>
    <t>SOLANGE ASTRID</t>
  </si>
  <si>
    <t>FORERO MEDINA</t>
  </si>
  <si>
    <t>CAROLINA RODRIGUEZ SALAS</t>
  </si>
  <si>
    <t>carolina_rodriguezs@cun.edu.co</t>
  </si>
  <si>
    <t>carolinarosa32@gmail.com</t>
  </si>
  <si>
    <t>3123948580</t>
  </si>
  <si>
    <t>CAROLINA</t>
  </si>
  <si>
    <t>RODRIGUEZ SALAS</t>
  </si>
  <si>
    <t>FABIAN RICARDO CARDENAS VILLATE</t>
  </si>
  <si>
    <t>DOC ASOC/N/V/TC/ADM DE EMPRE/FUN.ACADE-ADMIN</t>
  </si>
  <si>
    <t>fabian_cardenas@cun.edu.co</t>
  </si>
  <si>
    <t>fabianricardocv@gmail.com</t>
  </si>
  <si>
    <t>3208730601</t>
  </si>
  <si>
    <t>FABIAN RICARDO</t>
  </si>
  <si>
    <t>CARDENAS VILLATE</t>
  </si>
  <si>
    <t>80808206</t>
  </si>
  <si>
    <t>EDWIN CAMILO ESTRADA SALAZAR</t>
  </si>
  <si>
    <t>edwin_estrada@cun.edu.co</t>
  </si>
  <si>
    <t>camilo0312@gmail.com</t>
  </si>
  <si>
    <t>3017869100</t>
  </si>
  <si>
    <t>EDWIN CAMILO</t>
  </si>
  <si>
    <t>ESTRADA SALAZAR</t>
  </si>
  <si>
    <t>JESSICA FABIOLA LAFAURIE GARCIA</t>
  </si>
  <si>
    <t>jessica_lafaurie@cun.edu.co</t>
  </si>
  <si>
    <t>jessica.lafaurie.garcia@gmail.com</t>
  </si>
  <si>
    <t>3012062316</t>
  </si>
  <si>
    <t>JESSICA FABIOLA</t>
  </si>
  <si>
    <t>LAFAURIE GARCIA</t>
  </si>
  <si>
    <t>52226962</t>
  </si>
  <si>
    <t>FLOR ANGELA BALLEN MURCIA</t>
  </si>
  <si>
    <t>BOGOTA SUBA</t>
  </si>
  <si>
    <t>flor_ballen@cun.edu.co</t>
  </si>
  <si>
    <t>angelabam@gmail.com</t>
  </si>
  <si>
    <t>3153290073</t>
  </si>
  <si>
    <t>FLOR ANGELA</t>
  </si>
  <si>
    <t>BALLEN MURCIA</t>
  </si>
  <si>
    <t>CARLOS FERNANDO RIAÑO</t>
  </si>
  <si>
    <t>carlosf_riano@cun.edu.co</t>
  </si>
  <si>
    <t>carlosfernandoriano@yahoo.com</t>
  </si>
  <si>
    <t>3102343043</t>
  </si>
  <si>
    <t>CARLOS FERNANDO</t>
  </si>
  <si>
    <t>RIAÑO</t>
  </si>
  <si>
    <t>GABINO ROSAS MARTINEZ</t>
  </si>
  <si>
    <t>gabino_rosasm@cun.edu.co</t>
  </si>
  <si>
    <t>gabino.rosas17@gmail.com</t>
  </si>
  <si>
    <t>3115710966</t>
  </si>
  <si>
    <t>GABINO</t>
  </si>
  <si>
    <t>ROSAS MARTINEZ</t>
  </si>
  <si>
    <t>MAXIMINA PATRICIA AVENDAÑO JIMENEZ</t>
  </si>
  <si>
    <t>maximina_avendano@cun.edu.co</t>
  </si>
  <si>
    <t>maxipatricia.ajz@gmail.com</t>
  </si>
  <si>
    <t>3008214270</t>
  </si>
  <si>
    <t>MAXIMINA PATRICIA</t>
  </si>
  <si>
    <t>AVENDAÑO JIMENEZ</t>
  </si>
  <si>
    <t>JORGE ENRIQUE SANTOS VELANDIA</t>
  </si>
  <si>
    <t>jorge_santos@cun.edu.co</t>
  </si>
  <si>
    <t>jorgeesantosv@gmail.com</t>
  </si>
  <si>
    <t>3178493077</t>
  </si>
  <si>
    <t>JORGE ENRIQUE</t>
  </si>
  <si>
    <t>SANTOS VELANDIA</t>
  </si>
  <si>
    <t>55233506</t>
  </si>
  <si>
    <t>MABEL JUDITH JULIO ALVAREZ</t>
  </si>
  <si>
    <t>mabel_julio@cun.edu.co</t>
  </si>
  <si>
    <t>melissa.mm@hotmail.es</t>
  </si>
  <si>
    <t>3204240477</t>
  </si>
  <si>
    <t>MABEL JUDITH</t>
  </si>
  <si>
    <t>JULIO ALVAREZ</t>
  </si>
  <si>
    <t>ELVA MARIA CABANA OLIVELLA</t>
  </si>
  <si>
    <t>elva_cabana@cun.edu.co</t>
  </si>
  <si>
    <t>elvakbana@gmail.com</t>
  </si>
  <si>
    <t>3165379272</t>
  </si>
  <si>
    <t>ELVA MARIA</t>
  </si>
  <si>
    <t>CABANA OLIVELLA</t>
  </si>
  <si>
    <t>ELQUIN FABIAN GALINDO CACERES</t>
  </si>
  <si>
    <t>elquin_galindo@cun.edu.co</t>
  </si>
  <si>
    <t>elquinfabian@hotmail.com</t>
  </si>
  <si>
    <t>3118863153</t>
  </si>
  <si>
    <t>ELQUIN FABIAN</t>
  </si>
  <si>
    <t>GALINDO CACERES</t>
  </si>
  <si>
    <t>93412499</t>
  </si>
  <si>
    <t>ADRIAN ELIECER VILLANUEVA CARDOZO</t>
  </si>
  <si>
    <t>adrian_villanueva@cun.edu.co</t>
  </si>
  <si>
    <t>adran_v@hotmail.com</t>
  </si>
  <si>
    <t>3005423600</t>
  </si>
  <si>
    <t>ADRIAN ELIECER</t>
  </si>
  <si>
    <t>VILLANUEVA CARDOZO</t>
  </si>
  <si>
    <t>YENI PATRICIA BORDA ALVAREZ</t>
  </si>
  <si>
    <t>yeni_borda@cun.edu.co</t>
  </si>
  <si>
    <t>yenipborda@gmail.com</t>
  </si>
  <si>
    <t>3114499164</t>
  </si>
  <si>
    <t>YENI PATRICIA</t>
  </si>
  <si>
    <t>BORDA ALVAREZ</t>
  </si>
  <si>
    <t>IVÁN LEONARDO ABRIL CORREDOR</t>
  </si>
  <si>
    <t>ivan_abril@cun.edu.co</t>
  </si>
  <si>
    <t>ilac1586@gmail.com</t>
  </si>
  <si>
    <t>3183625714</t>
  </si>
  <si>
    <t>CHIA</t>
  </si>
  <si>
    <t>IVÁN LEONARDO</t>
  </si>
  <si>
    <t>ABRIL CORREDOR</t>
  </si>
  <si>
    <t>CHIA SEDE</t>
  </si>
  <si>
    <t>LIZ AMANDA AVILA GARCIA</t>
  </si>
  <si>
    <t>liz_avila@cun.edu.co</t>
  </si>
  <si>
    <t>lizcapacita@gmail.com</t>
  </si>
  <si>
    <t>3125620145</t>
  </si>
  <si>
    <t>LIZ AMANDA</t>
  </si>
  <si>
    <t>AVILA GARCIA</t>
  </si>
  <si>
    <t>GUSTAVO ALEXANDER ROCHA ALARCON</t>
  </si>
  <si>
    <t>gustavo_rocha@cun.edu.co</t>
  </si>
  <si>
    <t>alex14r@gmail.com</t>
  </si>
  <si>
    <t>3157096593</t>
  </si>
  <si>
    <t>GUSTAVO ALEXANDER</t>
  </si>
  <si>
    <t>ROCHA ALARCON</t>
  </si>
  <si>
    <t>DIANA JOHANA DIAZ SANCHEZ</t>
  </si>
  <si>
    <t>diana_diazs@cun.edu.co</t>
  </si>
  <si>
    <t>dianajdiaz@gmail.com</t>
  </si>
  <si>
    <t>3175168554</t>
  </si>
  <si>
    <t>DIANA JOHANA</t>
  </si>
  <si>
    <t>DIAZ SANCHEZ</t>
  </si>
  <si>
    <t>FRANCISCO ALBERTO CUELLO PRIETO</t>
  </si>
  <si>
    <t>francisco_cuello@cun.edu.co</t>
  </si>
  <si>
    <t>francisco.cuello@cecar.edu.co</t>
  </si>
  <si>
    <t>3013432902</t>
  </si>
  <si>
    <t>FRANCISCO ALBERTO</t>
  </si>
  <si>
    <t>CUELLO PRIETO</t>
  </si>
  <si>
    <t>GERARDO ANTONIO MEDINA ALVAREZ</t>
  </si>
  <si>
    <t>gerardo_medina@cun.edu.co</t>
  </si>
  <si>
    <t>gerannto@gmail.com</t>
  </si>
  <si>
    <t>3216385443</t>
  </si>
  <si>
    <t>GERARDO ANTONIO</t>
  </si>
  <si>
    <t>MEDINA ALVAREZ</t>
  </si>
  <si>
    <t>adriana_alfonso@cun.edu.co</t>
  </si>
  <si>
    <t>adrisalf@hotmail.com</t>
  </si>
  <si>
    <t>3151206705</t>
  </si>
  <si>
    <t>ADRIANA DEL ROCIO</t>
  </si>
  <si>
    <t>ALFONSO ORTIZ</t>
  </si>
  <si>
    <t>JOHANNA PAOLA GONZALEZ PAEZ</t>
  </si>
  <si>
    <t>johanna_gonzalez@cun.edu.co</t>
  </si>
  <si>
    <t>johannagpaez@hotmail.com</t>
  </si>
  <si>
    <t>3133510732</t>
  </si>
  <si>
    <t>JOHANNA PAOLA</t>
  </si>
  <si>
    <t>GONZALEZ PAEZ</t>
  </si>
  <si>
    <t>1033716258</t>
  </si>
  <si>
    <t>JULIAN DAVID RUIZ MORALES</t>
  </si>
  <si>
    <t>julian_ruizmo@cun.edu.co</t>
  </si>
  <si>
    <t>JDRUIZM1111@GMAIL.COM</t>
  </si>
  <si>
    <t>3166130203</t>
  </si>
  <si>
    <t>JULIAN DAVID</t>
  </si>
  <si>
    <t>RUIZ MORALES</t>
  </si>
  <si>
    <t>NOHORA SABINA SARMIENTO NIÑO</t>
  </si>
  <si>
    <t>nohora_sarmiento@cun.edu.co</t>
  </si>
  <si>
    <t>snino2413@gmail.com</t>
  </si>
  <si>
    <t>3143739972</t>
  </si>
  <si>
    <t>NOHORA SABINA</t>
  </si>
  <si>
    <t>SARMIENTO NIÑO</t>
  </si>
  <si>
    <t>LAURA ANDREA GUTIERREZ ARIAS</t>
  </si>
  <si>
    <t>laura_gutierrezar@cun.edu.co</t>
  </si>
  <si>
    <t>lauraandrea.gutierrezarias@gmail.com</t>
  </si>
  <si>
    <t>3103868253</t>
  </si>
  <si>
    <t>LAURA ANDREA</t>
  </si>
  <si>
    <t>GUTIERREZ ARIAS</t>
  </si>
  <si>
    <t>CLAUDIA LILIANA ORTEGA DELVECHI</t>
  </si>
  <si>
    <t>claudia_ortegadel@cun.edu.co</t>
  </si>
  <si>
    <t>klaugiro@outlook.es</t>
  </si>
  <si>
    <t>3227469778</t>
  </si>
  <si>
    <t>CLAUDIA LILIANA</t>
  </si>
  <si>
    <t>ORTEGA DELVECHI</t>
  </si>
  <si>
    <t>1015467568</t>
  </si>
  <si>
    <t>DEISY NAYIBE OSORIO SANTOS</t>
  </si>
  <si>
    <t>deisy_osorio@cun.edu.co</t>
  </si>
  <si>
    <t>NAYIBE.97@HOTMAIL.COM</t>
  </si>
  <si>
    <t>3187406776</t>
  </si>
  <si>
    <t>DEISY NAYIBE</t>
  </si>
  <si>
    <t>OSORIO SANTOS</t>
  </si>
  <si>
    <t>ADRIANA VALERO ROMERO</t>
  </si>
  <si>
    <t>adriana_valero@cun.edu.co</t>
  </si>
  <si>
    <t>adrianavaleroromero@gmail.com</t>
  </si>
  <si>
    <t>3118382483</t>
  </si>
  <si>
    <t>ADRIANA</t>
  </si>
  <si>
    <t>VALERO ROMERO</t>
  </si>
  <si>
    <t>LUIS ALEJANDRO ZAFRA JARAMILLO</t>
  </si>
  <si>
    <t>luis_zafraj@cun.edu.co</t>
  </si>
  <si>
    <t>lualzaja@hotmail.com</t>
  </si>
  <si>
    <t>3202030805</t>
  </si>
  <si>
    <t>LUIS ALEJANDRO</t>
  </si>
  <si>
    <t>ZAFRA JARAMILLO</t>
  </si>
  <si>
    <t>PEDRO PABLO CASAS CASTRO</t>
  </si>
  <si>
    <t>DOC AUX T&amp;T/N/MT/ADM EM</t>
  </si>
  <si>
    <t>pedro_casas@cun.edu.co</t>
  </si>
  <si>
    <t>pedropablocasascastro@gmail.com</t>
  </si>
  <si>
    <t>3012738345</t>
  </si>
  <si>
    <t>PEDRO PABLO</t>
  </si>
  <si>
    <t>CASAS CASTRO</t>
  </si>
  <si>
    <t>MARCO ANTONIO SOLAQUE RAMIREZ</t>
  </si>
  <si>
    <t>marco_solaque@cun.edu.co</t>
  </si>
  <si>
    <t>antoniosolaque@hotmail.com</t>
  </si>
  <si>
    <t>3506590549</t>
  </si>
  <si>
    <t>MARCO ANTONIO</t>
  </si>
  <si>
    <t>SOLAQUE RAMIREZ</t>
  </si>
  <si>
    <t>FLOR AYALA SANDINO</t>
  </si>
  <si>
    <t>flor_ayalas@cun.edu.co</t>
  </si>
  <si>
    <t>flaysa9152@gmail.com</t>
  </si>
  <si>
    <t>3223410690</t>
  </si>
  <si>
    <t>FLOR</t>
  </si>
  <si>
    <t>AYALA SANDINO</t>
  </si>
  <si>
    <t>ANDRES FELIPE ALZATE CARDONA</t>
  </si>
  <si>
    <t>andres_alzate@cun.edu.co</t>
  </si>
  <si>
    <t>afalzatec@gmail.com</t>
  </si>
  <si>
    <t>3245849408</t>
  </si>
  <si>
    <t>ANDRES FELIPE</t>
  </si>
  <si>
    <t>ALZATE CARDONA</t>
  </si>
  <si>
    <t>CAROL ANDREA HERNANDEZ PACHON</t>
  </si>
  <si>
    <t>carol_hernandezp@cun.edu.co</t>
  </si>
  <si>
    <t>carolandreah@hotmail.com</t>
  </si>
  <si>
    <t>3173823890</t>
  </si>
  <si>
    <t>CAROL ANDREA</t>
  </si>
  <si>
    <t>HERNANDEZ PACHON</t>
  </si>
  <si>
    <t>WILLIAM CAMILO GIL AVILA</t>
  </si>
  <si>
    <t>william_gilav@cun.edu.co</t>
  </si>
  <si>
    <t>CAMILOGIL58@GMAIL.COM</t>
  </si>
  <si>
    <t>3016876269</t>
  </si>
  <si>
    <t>WILLIAM CAMILO</t>
  </si>
  <si>
    <t>GIL AVILA</t>
  </si>
  <si>
    <t>ANDER CORTES SILVA</t>
  </si>
  <si>
    <t>ander_cortessi@cun.edu.co</t>
  </si>
  <si>
    <t>anderjose598@gmail.com</t>
  </si>
  <si>
    <t>3222345438</t>
  </si>
  <si>
    <t>ANDER</t>
  </si>
  <si>
    <t>CORTES SILVA</t>
  </si>
  <si>
    <t>JULIETA CORTES ARIAS</t>
  </si>
  <si>
    <t>julieta_cortesar@cun.edu.co</t>
  </si>
  <si>
    <t>JULIETA.CORTES.ARIAS@GMAIL.COM</t>
  </si>
  <si>
    <t>3194637693</t>
  </si>
  <si>
    <t>JULIETA</t>
  </si>
  <si>
    <t>CORTES ARIAS</t>
  </si>
  <si>
    <t>JUAN FERNANDO BARRERA PATARROYO</t>
  </si>
  <si>
    <t>juan_barrerapa@cun.edu.co</t>
  </si>
  <si>
    <t>JUANFERBARRERA2010@GMAIL.COM</t>
  </si>
  <si>
    <t>3134419368</t>
  </si>
  <si>
    <t>JUAN FERNANDO</t>
  </si>
  <si>
    <t>BARRERA PATARROYO</t>
  </si>
  <si>
    <t>KATERINE PAOLA POLO MIER</t>
  </si>
  <si>
    <t>katerine_polomi@cun.edu.co</t>
  </si>
  <si>
    <t>katerinepolouan@hotmail.com</t>
  </si>
  <si>
    <t>3025263648</t>
  </si>
  <si>
    <t>KATERINE PAOLA</t>
  </si>
  <si>
    <t>POLO MIER</t>
  </si>
  <si>
    <t>1143122161</t>
  </si>
  <si>
    <t>RUBEN DARIO OSPINO CORTINA</t>
  </si>
  <si>
    <t>ruben_ospino@cun.edu.co</t>
  </si>
  <si>
    <t>OSPINORUBEN0990@GMAIL.COM</t>
  </si>
  <si>
    <t>3002677915</t>
  </si>
  <si>
    <t>RUBEN DARIO</t>
  </si>
  <si>
    <t>OSPINO CORTINA</t>
  </si>
  <si>
    <t>36755778</t>
  </si>
  <si>
    <t>SANDRA LORENA ROSERO ORDOÑEZ</t>
  </si>
  <si>
    <t>DOC TITULAR/N/V/TC/ADM DE EMPRE/FUN.ACADE-ADMIN</t>
  </si>
  <si>
    <t>sandra_rosero@cun.edu.co</t>
  </si>
  <si>
    <t>srosero981@gmail.com</t>
  </si>
  <si>
    <t>3212229186</t>
  </si>
  <si>
    <t>SANDRA LORENA</t>
  </si>
  <si>
    <t>ROSERO ORDOÑEZ</t>
  </si>
  <si>
    <t>11225681</t>
  </si>
  <si>
    <t>CAMILO ANDRES PACHECO ZAMBRANO</t>
  </si>
  <si>
    <t>camilo_pachecoz@cun.edu.co</t>
  </si>
  <si>
    <t>camiloeym@gmail.com</t>
  </si>
  <si>
    <t>3213586136</t>
  </si>
  <si>
    <t>CAMILO ANDRES</t>
  </si>
  <si>
    <t>PACHECO ZAMBRANO</t>
  </si>
  <si>
    <t>DANIELA PATRICIA MENESES VERGARA</t>
  </si>
  <si>
    <t>daniela_meneses@cun.edu.co</t>
  </si>
  <si>
    <t>meneses.daniela30@gmail.com</t>
  </si>
  <si>
    <t>3102594062</t>
  </si>
  <si>
    <t>DANIELA PATRICIA</t>
  </si>
  <si>
    <t>MENESES VERGARA</t>
  </si>
  <si>
    <t>93379442</t>
  </si>
  <si>
    <t>OSWALDO ENRIQUE MESTRE CAMPOS</t>
  </si>
  <si>
    <t>REGIONAL ANTIOQUIA</t>
  </si>
  <si>
    <t>MEDELLIN</t>
  </si>
  <si>
    <t>oswaldo_mestre@cun.edu.co</t>
  </si>
  <si>
    <t>OSWENMESCAM7@GMAIL.COM</t>
  </si>
  <si>
    <t>3005509160</t>
  </si>
  <si>
    <t>OSWALDO ENRIQUE</t>
  </si>
  <si>
    <t>MESTRE CAMPOS</t>
  </si>
  <si>
    <t>MEDELLIN SEDE</t>
  </si>
  <si>
    <t>1015995297</t>
  </si>
  <si>
    <t>RUBEN ELIECER CORTES VALENCIA</t>
  </si>
  <si>
    <t>ruben_cortesv@cun.edu.co</t>
  </si>
  <si>
    <t>RECORTESVA@GMAIL.COM</t>
  </si>
  <si>
    <t>3112236175</t>
  </si>
  <si>
    <t>RUBEN ELIECER</t>
  </si>
  <si>
    <t>CORTES VALENCIA</t>
  </si>
  <si>
    <t>ANGIE TATIANA BECERRA NIETO</t>
  </si>
  <si>
    <t>angie_becerran@cun.edu.co</t>
  </si>
  <si>
    <t>atbecerran@gmail.com</t>
  </si>
  <si>
    <t>3244840645</t>
  </si>
  <si>
    <t>ANGIE TATIANA</t>
  </si>
  <si>
    <t>BECERRA NIETO</t>
  </si>
  <si>
    <t>PEDRO DAVID GUTIERREZ BELTRAN</t>
  </si>
  <si>
    <t>pedro_gutierrez@cun.edu.co</t>
  </si>
  <si>
    <t>PEDAGUBE@HOTMAIL.COM</t>
  </si>
  <si>
    <t>3178622365</t>
  </si>
  <si>
    <t>PEDRO DAVID</t>
  </si>
  <si>
    <t>GUTIERREZ BELTRAN</t>
  </si>
  <si>
    <t>LUCAS MATEO FORERO LOSADA</t>
  </si>
  <si>
    <t>lucas_forerolo@cun.edu.co</t>
  </si>
  <si>
    <t>CONTACTO@LUCASMATEO.COM.CO</t>
  </si>
  <si>
    <t>3157716265</t>
  </si>
  <si>
    <t>LUCAS MATEO</t>
  </si>
  <si>
    <t>FORERO LOSADA</t>
  </si>
  <si>
    <t>1033682523</t>
  </si>
  <si>
    <t>DAVID BERMEO VICTORIA</t>
  </si>
  <si>
    <t>david_bermeovi@cun.edu.co</t>
  </si>
  <si>
    <t>DAVIDBER03@HOTMAIL.COM</t>
  </si>
  <si>
    <t>3222332898</t>
  </si>
  <si>
    <t>DAVID</t>
  </si>
  <si>
    <t>BERMEO VICTORIA</t>
  </si>
  <si>
    <t>1047410117</t>
  </si>
  <si>
    <t>ARCELIO PEREZ SIMANCA</t>
  </si>
  <si>
    <t>arcelio_perez@cun.edu.co</t>
  </si>
  <si>
    <t>ARCELIO.PEREZ@GMAIL.COM</t>
  </si>
  <si>
    <t>3028431856</t>
  </si>
  <si>
    <t>ARCELIO</t>
  </si>
  <si>
    <t>PEREZ SIMANCA</t>
  </si>
  <si>
    <t>72291974</t>
  </si>
  <si>
    <t>WILMER RAFAEL RUBIO RUBIO</t>
  </si>
  <si>
    <t>wilmer_rubior@cun.edu.co</t>
  </si>
  <si>
    <t>WILMER198406@GMAIL.COM</t>
  </si>
  <si>
    <t>3162396031</t>
  </si>
  <si>
    <t>WILMER RAFAEL</t>
  </si>
  <si>
    <t>RUBIO RUBIO</t>
  </si>
  <si>
    <t>DIANA ARELY AGUIRRE ROMO</t>
  </si>
  <si>
    <t>CALI</t>
  </si>
  <si>
    <t>diana_aguirrer@cun.edu.co</t>
  </si>
  <si>
    <t>aryidk121@gmail.com</t>
  </si>
  <si>
    <t>3159753272</t>
  </si>
  <si>
    <t>DIANA ARELY</t>
  </si>
  <si>
    <t>AGUIRRE ROMO</t>
  </si>
  <si>
    <t>ANGELA MARIA ARISTIZABAL GAVIRIA</t>
  </si>
  <si>
    <t>angela_aristizabal@cun.edu.co</t>
  </si>
  <si>
    <t>angelaaristizabal237@gmail.com</t>
  </si>
  <si>
    <t>3505271916</t>
  </si>
  <si>
    <t>ANGELA MARIA</t>
  </si>
  <si>
    <t>ARISTIZABAL GAVIRIA</t>
  </si>
  <si>
    <t>MARYLIN YANIT FORERO TARQUINO</t>
  </si>
  <si>
    <t>marylin_forero@cun.edu.co</t>
  </si>
  <si>
    <t>MARIFT98@HOTMAIL.COM</t>
  </si>
  <si>
    <t>300 8604845</t>
  </si>
  <si>
    <t>MARYLIN YANIT</t>
  </si>
  <si>
    <t>FORERO TARQUINO</t>
  </si>
  <si>
    <t>JOHAN SEBASTIAN SANCHEZ ECHEVERRY</t>
  </si>
  <si>
    <t>DOC AUX T&amp;T/N/V/TC/ADM DE EMPRE/FUN.ACADE-ADMIN</t>
  </si>
  <si>
    <t>johan_sancheze@cun.edu.co</t>
  </si>
  <si>
    <t>sanchez5552009@hotmail.com</t>
  </si>
  <si>
    <t>3506566002</t>
  </si>
  <si>
    <t>JOHAN SEBASTIAN</t>
  </si>
  <si>
    <t>SANCHEZ ECHEVERRY</t>
  </si>
  <si>
    <t>OSCAR FRADIQUE ESCOBAR PARDO</t>
  </si>
  <si>
    <t>DOC ASOC/N/V/TC/ADM EMP AGROIN/PROYECCIO</t>
  </si>
  <si>
    <t>ADMINISTRACION DE EMPRESAS AGROINDUSTRIAL</t>
  </si>
  <si>
    <t>oscar_escobarp@cun.edu.co</t>
  </si>
  <si>
    <t>OSCARFRADIQUE@GMAIL.COM</t>
  </si>
  <si>
    <t>3043581655</t>
  </si>
  <si>
    <t>OSCAR FRADIQUE</t>
  </si>
  <si>
    <t>ESCOBAR PARDO</t>
  </si>
  <si>
    <t>PEDRO ALEJANDRO SANCHEZ SANCHEZ</t>
  </si>
  <si>
    <t>DOCENTE AUX/N/TC/ADM EM AGRO/FUNC ADJET</t>
  </si>
  <si>
    <t>pedro_sanchezsa@cun.edu.co</t>
  </si>
  <si>
    <t>passanchezz@yahoo.es</t>
  </si>
  <si>
    <t>3115684646</t>
  </si>
  <si>
    <t>PEDRO ALEJANDRO</t>
  </si>
  <si>
    <t>SANCHEZ SANCHEZ</t>
  </si>
  <si>
    <t>BTA SEDE F</t>
  </si>
  <si>
    <t>ANDREA DEL PILAR CONDE CAPERA</t>
  </si>
  <si>
    <t>DOC ASIS/N/V/TC/ADM EMP AGROIN/FUN.ACADE-ADMIN</t>
  </si>
  <si>
    <t>andrea_condec@cun.edu.co</t>
  </si>
  <si>
    <t>andreaconde_21@hotmail.com</t>
  </si>
  <si>
    <t>3103503297</t>
  </si>
  <si>
    <t>ANDREA DEL PILAR</t>
  </si>
  <si>
    <t>CONDE CAPERA</t>
  </si>
  <si>
    <t>ADRIANA JOSE FREILE BRITTO</t>
  </si>
  <si>
    <t>DOC AUX T&amp;T/N/V/MT/ADM EMP AGROIN</t>
  </si>
  <si>
    <t>adriana_freile@cun.edu.co</t>
  </si>
  <si>
    <t>adriana.freileb@gmail.com</t>
  </si>
  <si>
    <t>3046117174</t>
  </si>
  <si>
    <t>ADRIANA JOSE</t>
  </si>
  <si>
    <t>FREILE BRITTO</t>
  </si>
  <si>
    <t>ANGGIE STEFANIA OSORIO ROMERO</t>
  </si>
  <si>
    <t>DOC AUX/N/V/TC/ADM EMP AGROIN/FUN.ACADE-ADMIN</t>
  </si>
  <si>
    <t>anggie_osorio@cun.edu.co</t>
  </si>
  <si>
    <t>ANGGIE.STEFANIA.OSORIO.ROMERO@GMAIL.COM</t>
  </si>
  <si>
    <t>3144194742</t>
  </si>
  <si>
    <t>ANGGIE STEFANIA</t>
  </si>
  <si>
    <t>OSORIO ROMERO</t>
  </si>
  <si>
    <t>1032388336</t>
  </si>
  <si>
    <t>LUZ DARY DIAZ DURAN</t>
  </si>
  <si>
    <t>Luz_Diazd@cun.edu.co</t>
  </si>
  <si>
    <t>luzdadiazd@gmail.com</t>
  </si>
  <si>
    <t>3164498925</t>
  </si>
  <si>
    <t>LUZ DARY</t>
  </si>
  <si>
    <t>DIAZ DURAN</t>
  </si>
  <si>
    <t>37277674</t>
  </si>
  <si>
    <t>YULY ANDREA RODRIGUEZ QUIÑONEZ</t>
  </si>
  <si>
    <t>DOC ASIS/N/V/MT/ADM EMP AGROIN</t>
  </si>
  <si>
    <t>yuly_rodriguez@cun.edu.co</t>
  </si>
  <si>
    <t>rodriguezyuly681@gmail.com</t>
  </si>
  <si>
    <t>3125447082</t>
  </si>
  <si>
    <t>YULY ANDREA</t>
  </si>
  <si>
    <t>RODRIGUEZ QUIÑONEZ</t>
  </si>
  <si>
    <t>32696489</t>
  </si>
  <si>
    <t>LUCY PUERTO COLO DE LA HOZ MONTEJO</t>
  </si>
  <si>
    <t>DOCENTE ASIS/N/MT-ADM SER SALU</t>
  </si>
  <si>
    <t>lucy_hoz@cun.edu.co</t>
  </si>
  <si>
    <t>lucydelahoz007@hotmail.com</t>
  </si>
  <si>
    <t>3046255208</t>
  </si>
  <si>
    <t>LUCY PUERTO COLO</t>
  </si>
  <si>
    <t>DE LA HOZ MONTEJO</t>
  </si>
  <si>
    <t>1067883849</t>
  </si>
  <si>
    <t>MARLEN ANDREA POSADA RUDAS</t>
  </si>
  <si>
    <t>marlen_posada@cun.edu.co</t>
  </si>
  <si>
    <t>marlenandreaposada@hotmail.com</t>
  </si>
  <si>
    <t>3127090700</t>
  </si>
  <si>
    <t>MARLEN ANDREA</t>
  </si>
  <si>
    <t>POSADA RUDAS</t>
  </si>
  <si>
    <t>1064997685</t>
  </si>
  <si>
    <t>JUAN CAMILO VILLALBA DURANGO</t>
  </si>
  <si>
    <t>juan_villalba@cun.edu.co</t>
  </si>
  <si>
    <t>juancamilovillalba@hotmail.com</t>
  </si>
  <si>
    <t>3117158881</t>
  </si>
  <si>
    <t>JUAN CAMILO</t>
  </si>
  <si>
    <t>VILLALBA DURANGO</t>
  </si>
  <si>
    <t>78019924</t>
  </si>
  <si>
    <t>ABEL NONATO ROYO GALEANO</t>
  </si>
  <si>
    <t>abel_royo@cun.edu.co</t>
  </si>
  <si>
    <t>royo_31@hotmail.com</t>
  </si>
  <si>
    <t>3008059334</t>
  </si>
  <si>
    <t>ABEL NONATO</t>
  </si>
  <si>
    <t>ROYO GALEANO</t>
  </si>
  <si>
    <t>ILVA MARIA POLO SANTIS</t>
  </si>
  <si>
    <t>ilva_polo@cun.edu.co</t>
  </si>
  <si>
    <t>ilvamayo@hotmail.com</t>
  </si>
  <si>
    <t>3004315079</t>
  </si>
  <si>
    <t>ILVA MARIA</t>
  </si>
  <si>
    <t>POLO SANTIS</t>
  </si>
  <si>
    <t>JOHN JAIRO MARTINEZ MESA</t>
  </si>
  <si>
    <t>john_martinez@cun.edu.co</t>
  </si>
  <si>
    <t>jhonjairo292@gmail.com</t>
  </si>
  <si>
    <t>3212801318</t>
  </si>
  <si>
    <t>JOHN JAIRO</t>
  </si>
  <si>
    <t>MARTINEZ MESA</t>
  </si>
  <si>
    <t>GINA MARCELA MAHECHA NARANJO</t>
  </si>
  <si>
    <t>DOC ASOC/N/V/MT/ADM SER SALU</t>
  </si>
  <si>
    <t>gina_mahecha@cun.edu.co</t>
  </si>
  <si>
    <t>sgsst.medicenser@gmail.com</t>
  </si>
  <si>
    <t>3145932138</t>
  </si>
  <si>
    <t>GINA MARCELA</t>
  </si>
  <si>
    <t>MAHECHA NARANJO</t>
  </si>
  <si>
    <t>1102233068</t>
  </si>
  <si>
    <t>ROSSO JOSE ESTRADA ALVAREZ</t>
  </si>
  <si>
    <t>rosso_estradaa@cun.edu.co</t>
  </si>
  <si>
    <t>rossojeea@gmail.com</t>
  </si>
  <si>
    <t>3205908079</t>
  </si>
  <si>
    <t>ROSSO JOSE</t>
  </si>
  <si>
    <t>ESTRADA ALVAREZ</t>
  </si>
  <si>
    <t>50923420</t>
  </si>
  <si>
    <t>SAURY DEL SOCORRO MIRANDO NEGRETE</t>
  </si>
  <si>
    <t>saury_miranda@cun.edu.co</t>
  </si>
  <si>
    <t>samine2609@gmail.com</t>
  </si>
  <si>
    <t>3007527349</t>
  </si>
  <si>
    <t>SAURY DEL SOCORRO</t>
  </si>
  <si>
    <t>MIRANDO NEGRETE</t>
  </si>
  <si>
    <t>GREGORY GENTILLE GARRIDO ORTEGA</t>
  </si>
  <si>
    <t>gregory_garrido@cun.edu.co</t>
  </si>
  <si>
    <t>gregorygarrido1606@gmail.com</t>
  </si>
  <si>
    <t>3012575943</t>
  </si>
  <si>
    <t>GREGORY GENTILLE</t>
  </si>
  <si>
    <t>GARRIDO ORTEGA</t>
  </si>
  <si>
    <t>PATRICIA SAIBET SALAZAR GRAU</t>
  </si>
  <si>
    <t>DOCENTE AUX/N/MT-ADM SER SALU</t>
  </si>
  <si>
    <t>patricia_salazar@cun.edu.co</t>
  </si>
  <si>
    <t>saibelitho0202@hotmail.com</t>
  </si>
  <si>
    <t>3217126246</t>
  </si>
  <si>
    <t>PATRICIA SAIBET</t>
  </si>
  <si>
    <t>SALAZAR GRAU</t>
  </si>
  <si>
    <t>50922469</t>
  </si>
  <si>
    <t>ALEXANDRA MARIA BENEDETTI NAVARRO</t>
  </si>
  <si>
    <t>alexandra_benedetti@cun.edu.co</t>
  </si>
  <si>
    <t>alexabenavarro@gmail.com</t>
  </si>
  <si>
    <t>3126409756</t>
  </si>
  <si>
    <t>ALEXANDRA MARIA</t>
  </si>
  <si>
    <t>BENEDETTI NAVARRO</t>
  </si>
  <si>
    <t>SHIRLEY SOFIA VERGARA JIMENEZ</t>
  </si>
  <si>
    <t>DOCENTE AUX/N/MT/ ADM SER SALUD</t>
  </si>
  <si>
    <t>shirley_vergaraji@cun.edu.co</t>
  </si>
  <si>
    <t>sofia.vergaraj@gmail.com</t>
  </si>
  <si>
    <t>3018221250</t>
  </si>
  <si>
    <t>SHIRLEY SOFIA</t>
  </si>
  <si>
    <t>VERGARA JIMENEZ</t>
  </si>
  <si>
    <t>73435975</t>
  </si>
  <si>
    <t>RONALD YESID PALENCIA BUELVAS</t>
  </si>
  <si>
    <t>DOCENTE ASOC/N/MT-ADM SER SALU</t>
  </si>
  <si>
    <t>ronald_palenciab@cun.edu.co</t>
  </si>
  <si>
    <t>RONALDYESID.8@HOTMAIL.COM</t>
  </si>
  <si>
    <t>3002621973</t>
  </si>
  <si>
    <t>RONALD YESID</t>
  </si>
  <si>
    <t>PALENCIA BUELVAS</t>
  </si>
  <si>
    <t>martha_garrido@cun.edu.co</t>
  </si>
  <si>
    <t>marticagarrido5@gmail.com</t>
  </si>
  <si>
    <t>3004701272</t>
  </si>
  <si>
    <t>MARTHA LUCIA</t>
  </si>
  <si>
    <t>GARRIDO PERALTA</t>
  </si>
  <si>
    <t>JESUS GERMAN VELEZ ALMONACID</t>
  </si>
  <si>
    <t>DOCENTE ASIS/N/MT-ADM DEP</t>
  </si>
  <si>
    <t>jesus_velez@cun.edu.co</t>
  </si>
  <si>
    <t>GERVEZJEAL@HOTMAIL.COM</t>
  </si>
  <si>
    <t>3134614616</t>
  </si>
  <si>
    <t>JESUS GERMAN</t>
  </si>
  <si>
    <t>VELEZ ALMONACID</t>
  </si>
  <si>
    <t>william_ochoa@cun.edu.co</t>
  </si>
  <si>
    <t>williamochoa1982@gmail.com</t>
  </si>
  <si>
    <t>3007674651</t>
  </si>
  <si>
    <t>WILLIAM LEONARDO</t>
  </si>
  <si>
    <t>OCHOA MORENO</t>
  </si>
  <si>
    <t>DANIEL EDUARDO AREVALO CONTRERAS</t>
  </si>
  <si>
    <t>daniel_arevalo@cun.edu.co</t>
  </si>
  <si>
    <t>Danny_9245@outlook.com</t>
  </si>
  <si>
    <t>3227722678</t>
  </si>
  <si>
    <t>DANIEL EDUARDO</t>
  </si>
  <si>
    <t>AREVALO CONTRERAS</t>
  </si>
  <si>
    <t>JAVIER GIOVANNI BAQUERO ARIAS</t>
  </si>
  <si>
    <t>DOCENTE AUX/N/TC/ADM DEP/FUN.ACADE-ADMIN</t>
  </si>
  <si>
    <t>javier_baquero@cun.edu.co</t>
  </si>
  <si>
    <t>giovannibaquero10@gmail.com</t>
  </si>
  <si>
    <t>3144882600</t>
  </si>
  <si>
    <t>JAVIER GIOVANNI</t>
  </si>
  <si>
    <t>BAQUERO ARIAS</t>
  </si>
  <si>
    <t>CARLOS ABEL AYA ARANGUREN</t>
  </si>
  <si>
    <t>carlos_aya@cun.edu.co</t>
  </si>
  <si>
    <t>carlosabelaya@yahoo.es</t>
  </si>
  <si>
    <t>3132070542</t>
  </si>
  <si>
    <t>CARLOS ABEL</t>
  </si>
  <si>
    <t>AYA ARANGUREN</t>
  </si>
  <si>
    <t>DEYANIRA CUERVO LINARES</t>
  </si>
  <si>
    <t>Deyanira_Cuervo@cun.edu.co</t>
  </si>
  <si>
    <t>dey.cuervo0865@hotmail.com</t>
  </si>
  <si>
    <t>3106250574</t>
  </si>
  <si>
    <t>DEYANIRA</t>
  </si>
  <si>
    <t>CUERVO LINARES</t>
  </si>
  <si>
    <t>1022976767</t>
  </si>
  <si>
    <t>LEIDY JOHANNA SANCHEZ PEÑA</t>
  </si>
  <si>
    <t>leidy_sanchezpe@cun.edu.co</t>
  </si>
  <si>
    <t>Ladysanchezp92@gmail.com</t>
  </si>
  <si>
    <t>3115816422</t>
  </si>
  <si>
    <t>LEIDY JOHANNA</t>
  </si>
  <si>
    <t>SANCHEZ PEÑA</t>
  </si>
  <si>
    <t>YOHANNA MARCELA VARON GUEVARA</t>
  </si>
  <si>
    <t>yohanna_varon@cun.edu.co</t>
  </si>
  <si>
    <t>marcelavaron1980@gmail.com</t>
  </si>
  <si>
    <t>3163368641</t>
  </si>
  <si>
    <t>YOHANNA MARCELA</t>
  </si>
  <si>
    <t>VARON GUEVARA</t>
  </si>
  <si>
    <t>YANETH ALMANZA MORENO</t>
  </si>
  <si>
    <t>yaneth_almanza@cun.edu.co</t>
  </si>
  <si>
    <t>yanethalmo@yahoo.fr</t>
  </si>
  <si>
    <t>3176613865</t>
  </si>
  <si>
    <t>YANETH</t>
  </si>
  <si>
    <t>ALMANZA MORENO</t>
  </si>
  <si>
    <t>52414836</t>
  </si>
  <si>
    <t>MARTHA ANDREA RODRIGUEZ BONILLA</t>
  </si>
  <si>
    <t>DOC AUX T&amp;T/N/MT/ADM SER SALU</t>
  </si>
  <si>
    <t>martha_rodriguez@cun.edu.co</t>
  </si>
  <si>
    <t>marod723@gmail.com</t>
  </si>
  <si>
    <t>3159976410</t>
  </si>
  <si>
    <t>MARTHA ANDREA</t>
  </si>
  <si>
    <t>RODRIGUEZ BONILLA</t>
  </si>
  <si>
    <t>LAURA SUSANA SILVA MEJIA</t>
  </si>
  <si>
    <t>laura_silvam@cun.edu.co</t>
  </si>
  <si>
    <t>laurasusanabac@gmail.com</t>
  </si>
  <si>
    <t>3023383061</t>
  </si>
  <si>
    <t>LAURA SUSANA</t>
  </si>
  <si>
    <t>SILVA MEJIA</t>
  </si>
  <si>
    <t>1030563978</t>
  </si>
  <si>
    <t>CINDY CAROLINA RIVEROS MUÑOS</t>
  </si>
  <si>
    <t>cindy_riveros@cun.edu.co</t>
  </si>
  <si>
    <t>CINDYRIVEROS06@GMAIL.COM</t>
  </si>
  <si>
    <t>3133310693</t>
  </si>
  <si>
    <t>CINDY CAROLINA</t>
  </si>
  <si>
    <t>RIVEROS MUÑOS</t>
  </si>
  <si>
    <t>53116194</t>
  </si>
  <si>
    <t>CAROLINA MORENO CHAVEZ</t>
  </si>
  <si>
    <t>carolina_moreno@cun.edu.co</t>
  </si>
  <si>
    <t>CAROODONTOLOGA@HOTMAIL.COM</t>
  </si>
  <si>
    <t>3011842797</t>
  </si>
  <si>
    <t>MORENO CHAVEZ</t>
  </si>
  <si>
    <t>MARLEY GISEL BARRETO TORRES</t>
  </si>
  <si>
    <t>marley_barretot@cun.edu.co</t>
  </si>
  <si>
    <t>gisel0309@gmail.com</t>
  </si>
  <si>
    <t>3187772258</t>
  </si>
  <si>
    <t>MARLEY GISEL</t>
  </si>
  <si>
    <t>BARRETO TORRES</t>
  </si>
  <si>
    <t>DIEGO ALEJANDRO GONZALEZ FINO</t>
  </si>
  <si>
    <t>diego_gonzalezf@cun.edu.co</t>
  </si>
  <si>
    <t>DIEGOGT64@GMAIL.COM</t>
  </si>
  <si>
    <t>3132265896</t>
  </si>
  <si>
    <t>DIEGO ALEJANDRO</t>
  </si>
  <si>
    <t>GONZALEZ FINO</t>
  </si>
  <si>
    <t>ALIRIO HERNANDEZ TOVAR</t>
  </si>
  <si>
    <t>DOC AUX T&amp;T/N/TC/ADM SER SALU/FUN.ACADE</t>
  </si>
  <si>
    <t>alirio_hernandezt@cun.edu.co</t>
  </si>
  <si>
    <t>alirio2015hernandez@hotmail.com</t>
  </si>
  <si>
    <t>3138610591</t>
  </si>
  <si>
    <t>ALIRIO</t>
  </si>
  <si>
    <t>HERNANDEZ TOVAR</t>
  </si>
  <si>
    <t>diana_sepulveda@cun.edu.co</t>
  </si>
  <si>
    <t>dianalorenasepulveda@gmail.com</t>
  </si>
  <si>
    <t>3168793880</t>
  </si>
  <si>
    <t>DIANA LORENA</t>
  </si>
  <si>
    <t>SEPULVEDA RAMIREZ PARIS</t>
  </si>
  <si>
    <t>JENNIFER DANIELA PEÑA GROSO</t>
  </si>
  <si>
    <t>jennifer_penagr@cun.edu.co</t>
  </si>
  <si>
    <t>ANI1320@HOTMAIL.COM</t>
  </si>
  <si>
    <t>3214022422</t>
  </si>
  <si>
    <t>JENNIFER DANIELA</t>
  </si>
  <si>
    <t>PEÑA GROSO</t>
  </si>
  <si>
    <t>WILLIAM ENRIQUE TAPIA AYALA</t>
  </si>
  <si>
    <t>william_tapiaa@cun.edu.co</t>
  </si>
  <si>
    <t>WILLIAMSXP97@HOTMAIL.COM</t>
  </si>
  <si>
    <t>3105292801</t>
  </si>
  <si>
    <t>WILLIAM ENRIQUE</t>
  </si>
  <si>
    <t>TAPIA AYALA</t>
  </si>
  <si>
    <t>LADY ESTEFANIA PINEDA MUÑOZ</t>
  </si>
  <si>
    <t>lady_pineda@cun.edu.co</t>
  </si>
  <si>
    <t>PINEDALADY913@GMAIL.COM</t>
  </si>
  <si>
    <t>3164525616</t>
  </si>
  <si>
    <t>LADY ESTEFANIA</t>
  </si>
  <si>
    <t>PINEDA MUÑOZ</t>
  </si>
  <si>
    <t>WILLIAM JAVIER CASTEBLANCO CARO</t>
  </si>
  <si>
    <t>william_castelblanco@cun.edu.co</t>
  </si>
  <si>
    <t>WILLICAS24@GMAIL.COM</t>
  </si>
  <si>
    <t>3213863526</t>
  </si>
  <si>
    <t>WILLIAM JAVIER</t>
  </si>
  <si>
    <t>CASTEBLANCO CARO</t>
  </si>
  <si>
    <t>CRISTIAN ALFREDO MARTINEZ JIMENEZ</t>
  </si>
  <si>
    <t>cristian_martinez@cun.edu.co</t>
  </si>
  <si>
    <t>CRISTIANMARTINEZ089@GMAIL.COM</t>
  </si>
  <si>
    <t>301 4695814</t>
  </si>
  <si>
    <t>CRISTIAN ALFREDO</t>
  </si>
  <si>
    <t>MARTINEZ JIMENEZ</t>
  </si>
  <si>
    <t>HENRY EMILIO PEÑA PEÑA</t>
  </si>
  <si>
    <t>henry_penap@cun.edu.co</t>
  </si>
  <si>
    <t>HENRY.ARG@HOTMAIL.COM</t>
  </si>
  <si>
    <t>3114687535</t>
  </si>
  <si>
    <t>HENRY EMILIO</t>
  </si>
  <si>
    <t>PEÑA PEÑA</t>
  </si>
  <si>
    <t>CARLOS ROBERTO PEREZ AGUILERA</t>
  </si>
  <si>
    <t>carlos_perezag@cun.edu.co</t>
  </si>
  <si>
    <t>CARLOSROBERTOPEREZAGUILERA@GMAIL.COM</t>
  </si>
  <si>
    <t>310 2706736</t>
  </si>
  <si>
    <t>CARLOS ROBERTO</t>
  </si>
  <si>
    <t>PEREZ AGUILERA</t>
  </si>
  <si>
    <t>JENNY JANETH LOAIZA LEIVA</t>
  </si>
  <si>
    <t>yenny_loaizal@cun.edu.co</t>
  </si>
  <si>
    <t>jennyloaiza30@gmail.com</t>
  </si>
  <si>
    <t>3246863114</t>
  </si>
  <si>
    <t>AGUAZUL</t>
  </si>
  <si>
    <t>JENNY JANETH</t>
  </si>
  <si>
    <t>LOAIZA LEIVA</t>
  </si>
  <si>
    <t>DIANA ANDREA GAITAN HERRERA</t>
  </si>
  <si>
    <t>REGIONAL META</t>
  </si>
  <si>
    <t>VILLAVICENCIO</t>
  </si>
  <si>
    <t>DOC ASIS/N/V/TC/ADMIN PUBLICA/FUN.ACADE-ADMIN</t>
  </si>
  <si>
    <t>ADMINISTRACION PUBLICA</t>
  </si>
  <si>
    <t>diana_gaitan@cun.edu.co</t>
  </si>
  <si>
    <t>dianagaitanh@gmail.com</t>
  </si>
  <si>
    <t>3112712318</t>
  </si>
  <si>
    <t>DIANA ANDREA</t>
  </si>
  <si>
    <t>GAITAN HERRERA</t>
  </si>
  <si>
    <t>VILLAVICENCIO SEDE</t>
  </si>
  <si>
    <t>NATALIA PEÑALOZA ROA</t>
  </si>
  <si>
    <t>DOC AUX/N/V/TC/ADMIN PUBLICA/FUN.ACADE-ADMIN</t>
  </si>
  <si>
    <t>natalia_penaloza@cun.edu.co</t>
  </si>
  <si>
    <t>nataliapenalozar@gmail.com</t>
  </si>
  <si>
    <t>3212638244</t>
  </si>
  <si>
    <t>NATALIA</t>
  </si>
  <si>
    <t>PEÑALOZA ROA</t>
  </si>
  <si>
    <t>MARIA FERNANDA ARCINIEGAS CHAVEZ</t>
  </si>
  <si>
    <t>maria_arciniegas@cun.edu.co</t>
  </si>
  <si>
    <t>fernandaarciniegasch@gmail.com</t>
  </si>
  <si>
    <t>3138830976</t>
  </si>
  <si>
    <t>MARIA FERNANDA</t>
  </si>
  <si>
    <t>ARCINIEGAS CHAVEZ</t>
  </si>
  <si>
    <t>YAMILE RODRIGUEZ URUEÑA</t>
  </si>
  <si>
    <t>DOC ASIS/N/V/MT/ADMIN PUBLICA</t>
  </si>
  <si>
    <t>yamile_rodriguez@cun.edu.co</t>
  </si>
  <si>
    <t>sandrayami14@gmail.com</t>
  </si>
  <si>
    <t>3125107978</t>
  </si>
  <si>
    <t>YAMILE</t>
  </si>
  <si>
    <t>RODRIGUEZ URUEÑA</t>
  </si>
  <si>
    <t>LAURA JIMENA BUITRAGO DUARTE</t>
  </si>
  <si>
    <t>DOC ASOC/N/V/TC/ADMIN PUBLICA/FUN.ACADE-ADMIN</t>
  </si>
  <si>
    <t>laura_buitrago@cun.edu.co</t>
  </si>
  <si>
    <t>jimenabuitrago.d@gmail.com</t>
  </si>
  <si>
    <t>3174357500</t>
  </si>
  <si>
    <t>LAURA JIMENA</t>
  </si>
  <si>
    <t>BUITRAGO DUARTE</t>
  </si>
  <si>
    <t>NADYA MARCELA PEÑA PACHECO</t>
  </si>
  <si>
    <t>DOC AUX/N/V/TC/ADMIN PUBLICA/PROYECC SOC</t>
  </si>
  <si>
    <t>nadya_pena@cun.edu.co</t>
  </si>
  <si>
    <t>lunadya2525@gmail.com</t>
  </si>
  <si>
    <t>3166106045</t>
  </si>
  <si>
    <t>NADYA MARCELA</t>
  </si>
  <si>
    <t>PEÑA PACHECO</t>
  </si>
  <si>
    <t>NIKY AXEL CASTAÑO VARGAS</t>
  </si>
  <si>
    <t>niky_castano@cun.edu.co</t>
  </si>
  <si>
    <t>niky9axel@gmail.com</t>
  </si>
  <si>
    <t>3133080503</t>
  </si>
  <si>
    <t>NIKY AXEL</t>
  </si>
  <si>
    <t>CASTAÑO VARGAS</t>
  </si>
  <si>
    <t>GILBER GIOVANNY VALERO BUITRAGO</t>
  </si>
  <si>
    <t>gilber_valerob@cun.edu.co</t>
  </si>
  <si>
    <t>giovannyvalero1978@gmail.com</t>
  </si>
  <si>
    <t>3188366545</t>
  </si>
  <si>
    <t>GILBER GIOVANNY</t>
  </si>
  <si>
    <t>VALERO BUITRAGO</t>
  </si>
  <si>
    <t>DIANA PILAR GARCIA HUERFANO</t>
  </si>
  <si>
    <t>diana_garciahue@cun.edu.co</t>
  </si>
  <si>
    <t>dpilargarciah@gmail.com</t>
  </si>
  <si>
    <t>3212056914</t>
  </si>
  <si>
    <t>DIANA PILAR</t>
  </si>
  <si>
    <t>GARCIA HUERFANO</t>
  </si>
  <si>
    <t>VIVIANA CATALINA CAÑAS LEAL</t>
  </si>
  <si>
    <t>DOC AUX/N/V/MT/ADMIN PUBLICA</t>
  </si>
  <si>
    <t>viviana_canas@cun.edu.co</t>
  </si>
  <si>
    <t>vivianacanas12@gmail.com</t>
  </si>
  <si>
    <t>3005618838</t>
  </si>
  <si>
    <t>VIVIANA CATALINA</t>
  </si>
  <si>
    <t>CAÑAS LEAL</t>
  </si>
  <si>
    <t>ANDRES FELIPE FERNANDEZ PATIÑO</t>
  </si>
  <si>
    <t>andres_fernandezp@cun.edu.co</t>
  </si>
  <si>
    <t>FERNANDEZFELIPE896@GMAIL.COM</t>
  </si>
  <si>
    <t>3014180013</t>
  </si>
  <si>
    <t>FERNANDEZ PATIÑO</t>
  </si>
  <si>
    <t>MONICA ALEJANDRA PRADO LEYVA</t>
  </si>
  <si>
    <t>DOC AUX/N/V/TC/ADMIN PUBLICA/PROYECCION SO</t>
  </si>
  <si>
    <t>monica_pradole@cun.edu.co</t>
  </si>
  <si>
    <t>financiero.estructurado@gmail.com</t>
  </si>
  <si>
    <t>3162546616</t>
  </si>
  <si>
    <t>MONICA ALEJANDRA</t>
  </si>
  <si>
    <t>PRADO LEYVA</t>
  </si>
  <si>
    <t>DAVID ANDRES DUEÑAS ROCHA</t>
  </si>
  <si>
    <t>DOCENTE AUX/N/TC/ADM TUR Y HOT/FUN.ACADE-ADMIN</t>
  </si>
  <si>
    <t>ADMINISTRACION TURISTICA Y HOTELERA</t>
  </si>
  <si>
    <t>david_duenas@cun.edu.co</t>
  </si>
  <si>
    <t>david.duenasrocha@gmail.com</t>
  </si>
  <si>
    <t>3138957916</t>
  </si>
  <si>
    <t>DAVID ANDRES</t>
  </si>
  <si>
    <t>DUEÑAS ROCHA</t>
  </si>
  <si>
    <t>BTA SEDE G</t>
  </si>
  <si>
    <t>1070013216</t>
  </si>
  <si>
    <t>JULY ANDREA CANCHON CAMACHO</t>
  </si>
  <si>
    <t>july_canchonca@cun.edu.co</t>
  </si>
  <si>
    <t>JULYCANCHON8@GMAIL.COM</t>
  </si>
  <si>
    <t>3202220009</t>
  </si>
  <si>
    <t>JULY ANDREA</t>
  </si>
  <si>
    <t>CANCHON CAMACHO</t>
  </si>
  <si>
    <t>DIEGO ALEXANDER SIERRA SANCHEZ</t>
  </si>
  <si>
    <t>DOC AUX T&amp;T/N/MT/ADM TUR Y HOT</t>
  </si>
  <si>
    <t>diego_sierras@cun.edu.co</t>
  </si>
  <si>
    <t>dialsi07@gmail.com</t>
  </si>
  <si>
    <t>3104369862</t>
  </si>
  <si>
    <t>DIEGO ALEXANDER</t>
  </si>
  <si>
    <t>SIERRA SANCHEZ</t>
  </si>
  <si>
    <t>1100971766</t>
  </si>
  <si>
    <t>JOSE AGUSTIN GARZON RODRIGUEZ</t>
  </si>
  <si>
    <t>DOCENTE AUX/N/MT-ADM TUR Y HOT</t>
  </si>
  <si>
    <t>jose_garzonrod@cun.edu.co</t>
  </si>
  <si>
    <t>JOSEGARO_26@HOTMAIL.COM</t>
  </si>
  <si>
    <t>3228465865</t>
  </si>
  <si>
    <t>JOSE AGUSTIN</t>
  </si>
  <si>
    <t>GARZON RODRIGUEZ</t>
  </si>
  <si>
    <t>TYFFANI MARCELA RUIZ ARCON</t>
  </si>
  <si>
    <t>DOC AUX/N/MT/ADM SEG</t>
  </si>
  <si>
    <t>ADMINISTRATCION SEGURIDAD Y SALUD EN EL TRABAJO</t>
  </si>
  <si>
    <t>tyffani_ruiza@cun.edu.co</t>
  </si>
  <si>
    <t>TYFFANIRAR22@GMAIL.COM</t>
  </si>
  <si>
    <t>3017420989</t>
  </si>
  <si>
    <t>TYFFANI MARCELA</t>
  </si>
  <si>
    <t>RUIZ ARCON</t>
  </si>
  <si>
    <t>LEO RODRIGO GIL OSPINA</t>
  </si>
  <si>
    <t>DOC ASIS/N/V/MT/CIENCIAS BASI</t>
  </si>
  <si>
    <t>Leo_Gil@cun.edu.co</t>
  </si>
  <si>
    <t>lerogo74@gmail.com</t>
  </si>
  <si>
    <t>3173633127</t>
  </si>
  <si>
    <t>LEO RODRIGO</t>
  </si>
  <si>
    <t>GIL OSPINA</t>
  </si>
  <si>
    <t>RAUL ARVEY AGUDELO RESTREPO</t>
  </si>
  <si>
    <t>DOC ASIS/N/V/TC/CIENCIAS BASI/PROYECTOS AC</t>
  </si>
  <si>
    <t>raul_agudelo@cun.edu.co</t>
  </si>
  <si>
    <t>raularveya@gmail.com</t>
  </si>
  <si>
    <t>3104768799</t>
  </si>
  <si>
    <t>RAUL ARVEY</t>
  </si>
  <si>
    <t>AGUDELO RESTREPO</t>
  </si>
  <si>
    <t>RAFAEL ALFONSO DIAZ DIAZ</t>
  </si>
  <si>
    <t>DOCENTE AUX/N/TC/CIEN BASI/FUN.ACADE-ADMIN</t>
  </si>
  <si>
    <t>rafael_diaz@cun.edu.co</t>
  </si>
  <si>
    <t>radiaz37@yahoo.com</t>
  </si>
  <si>
    <t>3143938775</t>
  </si>
  <si>
    <t>RAFAEL ALFONSO</t>
  </si>
  <si>
    <t>DIAZ DIAZ</t>
  </si>
  <si>
    <t>1031143200</t>
  </si>
  <si>
    <t>NICOLAS LIZARRALDE RODRIGUEZ</t>
  </si>
  <si>
    <t>nicolas_lizarralde@cun.edu.co</t>
  </si>
  <si>
    <t>liza1031@hotmail.es</t>
  </si>
  <si>
    <t>3014848717</t>
  </si>
  <si>
    <t>NICOLAS</t>
  </si>
  <si>
    <t>LIZARRALDE RODRIGUEZ</t>
  </si>
  <si>
    <t>LILIANA IBAGON ROJAS</t>
  </si>
  <si>
    <t>DOC ASIS/N/V/TC/CIENCIAS BASI/FUN.ACADE-ADMIN</t>
  </si>
  <si>
    <t>liliana_ibagon@cun.edu.co</t>
  </si>
  <si>
    <t>liliana.ibagonr@gmail.com</t>
  </si>
  <si>
    <t>3153603386</t>
  </si>
  <si>
    <t>LILIANA</t>
  </si>
  <si>
    <t>IBAGON ROJAS</t>
  </si>
  <si>
    <t>NESTOR IVAN FLOREZ VIZCAINO</t>
  </si>
  <si>
    <t>DOCENTE ASIS/N/MT/CIEN BASI</t>
  </si>
  <si>
    <t>nestor_florez@cun.edu.co</t>
  </si>
  <si>
    <t>nesflorez997@gmail.com</t>
  </si>
  <si>
    <t>3114372892</t>
  </si>
  <si>
    <t>NESTOR IVAN</t>
  </si>
  <si>
    <t>FLOREZ VIZCAINO</t>
  </si>
  <si>
    <t>FELIX ENRIQUE SALINAS TACUMA</t>
  </si>
  <si>
    <t>felix_salinas@cun.edu.co</t>
  </si>
  <si>
    <t>flxud84@gmail.com</t>
  </si>
  <si>
    <t>3114652546</t>
  </si>
  <si>
    <t>FELIX ENRIQUE</t>
  </si>
  <si>
    <t>SALINAS TACUMA</t>
  </si>
  <si>
    <t>ALEXANDER MORENO QUIROGA</t>
  </si>
  <si>
    <t>alexander_moreno@cun.edu.co</t>
  </si>
  <si>
    <t>alexandermorenoquiroga@gmail.com</t>
  </si>
  <si>
    <t>3164019411</t>
  </si>
  <si>
    <t>ALEXANDER</t>
  </si>
  <si>
    <t>MORENO QUIROGA</t>
  </si>
  <si>
    <t>1126430300</t>
  </si>
  <si>
    <t>MILEIBITH KARINA SIERRA FIGUEROA</t>
  </si>
  <si>
    <t>DOC AUX T&amp;T/N/TC/CIEN BASI/FUN.ACADE-ADMIN</t>
  </si>
  <si>
    <t>mileibith_sierra@cun.edu.co</t>
  </si>
  <si>
    <t>milefigo.22@gmail.com</t>
  </si>
  <si>
    <t>3132186878</t>
  </si>
  <si>
    <t>MILEIBITH KARINA</t>
  </si>
  <si>
    <t>SIERRA FIGUEROA</t>
  </si>
  <si>
    <t>AURA LUCIA QUINTERO POVEDA</t>
  </si>
  <si>
    <t>AURA_QUINTERO@CUN.EDU.CO</t>
  </si>
  <si>
    <t>alqmatematicas@gmail.com</t>
  </si>
  <si>
    <t>3507138984</t>
  </si>
  <si>
    <t>AURA LUCIA</t>
  </si>
  <si>
    <t>QUINTERO POVEDA</t>
  </si>
  <si>
    <t>93380038</t>
  </si>
  <si>
    <t>JUAN CARLOS TRUJILLO OLAYA</t>
  </si>
  <si>
    <t>DOCENTE AUX/N/MT/CIEN BASI</t>
  </si>
  <si>
    <t>juan_trujilloo@cun.edu.co</t>
  </si>
  <si>
    <t>jucato08@gmail.com</t>
  </si>
  <si>
    <t>3176442015</t>
  </si>
  <si>
    <t>TRUJILLO OLAYA</t>
  </si>
  <si>
    <t>LEONARDO CAMACHO RUIZ</t>
  </si>
  <si>
    <t>leonardo_camacho@cun.edu.co</t>
  </si>
  <si>
    <t>LCR20JU@HOTMAIL.COM</t>
  </si>
  <si>
    <t>3125290003</t>
  </si>
  <si>
    <t>LEONARDO</t>
  </si>
  <si>
    <t>CAMACHO RUIZ</t>
  </si>
  <si>
    <t>YAMILE MEDINA CASTAÑEDA</t>
  </si>
  <si>
    <t>DOCENTE ASIS/N/TC/CIEN BASI/FUN.ACADE-ADMIN</t>
  </si>
  <si>
    <t>yamile_medina@cun.edu.co</t>
  </si>
  <si>
    <t>yamilemedina.2008@gmail.com</t>
  </si>
  <si>
    <t>3124882836</t>
  </si>
  <si>
    <t>MEDINA CASTAÑEDA</t>
  </si>
  <si>
    <t>SANDRA JANETH MARIÑO MALDONADO</t>
  </si>
  <si>
    <t>DOC AUX/N/V/TC/CIENCIAS BASI/FUN.ACADE-ADMIN</t>
  </si>
  <si>
    <t>Sandra_Marino@cun.edu.co</t>
  </si>
  <si>
    <t>sandma1701@gmail.com</t>
  </si>
  <si>
    <t>3204056613</t>
  </si>
  <si>
    <t>SANDRA JANETH</t>
  </si>
  <si>
    <t>MARIÑO MALDONADO</t>
  </si>
  <si>
    <t>IDIALY MONTOYA AGUILAR</t>
  </si>
  <si>
    <t>idaly_montoya@cun.edu.co</t>
  </si>
  <si>
    <t>idalymontoya@gmail.com</t>
  </si>
  <si>
    <t>3185628531</t>
  </si>
  <si>
    <t>IDIALY</t>
  </si>
  <si>
    <t>MONTOYA AGUILAR</t>
  </si>
  <si>
    <t>1013591700</t>
  </si>
  <si>
    <t>JOHNY ANDRES JARAMILLO PALACIO</t>
  </si>
  <si>
    <t>johny_jaramillop@cun.edu.co</t>
  </si>
  <si>
    <t>jajaramillopa@unal.edu.co</t>
  </si>
  <si>
    <t>3059160535</t>
  </si>
  <si>
    <t>JOHNY ANDRES</t>
  </si>
  <si>
    <t>JARAMILLO PALACIO</t>
  </si>
  <si>
    <t>1024478675</t>
  </si>
  <si>
    <t>JAVIER ALBERTO SARMIENTO VANEGAS</t>
  </si>
  <si>
    <t>javier_sarmiento@cun.edu.co</t>
  </si>
  <si>
    <t>jasv21@yahoo.es</t>
  </si>
  <si>
    <t>3001417768</t>
  </si>
  <si>
    <t>JAVIER ALBERTO</t>
  </si>
  <si>
    <t>SARMIENTO VANEGAS</t>
  </si>
  <si>
    <t>JONATHAN EDUARDO RUIZ RAMIREZ</t>
  </si>
  <si>
    <t>jonathan_ruiz@cun.edu.co</t>
  </si>
  <si>
    <t>atheuro@gmail.com</t>
  </si>
  <si>
    <t>3212531824</t>
  </si>
  <si>
    <t>JONATHAN EDUARDO</t>
  </si>
  <si>
    <t>RUIZ RAMIREZ</t>
  </si>
  <si>
    <t>7725537</t>
  </si>
  <si>
    <t>JOSE FERNANDO VELANDIA TACUMA</t>
  </si>
  <si>
    <t>jose_velandia@cun.edu.co</t>
  </si>
  <si>
    <t>fervel1331@hotmail.com</t>
  </si>
  <si>
    <t>3125157583</t>
  </si>
  <si>
    <t>JOSE FERNANDO</t>
  </si>
  <si>
    <t>VELANDIA TACUMA</t>
  </si>
  <si>
    <t>1068927128</t>
  </si>
  <si>
    <t>YULIETH CONSTANZA CASAS TOVAR</t>
  </si>
  <si>
    <t>yulieth_casas@cun.edu.co</t>
  </si>
  <si>
    <t>YULIETH.CASAS@GMAIL.COM</t>
  </si>
  <si>
    <t>3003408679</t>
  </si>
  <si>
    <t>L</t>
  </si>
  <si>
    <t>YULIETH CONSTANZA</t>
  </si>
  <si>
    <t>CASAS TOVAR</t>
  </si>
  <si>
    <t>MARIAN ELENA HERNANDEZ CHAMORRO</t>
  </si>
  <si>
    <t>marian_hernandez@cun.edu.co</t>
  </si>
  <si>
    <t>hmarian817@gmail.com</t>
  </si>
  <si>
    <t>3008754479</t>
  </si>
  <si>
    <t>MARIAN ELENA</t>
  </si>
  <si>
    <t>HERNANDEZ CHAMORRO</t>
  </si>
  <si>
    <t>NICOLAS DE JESUS ZABARAIN FONTALVO</t>
  </si>
  <si>
    <t>nicolas_zabarain@cun.edu.co</t>
  </si>
  <si>
    <t>nzabarainf94@gmail.com</t>
  </si>
  <si>
    <t>3003423776</t>
  </si>
  <si>
    <t>NICOLAS DE JESUS</t>
  </si>
  <si>
    <t>ZABARAIN FONTALVO</t>
  </si>
  <si>
    <t>ZULLY TATIANA MONROY MARIÑO</t>
  </si>
  <si>
    <t>zully_monroy@cun.edu.co</t>
  </si>
  <si>
    <t>ztmonroym6@gmail.com</t>
  </si>
  <si>
    <t>3028469014</t>
  </si>
  <si>
    <t>ZULLY TATIANA</t>
  </si>
  <si>
    <t>MONROY MARIÑO</t>
  </si>
  <si>
    <t>BTA SEDE SUBA</t>
  </si>
  <si>
    <t>LUISA FERNANDA RINCON CAMARGO</t>
  </si>
  <si>
    <t>DOC AUX T&amp;T/N/V/TC/CIENCIAS BASI/FUN.ACADE-ADMIN</t>
  </si>
  <si>
    <t>luisa_rinconc@cun.edu.co</t>
  </si>
  <si>
    <t>lurinconc@unal.edu.co</t>
  </si>
  <si>
    <t>3187252794</t>
  </si>
  <si>
    <t>RINCON CAMARGO</t>
  </si>
  <si>
    <t>1023964370</t>
  </si>
  <si>
    <t>MANUEL FELIPE AGUDELO MORENO</t>
  </si>
  <si>
    <t>manuel_agudelo@cun.edu.co</t>
  </si>
  <si>
    <t>Felipe.agudelo97.fa@gmail.com</t>
  </si>
  <si>
    <t>3004000232</t>
  </si>
  <si>
    <t>MANUEL FELIPE</t>
  </si>
  <si>
    <t>AGUDELO MORENO</t>
  </si>
  <si>
    <t>GUILLERMO ANDRES CONTO TRIANA</t>
  </si>
  <si>
    <t>DOC AUX T&amp;T/N/V/MT/CIENCIAS BASI</t>
  </si>
  <si>
    <t>guillermo_conto@cun.edu.co</t>
  </si>
  <si>
    <t>GCONTOTMEMO@GMAIL.COM</t>
  </si>
  <si>
    <t>3202399636</t>
  </si>
  <si>
    <t>CONTO TRIANA</t>
  </si>
  <si>
    <t>1067906540</t>
  </si>
  <si>
    <t>ANTONIO ELIAS ZUMAQUE BALLESTEROS</t>
  </si>
  <si>
    <t>antonio_zumaque@cun.edu.co</t>
  </si>
  <si>
    <t>antoniozumaque@gmail.com</t>
  </si>
  <si>
    <t>3224938826</t>
  </si>
  <si>
    <t>ANTONIO ELIAS</t>
  </si>
  <si>
    <t>ZUMAQUE BALLESTEROS</t>
  </si>
  <si>
    <t>1052400546</t>
  </si>
  <si>
    <t>JERMISON ANDRES BELTRAN MONROY</t>
  </si>
  <si>
    <t>jermison_beltran@cun.edu.co</t>
  </si>
  <si>
    <t>andresbeltran1124@gmail.com</t>
  </si>
  <si>
    <t>3187882951</t>
  </si>
  <si>
    <t>JERMISON ANDRES</t>
  </si>
  <si>
    <t>BELTRAN MONROY</t>
  </si>
  <si>
    <t>1003361839</t>
  </si>
  <si>
    <t>JHON JEILLER HOYOS VEGA</t>
  </si>
  <si>
    <t>jhon_hoyos@cun.edu.co</t>
  </si>
  <si>
    <t>Jhonhove1010@gmail.com</t>
  </si>
  <si>
    <t>3217786356</t>
  </si>
  <si>
    <t>JHON JEILLER</t>
  </si>
  <si>
    <t>HOYOS VEGA</t>
  </si>
  <si>
    <t>1032490263</t>
  </si>
  <si>
    <t>JUAN SEBASTIAN CORTES CRUZ</t>
  </si>
  <si>
    <t>juan_cortesc@cun.edu.co</t>
  </si>
  <si>
    <t>juascortescru@gmail.com</t>
  </si>
  <si>
    <t>3229033969</t>
  </si>
  <si>
    <t>JUAN SEBASTIAN</t>
  </si>
  <si>
    <t>CORTES CRUZ</t>
  </si>
  <si>
    <t>KATHERINE CORTES ROJAS</t>
  </si>
  <si>
    <t>katherine_cortes@cun.edu.co</t>
  </si>
  <si>
    <t>katherinnecortes587@gmail.com</t>
  </si>
  <si>
    <t>3502888617</t>
  </si>
  <si>
    <t>KATHERINE</t>
  </si>
  <si>
    <t>CORTES ROJAS</t>
  </si>
  <si>
    <t>LUIS DANIEL MAFLA ROSERO</t>
  </si>
  <si>
    <t>luis_mafla@cun.edu.co</t>
  </si>
  <si>
    <t>danielitomaflarosero@gmail.com</t>
  </si>
  <si>
    <t>3125429791</t>
  </si>
  <si>
    <t>LUIS DANIEL</t>
  </si>
  <si>
    <t>MAFLA ROSERO</t>
  </si>
  <si>
    <t>GIBRAN FERNEY BARAJAS CABALLERO</t>
  </si>
  <si>
    <t>gibran_barajas@cun.edu.co</t>
  </si>
  <si>
    <t>gibranbarajas@hotmail.com</t>
  </si>
  <si>
    <t>3133018384</t>
  </si>
  <si>
    <t>GIBRAN FERNEY</t>
  </si>
  <si>
    <t>BARAJAS CABALLERO</t>
  </si>
  <si>
    <t>53116524</t>
  </si>
  <si>
    <t>FRANCISNEY PAEZ ALVAREZ</t>
  </si>
  <si>
    <t>DOC ASOC/N/V/MT/CIENCIAS BASI</t>
  </si>
  <si>
    <t>francisney_paez@cun.edu.co</t>
  </si>
  <si>
    <t>francisneypaezalvarez@gmail.com</t>
  </si>
  <si>
    <t>3216484392</t>
  </si>
  <si>
    <t>FRANCISNEY</t>
  </si>
  <si>
    <t>PAEZ ALVAREZ</t>
  </si>
  <si>
    <t>CAMILA ANDREA GUALDRIA SANDOVAL</t>
  </si>
  <si>
    <t>camila_gualdria@cun.edu.co</t>
  </si>
  <si>
    <t>camilagualdria@gmail.com</t>
  </si>
  <si>
    <t>3212748681</t>
  </si>
  <si>
    <t>CAMILA ANDREA</t>
  </si>
  <si>
    <t>GUALDRIA SANDOVAL</t>
  </si>
  <si>
    <t>1075245428</t>
  </si>
  <si>
    <t>ARLEDY YURANY AROCA ESCOBAR</t>
  </si>
  <si>
    <t>arledy_aroca@cun.edu.co</t>
  </si>
  <si>
    <t>arledy.aroca@gmail.com</t>
  </si>
  <si>
    <t>3142878407</t>
  </si>
  <si>
    <t>ARLEDY YURANY</t>
  </si>
  <si>
    <t>AROCA ESCOBAR</t>
  </si>
  <si>
    <t>10772231</t>
  </si>
  <si>
    <t>EULALIO AGUILAR PADILLA</t>
  </si>
  <si>
    <t>Eulalio_Aguilar@cun.edu.co</t>
  </si>
  <si>
    <t>eulalioaguilar@gmail.com</t>
  </si>
  <si>
    <t>3114365278</t>
  </si>
  <si>
    <t>EULALIO</t>
  </si>
  <si>
    <t>AGUILAR PADILLA</t>
  </si>
  <si>
    <t>CESAR ANDRES OROZCO AMAYA</t>
  </si>
  <si>
    <t>cesar_orozcoa@cun.edu.co</t>
  </si>
  <si>
    <t>caoa940702@gmail.com</t>
  </si>
  <si>
    <t>3212317156</t>
  </si>
  <si>
    <t>CESAR ANDRES</t>
  </si>
  <si>
    <t>OROZCO AMAYA</t>
  </si>
  <si>
    <t>BTA SEDE J</t>
  </si>
  <si>
    <t>LENNIS MARIANA VILLARRAGA CAÑON</t>
  </si>
  <si>
    <t>lennis_villarraga@cun.edu.co</t>
  </si>
  <si>
    <t>LVILLARRAGAC@UNAL.EDU.CO</t>
  </si>
  <si>
    <t>3138969534</t>
  </si>
  <si>
    <t>LENNIS MARIANA</t>
  </si>
  <si>
    <t>VILLARRAGA CAÑON</t>
  </si>
  <si>
    <t>JOSE SANTIAGO TORRES VELASQUEZ</t>
  </si>
  <si>
    <t>jose_torresve@cun.edu.co</t>
  </si>
  <si>
    <t>serrotcr7@gmail.com</t>
  </si>
  <si>
    <t>3106737397</t>
  </si>
  <si>
    <t>JOSE SANTIAGO</t>
  </si>
  <si>
    <t>TORRES VELASQUEZ</t>
  </si>
  <si>
    <t>JULIAN ANDRES NUÑEZ SANABRIA</t>
  </si>
  <si>
    <t>julian_nunezsa@cun.edu.co</t>
  </si>
  <si>
    <t>julian2305nunez@gmail.com</t>
  </si>
  <si>
    <t>3204593468</t>
  </si>
  <si>
    <t>JULIAN ANDRES</t>
  </si>
  <si>
    <t>NUÑEZ SANABRIA</t>
  </si>
  <si>
    <t>1010234845</t>
  </si>
  <si>
    <t>DAV ALESSIA NUÑEZ OSORIO</t>
  </si>
  <si>
    <t>dav_nunez@cun.edu.co</t>
  </si>
  <si>
    <t>davalessianunezosorio@gmail.com</t>
  </si>
  <si>
    <t>3232374504</t>
  </si>
  <si>
    <t>DAV ALESSIA</t>
  </si>
  <si>
    <t>NUÑEZ OSORIO</t>
  </si>
  <si>
    <t>1110588606</t>
  </si>
  <si>
    <t>SEBASTIAN BOCANEGRA MEDINA</t>
  </si>
  <si>
    <t>DOC AUX/N/V/MT/CIENCIAS BASI</t>
  </si>
  <si>
    <t>sebastian_bocanegra@cun.edu.co</t>
  </si>
  <si>
    <t>sbocanegram@ut.edu.co</t>
  </si>
  <si>
    <t>3146185920</t>
  </si>
  <si>
    <t>SEBASTIAN</t>
  </si>
  <si>
    <t>BOCANEGRA MEDINA</t>
  </si>
  <si>
    <t>LINA FERNANDA PRIETO RIVERA</t>
  </si>
  <si>
    <t>lina_prietor@cun.edu.co</t>
  </si>
  <si>
    <t>LINA_F_E@HOTMAIL.COM</t>
  </si>
  <si>
    <t>3124751128</t>
  </si>
  <si>
    <t>LINA FERNANDA</t>
  </si>
  <si>
    <t>PRIETO RIVERA</t>
  </si>
  <si>
    <t>IVAN FELIPE CASTRO PINZON</t>
  </si>
  <si>
    <t>ivan_castrop@cun.edu.co</t>
  </si>
  <si>
    <t>FELIPECASTRO933@GMAIL.COM</t>
  </si>
  <si>
    <t>3123120028</t>
  </si>
  <si>
    <t>IVAN FELIPE</t>
  </si>
  <si>
    <t>CASTRO PINZON</t>
  </si>
  <si>
    <t>SANTIAGO ALEJANDRO ZUÑIGA MELO</t>
  </si>
  <si>
    <t>santiago_zuniga@cun.edu.co</t>
  </si>
  <si>
    <t>SAZUM99@GMAIL.COM</t>
  </si>
  <si>
    <t>3008068246</t>
  </si>
  <si>
    <t>SANTIAGO ALEJANDRO</t>
  </si>
  <si>
    <t>ZUÑIGA MELO</t>
  </si>
  <si>
    <t>DANIEL MATEO MOSQUERA LAGUNA</t>
  </si>
  <si>
    <t>daniel_mosqueral@cun.edu.co</t>
  </si>
  <si>
    <t>MATEO.254@GMAIL.COM</t>
  </si>
  <si>
    <t>3102303667</t>
  </si>
  <si>
    <t>DANIEL MATEO</t>
  </si>
  <si>
    <t>MOSQUERA LAGUNA</t>
  </si>
  <si>
    <t>ERICK CAMILO TORRES RODRIGUEZ</t>
  </si>
  <si>
    <t>erick_torresr@cun.edu.co</t>
  </si>
  <si>
    <t>CAMILOTORR1@GMAIL.COM</t>
  </si>
  <si>
    <t>3223671342</t>
  </si>
  <si>
    <t>ERICK CAMILO</t>
  </si>
  <si>
    <t>TORRES RODRIGUEZ</t>
  </si>
  <si>
    <t>JHOAN MATEO MORENO PARRA</t>
  </si>
  <si>
    <t>jhoan_moreno@cun.edu.co</t>
  </si>
  <si>
    <t>JOHAN.MORENO.PARRA@GMAIL.COM</t>
  </si>
  <si>
    <t>3134315369</t>
  </si>
  <si>
    <t>JHOAN MATEO</t>
  </si>
  <si>
    <t>MORENO PARRA</t>
  </si>
  <si>
    <t>liz_suarez@cun.edu.co</t>
  </si>
  <si>
    <t>lizsuarez9808.ls@gmail.com</t>
  </si>
  <si>
    <t>3204783632</t>
  </si>
  <si>
    <t>LIZ ALEXANDRA</t>
  </si>
  <si>
    <t>SUAREZ LEIVA</t>
  </si>
  <si>
    <t>1026586429</t>
  </si>
  <si>
    <t>NICOLAS GERARDO GAMBOA MALAMBO</t>
  </si>
  <si>
    <t>nicolas_gamboama@cun.edu.co</t>
  </si>
  <si>
    <t>LICENCIADO.NICOLASGAMBOA@GMAIL.COM</t>
  </si>
  <si>
    <t>3138501866</t>
  </si>
  <si>
    <t>NICOLAS GERARDO</t>
  </si>
  <si>
    <t>GAMBOA MALAMBO</t>
  </si>
  <si>
    <t>LIS ALEJANDRA AVILA SOTO</t>
  </si>
  <si>
    <t>REGIONAL BOYACA</t>
  </si>
  <si>
    <t>TUNJA</t>
  </si>
  <si>
    <t>lis_avilaso@cun.edu.co</t>
  </si>
  <si>
    <t>LAAS2004LA@GMAIL.COM</t>
  </si>
  <si>
    <t>3102099978</t>
  </si>
  <si>
    <t>LIS ALEJANDRA</t>
  </si>
  <si>
    <t>AVILA SOTO</t>
  </si>
  <si>
    <t>TUNJA SEDE</t>
  </si>
  <si>
    <t>DIEGO FERNANDO SALAMANCA RAMIREZ</t>
  </si>
  <si>
    <t>diego_salamanca@cun.edu.co</t>
  </si>
  <si>
    <t>DIEGOFERNANDO789@GMAIL.COM</t>
  </si>
  <si>
    <t>3046538866</t>
  </si>
  <si>
    <t>DIEGO FERNANDO</t>
  </si>
  <si>
    <t>SALAMANCA RAMIREZ</t>
  </si>
  <si>
    <t>1143150684</t>
  </si>
  <si>
    <t>JULIETH PAHOLA VERGARA LIBERNAL</t>
  </si>
  <si>
    <t>julieth_vergara@cun.edu.co</t>
  </si>
  <si>
    <t>juliethvergara18@gmail.com</t>
  </si>
  <si>
    <t>3177129270</t>
  </si>
  <si>
    <t>JULIETH PAHOLA</t>
  </si>
  <si>
    <t>VERGARA LIBERNAL</t>
  </si>
  <si>
    <t>CRISTIAN ALFONSO PACHECO PACHECO</t>
  </si>
  <si>
    <t>cristian_pachecop@cun.edu.co</t>
  </si>
  <si>
    <t>CRISSPACHECO.MATEMATICO@GMAIL.COM</t>
  </si>
  <si>
    <t>3058652076</t>
  </si>
  <si>
    <t>CRISTIAN ALFONSO</t>
  </si>
  <si>
    <t>PACHECO PACHECO</t>
  </si>
  <si>
    <t>JIMMY FERNANDO ARIAS FRANCO</t>
  </si>
  <si>
    <t>jimmy_ariasf@cun.edu.co</t>
  </si>
  <si>
    <t>JIMMYARIASFRANCO@GMAIL.COM</t>
  </si>
  <si>
    <t>3227023982</t>
  </si>
  <si>
    <t>JIMMY FERNANDO</t>
  </si>
  <si>
    <t>ARIAS FRANCO</t>
  </si>
  <si>
    <t>ANDRES FELIPE CARO TEJERA</t>
  </si>
  <si>
    <t>andres_carot@cun.edu.co</t>
  </si>
  <si>
    <t>ANDRESCAROTEJ@GMAIL.COM</t>
  </si>
  <si>
    <t>3014405302</t>
  </si>
  <si>
    <t>CARO TEJERA</t>
  </si>
  <si>
    <t>79892939</t>
  </si>
  <si>
    <t>PEDRO JOSE BERNAL ZAMBRANO</t>
  </si>
  <si>
    <t>pedro_bernal@cun.edu.co</t>
  </si>
  <si>
    <t>berzam@hotmail.com</t>
  </si>
  <si>
    <t>3114417528</t>
  </si>
  <si>
    <t>PEDRO JOSE</t>
  </si>
  <si>
    <t>BERNAL ZAMBRANO</t>
  </si>
  <si>
    <t>DANIEL SANTIAGO PAEZ BERNAL</t>
  </si>
  <si>
    <t>daniel_paezbe@cun.edu.co</t>
  </si>
  <si>
    <t>DANIELPAEZB23@GMAIL.COM</t>
  </si>
  <si>
    <t>3123429058</t>
  </si>
  <si>
    <t>DANIEL SANTIAGO</t>
  </si>
  <si>
    <t>PAEZ BERNAL</t>
  </si>
  <si>
    <t>38230455</t>
  </si>
  <si>
    <t>NELSY AMPARO CIFUENTES VARON</t>
  </si>
  <si>
    <t>DOCENTE AUX/N/TC/COM SOC Y PER/PERMANENC</t>
  </si>
  <si>
    <t>nelsy_cifuentes@cun.edu.co</t>
  </si>
  <si>
    <t>neamci@hotmail.com</t>
  </si>
  <si>
    <t>3157799037</t>
  </si>
  <si>
    <t>NELSY AMPARO</t>
  </si>
  <si>
    <t>CIFUENTES VARON</t>
  </si>
  <si>
    <t>MELISA PEREZ SOSA</t>
  </si>
  <si>
    <t>DOC ASIS/N/V/TC/COMU SOC Y PERI/FUN.ACADE-ADMIN</t>
  </si>
  <si>
    <t>melisa_perezs@cun.edu.co</t>
  </si>
  <si>
    <t>meliiperez047@hotmail.com</t>
  </si>
  <si>
    <t>3113301962</t>
  </si>
  <si>
    <t>MELISA</t>
  </si>
  <si>
    <t>PEREZ SOSA</t>
  </si>
  <si>
    <t>EDWIN ALEJANDRO GARCIA RIVERA</t>
  </si>
  <si>
    <t>edwin_garciar@cun.edu.co</t>
  </si>
  <si>
    <t>edwingarciar@gmail.com</t>
  </si>
  <si>
    <t>3007770582</t>
  </si>
  <si>
    <t>EDWIN ALEJANDRO</t>
  </si>
  <si>
    <t>GARCIA RIVERA</t>
  </si>
  <si>
    <t>1033692067</t>
  </si>
  <si>
    <t>JESUS ANDRES SARMIENTO RIVERA</t>
  </si>
  <si>
    <t>DOCENTE ASIS/N/TC/COM SOC Y PER/FUNC ADJET</t>
  </si>
  <si>
    <t>jesus_sarmiento@cun.edu.co</t>
  </si>
  <si>
    <t>andres0one@hotmail.com</t>
  </si>
  <si>
    <t>3202882707</t>
  </si>
  <si>
    <t>SARMIENTO RIVERA</t>
  </si>
  <si>
    <t>1110518563</t>
  </si>
  <si>
    <t>JUAN PABLO BUSTAMANTE ARISTIZABAL</t>
  </si>
  <si>
    <t>DOCENTE ASIS/N/TC/COM SOC Y PER/AUTOEVAL</t>
  </si>
  <si>
    <t>juan_bustamante@cun.edu.co</t>
  </si>
  <si>
    <t>jpbustamantea@gmail.com</t>
  </si>
  <si>
    <t>3185697663</t>
  </si>
  <si>
    <t>JUAN PABLO</t>
  </si>
  <si>
    <t>BUSTAMANTE ARISTIZABAL</t>
  </si>
  <si>
    <t>93398536</t>
  </si>
  <si>
    <t>JORGE ALBERTO MENDOZA PORTILLO</t>
  </si>
  <si>
    <t>DOC AUX T&amp;T/N/TC/COM SOC Y PER/FUN.ACADE-ADMIN</t>
  </si>
  <si>
    <t>jorge_mendozapo@cun.edu.co</t>
  </si>
  <si>
    <t>jorgealbertomendoza@gmail.com</t>
  </si>
  <si>
    <t>3004410646</t>
  </si>
  <si>
    <t>JORGE ALBERTO</t>
  </si>
  <si>
    <t>MENDOZA PORTILLO</t>
  </si>
  <si>
    <t>RITA MILENA BERMUDEZ GAMARRA</t>
  </si>
  <si>
    <t>rita_bermudez@cun.edu.co</t>
  </si>
  <si>
    <t>rmile13@gmail.com</t>
  </si>
  <si>
    <t>3008060118</t>
  </si>
  <si>
    <t>RITA MILENA</t>
  </si>
  <si>
    <t>BERMUDEZ GAMARRA</t>
  </si>
  <si>
    <t>holman_romero@cun.edu.co</t>
  </si>
  <si>
    <t>HOLMANROMEROCHAPARRO@GMAIL.COM</t>
  </si>
  <si>
    <t>3124772190</t>
  </si>
  <si>
    <t>HOLMAN</t>
  </si>
  <si>
    <t>ROMERO CHAPARRO</t>
  </si>
  <si>
    <t>yury_marbello@cun.edu.co</t>
  </si>
  <si>
    <t>yury.marbello@gmail.com</t>
  </si>
  <si>
    <t>3024667157</t>
  </si>
  <si>
    <t>YURY ALEXANDER</t>
  </si>
  <si>
    <t>MARBELLO HENAO</t>
  </si>
  <si>
    <t>JUAN ESCALLON DE LA TORRE</t>
  </si>
  <si>
    <t>DOCENTE ASOC/N/TC/COM SOC Y PER/FUN.ACADE-ADMIN</t>
  </si>
  <si>
    <t>juan_escallon@cun.edu.co</t>
  </si>
  <si>
    <t>juan.escallon@hotmail.com</t>
  </si>
  <si>
    <t>3124799498</t>
  </si>
  <si>
    <t>JUAN</t>
  </si>
  <si>
    <t>ESCALLON DE LA TORRE</t>
  </si>
  <si>
    <t>NATALY SANCHEZ GUAL</t>
  </si>
  <si>
    <t>REGIONAL CESAR</t>
  </si>
  <si>
    <t>VALLEDUPAR</t>
  </si>
  <si>
    <t>DOC AUX T&amp;T/N/V/TC/COMU SOC Y PERI/FUN.ACADE-ADMIN</t>
  </si>
  <si>
    <t>nataly_gualg@cun.edu.co</t>
  </si>
  <si>
    <t>nathgual1502@gmail.com</t>
  </si>
  <si>
    <t>3024876242</t>
  </si>
  <si>
    <t>NATALY SANCHEZ</t>
  </si>
  <si>
    <t>GUAL</t>
  </si>
  <si>
    <t>VALLEDUPAR SEDE</t>
  </si>
  <si>
    <t>JESUS ALBERTO TRIANA DIAZ</t>
  </si>
  <si>
    <t>jesus_triana@cun.edu.co</t>
  </si>
  <si>
    <t>jesustriana2023@gmail.com</t>
  </si>
  <si>
    <t>3147360524</t>
  </si>
  <si>
    <t>JESUS ALBERTO</t>
  </si>
  <si>
    <t>TRIANA DIAZ</t>
  </si>
  <si>
    <t>1192775764</t>
  </si>
  <si>
    <t>ANGELA YUREINY ARIAS CAMPOS</t>
  </si>
  <si>
    <t>angela_arias@cun.edu.co</t>
  </si>
  <si>
    <t>angela.yac16@gmail.com</t>
  </si>
  <si>
    <t>3222444377</t>
  </si>
  <si>
    <t>ANGELA YUREINY</t>
  </si>
  <si>
    <t>ARIAS CAMPOS</t>
  </si>
  <si>
    <t>1075307060</t>
  </si>
  <si>
    <t>DANIEL FELIPE MEDINA OSSA</t>
  </si>
  <si>
    <t>daniel_medina@cun.edu.co</t>
  </si>
  <si>
    <t>danielossa97@gmail.com</t>
  </si>
  <si>
    <t>3144553187</t>
  </si>
  <si>
    <t>DANIEL FELIPE</t>
  </si>
  <si>
    <t>MEDINA OSSA</t>
  </si>
  <si>
    <t>ABNER SANCHEZ YNOJOSA</t>
  </si>
  <si>
    <t>abner_sanchez@cun.edu.co</t>
  </si>
  <si>
    <t>ABNERSANCHEZ1996@GMAIL.COM</t>
  </si>
  <si>
    <t>314484322</t>
  </si>
  <si>
    <t>ABNER</t>
  </si>
  <si>
    <t>SANCHEZ YNOJOSA</t>
  </si>
  <si>
    <t>EDUARDO ENRIQUE VILLAMIZAR AGUIRRE</t>
  </si>
  <si>
    <t>eduardo_villamizara@cun.edu.co</t>
  </si>
  <si>
    <t>eduardoevillamizar@gmail.com</t>
  </si>
  <si>
    <t>3236960527</t>
  </si>
  <si>
    <t>EDUARDO ENRIQUE</t>
  </si>
  <si>
    <t>VILLAMIZAR AGUIRRE</t>
  </si>
  <si>
    <t>1075232168</t>
  </si>
  <si>
    <t>FRANCISCO JAVIER OCHOA ROA</t>
  </si>
  <si>
    <t>francisco_ochoa@cun.edu.co</t>
  </si>
  <si>
    <t>javierochoa.roa@gmail.com</t>
  </si>
  <si>
    <t>3204244350</t>
  </si>
  <si>
    <t>FRANCISCO JAVIER</t>
  </si>
  <si>
    <t>OCHOA ROA</t>
  </si>
  <si>
    <t>1004308190</t>
  </si>
  <si>
    <t>LIA DEL CARMEN ANAYA PACHECO</t>
  </si>
  <si>
    <t>liadelcarmen_anaya@cun.edu.co</t>
  </si>
  <si>
    <t>LIAANPA@GMAIL.COM</t>
  </si>
  <si>
    <t>3028356536</t>
  </si>
  <si>
    <t>LIA DEL CARMEN</t>
  </si>
  <si>
    <t>ANAYA PACHECO</t>
  </si>
  <si>
    <t>1110583837</t>
  </si>
  <si>
    <t>DANNA VALENTINA PEREZ JARAMILLO</t>
  </si>
  <si>
    <t>danna_perez@cun.edu.co</t>
  </si>
  <si>
    <t>DVALEN.JARAMILLO@GMAIL.COM</t>
  </si>
  <si>
    <t>3175588265</t>
  </si>
  <si>
    <t>DANNA VALENTINA</t>
  </si>
  <si>
    <t>PEREZ JARAMILLO</t>
  </si>
  <si>
    <t>JUAN LUIS CAMARGO GRANADOS</t>
  </si>
  <si>
    <t>juan_camargog@cun.edu.co</t>
  </si>
  <si>
    <t>JUANLUISCAMARGO36@GMAIL.COM</t>
  </si>
  <si>
    <t>3104545464</t>
  </si>
  <si>
    <t>JUAN LUIS</t>
  </si>
  <si>
    <t>CAMARGO GRANADOS</t>
  </si>
  <si>
    <t>JUAN DAVID CASTELLANOS BECERRA</t>
  </si>
  <si>
    <t>juan_castellanosb@cun.edu.co</t>
  </si>
  <si>
    <t>JUANCB476@GMAIL.COM</t>
  </si>
  <si>
    <t>3041016260</t>
  </si>
  <si>
    <t>JUAN DAVID</t>
  </si>
  <si>
    <t>CASTELLANOS BECERRA</t>
  </si>
  <si>
    <t>DANIELA ISABEL TRAVECEDO OROZCO</t>
  </si>
  <si>
    <t>daniela_travecedo@cun.edu.co</t>
  </si>
  <si>
    <t>danielatravecedoorozco@gmail.com</t>
  </si>
  <si>
    <t>3024364005</t>
  </si>
  <si>
    <t>DANIELA ISABEL</t>
  </si>
  <si>
    <t>TRAVECEDO OROZCO</t>
  </si>
  <si>
    <t>1110562967</t>
  </si>
  <si>
    <t>SERGIO ANDRES FORERO MACHADO</t>
  </si>
  <si>
    <t>sergio_forero@cun.edu.co</t>
  </si>
  <si>
    <t>MAHECHAMIYER90@GMAIL.COM</t>
  </si>
  <si>
    <t>3123402315</t>
  </si>
  <si>
    <t>SERGIO ANDRES</t>
  </si>
  <si>
    <t>FORERO MACHADO</t>
  </si>
  <si>
    <t>LENARD ANDRES CASTELLON RAMIREZ</t>
  </si>
  <si>
    <t>lenard_castellonr@cun.edu.co</t>
  </si>
  <si>
    <t>LENARDDRAGON@GMAIL.COM</t>
  </si>
  <si>
    <t>3172132300</t>
  </si>
  <si>
    <t>LENARD ANDRES</t>
  </si>
  <si>
    <t>CASTELLON RAMIREZ</t>
  </si>
  <si>
    <t>VIVIANA ALEJANDRA BORJA MANCIPE</t>
  </si>
  <si>
    <t>viviana_borja@cun.edu.co</t>
  </si>
  <si>
    <t>VBORJAMAN@GMAIL.COM</t>
  </si>
  <si>
    <t>3208764231</t>
  </si>
  <si>
    <t>VIVIANA ALEJANDRA</t>
  </si>
  <si>
    <t>BORJA MANCIPE</t>
  </si>
  <si>
    <t>HENRY ALEJANDRO PAEZ BALAGUERA</t>
  </si>
  <si>
    <t>henry_paezba@cun.edu.co</t>
  </si>
  <si>
    <t>ALEJOPAEZ96@GMAIL.COM</t>
  </si>
  <si>
    <t>3144033725</t>
  </si>
  <si>
    <t>HENRY ALEJANDRO</t>
  </si>
  <si>
    <t>PAEZ BALAGUERA</t>
  </si>
  <si>
    <t>DANIELA MARGARITA PIRELA WISMAN</t>
  </si>
  <si>
    <t>daniela_pirelawi@cun.edu.co</t>
  </si>
  <si>
    <t>DANIELAPIRELAW@GMAIL.COM</t>
  </si>
  <si>
    <t>3176814530</t>
  </si>
  <si>
    <t>DANIELA MARGARITA</t>
  </si>
  <si>
    <t>PIRELA WISMAN</t>
  </si>
  <si>
    <t>MIGUEL ANGEL BARBOSA VARGAS</t>
  </si>
  <si>
    <t>miguel_barbosa@cun.edu.co</t>
  </si>
  <si>
    <t>miguelito2011.com@gmail.com</t>
  </si>
  <si>
    <t>3106735442</t>
  </si>
  <si>
    <t>MIGUEL ANGEL</t>
  </si>
  <si>
    <t>BARBOSA VARGAS</t>
  </si>
  <si>
    <t>MARIA EUGENIA DIAZ BONILLA</t>
  </si>
  <si>
    <t>DOC AUX T&amp;T/N/TC/COMU SOC Y PERI/FUN.ACA</t>
  </si>
  <si>
    <t>maria_diazb@cun.edu.co</t>
  </si>
  <si>
    <t>marudiaz19@gmail.com</t>
  </si>
  <si>
    <t>3118371019</t>
  </si>
  <si>
    <t>MARIA EUGENIA</t>
  </si>
  <si>
    <t>DIAZ BONILLA</t>
  </si>
  <si>
    <t>CATHERIN FLOREZ FUENTES</t>
  </si>
  <si>
    <t>catherin_florezfu@cun.edu.co</t>
  </si>
  <si>
    <t>catherinflorez@gmail.com</t>
  </si>
  <si>
    <t>3213671054</t>
  </si>
  <si>
    <t>CATHERIN</t>
  </si>
  <si>
    <t>FLOREZ FUENTES</t>
  </si>
  <si>
    <t>53016136</t>
  </si>
  <si>
    <t>JULIETH FERNANDA CONTRERAS GARCIA</t>
  </si>
  <si>
    <t>julieth_contrerasga@cun.edu.co</t>
  </si>
  <si>
    <t>lo.del.trabajo@gmail.com</t>
  </si>
  <si>
    <t>3192512149</t>
  </si>
  <si>
    <t>JULIETH FERNANDA</t>
  </si>
  <si>
    <t>CONTRERAS GARCIA</t>
  </si>
  <si>
    <t>1080185846</t>
  </si>
  <si>
    <t>GIORDANO PEÑA PALOMINO</t>
  </si>
  <si>
    <t>DOC AUX/N/V/TC/COMU SOC Y PERI/FUN.ACADE-ADMIN</t>
  </si>
  <si>
    <t>giordano_pena@cun.edu.co</t>
  </si>
  <si>
    <t>GIORDANOPEA@GMAIL.COM</t>
  </si>
  <si>
    <t>3004332987</t>
  </si>
  <si>
    <t>GIORDANO</t>
  </si>
  <si>
    <t>PEÑA PALOMINO</t>
  </si>
  <si>
    <t>DIEGO FERNANDO PEÑA GARNICA</t>
  </si>
  <si>
    <t>DOC ASOC/N/V/TC/COMU SOC Y PERI/FUN.ACADE-ADMIN</t>
  </si>
  <si>
    <t>diego_penaga@cun.edu.co</t>
  </si>
  <si>
    <t>DIEGO.P.PRENSA@GMAIL.COM</t>
  </si>
  <si>
    <t>3167409408</t>
  </si>
  <si>
    <t>PEÑA GARNICA</t>
  </si>
  <si>
    <t>1010229459</t>
  </si>
  <si>
    <t>JUAN CAMILO BOHORQUEZ VIVAS</t>
  </si>
  <si>
    <t>juan_bohorquez@cun.edu.co</t>
  </si>
  <si>
    <t>96camilob@gmail.com</t>
  </si>
  <si>
    <t>3152191230</t>
  </si>
  <si>
    <t>BOHORQUEZ VIVAS</t>
  </si>
  <si>
    <t>RUTH MILENA AGUAS ACOSTA</t>
  </si>
  <si>
    <t>ruth_aguasac@cun.edu.co</t>
  </si>
  <si>
    <t>RUTH77MILENA@GMAIL.COM</t>
  </si>
  <si>
    <t>3023788406</t>
  </si>
  <si>
    <t>RUTH MILENA</t>
  </si>
  <si>
    <t>AGUAS ACOSTA</t>
  </si>
  <si>
    <t>heidy_arzuza@cun.edu.co</t>
  </si>
  <si>
    <t>sofiaarzuzamora@gmail.com</t>
  </si>
  <si>
    <t>3006033747</t>
  </si>
  <si>
    <t>HEIDY SOFIA</t>
  </si>
  <si>
    <t>ARZUZA MORA</t>
  </si>
  <si>
    <t>DYLAN ESCOBAR RUIZ</t>
  </si>
  <si>
    <t>dylan_escobar@cun.edu.co</t>
  </si>
  <si>
    <t>DYLANRUIZ428@GMAIL.COM</t>
  </si>
  <si>
    <t>316 4794757</t>
  </si>
  <si>
    <t>DYLAN</t>
  </si>
  <si>
    <t>ESCOBAR RUIZ</t>
  </si>
  <si>
    <t>1036626269</t>
  </si>
  <si>
    <t>SEBASTIAN VALENCIA ALVAREZ</t>
  </si>
  <si>
    <t>sebastian_valenciaa@cun.edu.co</t>
  </si>
  <si>
    <t>sebastianvalencia89@gmail.com</t>
  </si>
  <si>
    <t>3002975896</t>
  </si>
  <si>
    <t>VALENCIA ALVAREZ</t>
  </si>
  <si>
    <t>ALEJANDRO ACOSTA CIFUENTES</t>
  </si>
  <si>
    <t>alejandro_acostac@cun.edu.co</t>
  </si>
  <si>
    <t>alejandrocomunicador@yahoo.com</t>
  </si>
  <si>
    <t>3188832167</t>
  </si>
  <si>
    <t>ALEJANDRO</t>
  </si>
  <si>
    <t>ACOSTA CIFUENTES</t>
  </si>
  <si>
    <t>CAROLINA CONTRERAS FIERRO</t>
  </si>
  <si>
    <t>carolina_contreras@cun.edu.co</t>
  </si>
  <si>
    <t>FIERROCONTRERAS7@GMAIL.COM</t>
  </si>
  <si>
    <t>3108330276</t>
  </si>
  <si>
    <t>CONTRERAS FIERRO</t>
  </si>
  <si>
    <t>ANA MARIA MENA LOBO</t>
  </si>
  <si>
    <t>ana_mena@cun.edu.co</t>
  </si>
  <si>
    <t>MARIAMENALOBO@GMAIL.COM</t>
  </si>
  <si>
    <t>3103128685</t>
  </si>
  <si>
    <t>ANA MARIA</t>
  </si>
  <si>
    <t>MENA LOBO</t>
  </si>
  <si>
    <t>ANDRES JULIAN CASTAÑEDA RINCON</t>
  </si>
  <si>
    <t>julian_castaneda@cun.edu.co</t>
  </si>
  <si>
    <t>juliancastanedar13@gmail.com</t>
  </si>
  <si>
    <t>3238024545</t>
  </si>
  <si>
    <t>ANDRES JULIAN</t>
  </si>
  <si>
    <t>CASTAÑEDA RINCON</t>
  </si>
  <si>
    <t>1110456593</t>
  </si>
  <si>
    <t>PAOLA CAROLINA REYES GONZALEZ</t>
  </si>
  <si>
    <t>paola_reyes@cun.edu.co</t>
  </si>
  <si>
    <t>pao.carrey@outlook.com</t>
  </si>
  <si>
    <t>3193207505</t>
  </si>
  <si>
    <t>PAOLA CAROLINA</t>
  </si>
  <si>
    <t>REYES GONZALEZ</t>
  </si>
  <si>
    <t>NATHALIA ANDREA MARTINEZ IJAJI</t>
  </si>
  <si>
    <t>nathalia_martinezi@cun.edu.co</t>
  </si>
  <si>
    <t>NATHALIA18.MI@GMAIL.COM</t>
  </si>
  <si>
    <t>3005505057</t>
  </si>
  <si>
    <t>NATHALIA ANDREA</t>
  </si>
  <si>
    <t>MARTINEZ IJAJI</t>
  </si>
  <si>
    <t>JYNA PAOLA HOYOS HERNANDEZ</t>
  </si>
  <si>
    <t>jyna_hoyosh@cun.edu.co</t>
  </si>
  <si>
    <t>HOYOSJINA92@GMAIL.COM</t>
  </si>
  <si>
    <t>3208236273</t>
  </si>
  <si>
    <t>JYNA PAOLA</t>
  </si>
  <si>
    <t>HOYOS HERNANDEZ</t>
  </si>
  <si>
    <t>NELSON SAMUEL GALVIS TORRES</t>
  </si>
  <si>
    <t>nelson_galvist@cun.edu.co</t>
  </si>
  <si>
    <t>NELSONSAMUELGALVIS@GMAIL.COM</t>
  </si>
  <si>
    <t>3173791675</t>
  </si>
  <si>
    <t>NELSON SAMUEL</t>
  </si>
  <si>
    <t>GALVIS TORRES</t>
  </si>
  <si>
    <t>1057592728</t>
  </si>
  <si>
    <t>LINA MARIA MOSQUERA MUÑOZ</t>
  </si>
  <si>
    <t>DOCENTE AUX/N/MT/COM SOC Y PER</t>
  </si>
  <si>
    <t>lina_mosquera@cun.edu.co</t>
  </si>
  <si>
    <t>CSLINAMOSQUERA@GMAIL.COM</t>
  </si>
  <si>
    <t>3165767455</t>
  </si>
  <si>
    <t>LINA MARIA</t>
  </si>
  <si>
    <t>MOSQUERA MUÑOZ</t>
  </si>
  <si>
    <t>EDWARD LEONARDO QUINTERO AMAYA</t>
  </si>
  <si>
    <t>edward_quinteroa@cun.edu.co</t>
  </si>
  <si>
    <t>leoquintamaya@gmail.com</t>
  </si>
  <si>
    <t>3208522598</t>
  </si>
  <si>
    <t>EDWARD LEONARDO</t>
  </si>
  <si>
    <t>QUINTERO AMAYA</t>
  </si>
  <si>
    <t>1075227142</t>
  </si>
  <si>
    <t>ANDRES FELIPE ARIAS IBAÑEZ</t>
  </si>
  <si>
    <t>andres_ariasi@cun.edu.co</t>
  </si>
  <si>
    <t>andrarib02@gmail.com</t>
  </si>
  <si>
    <t>3225133913</t>
  </si>
  <si>
    <t>ARIAS IBAÑEZ</t>
  </si>
  <si>
    <t>1110544721</t>
  </si>
  <si>
    <t>LAURA NATHALIA PADILLA NOVOA</t>
  </si>
  <si>
    <t>laura_padilla@cun.edu.co</t>
  </si>
  <si>
    <t>NATHALIAPADILLANOVOA@GMAIL.COM</t>
  </si>
  <si>
    <t>3008405669</t>
  </si>
  <si>
    <t>LAURA NATHALIA</t>
  </si>
  <si>
    <t>PADILLA NOVOA</t>
  </si>
  <si>
    <t>JULIAN MATEO RODRIGUEZ SIERRA</t>
  </si>
  <si>
    <t>julian_rodriguezs@cun.edu.co</t>
  </si>
  <si>
    <t>JULIMATEO@GMAIL.COM</t>
  </si>
  <si>
    <t>3507895820</t>
  </si>
  <si>
    <t>JULIAN MATEO</t>
  </si>
  <si>
    <t>RODRIGUEZ SIERRA</t>
  </si>
  <si>
    <t>MARCO FELIPE CALDERON GONZALEZ</t>
  </si>
  <si>
    <t>marco_calderon@cun.edu.co</t>
  </si>
  <si>
    <t>MARCOFELIPEC01@GMAIL.COM</t>
  </si>
  <si>
    <t>314 799 4858</t>
  </si>
  <si>
    <t>MARCO FELIPE</t>
  </si>
  <si>
    <t>CALDERON GONZALEZ</t>
  </si>
  <si>
    <t>1110563462</t>
  </si>
  <si>
    <t>IVAN DARIO GAMEZ CASTAÑO</t>
  </si>
  <si>
    <t>ivan_gamezca@cun.edu.co</t>
  </si>
  <si>
    <t>IVANDGAMEZ@GMAIL.COM</t>
  </si>
  <si>
    <t>3166229066</t>
  </si>
  <si>
    <t>IVAN DARIO</t>
  </si>
  <si>
    <t>GAMEZ CASTAÑO</t>
  </si>
  <si>
    <t>19193748</t>
  </si>
  <si>
    <t>EDGAR EMILIO ARDILA ROJAS</t>
  </si>
  <si>
    <t>DOC AUX/N/V/TC/CONTADURIA/PRACTICAS</t>
  </si>
  <si>
    <t>CONTADURIA PUBLICA</t>
  </si>
  <si>
    <t>edgar_ardila@cun.edu.co</t>
  </si>
  <si>
    <t>eardila25_5@yahoo.com</t>
  </si>
  <si>
    <t>3152258251</t>
  </si>
  <si>
    <t>EDGAR EMILIO</t>
  </si>
  <si>
    <t>ARDILA ROJAS</t>
  </si>
  <si>
    <t>BTA SEDE L</t>
  </si>
  <si>
    <t>93395781</t>
  </si>
  <si>
    <t>OSCAR ALBERTO TRUJILLO GOMEZ</t>
  </si>
  <si>
    <t>DOCENTE ASIS/N/TC/CONT PUBL/FUN.ACADE-ADMIN</t>
  </si>
  <si>
    <t>Oscar_Trujillo@cun.edu.co</t>
  </si>
  <si>
    <t>oscar.04@hotmail.com</t>
  </si>
  <si>
    <t>3173765327</t>
  </si>
  <si>
    <t>OSCAR ALBERTO</t>
  </si>
  <si>
    <t>TRUJILLO GOMEZ</t>
  </si>
  <si>
    <t>12628065</t>
  </si>
  <si>
    <t>FERNANDO MANUEL DIAZ HERRERA</t>
  </si>
  <si>
    <t>DOCENTE ASOC/N/MT/CONT PUBL</t>
  </si>
  <si>
    <t>fernando_diaz@cun.edu.co</t>
  </si>
  <si>
    <t>fernandodiazherrera@hotmail.com</t>
  </si>
  <si>
    <t>3160548556</t>
  </si>
  <si>
    <t>FERNANDO MANUEL</t>
  </si>
  <si>
    <t>DIAZ HERRERA</t>
  </si>
  <si>
    <t>CAROLINA ESPITIA POVEDA</t>
  </si>
  <si>
    <t>DOC ASIS/N/V/TC/CONTADURIA/FUN.ACADE-ADMIN</t>
  </si>
  <si>
    <t>carolina_espitiappo@cun.edu.co</t>
  </si>
  <si>
    <t>caro115187@hotmail.com</t>
  </si>
  <si>
    <t>3104763623</t>
  </si>
  <si>
    <t>ESPITIA POVEDA</t>
  </si>
  <si>
    <t>LEIVY RUTH DUARTE OSPINA</t>
  </si>
  <si>
    <t>leivy_duarte@cun.edu.co</t>
  </si>
  <si>
    <t>leivy1980@yahoo.es</t>
  </si>
  <si>
    <t>3183937677</t>
  </si>
  <si>
    <t>LEIVY RUTH</t>
  </si>
  <si>
    <t>DUARTE OSPINA</t>
  </si>
  <si>
    <t>FRANKLY MANUEL RODRIGUEZ RAMIREZ</t>
  </si>
  <si>
    <t>DOC AUX/N/V/MT/CONTADURIA</t>
  </si>
  <si>
    <t>frankly_Rodriguez@cun.edu.co</t>
  </si>
  <si>
    <t>franklyr@gmail.com</t>
  </si>
  <si>
    <t>3013558477</t>
  </si>
  <si>
    <t>FRANKLY MANUEL</t>
  </si>
  <si>
    <t>RODRIGUEZ RAMIREZ</t>
  </si>
  <si>
    <t>BLANCA HAYDEE MELO ISCALA</t>
  </si>
  <si>
    <t>blanca_melo@cun.edu.co</t>
  </si>
  <si>
    <t>blancahaydee0219@gmail.com</t>
  </si>
  <si>
    <t>3133072654</t>
  </si>
  <si>
    <t>BLANCA HAYDEE</t>
  </si>
  <si>
    <t>MELO ISCALA</t>
  </si>
  <si>
    <t>ALEXANDER MUÑOZ ORTIZ</t>
  </si>
  <si>
    <t>DOCENTE AUX/N/MT/CONT PUBL</t>
  </si>
  <si>
    <t>Alexander_Munoz@cun.edu.co</t>
  </si>
  <si>
    <t>alexmortiz76@gmail.com</t>
  </si>
  <si>
    <t>3105783040</t>
  </si>
  <si>
    <t>MUÑOZ ORTIZ</t>
  </si>
  <si>
    <t>ASTRID ELIZABETH ERASO MELO</t>
  </si>
  <si>
    <t>astrid_eraso@cun.edu.co</t>
  </si>
  <si>
    <t>astrideraso15@gmail.com</t>
  </si>
  <si>
    <t>3155466230</t>
  </si>
  <si>
    <t>ASTRID ELIZABETH</t>
  </si>
  <si>
    <t>ERASO MELO</t>
  </si>
  <si>
    <t>LILIANA PATRICIA ESCOBAR SOTO</t>
  </si>
  <si>
    <t>DOCENTE ASIS/N/MT/CONT PUBL</t>
  </si>
  <si>
    <t>liliana_escobar@cun.edu.co</t>
  </si>
  <si>
    <t>liliana_escobar_soto@hotmail.com</t>
  </si>
  <si>
    <t>3004430566</t>
  </si>
  <si>
    <t>LILIANA PATRICIA</t>
  </si>
  <si>
    <t>ESCOBAR SOTO</t>
  </si>
  <si>
    <t>LIZETH PAOLA MEDINA MORA</t>
  </si>
  <si>
    <t>DOC AUX/N/V/TC/CONTADURIA/FUN.ACADE-ADMIN</t>
  </si>
  <si>
    <t>lizeth_medina@cun.edu.co</t>
  </si>
  <si>
    <t>micontabilidadmedina@gmail.com</t>
  </si>
  <si>
    <t>3115102394</t>
  </si>
  <si>
    <t>LIZETH PAOLA</t>
  </si>
  <si>
    <t>MEDINA MORA</t>
  </si>
  <si>
    <t>SANDRA PATRICIA RODRIGUEZ GONZALEZ</t>
  </si>
  <si>
    <t>sandra_rodriguezg@cun.edu.co</t>
  </si>
  <si>
    <t>Paticorg84@gmail.com</t>
  </si>
  <si>
    <t>3115486856</t>
  </si>
  <si>
    <t>SANDRA PATRICIA</t>
  </si>
  <si>
    <t>RODRIGUEZ GONZALEZ</t>
  </si>
  <si>
    <t>INGRID VIVIANA CARRILLO HERNANDEZ</t>
  </si>
  <si>
    <t>ingrid_carrillo@cun.edu.co</t>
  </si>
  <si>
    <t>vivianacarrillo0211@gmail.com</t>
  </si>
  <si>
    <t>3133436616</t>
  </si>
  <si>
    <t>INGRID VIVIANA</t>
  </si>
  <si>
    <t>CARRILLO HERNANDEZ</t>
  </si>
  <si>
    <t>1032404649</t>
  </si>
  <si>
    <t>JOHN FREDY PIÑEROS CASTIBLANCO</t>
  </si>
  <si>
    <t>john_pineros@cun.edu.co</t>
  </si>
  <si>
    <t>amadocasti88@hotmail.com</t>
  </si>
  <si>
    <t>3102270514</t>
  </si>
  <si>
    <t>JOHN FREDY</t>
  </si>
  <si>
    <t>PIÑEROS CASTIBLANCO</t>
  </si>
  <si>
    <t>CAMILO ANDRES OSORIO SALAZAR</t>
  </si>
  <si>
    <t>camilo_osorios@cun.edu.co</t>
  </si>
  <si>
    <t>camilo.o2008@hotmail.com</t>
  </si>
  <si>
    <t>3006273045</t>
  </si>
  <si>
    <t>OSORIO SALAZAR</t>
  </si>
  <si>
    <t>NELSON ESTEBAN GOMEZ NOVOA</t>
  </si>
  <si>
    <t>nelson_gomez@cun.edu.co</t>
  </si>
  <si>
    <t>gomezesteban37@hotmail.com</t>
  </si>
  <si>
    <t>3144155338</t>
  </si>
  <si>
    <t>NELSON ESTEBAN</t>
  </si>
  <si>
    <t>GOMEZ NOVOA</t>
  </si>
  <si>
    <t>LUISA FERNANDA ROMERO BELLO</t>
  </si>
  <si>
    <t>DOC ASIS/N/V/MT/CONTADURIA</t>
  </si>
  <si>
    <t>Luisa_romero@cun.edu.co</t>
  </si>
  <si>
    <t>luisa.romerob5@gmail.com</t>
  </si>
  <si>
    <t>3193179667</t>
  </si>
  <si>
    <t>ROMERO BELLO</t>
  </si>
  <si>
    <t>ENRIQUE ALFONSO ANGARITA GARCERANTH</t>
  </si>
  <si>
    <t>enrique_angaritag@cun.edu.co</t>
  </si>
  <si>
    <t>enriqueangaritag@gmail.com</t>
  </si>
  <si>
    <t>3012016504</t>
  </si>
  <si>
    <t>ENRIQUE ALFONSO</t>
  </si>
  <si>
    <t>ANGARITA GARCERANTH</t>
  </si>
  <si>
    <t>MANUEL ANTONIO ROJAS HERNANDEZ</t>
  </si>
  <si>
    <t>manuel_rojash@cun.edu.co</t>
  </si>
  <si>
    <t>manuroh1970@gmail.com</t>
  </si>
  <si>
    <t>3157634561</t>
  </si>
  <si>
    <t>MANUEL ANTONIO</t>
  </si>
  <si>
    <t>ROJAS HERNANDEZ</t>
  </si>
  <si>
    <t>NORMA ESPERANZA RODRIGUEZ GARZON</t>
  </si>
  <si>
    <t>norma_rodriguezg@cun.edu.co</t>
  </si>
  <si>
    <t>nerg1216@hotmail.com</t>
  </si>
  <si>
    <t>3228732061</t>
  </si>
  <si>
    <t>NORMA ESPERANZA</t>
  </si>
  <si>
    <t>RODRIGUEZ GARZON</t>
  </si>
  <si>
    <t>MANUEL HERNAN DUARTE RODRIGUEZ</t>
  </si>
  <si>
    <t>DOCENTE AUX/N/TC/CONT PUBL/FUN.ACADE-ADMIN</t>
  </si>
  <si>
    <t>Manuel_Duarte@cun.edu.co</t>
  </si>
  <si>
    <t>manuelduarte65@hotmail.com</t>
  </si>
  <si>
    <t>3138087422</t>
  </si>
  <si>
    <t>MANUEL HERNAN</t>
  </si>
  <si>
    <t>DUARTE RODRIGUEZ</t>
  </si>
  <si>
    <t>FREDY ALONSO GUERRERO MENDEZ</t>
  </si>
  <si>
    <t>fredy_guerrero@cun.edu.co</t>
  </si>
  <si>
    <t>fredy.alonso.guerrero.mendez@gmail.com</t>
  </si>
  <si>
    <t>3132261621</t>
  </si>
  <si>
    <t>FREDY ALONSO</t>
  </si>
  <si>
    <t>GUERRERO MENDEZ</t>
  </si>
  <si>
    <t>JUAN SEBASTIAN CONTRERAS SUAREZ</t>
  </si>
  <si>
    <t>juan_contrerass@cun.edu.co</t>
  </si>
  <si>
    <t>juansebastianc574@gmail.com</t>
  </si>
  <si>
    <t>3162988885</t>
  </si>
  <si>
    <t>CONTRERAS SUAREZ</t>
  </si>
  <si>
    <t>EMERSON MANUEL CASTAÑO PATERNINA</t>
  </si>
  <si>
    <t>emerson_castano@cun.edu.co</t>
  </si>
  <si>
    <t>CAS-PATER@HOTMAIL.COM</t>
  </si>
  <si>
    <t>3218923270</t>
  </si>
  <si>
    <t>EMERSON MANUEL</t>
  </si>
  <si>
    <t>CASTAÑO PATERNINA</t>
  </si>
  <si>
    <t>LILIANA PATRICIA DURAN BARBOSA</t>
  </si>
  <si>
    <t>liliana_duranb@cun.edu.co</t>
  </si>
  <si>
    <t>liduran70@gmail.com</t>
  </si>
  <si>
    <t>3245116916</t>
  </si>
  <si>
    <t>DURAN BARBOSA</t>
  </si>
  <si>
    <t>JULIAN CAMILO MERCHAN HERNANDEZ</t>
  </si>
  <si>
    <t>julian_merchan@cun.edu.co</t>
  </si>
  <si>
    <t>merchancamilo1@gmail.com</t>
  </si>
  <si>
    <t>3187437478</t>
  </si>
  <si>
    <t>JULIAN CAMILO</t>
  </si>
  <si>
    <t>MERCHAN HERNANDEZ</t>
  </si>
  <si>
    <t>1010218357</t>
  </si>
  <si>
    <t>RAFAEL FERNANDO CHINCHILLA MESA</t>
  </si>
  <si>
    <t>rafael_chinchilla@cun.edu.co</t>
  </si>
  <si>
    <t>rafael.chinchilla@cesa.edu.co</t>
  </si>
  <si>
    <t>3057695640</t>
  </si>
  <si>
    <t>RAFAEL FERNANDO</t>
  </si>
  <si>
    <t>CHINCHILLA MESA</t>
  </si>
  <si>
    <t>1024496587</t>
  </si>
  <si>
    <t>JHONATAN LEONARDO ROBLES QUIÑONEZ</t>
  </si>
  <si>
    <t>DOC AUX T&amp;T/N/V/MT/CONTADURIA</t>
  </si>
  <si>
    <t>jhonatan_robles@cun.edu.co</t>
  </si>
  <si>
    <t>JLROBLESCONTADOR01@GMAIL.COM</t>
  </si>
  <si>
    <t>3003306718</t>
  </si>
  <si>
    <t>JHONATAN LEONARDO</t>
  </si>
  <si>
    <t>ROBLES QUIÑONEZ</t>
  </si>
  <si>
    <t>ZULMA CISNEY YAYA CHACON</t>
  </si>
  <si>
    <t>DOC AUX T&amp;T/N/TC/CONT PUBL/FUN.ACADE-ADMIN</t>
  </si>
  <si>
    <t>zulma_yayac@cun.edu.co</t>
  </si>
  <si>
    <t>zulcisney@hotmail.com</t>
  </si>
  <si>
    <t>3232278677</t>
  </si>
  <si>
    <t>ZULMA CISNEY</t>
  </si>
  <si>
    <t>YAYA CHACON</t>
  </si>
  <si>
    <t>CESAR AUGUSTO SALAZAR ROJAS</t>
  </si>
  <si>
    <t>cesar_salazar@cun.edu.co</t>
  </si>
  <si>
    <t>casala99@hotmail.com</t>
  </si>
  <si>
    <t>3183285483</t>
  </si>
  <si>
    <t>SALAZAR ROJAS</t>
  </si>
  <si>
    <t>LUZ DARY LOPEZ ALBARRACÍN</t>
  </si>
  <si>
    <t>luz_lopeza@cun.edu.co</t>
  </si>
  <si>
    <t>lopezaluz999@hotmail.com</t>
  </si>
  <si>
    <t>3155477556</t>
  </si>
  <si>
    <t>LOPEZ ALBARRACÍN</t>
  </si>
  <si>
    <t>MAYKOL STIVEN OSPINA ACOSTA</t>
  </si>
  <si>
    <t>maykol_ospina@cun.edu.co</t>
  </si>
  <si>
    <t>maykolospina07@gmail.com</t>
  </si>
  <si>
    <t>3209722355</t>
  </si>
  <si>
    <t>MAYKOL STIVEN</t>
  </si>
  <si>
    <t>OSPINA ACOSTA</t>
  </si>
  <si>
    <t>LUIS CARLOS MONTAÑO PLATA</t>
  </si>
  <si>
    <t>luis_montano@cun.edu.co</t>
  </si>
  <si>
    <t>lcarlosmp@hotmail.com</t>
  </si>
  <si>
    <t>3124252805</t>
  </si>
  <si>
    <t>LUIS CARLOS</t>
  </si>
  <si>
    <t>MONTAÑO PLATA</t>
  </si>
  <si>
    <t>CINDY PAOLA ROMAN AMADO</t>
  </si>
  <si>
    <t>cindy_roman@cun.edu.co</t>
  </si>
  <si>
    <t>paolaroman.contadora@gmail.com</t>
  </si>
  <si>
    <t>3008492223</t>
  </si>
  <si>
    <t>CINDY PAOLA</t>
  </si>
  <si>
    <t>ROMAN AMADO</t>
  </si>
  <si>
    <t>DIANA MILENA AVILA MARTINEZ</t>
  </si>
  <si>
    <t>diana_avilam@cun.edu.co</t>
  </si>
  <si>
    <t>DIANA.DIANAMILENAAVILAMARTINEZ@GMAIL.COM</t>
  </si>
  <si>
    <t>3196436917</t>
  </si>
  <si>
    <t>DIANA MILENA</t>
  </si>
  <si>
    <t>AVILA MARTINEZ</t>
  </si>
  <si>
    <t>YEISON ANDRES ALBARRACIN FRAGUA</t>
  </si>
  <si>
    <t>yeison_albarracinf@cun.edu.co</t>
  </si>
  <si>
    <t>YANDRES.ALBARRACIN@OUTLOOK.COM</t>
  </si>
  <si>
    <t>3214869585</t>
  </si>
  <si>
    <t>YEISON ANDRES</t>
  </si>
  <si>
    <t>ALBARRACIN FRAGUA</t>
  </si>
  <si>
    <t>LILIANA ISABEL NAVAS CASADIEGO</t>
  </si>
  <si>
    <t>liliana_navasc@cun.edu.co</t>
  </si>
  <si>
    <t>LINANAVAS001@GMAIL.COM</t>
  </si>
  <si>
    <t>3008975597</t>
  </si>
  <si>
    <t>LILIANA ISABEL</t>
  </si>
  <si>
    <t>NAVAS CASADIEGO</t>
  </si>
  <si>
    <t>JANETH CRISTINA MENDEZ ROSERO</t>
  </si>
  <si>
    <t>janeth_mendez@cun.edu.co</t>
  </si>
  <si>
    <t>Cristymrcont@gmail.com</t>
  </si>
  <si>
    <t>3113344850</t>
  </si>
  <si>
    <t>JANETH CRISTINA</t>
  </si>
  <si>
    <t>MENDEZ ROSERO</t>
  </si>
  <si>
    <t>CESAR ALFREDO VERA MARTINEZ</t>
  </si>
  <si>
    <t>cesar_veram@cun.edu.co</t>
  </si>
  <si>
    <t>CESARVERA50@GMAIL.COM</t>
  </si>
  <si>
    <t>3227044758</t>
  </si>
  <si>
    <t>CESAR ALFREDO</t>
  </si>
  <si>
    <t>VERA MARTINEZ</t>
  </si>
  <si>
    <t>NIVER ARLEY CASTELLANOS GONZALEZ</t>
  </si>
  <si>
    <t>REGIONAL SANTANDER</t>
  </si>
  <si>
    <t>BUCARAMANGA</t>
  </si>
  <si>
    <t>niver_castellanosg@cun.edu.co</t>
  </si>
  <si>
    <t>NIVER.CASTELLANOS@GMAIL.COM</t>
  </si>
  <si>
    <t>3183834298</t>
  </si>
  <si>
    <t>NIVER ARLEY</t>
  </si>
  <si>
    <t>CASTELLANOS GONZALEZ</t>
  </si>
  <si>
    <t>BGA SEDE</t>
  </si>
  <si>
    <t>NICOLAS SANTIAGO ARIAS QUINTERO</t>
  </si>
  <si>
    <t>nicolas_ariasq@cun.edu.co</t>
  </si>
  <si>
    <t>NICOLASSANTIAGOARIAS@GMAIL.COM</t>
  </si>
  <si>
    <t>3126836381</t>
  </si>
  <si>
    <t>NICOLAS SANTIAGO</t>
  </si>
  <si>
    <t>ARIAS QUINTERO</t>
  </si>
  <si>
    <t>JUAN FELIPE RANGEL TORRES</t>
  </si>
  <si>
    <t>juan_rangelt@cun.edu.co</t>
  </si>
  <si>
    <t>RANGELJUANFELIPE9@GMAIL.COM</t>
  </si>
  <si>
    <t>3123112799</t>
  </si>
  <si>
    <t>JUAN FELIPE</t>
  </si>
  <si>
    <t>RANGEL TORRES</t>
  </si>
  <si>
    <t>KAREN LORENA CARRILLO MAHECHA</t>
  </si>
  <si>
    <t>karen_carrillom@cun.edu.co</t>
  </si>
  <si>
    <t>KARENLORENACARRILLO@GMAIL.COM</t>
  </si>
  <si>
    <t>3144787672</t>
  </si>
  <si>
    <t>KAREN LORENA</t>
  </si>
  <si>
    <t>CARRILLO MAHECHA</t>
  </si>
  <si>
    <t>JOHNNY STIVEN SERNA WILLIAMS</t>
  </si>
  <si>
    <t>johnny_sernaw@cun.edu.co</t>
  </si>
  <si>
    <t>JOHNNYSERNA777@GMAIL.COM</t>
  </si>
  <si>
    <t>3202213746</t>
  </si>
  <si>
    <t>JOHNNY STIVEN</t>
  </si>
  <si>
    <t>SERNA WILLIAMS</t>
  </si>
  <si>
    <t>MAIRA ALEJANDRA GALINDO LOPEZ</t>
  </si>
  <si>
    <t>maira_galindol@cun.edu.co</t>
  </si>
  <si>
    <t>MALEJA_1106@HOTMAIL.COM</t>
  </si>
  <si>
    <t>3104753563</t>
  </si>
  <si>
    <t>MAIRA ALEJANDRA</t>
  </si>
  <si>
    <t>GALINDO LOPEZ</t>
  </si>
  <si>
    <t>SONIA PATRICIA TORRES CORTES</t>
  </si>
  <si>
    <t>sonia_torresc@cun.edu.co</t>
  </si>
  <si>
    <t>SONIAPATRICIATORRESCORTES@YAHOO.COM</t>
  </si>
  <si>
    <t>310 3415572</t>
  </si>
  <si>
    <t>SONIA PATRICIA</t>
  </si>
  <si>
    <t>TORRES CORTES</t>
  </si>
  <si>
    <t>ANGIE PAOLA DUEÑAS MORA</t>
  </si>
  <si>
    <t>angie_dueñasm@cun.edu.co</t>
  </si>
  <si>
    <t>ANGIE.DUENAS@EST.UEXTERNADO.EDU.CO</t>
  </si>
  <si>
    <t>3239695165</t>
  </si>
  <si>
    <t>ANGIE PAOLA</t>
  </si>
  <si>
    <t>DUEÑAS MORA</t>
  </si>
  <si>
    <t>NELSON ANDRES CAMARGO GUILLOMBO</t>
  </si>
  <si>
    <t>nelson_camargog@cun.edu.co</t>
  </si>
  <si>
    <t>NELSONANDRESCAMARGOG45@GMAIL.COM</t>
  </si>
  <si>
    <t>3218913990</t>
  </si>
  <si>
    <t>NELSON ANDRES</t>
  </si>
  <si>
    <t>CAMARGO GUILLOMBO</t>
  </si>
  <si>
    <t>NICOLAS BERMUDEZ ROJAS</t>
  </si>
  <si>
    <t>nicolas_bermudezr@cun.edu.co</t>
  </si>
  <si>
    <t>NICONTABLE15@GMAIL.COM</t>
  </si>
  <si>
    <t>3158921950</t>
  </si>
  <si>
    <t>BERMUDEZ ROJAS</t>
  </si>
  <si>
    <t>NATHALIA CAROLINA RUBIO BUITRAGO</t>
  </si>
  <si>
    <t>nathalia_rubiob@cun.edu.co</t>
  </si>
  <si>
    <t>NCRUBIOB@GMAIL.COM</t>
  </si>
  <si>
    <t>3208371795</t>
  </si>
  <si>
    <t>NATHALIA CAROLINA</t>
  </si>
  <si>
    <t>RUBIO BUITRAGO</t>
  </si>
  <si>
    <t>LIZ ANGELY NUÑEZ CANO</t>
  </si>
  <si>
    <t>liz_nunezc@cun.edu.co</t>
  </si>
  <si>
    <t>LIZNCONTABILIDAD@GMAIL.COM</t>
  </si>
  <si>
    <t>3004663725</t>
  </si>
  <si>
    <t>LIZ ANGELY</t>
  </si>
  <si>
    <t>NUÑEZ CANO</t>
  </si>
  <si>
    <t>JOHAN ESTEBAN HERNANDEZ REYES</t>
  </si>
  <si>
    <t>johan_hernandezre@cun.edu.co</t>
  </si>
  <si>
    <t>j.h25@hotmail.com</t>
  </si>
  <si>
    <t>3118900934</t>
  </si>
  <si>
    <t>JOHAN ESTEBAN</t>
  </si>
  <si>
    <t>HERNANDEZ REYES</t>
  </si>
  <si>
    <t>ALBA MATILDE CHAVEZ OTALORA</t>
  </si>
  <si>
    <t>DOC TITULAR/N/V/MT/CONTADURIA</t>
  </si>
  <si>
    <t>alba_chavez@cun.edu.co</t>
  </si>
  <si>
    <t>ALBACHAVEZO@GMAIL.COM</t>
  </si>
  <si>
    <t>3138059086</t>
  </si>
  <si>
    <t>ALBA MATILDE</t>
  </si>
  <si>
    <t>CHAVEZ OTALORA</t>
  </si>
  <si>
    <t>CARLOS ARTURO RIAÑO AMAYA</t>
  </si>
  <si>
    <t>carlos_riañoa@cun.edu.co</t>
  </si>
  <si>
    <t>RIANOACA@JAVERIANA.EDU.CO</t>
  </si>
  <si>
    <t>3005960501</t>
  </si>
  <si>
    <t>CARLOS ARTURO</t>
  </si>
  <si>
    <t>RIAÑO AMAYA</t>
  </si>
  <si>
    <t>28551871</t>
  </si>
  <si>
    <t>LADY CAROLINA MORENO ROJAS</t>
  </si>
  <si>
    <t>lady_morenor@cun.edu.co</t>
  </si>
  <si>
    <t>LADYCAROLINAMORENOROJAS@GMAIL.COM</t>
  </si>
  <si>
    <t>3186942215</t>
  </si>
  <si>
    <t>LADY CAROLINA</t>
  </si>
  <si>
    <t>MORENO ROJAS</t>
  </si>
  <si>
    <t>JAIME TORRES SUAREZ</t>
  </si>
  <si>
    <t>DOCENTE ASOC/N/TC/DERECHO/FUN.ACADE-ADMIN</t>
  </si>
  <si>
    <t>DERECHO</t>
  </si>
  <si>
    <t>jaime_torress@cun.edu.co</t>
  </si>
  <si>
    <t>jaimets47@yahoo.com</t>
  </si>
  <si>
    <t>3112858871</t>
  </si>
  <si>
    <t>JAIME</t>
  </si>
  <si>
    <t>TORRES SUAREZ</t>
  </si>
  <si>
    <t>52249987</t>
  </si>
  <si>
    <t>LILIANA MARGARITA RODRIGUEZ RODRIGUEZ</t>
  </si>
  <si>
    <t>DOCENTE TITU/N/MT-DERECHO</t>
  </si>
  <si>
    <t>liliana_rodriguez@cun.edu.co</t>
  </si>
  <si>
    <t>lilirod19@yahoo.com</t>
  </si>
  <si>
    <t>3213943007</t>
  </si>
  <si>
    <t>LILIANA MARGARITA</t>
  </si>
  <si>
    <t>RODRIGUEZ RODRIGUEZ</t>
  </si>
  <si>
    <t>PAULO CESAR HENAO QUINTERO</t>
  </si>
  <si>
    <t>DOCENTE AUX/N/MT-DERECHO</t>
  </si>
  <si>
    <t>paulo_henao@cun.edu.co</t>
  </si>
  <si>
    <t>paulo.henao071179@gmail.com</t>
  </si>
  <si>
    <t>3046835927</t>
  </si>
  <si>
    <t>PAULO CESAR</t>
  </si>
  <si>
    <t>HENAO QUINTERO</t>
  </si>
  <si>
    <t>ANDERSON MARTÍNEZ JIMÉNEZ</t>
  </si>
  <si>
    <t>DOCENTE AUX/N/TC/DERECHO/FUN.ACADE-ADMIN</t>
  </si>
  <si>
    <t>anderson_martinezj@cun.edu.co</t>
  </si>
  <si>
    <t>anderm.jimenez@gmail.com</t>
  </si>
  <si>
    <t>3003706358</t>
  </si>
  <si>
    <t>ANDERSON</t>
  </si>
  <si>
    <t>MARTÍNEZ JIMÉNEZ</t>
  </si>
  <si>
    <t>1052384798</t>
  </si>
  <si>
    <t>DANILO IGNACIO CEPEDA PEREZ</t>
  </si>
  <si>
    <t>DOCENTE ASIS/N/MT-DERECHO</t>
  </si>
  <si>
    <t>danilo_cepeda@cun.edu.co</t>
  </si>
  <si>
    <t>danilocep31@gmail.com</t>
  </si>
  <si>
    <t>3134250221</t>
  </si>
  <si>
    <t>DANILO IGNACIO</t>
  </si>
  <si>
    <t>CEPEDA PEREZ</t>
  </si>
  <si>
    <t>DAMARIS GRANDA ARCE</t>
  </si>
  <si>
    <t>DOCENTE ASESOR EN DERECHO PÚBLICO</t>
  </si>
  <si>
    <t>damaris_granda@cun.edu.co</t>
  </si>
  <si>
    <t>damaris-granda@hotmail.com</t>
  </si>
  <si>
    <t>3188404178</t>
  </si>
  <si>
    <t>DAMARIS</t>
  </si>
  <si>
    <t>GRANDA ARCE</t>
  </si>
  <si>
    <t>HECTOR ANIBAL CAMPOS DUQUE</t>
  </si>
  <si>
    <t>DOCENTE ASIS/N/TC/DERECHO/FUN.ACADE-ADMIN</t>
  </si>
  <si>
    <t>hector_camposd@cun.edu.co</t>
  </si>
  <si>
    <t>hyafabogados@gmail.com</t>
  </si>
  <si>
    <t>3153345224</t>
  </si>
  <si>
    <t>HECTOR ANIBAL</t>
  </si>
  <si>
    <t>CAMPOS DUQUE</t>
  </si>
  <si>
    <t>JEFERSON CASAS ZULUAGA</t>
  </si>
  <si>
    <t>jeferson_casas@cun.edu.co</t>
  </si>
  <si>
    <t>jeferson.casas@hotmail.com</t>
  </si>
  <si>
    <t>3214914885</t>
  </si>
  <si>
    <t>JEFERSON</t>
  </si>
  <si>
    <t>CASAS ZULUAGA</t>
  </si>
  <si>
    <t>93437511</t>
  </si>
  <si>
    <t>MARLON RODRIGUEZ CASTRO</t>
  </si>
  <si>
    <t>marlon_rodriguez@cun.edu.co</t>
  </si>
  <si>
    <t>STEVENROD.R960@GMAIL.COM</t>
  </si>
  <si>
    <t>3142951276</t>
  </si>
  <si>
    <t>MARLON</t>
  </si>
  <si>
    <t>RODRIGUEZ CASTRO</t>
  </si>
  <si>
    <t>JAVIER CAMILO CUETO GARCIA</t>
  </si>
  <si>
    <t>javier_cueto@cun.edu.co</t>
  </si>
  <si>
    <t>jccuetog@gmail.com</t>
  </si>
  <si>
    <t>3057106351</t>
  </si>
  <si>
    <t>JAVIER CAMILO</t>
  </si>
  <si>
    <t>CUETO GARCIA</t>
  </si>
  <si>
    <t>JORGE ANDRES CHOIS MURIEL</t>
  </si>
  <si>
    <t>jorge_chois@cun.edu.co</t>
  </si>
  <si>
    <t>JUAN-K19@HOTMAIL.COM</t>
  </si>
  <si>
    <t>3235908142</t>
  </si>
  <si>
    <t>JORGE ANDRES</t>
  </si>
  <si>
    <t>CHOIS MURIEL</t>
  </si>
  <si>
    <t>1098766313</t>
  </si>
  <si>
    <t>DIEGO FERNANDO LINDARTE VARGAS</t>
  </si>
  <si>
    <t>diego_lindarte@cun.edu.co</t>
  </si>
  <si>
    <t>Dlindarte95@gmail.com</t>
  </si>
  <si>
    <t>3014598751</t>
  </si>
  <si>
    <t>LINDARTE VARGAS</t>
  </si>
  <si>
    <t>YESSICA JULIETH PEREZ HERNANDEZ</t>
  </si>
  <si>
    <t>DOCENTE ASESOR EN DERECHO PRIVADO</t>
  </si>
  <si>
    <t>yessica_perez@cun.edu.co</t>
  </si>
  <si>
    <t>YESSICAPEREZHER@GMAIL.COM</t>
  </si>
  <si>
    <t>3104793717</t>
  </si>
  <si>
    <t>YESSICA JULIETH</t>
  </si>
  <si>
    <t>PEREZ HERNANDEZ</t>
  </si>
  <si>
    <t>ELMER GENIER ACOSTA HERNANDEZ</t>
  </si>
  <si>
    <t>DOCENTE ASESOR EN DERECHO LABORAL</t>
  </si>
  <si>
    <t>elmer_acosta@cun.edu.co</t>
  </si>
  <si>
    <t>ELGEACOS2@HOTMAIL.COM</t>
  </si>
  <si>
    <t>319 4253445</t>
  </si>
  <si>
    <t>ELMER GENIER</t>
  </si>
  <si>
    <t>ACOSTA HERNANDEZ</t>
  </si>
  <si>
    <t>HANS SEBASTIAN BEJARANO</t>
  </si>
  <si>
    <t>DOCENTE AUX/N/MT/DERECHO</t>
  </si>
  <si>
    <t>hans_bejarano1@cun.edu.co</t>
  </si>
  <si>
    <t>HANSMAVERICK1377@GMAIL.COM</t>
  </si>
  <si>
    <t>3046495375</t>
  </si>
  <si>
    <t>HANS SEBASTIAN</t>
  </si>
  <si>
    <t>BEJARANO</t>
  </si>
  <si>
    <t>DAYAN RICARDO BARRERA RINCON</t>
  </si>
  <si>
    <t>DOC AUX T&amp;T/N/TC/DERECHO/FUN.ACADE-ADMIN</t>
  </si>
  <si>
    <t>dayan_barrerar@cun.edu.co</t>
  </si>
  <si>
    <t>RICARDOBJURIDICO25@GMAIL.COM</t>
  </si>
  <si>
    <t>3102692161</t>
  </si>
  <si>
    <t>DAYAN RICARDO</t>
  </si>
  <si>
    <t>BARRERA RINCON</t>
  </si>
  <si>
    <t>OSCAR DANIEL CARDENAS BARRERA</t>
  </si>
  <si>
    <t>oscar_cardenasba@cun.edu.co</t>
  </si>
  <si>
    <t>OSCARDANIEL579@GMAIL.COM</t>
  </si>
  <si>
    <t>3105678136</t>
  </si>
  <si>
    <t>OSCAR DANIEL</t>
  </si>
  <si>
    <t>CARDENAS BARRERA</t>
  </si>
  <si>
    <t>JOHN JAIRO ECHEVERRY SALGUERO</t>
  </si>
  <si>
    <t>john_echeverry@cun.edu.co</t>
  </si>
  <si>
    <t>john.salguero70@gmail.com</t>
  </si>
  <si>
    <t>3167547727</t>
  </si>
  <si>
    <t>ECHEVERRY SALGUERO</t>
  </si>
  <si>
    <t>JAIRO ANDRES VELA TIBOCHA</t>
  </si>
  <si>
    <t>DOC AUX T&amp;T/N/V/TC/DIR PROD ME AUD/PROYE</t>
  </si>
  <si>
    <t>jairo_vela@cun.edu.co</t>
  </si>
  <si>
    <t>andresvelatibocha@gmail.com</t>
  </si>
  <si>
    <t>3162794393</t>
  </si>
  <si>
    <t>JAIRO ANDRES</t>
  </si>
  <si>
    <t>VELA TIBOCHA</t>
  </si>
  <si>
    <t>JEAN CARLO CARDENAS CARRILLO</t>
  </si>
  <si>
    <t>jean_cardenas@cun.edu.co</t>
  </si>
  <si>
    <t>ryukdeath23@gmail.com</t>
  </si>
  <si>
    <t>3125814367</t>
  </si>
  <si>
    <t>JEAN CARLO</t>
  </si>
  <si>
    <t>CARDENAS CARRILLO</t>
  </si>
  <si>
    <t>DANILO HERNAN MURILLO DAZA</t>
  </si>
  <si>
    <t>DOCENTE AUX/N/TC/DIR PROD ME AUD/FUN.ACADE-ADMIN</t>
  </si>
  <si>
    <t>danilo_murillo@cun.edu.co</t>
  </si>
  <si>
    <t>damurdaz77@gmail.com</t>
  </si>
  <si>
    <t>3144342121</t>
  </si>
  <si>
    <t>DANILO HERNAN</t>
  </si>
  <si>
    <t>MURILLO DAZA</t>
  </si>
  <si>
    <t>79875537</t>
  </si>
  <si>
    <t>RAFAEL ANDRES BRIÑEZ LOZADA</t>
  </si>
  <si>
    <t>rafael_brinez@cun.edu.co</t>
  </si>
  <si>
    <t>ralphbeer08@yahoo.com</t>
  </si>
  <si>
    <t>3208288036</t>
  </si>
  <si>
    <t>RAFAEL ANDRES</t>
  </si>
  <si>
    <t>BRIÑEZ LOZADA</t>
  </si>
  <si>
    <t>JUAN CARLOS GÓMEZ VARÓN</t>
  </si>
  <si>
    <t>DOC AUX/N/V/TC/DIR PROD ME AUD/FUN.A</t>
  </si>
  <si>
    <t>juan_gomezv@cun.edu.co</t>
  </si>
  <si>
    <t>gova78@yahoo.com</t>
  </si>
  <si>
    <t>3152663203</t>
  </si>
  <si>
    <t>GÓMEZ VARÓN</t>
  </si>
  <si>
    <t>ERIKA JISSETH MEDINA SALAZAR</t>
  </si>
  <si>
    <t>DOC AUX T&amp;T/N/V/TC/DIR PROD ME AUD/FUN.ACADE-ADMIN</t>
  </si>
  <si>
    <t>erika_medina@cun.edu.co</t>
  </si>
  <si>
    <t>medinasalazarerika@gmail.com</t>
  </si>
  <si>
    <t>3167011279</t>
  </si>
  <si>
    <t>ERIKA JISSETH</t>
  </si>
  <si>
    <t>MEDINA SALAZAR</t>
  </si>
  <si>
    <t>1024522663</t>
  </si>
  <si>
    <t>VICTOR ANDRES LANCHEROS ARIAS</t>
  </si>
  <si>
    <t>victor_lancheros@cun.edu.co</t>
  </si>
  <si>
    <t>vlancherosarias@gmail.com</t>
  </si>
  <si>
    <t>350 4025660</t>
  </si>
  <si>
    <t>VICTOR ANDRES</t>
  </si>
  <si>
    <t>LANCHEROS ARIAS</t>
  </si>
  <si>
    <t>JUAN SEBASTIAN HOYOS BUCHELI</t>
  </si>
  <si>
    <t>DOCENTE ASIS/N/TC/DIR PROD ME AUD/FUN.ACADE-ADMIN</t>
  </si>
  <si>
    <t>juan_hoyosbu@cun.edu.co</t>
  </si>
  <si>
    <t>JSHBCINE@GMAIL.COM</t>
  </si>
  <si>
    <t>3194492274</t>
  </si>
  <si>
    <t>HOYOS BUCHELI</t>
  </si>
  <si>
    <t>DIEGO ALEXANDER PINILLA ROZO</t>
  </si>
  <si>
    <t>diego_pinilla@cun.edu.co</t>
  </si>
  <si>
    <t>dpinillar19@gmail.com</t>
  </si>
  <si>
    <t>3102056744</t>
  </si>
  <si>
    <t>PINILLA ROZO</t>
  </si>
  <si>
    <t>JOSE ARNOLD LOPEZ HERNANDEZ</t>
  </si>
  <si>
    <t>jose_lopezh@cun.edu.co</t>
  </si>
  <si>
    <t>jalhg47@gmail.com</t>
  </si>
  <si>
    <t>3212485289</t>
  </si>
  <si>
    <t>JOSE ARNOLD</t>
  </si>
  <si>
    <t>LOPEZ HERNANDEZ</t>
  </si>
  <si>
    <t>JUAN MANUEL GOMEZ DIAZ</t>
  </si>
  <si>
    <t>juan_gomezdi@cun.edu.co</t>
  </si>
  <si>
    <t>jmgomezd86@gmail.com</t>
  </si>
  <si>
    <t>3142761767</t>
  </si>
  <si>
    <t>JUAN MANUEL</t>
  </si>
  <si>
    <t>GOMEZ DIAZ</t>
  </si>
  <si>
    <t>PAULA DANIELA MORENO QUIROGA</t>
  </si>
  <si>
    <t>paula_morenoqu@cun.edu.co</t>
  </si>
  <si>
    <t>daniq_2303@hotmail.com</t>
  </si>
  <si>
    <t>3053553207</t>
  </si>
  <si>
    <t>PAULA DANIELA</t>
  </si>
  <si>
    <t>ANGEL ALBERTO ALVAREZ TORRES</t>
  </si>
  <si>
    <t>angel_alvarezt@cun.edu.co</t>
  </si>
  <si>
    <t>angelomon21@gmail.com</t>
  </si>
  <si>
    <t>3024977887</t>
  </si>
  <si>
    <t>ANGEL ALBERTO</t>
  </si>
  <si>
    <t>ALVAREZ TORRES</t>
  </si>
  <si>
    <t>MIGUEL ANGEL RINCON ANDRADE</t>
  </si>
  <si>
    <t>miguel_rincona@cun.edu.co</t>
  </si>
  <si>
    <t>6miguel9angel@gmail.com</t>
  </si>
  <si>
    <t>3118443810</t>
  </si>
  <si>
    <t>RINCON ANDRADE</t>
  </si>
  <si>
    <t>DIEGO FERNANDO DELGADO CUELLAR</t>
  </si>
  <si>
    <t>diego_delgadocu@cun.edu.co</t>
  </si>
  <si>
    <t>dloudnes@gmail.com</t>
  </si>
  <si>
    <t>3106786833</t>
  </si>
  <si>
    <t>DELGADO CUELLAR</t>
  </si>
  <si>
    <t>MAURICIO ENRIQUE RAMOS BOHORQUEZ</t>
  </si>
  <si>
    <t>mauricio_ramos@cun.edu.co</t>
  </si>
  <si>
    <t>MAURORAMOS07@GMAIL.COM</t>
  </si>
  <si>
    <t>3015002603</t>
  </si>
  <si>
    <t>MAURICIO ENRIQUE</t>
  </si>
  <si>
    <t>RAMOS BOHORQUEZ</t>
  </si>
  <si>
    <t>SEBASTIAN RODRIGUEZ PEÑA</t>
  </si>
  <si>
    <t>sebastian_rodriguezpe@cun.edu.co</t>
  </si>
  <si>
    <t>quimbaru@gmail.com</t>
  </si>
  <si>
    <t>3194504680</t>
  </si>
  <si>
    <t>RODRIGUEZ PEÑA</t>
  </si>
  <si>
    <t>GABRIELA VALENTINA BOHORQUEZ PIÑEROS</t>
  </si>
  <si>
    <t>DOC ASIS/N/V/TC/DIR PROD ME AUD/FUN.ACA</t>
  </si>
  <si>
    <t>gabriela_bohorquezpi@cun.edu.co</t>
  </si>
  <si>
    <t>gabrielabohorquezp@gmail.com</t>
  </si>
  <si>
    <t>3183417635</t>
  </si>
  <si>
    <t>GABRIELA VALENTINA</t>
  </si>
  <si>
    <t>BOHORQUEZ PIÑEROS</t>
  </si>
  <si>
    <t>1015398231</t>
  </si>
  <si>
    <t>JUAN CAMILO JARAMILLO USCATEGUI</t>
  </si>
  <si>
    <t>juan_jaramillou@cun.edu.co</t>
  </si>
  <si>
    <t>juanjaus@hotmail.com</t>
  </si>
  <si>
    <t>3016592319</t>
  </si>
  <si>
    <t>JARAMILLO USCATEGUI</t>
  </si>
  <si>
    <t>ALEXANDRE OSUNA TIJARO</t>
  </si>
  <si>
    <t>alexander_osunati@cun.edu.co</t>
  </si>
  <si>
    <t>ALEXANDREOSUNAT@GMAIL.COM</t>
  </si>
  <si>
    <t>3118097522</t>
  </si>
  <si>
    <t>ALEXANDRE</t>
  </si>
  <si>
    <t>OSUNA TIJARO</t>
  </si>
  <si>
    <t>NICOLAS ENRIQUE MARTINEZ BARRERO</t>
  </si>
  <si>
    <t>nicolas_martinez@cun.edu.co</t>
  </si>
  <si>
    <t>nemartinezba@gmail.com</t>
  </si>
  <si>
    <t>3112408483</t>
  </si>
  <si>
    <t>NICOLAS ENRIQUE</t>
  </si>
  <si>
    <t>MARTINEZ BARRERO</t>
  </si>
  <si>
    <t>ELKIN MAURICIO TARAZONA BLANCO</t>
  </si>
  <si>
    <t>elkin_tarazona@cun.edu.co</t>
  </si>
  <si>
    <t>mao.tarazona316@gmail.com</t>
  </si>
  <si>
    <t>3237991445</t>
  </si>
  <si>
    <t>ELKIN MAURICIO</t>
  </si>
  <si>
    <t>TARAZONA BLANCO</t>
  </si>
  <si>
    <t>JEISSON SNEIDER NOVOA RAMIREZ</t>
  </si>
  <si>
    <t>jeisson_novoa@cun.edu.co</t>
  </si>
  <si>
    <t>JEISSONSNEIDERN@GMAIL.COM</t>
  </si>
  <si>
    <t>3233334765</t>
  </si>
  <si>
    <t>JEISSON SNEIDER</t>
  </si>
  <si>
    <t>NOVOA RAMIREZ</t>
  </si>
  <si>
    <t>ORLANDO CHABUR CALVO</t>
  </si>
  <si>
    <t>orlando_chabur@cun.edu.co</t>
  </si>
  <si>
    <t>ORLANBASS2@GMAIL.COM</t>
  </si>
  <si>
    <t>3134093825</t>
  </si>
  <si>
    <t>ORLANDO</t>
  </si>
  <si>
    <t>CHABUR CALVO</t>
  </si>
  <si>
    <t>DANIEL FELIPE MORENO MENDOZA</t>
  </si>
  <si>
    <t>daniel_morenome@cun.edu.co</t>
  </si>
  <si>
    <t>danielfelipe95@gmail.com</t>
  </si>
  <si>
    <t>3174048001</t>
  </si>
  <si>
    <t>MORENO MENDOZA</t>
  </si>
  <si>
    <t>jorge_ariasm@cun.edu.co</t>
  </si>
  <si>
    <t>GEORGE.22.182@HOTMAIL.COM</t>
  </si>
  <si>
    <t>3007541798</t>
  </si>
  <si>
    <t>JORGE LEONARDO</t>
  </si>
  <si>
    <t>ARIAS MORENO</t>
  </si>
  <si>
    <t>JULIAN FELIPE BERNAL PEREZ</t>
  </si>
  <si>
    <t>julian_bernalpe@cun.edu.co</t>
  </si>
  <si>
    <t>BERNALJULIAN1306@GMAIL.COM</t>
  </si>
  <si>
    <t>3046218173</t>
  </si>
  <si>
    <t>JULIAN FELIPE</t>
  </si>
  <si>
    <t>BERNAL PEREZ</t>
  </si>
  <si>
    <t>TONY FRANCISCO SIERRA AGUAS</t>
  </si>
  <si>
    <t>tony_sierra@cun.edu.co</t>
  </si>
  <si>
    <t>tonyrtv16@gmail.com</t>
  </si>
  <si>
    <t>3022691063</t>
  </si>
  <si>
    <t>TONY FRANCISCO</t>
  </si>
  <si>
    <t>SIERRA AGUAS</t>
  </si>
  <si>
    <t>JUAN PABLO CASTRO QUINTERO</t>
  </si>
  <si>
    <t>juan_castroqui@cun.edu.co</t>
  </si>
  <si>
    <t>juanpablocastroq13@gmail.com</t>
  </si>
  <si>
    <t>3133297984</t>
  </si>
  <si>
    <t>CASTRO QUINTERO</t>
  </si>
  <si>
    <t>FRANCISCO ALEJANDRO CASTRO JARAMILLO</t>
  </si>
  <si>
    <t>francisco_castroja@cun.edu.co</t>
  </si>
  <si>
    <t>ALCAJA00@GMAIL.COM</t>
  </si>
  <si>
    <t>3176971372</t>
  </si>
  <si>
    <t>FRANCISCO ALEJANDRO</t>
  </si>
  <si>
    <t>CASTRO JARAMILLO</t>
  </si>
  <si>
    <t>SEBASTIAN DAVID GARCIA MENDOZA</t>
  </si>
  <si>
    <t>sebastian_garciam@cun.edu.co</t>
  </si>
  <si>
    <t>sebgarmen98@gmail.com</t>
  </si>
  <si>
    <t>3023268512</t>
  </si>
  <si>
    <t>SEBASTIAN DAVID</t>
  </si>
  <si>
    <t>GARCIA MENDOZA</t>
  </si>
  <si>
    <t>JULIAN DAVID RINCON GALAN</t>
  </si>
  <si>
    <t>julian_rinconga@cun.edu.co</t>
  </si>
  <si>
    <t>rincon.dvj@gmail.com</t>
  </si>
  <si>
    <t>3118928741</t>
  </si>
  <si>
    <t>RINCON GALAN</t>
  </si>
  <si>
    <t>HECTOR SNEYDER MARTINEZ PEREIRA</t>
  </si>
  <si>
    <t>hector_martinezpe@cun.edu.co</t>
  </si>
  <si>
    <t>litio09@hotmail.com</t>
  </si>
  <si>
    <t>3204305121</t>
  </si>
  <si>
    <t>HECTOR SNEYDER</t>
  </si>
  <si>
    <t>MARTINEZ PEREIRA</t>
  </si>
  <si>
    <t>ALVARO SANTIAGO JACOME FERREIRA</t>
  </si>
  <si>
    <t>alvaro_jacome@cun.edu.co</t>
  </si>
  <si>
    <t>realhitsstudio@gmail.com</t>
  </si>
  <si>
    <t>3102215809</t>
  </si>
  <si>
    <t>ALVARO SANTIAGO</t>
  </si>
  <si>
    <t>JACOME FERREIRA</t>
  </si>
  <si>
    <t>JORGE ANDRES ROJAS TAPIAS</t>
  </si>
  <si>
    <t>jorge_rojas@cun.edu.co</t>
  </si>
  <si>
    <t>guturt93@gmail.com</t>
  </si>
  <si>
    <t>3143697202</t>
  </si>
  <si>
    <t>ROJAS TAPIAS</t>
  </si>
  <si>
    <t>RAMON HUMBERTO CAMARGO PLATA</t>
  </si>
  <si>
    <t>ramon_camargo@cun.edu.co</t>
  </si>
  <si>
    <t>RAMONHCPLATA@GMAIL.COM</t>
  </si>
  <si>
    <t>3507753426</t>
  </si>
  <si>
    <t>RAMON HUMBERTO</t>
  </si>
  <si>
    <t>CAMARGO PLATA</t>
  </si>
  <si>
    <t>ANA SOFIA SANABRIA POSADA</t>
  </si>
  <si>
    <t>ana_sanabriap@cun.edu.co</t>
  </si>
  <si>
    <t>ANASOFIASAANPO@GMAIL.COM</t>
  </si>
  <si>
    <t>3195901931</t>
  </si>
  <si>
    <t>ANA SOFIA</t>
  </si>
  <si>
    <t>SANABRIA POSADA</t>
  </si>
  <si>
    <t>15444486</t>
  </si>
  <si>
    <t>JUAN FERNANDO CARDONA VERGARA</t>
  </si>
  <si>
    <t>juan_cardona@cun.edu.co</t>
  </si>
  <si>
    <t>zettaco@gmail.com</t>
  </si>
  <si>
    <t>3156651916</t>
  </si>
  <si>
    <t>CARDONA VERGARA</t>
  </si>
  <si>
    <t>CARLOS ANDRES GARRIDO MESA</t>
  </si>
  <si>
    <t>carlos_garrido@cun.edu.co</t>
  </si>
  <si>
    <t>ANDRESGARRIDO041@GMAIL.COM</t>
  </si>
  <si>
    <t>3212041383</t>
  </si>
  <si>
    <t>CARLOS ANDRES</t>
  </si>
  <si>
    <t>GARRIDO MESA</t>
  </si>
  <si>
    <t>SANTIAGO ANDRES INFANTE RODRIGUEZ</t>
  </si>
  <si>
    <t>santiago_infanter@cun.edu.co</t>
  </si>
  <si>
    <t>SANTIAGOINFANTESCRITO@GMAIL.COM</t>
  </si>
  <si>
    <t>3138875001</t>
  </si>
  <si>
    <t>SANTIAGO ANDRES</t>
  </si>
  <si>
    <t>INFANTE RODRIGUEZ</t>
  </si>
  <si>
    <t>CAMILO ANDRES HERNANDEZ SANDOVAL</t>
  </si>
  <si>
    <t>camilo_hernandezsa@cun.edu.co</t>
  </si>
  <si>
    <t>CAMILOAHERNANDEZ97@HOTMAIL.COM</t>
  </si>
  <si>
    <t>3028276875</t>
  </si>
  <si>
    <t>HERNANDEZ SANDOVAL</t>
  </si>
  <si>
    <t>IVAN DAVID DOMINGUEZ CRUZ</t>
  </si>
  <si>
    <t>ivan_dominguezc@cun.edu.co</t>
  </si>
  <si>
    <t>IVANDDOM@GMAIL.COM</t>
  </si>
  <si>
    <t>3057778840</t>
  </si>
  <si>
    <t>IVAN DAVID</t>
  </si>
  <si>
    <t>DOMINGUEZ CRUZ</t>
  </si>
  <si>
    <t>MIGUEL ERNESTO SANDINO MARTINEZ</t>
  </si>
  <si>
    <t>miguel_sandino@cun.edu.co</t>
  </si>
  <si>
    <t>MIGUESANDINO85@GMAIL.COM</t>
  </si>
  <si>
    <t>3193608481</t>
  </si>
  <si>
    <t>MIGUEL ERNESTO</t>
  </si>
  <si>
    <t>SANDINO MARTINEZ</t>
  </si>
  <si>
    <t>DANIELA SUAREZ JIMENEZ</t>
  </si>
  <si>
    <t>daniela_suarezj@cun.edu.co</t>
  </si>
  <si>
    <t>DANISUAREZJIMENEZ@GMAIL.COM</t>
  </si>
  <si>
    <t>3194421480</t>
  </si>
  <si>
    <t>DANIELA</t>
  </si>
  <si>
    <t>SUAREZ JIMENEZ</t>
  </si>
  <si>
    <t>1072896519</t>
  </si>
  <si>
    <t>LINDA GISSELA AGUILERA DOMINGUEZ</t>
  </si>
  <si>
    <t>DOCENTE DE CONTENIDOS AUDIOVISUALES</t>
  </si>
  <si>
    <t>linda_aguilerad@cun.edu.co</t>
  </si>
  <si>
    <t>dominguezlinda2023@gmail.com</t>
  </si>
  <si>
    <t>3164171403</t>
  </si>
  <si>
    <t>LINDA GISSELA</t>
  </si>
  <si>
    <t>AGUILERA DOMINGUEZ</t>
  </si>
  <si>
    <t>MAGNOLIA FAJARDO NARVAEZ</t>
  </si>
  <si>
    <t>EN PROCESO, INGRESO 1/08/2026</t>
  </si>
  <si>
    <t>MAGNOLIAFAJARDON@GMAIL.COM</t>
  </si>
  <si>
    <t>3232433772</t>
  </si>
  <si>
    <t>MAGNOLIA</t>
  </si>
  <si>
    <t>FAJARDO NARVAEZ</t>
  </si>
  <si>
    <t>LUZ MARINA AGUILERA ALVARADO</t>
  </si>
  <si>
    <t>luz_aguilera@cun.edu.co</t>
  </si>
  <si>
    <t>DELASPROFUNDIDADESLUZ@GMAIL.COM</t>
  </si>
  <si>
    <t>3112813889</t>
  </si>
  <si>
    <t>LUZ MARINA</t>
  </si>
  <si>
    <t>AGUILERA ALVARADO</t>
  </si>
  <si>
    <t>1102890459</t>
  </si>
  <si>
    <t>PAULA ALEJANDRA URBINA GOMEZ</t>
  </si>
  <si>
    <t>DOC AUX T&amp;T/N/TC/DIS PROD MOD/FUN.ACADE-ADMIN</t>
  </si>
  <si>
    <t>DISEÑO DE MODA Y PATRONAJE</t>
  </si>
  <si>
    <t>paula_urbina@cun.edu.co</t>
  </si>
  <si>
    <t>paulaurbina1999@gmail.com</t>
  </si>
  <si>
    <t>3044722036</t>
  </si>
  <si>
    <t>PAULA ALEJANDRA</t>
  </si>
  <si>
    <t>URBINA GOMEZ</t>
  </si>
  <si>
    <t>1110562052</t>
  </si>
  <si>
    <t>SAMUEL ESTEBAN SERNA MOLINA</t>
  </si>
  <si>
    <t>samuel_serna@cun.edu.co</t>
  </si>
  <si>
    <t>SAMUELSSERNA@HOTMAIL.COM</t>
  </si>
  <si>
    <t>324 5967594</t>
  </si>
  <si>
    <t>SAMUEL ESTEBAN</t>
  </si>
  <si>
    <t>SERNA MOLINA</t>
  </si>
  <si>
    <t>DIANA MARCELA GARCIA DIAZ</t>
  </si>
  <si>
    <t>DOC AUX T&amp;T/N/MT/DIS EXP INT</t>
  </si>
  <si>
    <t>DISEÑO EXPERIENCIAS INTERACTIVAS</t>
  </si>
  <si>
    <t>diana_garciad@cun.edu.co</t>
  </si>
  <si>
    <t>DIGARCIA1815@GMAIL.COM</t>
  </si>
  <si>
    <t>3208081766</t>
  </si>
  <si>
    <t>DIANA MARCELA</t>
  </si>
  <si>
    <t>GARCIA DIAZ</t>
  </si>
  <si>
    <t>1098640126</t>
  </si>
  <si>
    <t>JORGE ANDRES PEREZ GAMBOA</t>
  </si>
  <si>
    <t>DOC AUX T&amp;T/N/TC/DIS GRAFICO/PROYECCION</t>
  </si>
  <si>
    <t>jorge_perezg@cun.edu.co</t>
  </si>
  <si>
    <t>i.d.jorgeandresperez@gmail.com</t>
  </si>
  <si>
    <t>3167570661</t>
  </si>
  <si>
    <t>PEREZ GAMBOA</t>
  </si>
  <si>
    <t>NATHALIA LOPEZ ZAMBRANO</t>
  </si>
  <si>
    <t>DOCENTE ASIS/N/TC/DIS GRAFICO/FUN.ACADE-ADMIN</t>
  </si>
  <si>
    <t>nathalia_lopez@cun.edu.co</t>
  </si>
  <si>
    <t>renathalopezam@gmail.com</t>
  </si>
  <si>
    <t>3178252761</t>
  </si>
  <si>
    <t>NATHALIA</t>
  </si>
  <si>
    <t>LOPEZ ZAMBRANO</t>
  </si>
  <si>
    <t>PAOLA ANDREA DLUYZ MONSALVE</t>
  </si>
  <si>
    <t>paola_dluyz@cun.edu.co</t>
  </si>
  <si>
    <t>pdluyz@gmail.com</t>
  </si>
  <si>
    <t>3203498774</t>
  </si>
  <si>
    <t>PAOLA ANDREA</t>
  </si>
  <si>
    <t>DLUYZ MONSALVE</t>
  </si>
  <si>
    <t>LEONARDO REYES CATÓLICO</t>
  </si>
  <si>
    <t>leonardo_reyes@cun.edu.co</t>
  </si>
  <si>
    <t>lioniandi@hotmail.com</t>
  </si>
  <si>
    <t>3166020777</t>
  </si>
  <si>
    <t>REYES CATÓLICO</t>
  </si>
  <si>
    <t>ANDRES JULIAN SOTELO GUTIERREZ</t>
  </si>
  <si>
    <t>andres_sotelo@cun.edu.co</t>
  </si>
  <si>
    <t>soteloandres1@gmail.com</t>
  </si>
  <si>
    <t>3124669253</t>
  </si>
  <si>
    <t>SOTELO GUTIERREZ</t>
  </si>
  <si>
    <t>JEISSON EDUARDO PEREZ PARDO</t>
  </si>
  <si>
    <t>DOCENTE AUX/N/TC/DIS GRAFICO/FUN.ACADE-ADMIN</t>
  </si>
  <si>
    <t>jeisson_perez@cun.edu.co</t>
  </si>
  <si>
    <t>JEISSONE.PEREZPARDO@GMAIL.COM</t>
  </si>
  <si>
    <t>3187345031</t>
  </si>
  <si>
    <t>JEISSON EDUARDO</t>
  </si>
  <si>
    <t>PEREZ PARDO</t>
  </si>
  <si>
    <t>7691663</t>
  </si>
  <si>
    <t>MARCO ANTONIO MORENO MUÑOZ</t>
  </si>
  <si>
    <t>marco_moreno@cun.edu.co</t>
  </si>
  <si>
    <t>marcomore@gmail.com</t>
  </si>
  <si>
    <t>3104708895</t>
  </si>
  <si>
    <t>MORENO MUÑOZ</t>
  </si>
  <si>
    <t>RICARDO BARONA DUQUE</t>
  </si>
  <si>
    <t>ricardo_barona@cun.edu.co</t>
  </si>
  <si>
    <t>ricardobaronaduque@gmail.com</t>
  </si>
  <si>
    <t>3003636139</t>
  </si>
  <si>
    <t>RICARDO</t>
  </si>
  <si>
    <t>BARONA DUQUE</t>
  </si>
  <si>
    <t>LUIS RODRIGO CARDOZO POLANIA</t>
  </si>
  <si>
    <t>luis_cardozo@cun.edu.co</t>
  </si>
  <si>
    <t>proferoca@gmail.com</t>
  </si>
  <si>
    <t>3172351844</t>
  </si>
  <si>
    <t>LUIS RODRIGO</t>
  </si>
  <si>
    <t>CARDOZO POLANIA</t>
  </si>
  <si>
    <t>JAVIER ANTONIO VARGAS ACOSTA</t>
  </si>
  <si>
    <t>javier_vargas@cun.edu.co</t>
  </si>
  <si>
    <t>vjavier7@gmail.com</t>
  </si>
  <si>
    <t>3176813490</t>
  </si>
  <si>
    <t>JAVIER ANTONIO</t>
  </si>
  <si>
    <t>VARGAS ACOSTA</t>
  </si>
  <si>
    <t>ERIKA ROCIO ROMERO ORJUELA</t>
  </si>
  <si>
    <t>erika_romero@cun.edu.co</t>
  </si>
  <si>
    <t>ahgatavioleta@gmail.com</t>
  </si>
  <si>
    <t>3163670141</t>
  </si>
  <si>
    <t>ERIKA ROCIO</t>
  </si>
  <si>
    <t>ROMERO ORJUELA</t>
  </si>
  <si>
    <t>EDGAR ALBERTO RODRIGUEZ SANCHEZ</t>
  </si>
  <si>
    <t>edgar_rodriguezsan@cun.edu.co</t>
  </si>
  <si>
    <t>profealberto12@gmail.com</t>
  </si>
  <si>
    <t>3124628184</t>
  </si>
  <si>
    <t>EDGAR ALBERTO</t>
  </si>
  <si>
    <t>RODRIGUEZ SANCHEZ</t>
  </si>
  <si>
    <t>DANILO ALEJANDRO RIVERA PLATA</t>
  </si>
  <si>
    <t>DOCENTE ASOC/N/TC/DIS GRAFICO/PROYECCION</t>
  </si>
  <si>
    <t>danilo_rivera@cun.edu.co</t>
  </si>
  <si>
    <t>azulsable@gmail.com</t>
  </si>
  <si>
    <t>3123824352</t>
  </si>
  <si>
    <t>DANILO ALEJANDRO</t>
  </si>
  <si>
    <t>RIVERA PLATA</t>
  </si>
  <si>
    <t>ADRIANA JUDITH SANCHEZ HERNANDEZ</t>
  </si>
  <si>
    <t>adriana_sanchezh@cun.edu.co</t>
  </si>
  <si>
    <t>judith_j@hotmail.es</t>
  </si>
  <si>
    <t>3166136100</t>
  </si>
  <si>
    <t>ADRIANA JUDITH</t>
  </si>
  <si>
    <t>SANCHEZ HERNANDEZ</t>
  </si>
  <si>
    <t>1030659098</t>
  </si>
  <si>
    <t>CAMILO ANDRES CARDONA RIVERA</t>
  </si>
  <si>
    <t>DOC AUX T&amp;T/N/V/MT/DIS GRAFICO</t>
  </si>
  <si>
    <t>camilo_cardonar@cun.edu.co</t>
  </si>
  <si>
    <t>camiandrecar@gmail.com</t>
  </si>
  <si>
    <t>3105622843</t>
  </si>
  <si>
    <t>CARDONA RIVERA</t>
  </si>
  <si>
    <t>JOSE GERARDO MARTINEZ LUENGAS</t>
  </si>
  <si>
    <t>jose_martinez@cun.edu.co</t>
  </si>
  <si>
    <t>gerardo_mart@yahoo.com</t>
  </si>
  <si>
    <t>3003192557</t>
  </si>
  <si>
    <t>JOSE GERARDO</t>
  </si>
  <si>
    <t>MARTINEZ LUENGAS</t>
  </si>
  <si>
    <t>80931741</t>
  </si>
  <si>
    <t>ANDRES RUFINO BARRETO ALARCON</t>
  </si>
  <si>
    <t>andres_barreto@cun.edu.co</t>
  </si>
  <si>
    <t>rufopage85@gmail.com</t>
  </si>
  <si>
    <t>3223780285</t>
  </si>
  <si>
    <t>ANDRES RUFINO</t>
  </si>
  <si>
    <t>BARRETO ALARCON</t>
  </si>
  <si>
    <t>JOAN SEBASTIAN MAYORGA CABRERA</t>
  </si>
  <si>
    <t>DOCENTE AUX/N/TC/DIS GRAFICO/PROYECCION</t>
  </si>
  <si>
    <t>joan_mayorga@cun.edu.co</t>
  </si>
  <si>
    <t>jsmayorgaca@unal.edu.co</t>
  </si>
  <si>
    <t>3132437030</t>
  </si>
  <si>
    <t>JOAN SEBASTIAN</t>
  </si>
  <si>
    <t>MAYORGA CABRERA</t>
  </si>
  <si>
    <t>JULIETH ESMERALDA BAQUERO SAENZ</t>
  </si>
  <si>
    <t>julieth_baquero@cun.edu.co</t>
  </si>
  <si>
    <t>juliethsaenz@hotmail.com</t>
  </si>
  <si>
    <t>3229045136</t>
  </si>
  <si>
    <t>JULIETH ESMERALDA</t>
  </si>
  <si>
    <t>BAQUERO SAENZ</t>
  </si>
  <si>
    <t>BEBSY DANIELA MARTINEZ GONZALEZ</t>
  </si>
  <si>
    <t>bebsy_martinez@cun.edu.co</t>
  </si>
  <si>
    <t>daniela.martinezmc0409@gmail.com</t>
  </si>
  <si>
    <t>3102947300</t>
  </si>
  <si>
    <t>BEBSY DANIELA</t>
  </si>
  <si>
    <t>MARTINEZ GONZALEZ</t>
  </si>
  <si>
    <t>1110475104</t>
  </si>
  <si>
    <t>EDGAR ESTEBAN CAMPOS RAMIREZ</t>
  </si>
  <si>
    <t>DOCENTE AUX/N/MT/DIS GRAFICO</t>
  </si>
  <si>
    <t>Edgar_Campos@cun.edu.co</t>
  </si>
  <si>
    <t>estebancampospic@gmail.com</t>
  </si>
  <si>
    <t>3173506628</t>
  </si>
  <si>
    <t>EDGAR ESTEBAN</t>
  </si>
  <si>
    <t>CAMPOS RAMIREZ</t>
  </si>
  <si>
    <t>JORGE ALBERTO ACUÑA CASTILLO</t>
  </si>
  <si>
    <t>DOCENTE ASOC/N/TC/DIS GRAFICO/FUN.ACADE-ADMIN</t>
  </si>
  <si>
    <t>jorge_acuna@cun.edu.co</t>
  </si>
  <si>
    <t>jorge.acuna@mail.com</t>
  </si>
  <si>
    <t>3134255573</t>
  </si>
  <si>
    <t>ACUÑA CASTILLO</t>
  </si>
  <si>
    <t>1110522157</t>
  </si>
  <si>
    <t>JUAN FELIPE ARANA MACHADO</t>
  </si>
  <si>
    <t>juan_aranam@cun.edu.co</t>
  </si>
  <si>
    <t>jaranamachado@gmail.com</t>
  </si>
  <si>
    <t>3185148150</t>
  </si>
  <si>
    <t>ARANA MACHADO</t>
  </si>
  <si>
    <t>DAVID FERNANDO JURADO MONTOYA</t>
  </si>
  <si>
    <t>DOC ASOC/N/V/MT/DIS GRAFICO</t>
  </si>
  <si>
    <t>david_jurado@cun.edu.co</t>
  </si>
  <si>
    <t>dajuradom@gmail.com</t>
  </si>
  <si>
    <t>3016309773</t>
  </si>
  <si>
    <t>DAVID FERNANDO</t>
  </si>
  <si>
    <t>JURADO MONTOYA</t>
  </si>
  <si>
    <t>JESSICA MOLANO RODRIGUEZ</t>
  </si>
  <si>
    <t>DOC AUX/N/V/MT/DIS GRAFICO</t>
  </si>
  <si>
    <t>jessica_molano@cun.edu.co</t>
  </si>
  <si>
    <t>jesmolano.r@gmail.com</t>
  </si>
  <si>
    <t>3232839396</t>
  </si>
  <si>
    <t>JESSICA</t>
  </si>
  <si>
    <t>MOLANO RODRIGUEZ</t>
  </si>
  <si>
    <t>DIANA KATHERINE HERNANDEZ MILLAN</t>
  </si>
  <si>
    <t>diana_hernandezm@cun.edu.co</t>
  </si>
  <si>
    <t>dpublicista@gmail.com</t>
  </si>
  <si>
    <t>3208966779</t>
  </si>
  <si>
    <t>DIANA KATHERINE</t>
  </si>
  <si>
    <t>HERNANDEZ MILLAN</t>
  </si>
  <si>
    <t>1075322807</t>
  </si>
  <si>
    <t>GERMAN DAVID CAMACHO GUEVARA</t>
  </si>
  <si>
    <t>german_camachog@cun.edu.co</t>
  </si>
  <si>
    <t>Gcamacho0124@gmail.com</t>
  </si>
  <si>
    <t>3222402400</t>
  </si>
  <si>
    <t>GERMAN DAVID</t>
  </si>
  <si>
    <t>CAMACHO GUEVARA</t>
  </si>
  <si>
    <t>JAIME ANDRES TAUTIVA GOMEZ</t>
  </si>
  <si>
    <t>jaime_tautiva@cun.edu.co</t>
  </si>
  <si>
    <t>jtautiva@gmail.com</t>
  </si>
  <si>
    <t>3125529196</t>
  </si>
  <si>
    <t>JAIME ANDRES</t>
  </si>
  <si>
    <t>TAUTIVA GOMEZ</t>
  </si>
  <si>
    <t>1031181367</t>
  </si>
  <si>
    <t>LEIDY TATIANA LEON SANCHEZ</t>
  </si>
  <si>
    <t>leidy_leon@cun.edu.co</t>
  </si>
  <si>
    <t>tatiana9917sanchez@gmail.com</t>
  </si>
  <si>
    <t>3195092154</t>
  </si>
  <si>
    <t>LEIDY TATIANA</t>
  </si>
  <si>
    <t>LEON SANCHEZ</t>
  </si>
  <si>
    <t>JOSE LUIS MEDINA PUENTES</t>
  </si>
  <si>
    <t>DOC AUX/N/V/TC/DIS GRAFICO/FUN.ACADE-ADM</t>
  </si>
  <si>
    <t>jose_medina@cun.edu.co</t>
  </si>
  <si>
    <t>joseluismedinapuentes@hotmail.com</t>
  </si>
  <si>
    <t>3134088147</t>
  </si>
  <si>
    <t>JOSE LUIS</t>
  </si>
  <si>
    <t>MEDINA PUENTES</t>
  </si>
  <si>
    <t>LADY MARIANE FONTALVO TOLOSA</t>
  </si>
  <si>
    <t>lady_fontalvo@cun.edu.co</t>
  </si>
  <si>
    <t>ladymfontalvo@gmail.com</t>
  </si>
  <si>
    <t>3008993339</t>
  </si>
  <si>
    <t>LADY MARIANE</t>
  </si>
  <si>
    <t>FONTALVO TOLOSA</t>
  </si>
  <si>
    <t>kelly_sierra@cun.edu.co</t>
  </si>
  <si>
    <t>nanitak@gmail.com</t>
  </si>
  <si>
    <t>3223738497</t>
  </si>
  <si>
    <t>SIERRA RODRIGUEZ</t>
  </si>
  <si>
    <t>ANDRES CAMILO MORENO RODRÍGUEZ</t>
  </si>
  <si>
    <t>andres_morenor@cun.edu.co</t>
  </si>
  <si>
    <t>acamilo792@gmail.com</t>
  </si>
  <si>
    <t>3168368534</t>
  </si>
  <si>
    <t>ANDRES CAMILO</t>
  </si>
  <si>
    <t>MORENO RODRÍGUEZ</t>
  </si>
  <si>
    <t>1106896891</t>
  </si>
  <si>
    <t>SERGIO ANDRES TRUJILLO QUINTERO</t>
  </si>
  <si>
    <t>sergio_trujilloq@cun.edu.co</t>
  </si>
  <si>
    <t>satq95@gmail.com</t>
  </si>
  <si>
    <t>3123265417</t>
  </si>
  <si>
    <t>TRUJILLO QUINTERO</t>
  </si>
  <si>
    <t>JUAN MANUEL SAAVEDRA CARDENAS</t>
  </si>
  <si>
    <t>juan_saavedrac@cun.edu.co</t>
  </si>
  <si>
    <t>manolosaa.25@gmail.com</t>
  </si>
  <si>
    <t>3164101679</t>
  </si>
  <si>
    <t>SAAVEDRA CARDENAS</t>
  </si>
  <si>
    <t>1234641523</t>
  </si>
  <si>
    <t>LAURA MARIANA RUBIO QUINTERO</t>
  </si>
  <si>
    <t>laura_rubio@cun.edu.co</t>
  </si>
  <si>
    <t>laurismariana@gmail.com</t>
  </si>
  <si>
    <t>3108132038</t>
  </si>
  <si>
    <t>LAURA MARIANA</t>
  </si>
  <si>
    <t>RUBIO QUINTERO</t>
  </si>
  <si>
    <t>LIZETH VANESSA MARTINEZ PALACIO</t>
  </si>
  <si>
    <t>lizeth_martinezp@cun.edu.co</t>
  </si>
  <si>
    <t>lizetharock@gmail.com</t>
  </si>
  <si>
    <t>3053076064</t>
  </si>
  <si>
    <t>LIZETH VANESSA</t>
  </si>
  <si>
    <t>MARTINEZ PALACIO</t>
  </si>
  <si>
    <t>1022434102</t>
  </si>
  <si>
    <t>ANGIE PAOLA VILLAMIL CUELLAR</t>
  </si>
  <si>
    <t>angie_villamil@cun.edu.co</t>
  </si>
  <si>
    <t>paolavillamil99@gmail.com</t>
  </si>
  <si>
    <t>3142541308</t>
  </si>
  <si>
    <t>VILLAMIL CUELLAR</t>
  </si>
  <si>
    <t>1017156205</t>
  </si>
  <si>
    <t>ALEXANDRA CAROLINA GONZALEZ ESCOBAR</t>
  </si>
  <si>
    <t>alexandra_gonzaleze@cun.edu.co</t>
  </si>
  <si>
    <t>contactoinvector@gmail.com</t>
  </si>
  <si>
    <t>3015780639</t>
  </si>
  <si>
    <t>ALEXANDRA CAROLINA</t>
  </si>
  <si>
    <t>GONZALEZ ESCOBAR</t>
  </si>
  <si>
    <t>52453535</t>
  </si>
  <si>
    <t>OLGA LILIANA CAYCEDO HERNANDEZ</t>
  </si>
  <si>
    <t>olga_caycedo@cun.edu.co</t>
  </si>
  <si>
    <t>lacanem3@gmail.com</t>
  </si>
  <si>
    <t>3206357953</t>
  </si>
  <si>
    <t>OLGA LILIANA</t>
  </si>
  <si>
    <t>CAYCEDO HERNANDEZ</t>
  </si>
  <si>
    <t>ANGEL LEONARDO PORTUGUEZ RODRIGUEZ</t>
  </si>
  <si>
    <t>angel_portuguez@cun.edu.co</t>
  </si>
  <si>
    <t>leopoldo-04@hotmail.com</t>
  </si>
  <si>
    <t>3173916519</t>
  </si>
  <si>
    <t>ANGEL LEONARDO</t>
  </si>
  <si>
    <t>PORTUGUEZ RODRIGUEZ</t>
  </si>
  <si>
    <t>79876824</t>
  </si>
  <si>
    <t>OSCAR JAVIER SANDOVAL RODRIGUEZ</t>
  </si>
  <si>
    <t>oscar_sandovalr@cun.edu.co</t>
  </si>
  <si>
    <t>placard@hotmail.com</t>
  </si>
  <si>
    <t>3002413055</t>
  </si>
  <si>
    <t>OSCAR JAVIER</t>
  </si>
  <si>
    <t>SANDOVAL RODRIGUEZ</t>
  </si>
  <si>
    <t>65630279</t>
  </si>
  <si>
    <t>LEIDY YURANNY ESTRADA ESCOBAR</t>
  </si>
  <si>
    <t>yurany_estradae@cun.edu.co</t>
  </si>
  <si>
    <t>anyshalom@hotmail.com</t>
  </si>
  <si>
    <t>3133257739</t>
  </si>
  <si>
    <t>LEIDY YURANNY</t>
  </si>
  <si>
    <t>ESTRADA ESCOBAR</t>
  </si>
  <si>
    <t>ANA MARIA PEREZ ARITAMA</t>
  </si>
  <si>
    <t>ana_perez@cun.edu.co</t>
  </si>
  <si>
    <t>anaprez97@gmail.com</t>
  </si>
  <si>
    <t>3046282362</t>
  </si>
  <si>
    <t>PEREZ ARITAMA</t>
  </si>
  <si>
    <t>DAVID STIVEN PEREZ BOHORQUEZ</t>
  </si>
  <si>
    <t>david_perez@cun.edu.co</t>
  </si>
  <si>
    <t>Alex08dgn@gmail.com</t>
  </si>
  <si>
    <t>3134340640</t>
  </si>
  <si>
    <t>DAVID STIVEN</t>
  </si>
  <si>
    <t>PEREZ BOHORQUEZ</t>
  </si>
  <si>
    <t>CARLOS MARIO ACOSTA BARROS</t>
  </si>
  <si>
    <t>carlos_acostab@cun.edu.co</t>
  </si>
  <si>
    <t>carlosmacosta24@gmail.com</t>
  </si>
  <si>
    <t>3014528200</t>
  </si>
  <si>
    <t>CARLOS MARIO</t>
  </si>
  <si>
    <t>ACOSTA BARROS</t>
  </si>
  <si>
    <t>1075305068</t>
  </si>
  <si>
    <t>LUISA FERNANDA RAMOS MONTEALEGRE</t>
  </si>
  <si>
    <t>luisa_ramosm@cun.edu.co</t>
  </si>
  <si>
    <t>lf.creativapublicitaria@gmail.com</t>
  </si>
  <si>
    <t>3115260312</t>
  </si>
  <si>
    <t>RAMOS MONTEALEGRE</t>
  </si>
  <si>
    <t>LUIS GABRIEL ANTOLINEZ CHACIN</t>
  </si>
  <si>
    <t>luis_antolinez@cun.edu.co</t>
  </si>
  <si>
    <t>GABBOANTOLINEZ@GMAIL.COM</t>
  </si>
  <si>
    <t>3016034416</t>
  </si>
  <si>
    <t>LUIS GABRIEL</t>
  </si>
  <si>
    <t>ANTOLINEZ CHACIN</t>
  </si>
  <si>
    <t>5827554</t>
  </si>
  <si>
    <t>GUILLERMO ANDRES JARAMILLO AREVALO</t>
  </si>
  <si>
    <t>guillermo_jaramillo@cun.edu.co</t>
  </si>
  <si>
    <t>guillermojaramilloartista@gmail.com</t>
  </si>
  <si>
    <t>3175387548</t>
  </si>
  <si>
    <t>JARAMILLO AREVALO</t>
  </si>
  <si>
    <t>1085258582</t>
  </si>
  <si>
    <t>JOSE LUIS PANTOJA REALPE</t>
  </si>
  <si>
    <t>jose_pantoja@cun.edu.co</t>
  </si>
  <si>
    <t>jlpr725@gmail.com</t>
  </si>
  <si>
    <t>3142805349</t>
  </si>
  <si>
    <t>PANTOJA REALPE</t>
  </si>
  <si>
    <t>MARIO ALBERTO PINEDA SORIANO</t>
  </si>
  <si>
    <t>mario_pineda@cun.edu.co</t>
  </si>
  <si>
    <t>mapinedas.consultor@gmail.com</t>
  </si>
  <si>
    <t>3144904739</t>
  </si>
  <si>
    <t>MARIO ALBERTO</t>
  </si>
  <si>
    <t>PINEDA SORIANO</t>
  </si>
  <si>
    <t>JHON ALEXANDER UYAZAN MAYORGA</t>
  </si>
  <si>
    <t>jhon_uyazan@cun.edu.co</t>
  </si>
  <si>
    <t>john.uyazan@gmail.com</t>
  </si>
  <si>
    <t>3157879867</t>
  </si>
  <si>
    <t>JHON ALEXANDER</t>
  </si>
  <si>
    <t>UYAZAN MAYORGA</t>
  </si>
  <si>
    <t>CARLOS IVAN ABREU AVELLANEDA</t>
  </si>
  <si>
    <t>carlos_abreu@cun.edu.co</t>
  </si>
  <si>
    <t>abreu456@hotmail.com</t>
  </si>
  <si>
    <t>3157090176</t>
  </si>
  <si>
    <t>CARLOS IVAN</t>
  </si>
  <si>
    <t>ABREU AVELLANEDA</t>
  </si>
  <si>
    <t>80126340</t>
  </si>
  <si>
    <t>HENRY GONZALEZ GARCIA</t>
  </si>
  <si>
    <t>henry_gonzalez@cun.edu.co</t>
  </si>
  <si>
    <t>henryx82@gmail.com</t>
  </si>
  <si>
    <t>3138898457</t>
  </si>
  <si>
    <t>HENRY</t>
  </si>
  <si>
    <t>GONZALEZ GARCIA</t>
  </si>
  <si>
    <t>1111200230</t>
  </si>
  <si>
    <t>CARLOS MARIO PIRAGUA RUGELES</t>
  </si>
  <si>
    <t>carlos_piragua@cun.edu.co</t>
  </si>
  <si>
    <t>cmpiraguar@gmail.com</t>
  </si>
  <si>
    <t>3013855587</t>
  </si>
  <si>
    <t>PIRAGUA RUGELES</t>
  </si>
  <si>
    <t>juan_jaramillosca@cun.edu.co</t>
  </si>
  <si>
    <t>jaras3dart@gmail.com</t>
  </si>
  <si>
    <t>3133840232</t>
  </si>
  <si>
    <t>JARAMILLO SCARPETTA</t>
  </si>
  <si>
    <t>1234646469</t>
  </si>
  <si>
    <t>GABRIEL ANDRES GOMEZ VALBUENA</t>
  </si>
  <si>
    <t>gabriel_gomez@cun.edu.co</t>
  </si>
  <si>
    <t>Gabrielg00914@gmail.com</t>
  </si>
  <si>
    <t>3168273206</t>
  </si>
  <si>
    <t>GABRIEL ANDRES</t>
  </si>
  <si>
    <t>GOMEZ VALBUENA</t>
  </si>
  <si>
    <t>DIEGO ANDRES FANDIÑO PRIETO</t>
  </si>
  <si>
    <t>DOC ASIS/N/V/TC/DIS GRAFI/FUN.ACADE-A</t>
  </si>
  <si>
    <t>diego_fandino@cun.edu.co</t>
  </si>
  <si>
    <t>fandino.diego@gmail.com</t>
  </si>
  <si>
    <t>3059114552</t>
  </si>
  <si>
    <t>DIEGO ANDRES</t>
  </si>
  <si>
    <t>FANDIÑO PRIETO</t>
  </si>
  <si>
    <t>MIKE ALEXANDRE MUNAR GUAYARA</t>
  </si>
  <si>
    <t>mike_munar@cun.edu.co</t>
  </si>
  <si>
    <t>mikeamunar@gmail.com</t>
  </si>
  <si>
    <t>3058604974</t>
  </si>
  <si>
    <t>MIKE ALEXANDRE</t>
  </si>
  <si>
    <t>MUNAR GUAYARA</t>
  </si>
  <si>
    <t>PAULA CAMILA HUERTAS QUINTERO</t>
  </si>
  <si>
    <t>paula_huertas@cun.edu.co</t>
  </si>
  <si>
    <t>Phuertasq2@gmail.com</t>
  </si>
  <si>
    <t>3105527413</t>
  </si>
  <si>
    <t>PAULA CAMILA</t>
  </si>
  <si>
    <t>HUERTAS QUINTERO</t>
  </si>
  <si>
    <t>LINA MARIA MARTINEZ PLAZAS</t>
  </si>
  <si>
    <t>lina_martinezpla@cun.edu.co</t>
  </si>
  <si>
    <t>MARTINEZPLAZASMARIA@GMAIL.COM</t>
  </si>
  <si>
    <t>302 3178057</t>
  </si>
  <si>
    <t>MARTINEZ PLAZAS</t>
  </si>
  <si>
    <t>1121835674</t>
  </si>
  <si>
    <t>JHON ARLEY PARRADO ARENAS</t>
  </si>
  <si>
    <t>jhon_parradoa@cun.edu.co</t>
  </si>
  <si>
    <t>ARENASJHON782@GMAIL.COM</t>
  </si>
  <si>
    <t>315 7892104</t>
  </si>
  <si>
    <t>JHON ARLEY</t>
  </si>
  <si>
    <t>PARRADO ARENAS</t>
  </si>
  <si>
    <t>OSCAR MAURICIO CASTELLANOS ÑAÑEZ</t>
  </si>
  <si>
    <t>oscar_castellanos@cun.edu.co</t>
  </si>
  <si>
    <t>oscarmauricioc@gmail.com</t>
  </si>
  <si>
    <t>3102133607</t>
  </si>
  <si>
    <t>OSCAR MAURICIO</t>
  </si>
  <si>
    <t>CASTELLANOS ÑAÑEZ</t>
  </si>
  <si>
    <t>FELIPE AREVALO MORENO</t>
  </si>
  <si>
    <t>felipe_arevalo@cun.edu.co</t>
  </si>
  <si>
    <t>publicista76@gmail.com</t>
  </si>
  <si>
    <t>3125538334</t>
  </si>
  <si>
    <t>FELIPE</t>
  </si>
  <si>
    <t>AREVALO MORENO</t>
  </si>
  <si>
    <t>DANIEL DAVID MORALES BARRIOS</t>
  </si>
  <si>
    <t>daniel_moralesba@cun.edu.co</t>
  </si>
  <si>
    <t>DANMB.ART@GMAIL.COM</t>
  </si>
  <si>
    <t>312 2760583</t>
  </si>
  <si>
    <t>DANIEL DAVID</t>
  </si>
  <si>
    <t>MORALES BARRIOS</t>
  </si>
  <si>
    <t>SEBASTIAN FELIPE CAMARGO LEON</t>
  </si>
  <si>
    <t>DOC AUX T&amp;T/N/V/TC/DIS GRAFICO/FUN.ACADE</t>
  </si>
  <si>
    <t>sebastian_camargo@cun.edu.co</t>
  </si>
  <si>
    <t>camargopublicidad@gmail.com</t>
  </si>
  <si>
    <t>3238397976</t>
  </si>
  <si>
    <t>SEBASTIAN FELIPE</t>
  </si>
  <si>
    <t>CAMARGO LEON</t>
  </si>
  <si>
    <t>1110459403</t>
  </si>
  <si>
    <t>CESAR AUGUSTO CALDERON VILLAMIL</t>
  </si>
  <si>
    <t>cesar_calderonv@cun.edu.co</t>
  </si>
  <si>
    <t>ccalderon19v@hotmail.com</t>
  </si>
  <si>
    <t>3133086957</t>
  </si>
  <si>
    <t>CALDERON VILLAMIL</t>
  </si>
  <si>
    <t>JOHN ALEXANDER FERRER MAYORGA</t>
  </si>
  <si>
    <t>john_ferrerm@cun.edu.co</t>
  </si>
  <si>
    <t>jaferrerdesign@gmail.com</t>
  </si>
  <si>
    <t>3028305769</t>
  </si>
  <si>
    <t>JOHN ALEXANDER</t>
  </si>
  <si>
    <t>FERRER MAYORGA</t>
  </si>
  <si>
    <t>SERGIO IVAN ALBARRACIN SANCHEZ</t>
  </si>
  <si>
    <t>sergio_albarracinsa@cun.edu.co</t>
  </si>
  <si>
    <t>SERGIOI.ALBARRACINS@GMAIL.COM</t>
  </si>
  <si>
    <t>311 4738744</t>
  </si>
  <si>
    <t>SERGIO IVAN</t>
  </si>
  <si>
    <t>ALBARRACIN SANCHEZ</t>
  </si>
  <si>
    <t>1110517557</t>
  </si>
  <si>
    <t>MARIA CAMILA AVILA ISAACS</t>
  </si>
  <si>
    <t>maria_avila@cun.edu.co</t>
  </si>
  <si>
    <t>mariacamilaavila08@gmail.com</t>
  </si>
  <si>
    <t>3158132275</t>
  </si>
  <si>
    <t>MARIA CAMILA</t>
  </si>
  <si>
    <t>AVILA ISAACS</t>
  </si>
  <si>
    <t>1110524275</t>
  </si>
  <si>
    <t>PAOLA ANDREA RODRIGUEZ TRIVIÑO</t>
  </si>
  <si>
    <t>paola_rodriguetrz@cun.edu.co</t>
  </si>
  <si>
    <t>paolarte360@gmail.com</t>
  </si>
  <si>
    <t>3044090480</t>
  </si>
  <si>
    <t>RODRIGUEZ TRIVIÑO</t>
  </si>
  <si>
    <t>maria_alcazar@cun.edu.co</t>
  </si>
  <si>
    <t>marialcazar98@gmail.com</t>
  </si>
  <si>
    <t>3023397677</t>
  </si>
  <si>
    <t>MARIA ALEJANDRA</t>
  </si>
  <si>
    <t>ALCAZAR QUINTO</t>
  </si>
  <si>
    <t>MARIA CLAUDIA MUÑOZ FAJARDO</t>
  </si>
  <si>
    <t>maria_munozf@cun.edu.co</t>
  </si>
  <si>
    <t>maclaum@gmail.com</t>
  </si>
  <si>
    <t>3103297045</t>
  </si>
  <si>
    <t>MARIA CLAUDIA</t>
  </si>
  <si>
    <t>MUÑOZ FAJARDO</t>
  </si>
  <si>
    <t>1110475692</t>
  </si>
  <si>
    <t>LESLY NATALIA SANCHEZ RODRIGUEZ</t>
  </si>
  <si>
    <t>DOC AUX T&amp;T/N/MT/DIS GRAFICO</t>
  </si>
  <si>
    <t>lesly_sanchezro@cun.edu.co</t>
  </si>
  <si>
    <t>nattico7@gmail.com</t>
  </si>
  <si>
    <t>3102099493</t>
  </si>
  <si>
    <t>LESLY NATALIA</t>
  </si>
  <si>
    <t>SANCHEZ RODRIGUEZ</t>
  </si>
  <si>
    <t>JAIME EDUARDO TRUJILLO MARULANDA</t>
  </si>
  <si>
    <t>jaime_trujilloma@cun.edu.co</t>
  </si>
  <si>
    <t>trujillomarulandajota@gmail.com</t>
  </si>
  <si>
    <t>3104601050</t>
  </si>
  <si>
    <t>JAIME EDUARDO</t>
  </si>
  <si>
    <t>TRUJILLO MARULANDA</t>
  </si>
  <si>
    <t>CARLOS ARTURO PEÑALOZA HERRERA</t>
  </si>
  <si>
    <t>carlos_penalozahe@cun.edu.co</t>
  </si>
  <si>
    <t>animadorcarlosp@gmail.com</t>
  </si>
  <si>
    <t>3134817676</t>
  </si>
  <si>
    <t>PEÑALOZA HERRERA</t>
  </si>
  <si>
    <t>ROBINSON ANDRES DE LEON PEREZ</t>
  </si>
  <si>
    <t>robinson_de@cun.edu.co</t>
  </si>
  <si>
    <t>Robinson.deleon@cun.edu.co</t>
  </si>
  <si>
    <t>3332605688</t>
  </si>
  <si>
    <t>ROBINSON ANDRES</t>
  </si>
  <si>
    <t>DE LEON PEREZ</t>
  </si>
  <si>
    <t>MIGUEL ANGEL SANCHEZ CASTRO</t>
  </si>
  <si>
    <t>miguel_sanchezc@cun.edu.co</t>
  </si>
  <si>
    <t>MANGELSANCHEZ98@GMAIL.COM</t>
  </si>
  <si>
    <t>3197167711</t>
  </si>
  <si>
    <t>SANCHEZ CASTRO</t>
  </si>
  <si>
    <t>MIGUEL ANGEL ACOSTA SANABRIA</t>
  </si>
  <si>
    <t>DOCENTE ASIS/N/MT/DIS GRAFICO</t>
  </si>
  <si>
    <t>miguel_acostas@cun.edu.co</t>
  </si>
  <si>
    <t>MIGUELACOSTA28@ME.COM</t>
  </si>
  <si>
    <t>3182760847</t>
  </si>
  <si>
    <t>ACOSTA SANABRIA</t>
  </si>
  <si>
    <t>DAVID ALFONSO SACRISTAN BERNAL</t>
  </si>
  <si>
    <t>DAVISAK21@GMAIL.COM</t>
  </si>
  <si>
    <t>3045655835</t>
  </si>
  <si>
    <t>DAVID ALFONSO</t>
  </si>
  <si>
    <t>SACRISTAN BERNAL</t>
  </si>
  <si>
    <t>1075320171</t>
  </si>
  <si>
    <t>MAIRA YUCELY SANCHEZ HERRERA</t>
  </si>
  <si>
    <t>mayra_sanchezh@cun.edu.co</t>
  </si>
  <si>
    <t>maira.herrera9908@gmail.com</t>
  </si>
  <si>
    <t>3173753441</t>
  </si>
  <si>
    <t>MAIRA YUCELY</t>
  </si>
  <si>
    <t>SANCHEZ HERRERA</t>
  </si>
  <si>
    <t>SERGIO NICOLAS MONTES RODRIGUEZ</t>
  </si>
  <si>
    <t>sergio_montes@cun.edu.co</t>
  </si>
  <si>
    <t>SN.MONTES10@UNIANDES.EDU.CO</t>
  </si>
  <si>
    <t>3133757909</t>
  </si>
  <si>
    <t>SERGIO NICOLAS</t>
  </si>
  <si>
    <t>MONTES RODRIGUEZ</t>
  </si>
  <si>
    <t>LAURA CAMILA MUÑOZ PEREZ</t>
  </si>
  <si>
    <t>laura_munozpe@cun.edu.co</t>
  </si>
  <si>
    <t>camilauser1d@gmail.com</t>
  </si>
  <si>
    <t>313 2814678</t>
  </si>
  <si>
    <t>LAURA CAMILA</t>
  </si>
  <si>
    <t>MUÑOZ PEREZ</t>
  </si>
  <si>
    <t>1110517544</t>
  </si>
  <si>
    <t>JUAN CAMILO GUTIERREZ MENESES</t>
  </si>
  <si>
    <t>lina_vanegas@cun.edu.co</t>
  </si>
  <si>
    <t>jcgutierrezme@ut.edu.co</t>
  </si>
  <si>
    <t>3113005190</t>
  </si>
  <si>
    <t>GUTIERREZ MENESES</t>
  </si>
  <si>
    <t>KAREN LIZETH TORRES TOLOZA</t>
  </si>
  <si>
    <t>karen_torresto@cun.edu.co</t>
  </si>
  <si>
    <t>ktorrestoloza@gmail.com</t>
  </si>
  <si>
    <t>3223798754</t>
  </si>
  <si>
    <t>KAREN LIZETH</t>
  </si>
  <si>
    <t>TORRES TOLOZA</t>
  </si>
  <si>
    <t>1125273179</t>
  </si>
  <si>
    <t>JUAN SEBASTIAN LOZADA LADINO</t>
  </si>
  <si>
    <t>juan_lozadal@cun.edu.co</t>
  </si>
  <si>
    <t>SEBASTIANLOZADALADINO@GMAIL.COM</t>
  </si>
  <si>
    <t>3194940954</t>
  </si>
  <si>
    <t>LOZADA LADINO</t>
  </si>
  <si>
    <t>DIANA CAROLINA POLO RAMOS</t>
  </si>
  <si>
    <t>diana_polor@cun.edu.co</t>
  </si>
  <si>
    <t>DICAPORA4@GMAIL.COM</t>
  </si>
  <si>
    <t>3152545993</t>
  </si>
  <si>
    <t>DIANA CAROLINA</t>
  </si>
  <si>
    <t>POLO RAMOS</t>
  </si>
  <si>
    <t>NICOL DAYAN SUA GALINDO</t>
  </si>
  <si>
    <t>nicol_sua@cun.edu.co</t>
  </si>
  <si>
    <t>xnd.mxxnlight@gmail.com</t>
  </si>
  <si>
    <t>3196979539</t>
  </si>
  <si>
    <t>NICOL DAYAN</t>
  </si>
  <si>
    <t>SUA GALINDO</t>
  </si>
  <si>
    <t>65744684</t>
  </si>
  <si>
    <t>LUZ STELLA MARROQUIN PATINO</t>
  </si>
  <si>
    <t>DOC AUX T&amp;T/N/TC/DIS PROD MOD/PROYECCIO</t>
  </si>
  <si>
    <t>Luz_Marroquin@cun.edu.co</t>
  </si>
  <si>
    <t>luzmapa13@hotmail.com</t>
  </si>
  <si>
    <t>3163823625</t>
  </si>
  <si>
    <t>LUZ STELLA</t>
  </si>
  <si>
    <t>MARROQUIN PATINO</t>
  </si>
  <si>
    <t>52968067</t>
  </si>
  <si>
    <t>DIANA CAROLINA MEJIA OVIEDO</t>
  </si>
  <si>
    <t>diana_mejia@cun.edu.co</t>
  </si>
  <si>
    <t>dianakm@gmail.com</t>
  </si>
  <si>
    <t>3158767174</t>
  </si>
  <si>
    <t>MEJIA OVIEDO</t>
  </si>
  <si>
    <t>LIDIA ESPERANZA ALVIRA GOMEZ</t>
  </si>
  <si>
    <t>DOCENTE ASOC/N/TC/DIS PROD MOD/FUN.ACADE-ADMIN</t>
  </si>
  <si>
    <t>lidia_alvira@cun.edu.co</t>
  </si>
  <si>
    <t>femina.ea@gmail.com</t>
  </si>
  <si>
    <t>3115378697</t>
  </si>
  <si>
    <t>LIDIA ESPERANZA</t>
  </si>
  <si>
    <t>ALVIRA GOMEZ</t>
  </si>
  <si>
    <t>DEISSY YOLIMA RODRIGUEZ RODRIGUEZ</t>
  </si>
  <si>
    <t>DOCENTE ASIS/N/V/TC/DIS PROD MOD/FUN.ACA</t>
  </si>
  <si>
    <t>deissy_rodriguezro@cun.edu.co</t>
  </si>
  <si>
    <t>deyrod29@gmail.com</t>
  </si>
  <si>
    <t>3178622966</t>
  </si>
  <si>
    <t>DEISSY YOLIMA</t>
  </si>
  <si>
    <t>MARTHA ROCIO LARA RODRIGUEZ</t>
  </si>
  <si>
    <t>martha_larar@cun.edu.co</t>
  </si>
  <si>
    <t>martik.dg.sm@gmail.com</t>
  </si>
  <si>
    <t>3007467991</t>
  </si>
  <si>
    <t>MARTHA ROCIO</t>
  </si>
  <si>
    <t>LARA RODRIGUEZ</t>
  </si>
  <si>
    <t>EDINEY PATRICIA DURAN AVENDAÑO</t>
  </si>
  <si>
    <t>Ediney_Duran@cun.edu.co</t>
  </si>
  <si>
    <t>NICKIDURAN23@HOTMAIL.COM</t>
  </si>
  <si>
    <t>3013870053</t>
  </si>
  <si>
    <t>EDINEY PATRICIA</t>
  </si>
  <si>
    <t>DURAN AVENDAÑO</t>
  </si>
  <si>
    <t>LAURA NATALI AREVALO LARA</t>
  </si>
  <si>
    <t>DOCENTE ASIS/N/TC/DIS PROD MOD/FUN.ACADE-ADMIN</t>
  </si>
  <si>
    <t>laura_arevalo@cun.edu.co</t>
  </si>
  <si>
    <t>laurarevalodsng@gmail.com</t>
  </si>
  <si>
    <t>3133549956</t>
  </si>
  <si>
    <t>LAURA NATALI</t>
  </si>
  <si>
    <t>AREVALO LARA</t>
  </si>
  <si>
    <t>OSCAR ARTURO RODRIGUEZ VENEGAS</t>
  </si>
  <si>
    <t>DOCENTE ASIS/N/TC/DIS PROD MOD/PROYECCIO</t>
  </si>
  <si>
    <t>oscar_rodriguezv@cun.edu.co</t>
  </si>
  <si>
    <t>oscararturorodriguezvenegas@gmail.com</t>
  </si>
  <si>
    <t>3177691423</t>
  </si>
  <si>
    <t>OSCAR ARTURO</t>
  </si>
  <si>
    <t>RODRIGUEZ VENEGAS</t>
  </si>
  <si>
    <t>1026275094</t>
  </si>
  <si>
    <t>MARISELLA ZAMORA BERMUDEZ</t>
  </si>
  <si>
    <t>DOC AUX T&amp;T/N/MT/DIS PROD MOD</t>
  </si>
  <si>
    <t>marisella_zamora@cun.edu.co</t>
  </si>
  <si>
    <t>MARIZBERMUDEZ@GMAIL.COM</t>
  </si>
  <si>
    <t>3202607724</t>
  </si>
  <si>
    <t>MARISELLA</t>
  </si>
  <si>
    <t>ZAMORA BERMUDEZ</t>
  </si>
  <si>
    <t>LINA ANDREA PEDRAZA ZIPA</t>
  </si>
  <si>
    <t>DOCENTE AUX/N/TC/DIS PROD MOD/PROYECTOS</t>
  </si>
  <si>
    <t>lina_pedraza@cun.edu.co</t>
  </si>
  <si>
    <t>andrea9140@hotmail.com</t>
  </si>
  <si>
    <t>3138862125</t>
  </si>
  <si>
    <t>LINA ANDREA</t>
  </si>
  <si>
    <t>PEDRAZA ZIPA</t>
  </si>
  <si>
    <t>52898706</t>
  </si>
  <si>
    <t>SANDRA MILENA ALBORNOZ CUMBE</t>
  </si>
  <si>
    <t>sandra_albornoz@cun.edu.co</t>
  </si>
  <si>
    <t>mile384@hotmail.com</t>
  </si>
  <si>
    <t>3133085062</t>
  </si>
  <si>
    <t>ALBORNOZ CUMBE</t>
  </si>
  <si>
    <t>INGRID SHIRLEY PARDO MUÑOZ</t>
  </si>
  <si>
    <t>INGRID_PARDOM@CUN.EDU.CO</t>
  </si>
  <si>
    <t>shirleypardoo89@gmail.com</t>
  </si>
  <si>
    <t>3218241852</t>
  </si>
  <si>
    <t>INGRID SHIRLEY</t>
  </si>
  <si>
    <t>PARDO MUÑOZ</t>
  </si>
  <si>
    <t>ROSA AURA MEJIA GUTIERREZ</t>
  </si>
  <si>
    <t>rosa_mejia@cun.edu.co</t>
  </si>
  <si>
    <t>rosamejia1991@hotmail.com</t>
  </si>
  <si>
    <t>3012316191</t>
  </si>
  <si>
    <t>ROSA AURA</t>
  </si>
  <si>
    <t>MEJIA GUTIERREZ</t>
  </si>
  <si>
    <t>1006131020</t>
  </si>
  <si>
    <t>JAIDER EMILIO LOPEZ SANCHEZ</t>
  </si>
  <si>
    <t>jaider_lopez@cun.edu.co</t>
  </si>
  <si>
    <t>jaisanchezph@gmail.com</t>
  </si>
  <si>
    <t>3168505269</t>
  </si>
  <si>
    <t>JAIDER EMILIO</t>
  </si>
  <si>
    <t>LOPEZ SANCHEZ</t>
  </si>
  <si>
    <t>LAURA YINETH HILARION JIMENEZ</t>
  </si>
  <si>
    <t>LAURA_HILARION@CUN.EDU.CO</t>
  </si>
  <si>
    <t>laurahilarionj@gmail.com</t>
  </si>
  <si>
    <t>3188335945</t>
  </si>
  <si>
    <t>LAURA YINETH</t>
  </si>
  <si>
    <t>HILARION JIMENEZ</t>
  </si>
  <si>
    <t>ERWIN LEONARDO PEÑA VELASCO</t>
  </si>
  <si>
    <t>erwin_pena@cun.edu.co</t>
  </si>
  <si>
    <t>erwinlpv@gmail.com</t>
  </si>
  <si>
    <t>3118655153</t>
  </si>
  <si>
    <t>ERWIN LEONARDO</t>
  </si>
  <si>
    <t>PEÑA VELASCO</t>
  </si>
  <si>
    <t>ERIKA GINEY TIQUE CATAÑO</t>
  </si>
  <si>
    <t>erika_tique@cun.edu.co</t>
  </si>
  <si>
    <t>erikatique90@gmail.com</t>
  </si>
  <si>
    <t>3107949918</t>
  </si>
  <si>
    <t>ERIKA GINEY</t>
  </si>
  <si>
    <t>TIQUE CATAÑO</t>
  </si>
  <si>
    <t>1152464437</t>
  </si>
  <si>
    <t>MATEO ZAPATA RUA</t>
  </si>
  <si>
    <t>mateo_zapata@cun.edu.co</t>
  </si>
  <si>
    <t>matezapata@gmail.com</t>
  </si>
  <si>
    <t>3052418738</t>
  </si>
  <si>
    <t>MATEO</t>
  </si>
  <si>
    <t>ZAPATA RUA</t>
  </si>
  <si>
    <t>ANDREA MILENA GONZALEZ</t>
  </si>
  <si>
    <t>andream_gonzalez@cun.edu.co</t>
  </si>
  <si>
    <t>andreair,ag54@gmail,com</t>
  </si>
  <si>
    <t>3215334944</t>
  </si>
  <si>
    <t>ANDREA MILENA</t>
  </si>
  <si>
    <t>GONZALEZ</t>
  </si>
  <si>
    <t>1018505461</t>
  </si>
  <si>
    <t>DAVIANA CAROLINA BARROS TORO</t>
  </si>
  <si>
    <t>daviana_barros@cun.edu.co</t>
  </si>
  <si>
    <t>davianacaro@gmail.com</t>
  </si>
  <si>
    <t>3023419663</t>
  </si>
  <si>
    <t>DAVIANA CAROLINA</t>
  </si>
  <si>
    <t>BARROS TORO</t>
  </si>
  <si>
    <t>ALEJANDRINA RINCON ACEVEDO</t>
  </si>
  <si>
    <t>alejandrina_acevedo@cun.edu.co</t>
  </si>
  <si>
    <t>alejandrinarincon@gmail.com</t>
  </si>
  <si>
    <t>3124099362</t>
  </si>
  <si>
    <t>ALEJANDRINA</t>
  </si>
  <si>
    <t>RINCON ACEVEDO</t>
  </si>
  <si>
    <t>1047505105</t>
  </si>
  <si>
    <t>SANDRA DEL CARMEN SARMIENTO CASTILLO</t>
  </si>
  <si>
    <t>sandra_sarmiento@cun.edu.co</t>
  </si>
  <si>
    <t>sandra16042012@gmail.com</t>
  </si>
  <si>
    <t>3126879838</t>
  </si>
  <si>
    <t>SANDRA DEL CARMEN</t>
  </si>
  <si>
    <t>SARMIENTO CASTILLO</t>
  </si>
  <si>
    <t>ANDRÉS FELIPE FORERO SEDANO</t>
  </si>
  <si>
    <t>andres_foreros@cun.edu.co</t>
  </si>
  <si>
    <t>andreesforero@gmail.com</t>
  </si>
  <si>
    <t>3045400331</t>
  </si>
  <si>
    <t>ANDRÉS FELIPE</t>
  </si>
  <si>
    <t>FORERO SEDANO</t>
  </si>
  <si>
    <t>JENNY ROCIO HERNANDEZ FLOREZ</t>
  </si>
  <si>
    <t>jenny_hernandezf@cun.edu.co</t>
  </si>
  <si>
    <t>jennyherflo86@gmail.com</t>
  </si>
  <si>
    <t>3197981337</t>
  </si>
  <si>
    <t>JENNY ROCIO</t>
  </si>
  <si>
    <t>HERNANDEZ FLOREZ</t>
  </si>
  <si>
    <t>53008218</t>
  </si>
  <si>
    <t>DIANA PAOLA OVIEDO BARBOSA</t>
  </si>
  <si>
    <t>diana_oviedo@cun.edu.co</t>
  </si>
  <si>
    <t>dianaoviedo65@gmail.com</t>
  </si>
  <si>
    <t>3137761670</t>
  </si>
  <si>
    <t>DIANA PAOLA</t>
  </si>
  <si>
    <t>OVIEDO BARBOSA</t>
  </si>
  <si>
    <t>ALISON JULIETH CALDERON AMAYA</t>
  </si>
  <si>
    <t>alisson_calderon@cun.edu.co</t>
  </si>
  <si>
    <t>alisoncalderon00@gmail.com</t>
  </si>
  <si>
    <t>3203318655</t>
  </si>
  <si>
    <t>ALISON JULIETH</t>
  </si>
  <si>
    <t>CALDERON AMAYA</t>
  </si>
  <si>
    <t>NATHALIA VANESSA CHACON BERNAL</t>
  </si>
  <si>
    <t>nathalia_chaconb@cun.edu.co</t>
  </si>
  <si>
    <t>nathaliachaconb@gmail.com</t>
  </si>
  <si>
    <t>320 8088307</t>
  </si>
  <si>
    <t>NATHALIA VANESSA</t>
  </si>
  <si>
    <t>CHACON BERNAL</t>
  </si>
  <si>
    <t>1013637476</t>
  </si>
  <si>
    <t>ELKIN LEONARDO GONZALEZ BOGOTA</t>
  </si>
  <si>
    <t>elkin_gonzalezbo@cun.edu.co</t>
  </si>
  <si>
    <t>leonardobogota1@gmail.com</t>
  </si>
  <si>
    <t>3112261632</t>
  </si>
  <si>
    <t>ELKIN LEONARDO</t>
  </si>
  <si>
    <t>GONZALEZ BOGOTA</t>
  </si>
  <si>
    <t>YUDY ANGELICA RINCON GARCIA</t>
  </si>
  <si>
    <t>DOCENTE ASIS/N/TC/DIS PROD MOD/PROYECTOS</t>
  </si>
  <si>
    <t>angelica_rincon@cun.edu.co</t>
  </si>
  <si>
    <t>angelitarincong@hotmail.com</t>
  </si>
  <si>
    <t>3114739656</t>
  </si>
  <si>
    <t>YUDY ANGELICA</t>
  </si>
  <si>
    <t>RINCON GARCIA</t>
  </si>
  <si>
    <t>1110570540</t>
  </si>
  <si>
    <t>YEIMY LINETH LIZCANO LUNA</t>
  </si>
  <si>
    <t>yeimy_lizcanol@cun.edu.co</t>
  </si>
  <si>
    <t>linneth.lunadm72@gmail.com</t>
  </si>
  <si>
    <t>3136989015</t>
  </si>
  <si>
    <t>YEIMY LINETH</t>
  </si>
  <si>
    <t>LIZCANO LUNA</t>
  </si>
  <si>
    <t>MARTA LILIANA BENAVIDES PACHECO</t>
  </si>
  <si>
    <t>marta_benavides@cun.edu.co</t>
  </si>
  <si>
    <t>marta-benavides@hotmail.com</t>
  </si>
  <si>
    <t>3022924489</t>
  </si>
  <si>
    <t>MARTA LILIANA</t>
  </si>
  <si>
    <t>BENAVIDES PACHECO</t>
  </si>
  <si>
    <t>YUDDY VIVIANA MUÑOZ PEÑALOZA</t>
  </si>
  <si>
    <t>yuddy_munoz@cun.edu.co</t>
  </si>
  <si>
    <t>yuvimupegoz@hotmail.com</t>
  </si>
  <si>
    <t>3008841388</t>
  </si>
  <si>
    <t>YUDDY VIVIANA</t>
  </si>
  <si>
    <t>MUÑOZ PEÑALOZA</t>
  </si>
  <si>
    <t>1234639178</t>
  </si>
  <si>
    <t>ANGIE CAROLINA SALDARRIAGA BONILLA</t>
  </si>
  <si>
    <t>carolina_saldarriga@cun.edu.co</t>
  </si>
  <si>
    <t>Carolinasaldarriagabonilla@gmail.com</t>
  </si>
  <si>
    <t>3185745283</t>
  </si>
  <si>
    <t>ANGIE CAROLINA</t>
  </si>
  <si>
    <t>SALDARRIAGA BONILLA</t>
  </si>
  <si>
    <t>1110573960</t>
  </si>
  <si>
    <t>LEIDY GERALDIN DIAZ CAMELO</t>
  </si>
  <si>
    <t>leidy_diazc@cun.edu.co</t>
  </si>
  <si>
    <t>geraldindiaz95@gmail.com</t>
  </si>
  <si>
    <t>3002648269</t>
  </si>
  <si>
    <t>LEIDY GERALDIN</t>
  </si>
  <si>
    <t>DIAZ CAMELO</t>
  </si>
  <si>
    <t>1006415722</t>
  </si>
  <si>
    <t>GABRIELA NUÑEZ PAN</t>
  </si>
  <si>
    <t>gabriela_nunez@cun.edu.co</t>
  </si>
  <si>
    <t>gabrielapan31@gmail.com</t>
  </si>
  <si>
    <t>3113768912</t>
  </si>
  <si>
    <t>GABRIELA</t>
  </si>
  <si>
    <t>NUÑEZ PAN</t>
  </si>
  <si>
    <t>FABIAN DAVID PULIDO BEDOYA</t>
  </si>
  <si>
    <t>fabian_pulido@cun.edu.co</t>
  </si>
  <si>
    <t>fabiandavidpulidobedoya@gmail.com</t>
  </si>
  <si>
    <t>3185548969</t>
  </si>
  <si>
    <t>FABIAN DAVID</t>
  </si>
  <si>
    <t>PULIDO BEDOYA</t>
  </si>
  <si>
    <t>34332169</t>
  </si>
  <si>
    <t>TATHIANA ANDREA IDROBO MOTTA</t>
  </si>
  <si>
    <t>tathiana_idrobomotta@cun.edu.co</t>
  </si>
  <si>
    <t>tidrobo@hotmail.com</t>
  </si>
  <si>
    <t>3165502743</t>
  </si>
  <si>
    <t>TATHIANA ANDREA</t>
  </si>
  <si>
    <t>IDROBO MOTTA</t>
  </si>
  <si>
    <t>1110597684</t>
  </si>
  <si>
    <t>DAYANA ANDREA YANQUEN URREGO</t>
  </si>
  <si>
    <t>dayana_yanqueu@cun.edu.co</t>
  </si>
  <si>
    <t>dayanayanken@gmail.com</t>
  </si>
  <si>
    <t>3132367983</t>
  </si>
  <si>
    <t>DAYANA ANDREA</t>
  </si>
  <si>
    <t>YANQUEN URREGO</t>
  </si>
  <si>
    <t>1110597584</t>
  </si>
  <si>
    <t>MARIA JOSE PEREZ PACHECO</t>
  </si>
  <si>
    <t>maria_perezp@cun.edu.co</t>
  </si>
  <si>
    <t>mariaj1204@hotmail.com</t>
  </si>
  <si>
    <t>3112006386</t>
  </si>
  <si>
    <t>MARIA JOSE</t>
  </si>
  <si>
    <t>PEREZ PACHECO</t>
  </si>
  <si>
    <t>DIANA PATRICIA GONZALEZ AVENDAÑO</t>
  </si>
  <si>
    <t>diana_gonzalesav@cun.edu.co</t>
  </si>
  <si>
    <t>dpga29@gmail.com</t>
  </si>
  <si>
    <t>3228898820</t>
  </si>
  <si>
    <t>DIANA PATRICIA</t>
  </si>
  <si>
    <t>GONZALEZ AVENDAÑO</t>
  </si>
  <si>
    <t>1017273754</t>
  </si>
  <si>
    <t>LAURA GONZALEZ ALBANES</t>
  </si>
  <si>
    <t>laura_gonzaleza@cun.edu.co</t>
  </si>
  <si>
    <t>LAURAGONZALEZALBANES@GMAIL.COM</t>
  </si>
  <si>
    <t>3045489895</t>
  </si>
  <si>
    <t>LAURA</t>
  </si>
  <si>
    <t>GONZALEZ ALBANES</t>
  </si>
  <si>
    <t>SANDRA MILENA LARA RODRIGUEZ</t>
  </si>
  <si>
    <t>milena_larar@cun.edu.co</t>
  </si>
  <si>
    <t>MILENA.LARA.KAINOS@GMAIL.COM</t>
  </si>
  <si>
    <t>3505251121</t>
  </si>
  <si>
    <t>LUZ ANGELA NIÑO CASALLAS</t>
  </si>
  <si>
    <t>luz_ninoc@cun.edu.co</t>
  </si>
  <si>
    <t>luzninocasa@gmail.com</t>
  </si>
  <si>
    <t>3057531698</t>
  </si>
  <si>
    <t>LUZ ANGELA</t>
  </si>
  <si>
    <t>NIÑO CASALLAS</t>
  </si>
  <si>
    <t>JUAN FELIPE MONROY MEDINA</t>
  </si>
  <si>
    <t>juan_monroym@cun.edu.co</t>
  </si>
  <si>
    <t>Jfmonroyme@gmail.com</t>
  </si>
  <si>
    <t>3193958058</t>
  </si>
  <si>
    <t>MONROY MEDINA</t>
  </si>
  <si>
    <t>1110598487</t>
  </si>
  <si>
    <t>DANIELA JUSTINICO MORENO</t>
  </si>
  <si>
    <t>daniela_justinico@cun.edu.co</t>
  </si>
  <si>
    <t>danielajustinico22@gmail.com</t>
  </si>
  <si>
    <t>3106135112</t>
  </si>
  <si>
    <t>JUSTINICO MORENO</t>
  </si>
  <si>
    <t>KAROL VIVIANA LLERENA ARROYO</t>
  </si>
  <si>
    <t>karol_llerena@cun.edu.co</t>
  </si>
  <si>
    <t>karol.llerena@uac.edu.co</t>
  </si>
  <si>
    <t>3007165587</t>
  </si>
  <si>
    <t>KAROL VIVIANA</t>
  </si>
  <si>
    <t>LLERENA ARROYO</t>
  </si>
  <si>
    <t>GINA MILENA RODRIGUEZ RODRIGUEZ</t>
  </si>
  <si>
    <t>gina_rodriguezro@cun.edu.co</t>
  </si>
  <si>
    <t>gina.rdisenadora@gmail.com</t>
  </si>
  <si>
    <t>3108692201</t>
  </si>
  <si>
    <t>GINA MILENA</t>
  </si>
  <si>
    <t>LEIDY TATIANA MADRID URRUTIA</t>
  </si>
  <si>
    <t>leidy_madrid@cun.edu.co</t>
  </si>
  <si>
    <t>Ltatianamadrid@hotmail.com</t>
  </si>
  <si>
    <t>3122018099</t>
  </si>
  <si>
    <t>MADRID URRUTIA</t>
  </si>
  <si>
    <t>GERALDYN HOYOS GUTIERREZ</t>
  </si>
  <si>
    <t>geraldyn_hoyosg@cun.edu.co</t>
  </si>
  <si>
    <t>geraldynhoyos@gmail.com</t>
  </si>
  <si>
    <t>3228127630</t>
  </si>
  <si>
    <t>GERALDYN</t>
  </si>
  <si>
    <t>HOYOS GUTIERREZ</t>
  </si>
  <si>
    <t>1010111879</t>
  </si>
  <si>
    <t>LAURA DANIELA OBANDO ALZATE</t>
  </si>
  <si>
    <t>laura_obando@cun.edu.co</t>
  </si>
  <si>
    <t>lauradaniela1102@hotmail.com</t>
  </si>
  <si>
    <t>3219081104</t>
  </si>
  <si>
    <t>LAURA DANIELA</t>
  </si>
  <si>
    <t>OBANDO ALZATE</t>
  </si>
  <si>
    <t>LUZ ANDREA PATIÑO CHIGUASUQUE</t>
  </si>
  <si>
    <t>luz_patino@cun.edu.co</t>
  </si>
  <si>
    <t>luz.patino@cun.edu.co</t>
  </si>
  <si>
    <t>3208583054</t>
  </si>
  <si>
    <t>LUZ ANDREA</t>
  </si>
  <si>
    <t>PATIÑO CHIGUASUQUE</t>
  </si>
  <si>
    <t>ANGIE KATERINE LEZAMA VILLAMIL</t>
  </si>
  <si>
    <t>angie_lezama@cun.edu.co</t>
  </si>
  <si>
    <t>angie.lezamavi@gmail.com</t>
  </si>
  <si>
    <t>3112806264</t>
  </si>
  <si>
    <t>ANGIE KATERINE</t>
  </si>
  <si>
    <t>LEZAMA VILLAMIL</t>
  </si>
  <si>
    <t>LUISA FERNANDA MORA CORDERO</t>
  </si>
  <si>
    <t>luisa_moraco@cun.edu.co</t>
  </si>
  <si>
    <t>LUNANDA16@GMAIL.COM</t>
  </si>
  <si>
    <t>3112467473</t>
  </si>
  <si>
    <t>MORA CORDERO</t>
  </si>
  <si>
    <t>YULY ANDREA MORALES JIMENEZ</t>
  </si>
  <si>
    <t>yuly_morales@cun.edu.co</t>
  </si>
  <si>
    <t>yuly.morales@cun.edu.co</t>
  </si>
  <si>
    <t>3025050881</t>
  </si>
  <si>
    <t>MORALES JIMENEZ</t>
  </si>
  <si>
    <t>1003811822</t>
  </si>
  <si>
    <t>MARIA PAULA CUENCA CASTAÑO</t>
  </si>
  <si>
    <t>maria_cuenca@cun.edu.co</t>
  </si>
  <si>
    <t>paulacuenca.moda@gmail.com</t>
  </si>
  <si>
    <t>3186141707</t>
  </si>
  <si>
    <t>MARIA PAULA</t>
  </si>
  <si>
    <t>CUENCA CASTAÑO</t>
  </si>
  <si>
    <t>39386869</t>
  </si>
  <si>
    <t>ADRIANA MARIA BEDOYA MONTOYA</t>
  </si>
  <si>
    <t>adriana_bedoya@cun.edu.co</t>
  </si>
  <si>
    <t>bedoyaadriana117@gmail.com</t>
  </si>
  <si>
    <t>3162582315</t>
  </si>
  <si>
    <t>ADRIANA MARIA</t>
  </si>
  <si>
    <t>BEDOYA MONTOYA</t>
  </si>
  <si>
    <t>DIANA CAMILA MORENO LUCERO</t>
  </si>
  <si>
    <t>diana_morenolu@cun.edu.co</t>
  </si>
  <si>
    <t>camilamorelu@gmail.com</t>
  </si>
  <si>
    <t>3167474347</t>
  </si>
  <si>
    <t>DIANA CAMILA</t>
  </si>
  <si>
    <t>MORENO LUCERO</t>
  </si>
  <si>
    <t>1083045828</t>
  </si>
  <si>
    <t>VALERIA JARUFFE FERNANDEZ</t>
  </si>
  <si>
    <t>valeria_jaruffe@cun.edu.co</t>
  </si>
  <si>
    <t>valeriajaruffe@gmail.com</t>
  </si>
  <si>
    <t>3164633337</t>
  </si>
  <si>
    <t>VALERIA</t>
  </si>
  <si>
    <t>JARUFFE FERNANDEZ</t>
  </si>
  <si>
    <t>STEPHANY MARIA ESPITIA BARROS</t>
  </si>
  <si>
    <t>stephany_espitia@cun.edu.co</t>
  </si>
  <si>
    <t>SYHNEST@GMAIL.COM</t>
  </si>
  <si>
    <t>3059167199</t>
  </si>
  <si>
    <t>STEPHANY MARIA</t>
  </si>
  <si>
    <t>ESPITIA BARROS</t>
  </si>
  <si>
    <t>JESSICA DAYANI CIFUENTES CIFUENTES</t>
  </si>
  <si>
    <t>jessica_cifuentes@cun.edu.co</t>
  </si>
  <si>
    <t>jessicacifuentes555@gmail.com</t>
  </si>
  <si>
    <t>3045624178</t>
  </si>
  <si>
    <t>JESSICA DAYANI</t>
  </si>
  <si>
    <t>CIFUENTES CIFUENTES</t>
  </si>
  <si>
    <t>ALEXANDRA KATERINA SUAREZ MOLINA</t>
  </si>
  <si>
    <t>alexandra_suarez@cun.edu.co</t>
  </si>
  <si>
    <t>alexandrasuarez23@outlook.com</t>
  </si>
  <si>
    <t>3025930305</t>
  </si>
  <si>
    <t>ALEXANDRA KATERINA</t>
  </si>
  <si>
    <t>SUAREZ MOLINA</t>
  </si>
  <si>
    <t>LAURA VANESA YAÑEZ FAJARDO</t>
  </si>
  <si>
    <t>laura_yanezfa@cun.edu.co</t>
  </si>
  <si>
    <t>lauravanesayanes@gmail.com</t>
  </si>
  <si>
    <t>3115212053</t>
  </si>
  <si>
    <t>LAURA VANESA</t>
  </si>
  <si>
    <t>YAÑEZ FAJARDO</t>
  </si>
  <si>
    <t>JHENYFER CAROLINA CASTAÑO BELTRAN</t>
  </si>
  <si>
    <t>jhenyfer_castano@cun.edu.co</t>
  </si>
  <si>
    <t>fercasbel1992@gmail.com</t>
  </si>
  <si>
    <t>3233587573</t>
  </si>
  <si>
    <t>JHENYFER CAROLINA</t>
  </si>
  <si>
    <t>CASTAÑO BELTRAN</t>
  </si>
  <si>
    <t>LINA MARIA ESPINEL ALARCON</t>
  </si>
  <si>
    <t>lina_espinel@cun.edu.co</t>
  </si>
  <si>
    <t>LINAMARIAESPINEL1@GMAIL.COM</t>
  </si>
  <si>
    <t>3502777152</t>
  </si>
  <si>
    <t>ESPINEL ALARCON</t>
  </si>
  <si>
    <t>1152200355</t>
  </si>
  <si>
    <t>ANA MARIA PULGARIN LOPEZ</t>
  </si>
  <si>
    <t>ana_pulgarin@cun.edu.co</t>
  </si>
  <si>
    <t>ANA.MARIA.PULGARIN@HOTMAIL.COM</t>
  </si>
  <si>
    <t>3019709563</t>
  </si>
  <si>
    <t>PULGARIN LOPEZ</t>
  </si>
  <si>
    <t>natalia_estepa@cun.edu.co</t>
  </si>
  <si>
    <t>NATALIAROCIO88@HOTMAIL.COM</t>
  </si>
  <si>
    <t>3017064358</t>
  </si>
  <si>
    <t>NATALIA ROCIO</t>
  </si>
  <si>
    <t>ESTEPA VELOZA</t>
  </si>
  <si>
    <t>1003864864</t>
  </si>
  <si>
    <t>MARIA ISABEL BERMEO MACIAS</t>
  </si>
  <si>
    <t>maria_bermeom@cun.edu.co</t>
  </si>
  <si>
    <t>MISABELBERMEOMACIAS@HOTMAIL.ES</t>
  </si>
  <si>
    <t>3115794598</t>
  </si>
  <si>
    <t>MARIA ISABEL</t>
  </si>
  <si>
    <t>BERMEO MACIAS</t>
  </si>
  <si>
    <t>43222294</t>
  </si>
  <si>
    <t>NATALIA ANDREA LONDOÑO OSORIO</t>
  </si>
  <si>
    <t>DOCENTE AUX/N/MT/DIS PROD MOD</t>
  </si>
  <si>
    <t>natalia_londono@cun.edu.co</t>
  </si>
  <si>
    <t>natilondo@hotmail.com</t>
  </si>
  <si>
    <t>3163443345</t>
  </si>
  <si>
    <t>NATALIA ANDREA</t>
  </si>
  <si>
    <t>LONDOÑO OSORIO</t>
  </si>
  <si>
    <t>JAVIER VALDERRAMA GARZON</t>
  </si>
  <si>
    <t>javier_valderramaga@cun.edu.co</t>
  </si>
  <si>
    <t>jyfjustfashion@gmail.com</t>
  </si>
  <si>
    <t>3103346286</t>
  </si>
  <si>
    <t>JAVIER</t>
  </si>
  <si>
    <t>VALDERRAMA GARZON</t>
  </si>
  <si>
    <t>1026599839</t>
  </si>
  <si>
    <t>KEVIN SANTIAGO LOZANO RONCERIA</t>
  </si>
  <si>
    <t>kevin_lozanor@cun.edu.co</t>
  </si>
  <si>
    <t>LRK1099@GMAIL.COM</t>
  </si>
  <si>
    <t>3125314840</t>
  </si>
  <si>
    <t>KEVIN SANTIAGO</t>
  </si>
  <si>
    <t>LOZANO RONCERIA</t>
  </si>
  <si>
    <t>1003894383</t>
  </si>
  <si>
    <t>DANIELA RAMOS QUINTERO</t>
  </si>
  <si>
    <t>daniela_ramosq@cun.edu.co</t>
  </si>
  <si>
    <t>danielarq69@gmail.com</t>
  </si>
  <si>
    <t>3222373293</t>
  </si>
  <si>
    <t>RAMOS QUINTERO</t>
  </si>
  <si>
    <t>1110469154</t>
  </si>
  <si>
    <t>DIANA PATRICIA VALDERRAMA CRIOLLO</t>
  </si>
  <si>
    <t>diana_valderrama@cun.edu.co</t>
  </si>
  <si>
    <t>VALDERRAMADPC@GMAIL.COM</t>
  </si>
  <si>
    <t>3165755938</t>
  </si>
  <si>
    <t>VALDERRAMA CRIOLLO</t>
  </si>
  <si>
    <t>BRIAN DANIEL UYAZAN OVIEDO</t>
  </si>
  <si>
    <t>brian_uyazan@cun.edu.co</t>
  </si>
  <si>
    <t>danieluyazan92@gmail.com</t>
  </si>
  <si>
    <t>3193942463</t>
  </si>
  <si>
    <t>BRIAN DANIEL</t>
  </si>
  <si>
    <t>UYAZAN OVIEDO</t>
  </si>
  <si>
    <t>1014305046</t>
  </si>
  <si>
    <t>SHARAY VILAR PINEDA</t>
  </si>
  <si>
    <t>sharay_vilar@cun.edu.co</t>
  </si>
  <si>
    <t>sharayvilarpineda@gmail.com</t>
  </si>
  <si>
    <t>3007301505</t>
  </si>
  <si>
    <t>SHARAY</t>
  </si>
  <si>
    <t>VILAR PINEDA</t>
  </si>
  <si>
    <t>ANDRES CAMILO SARMIENTO SOLANO</t>
  </si>
  <si>
    <t>andres_sarmientoso@cun.edu.co</t>
  </si>
  <si>
    <t>asarmientopedagogo@gmail.com</t>
  </si>
  <si>
    <t>3045294273</t>
  </si>
  <si>
    <t>SARMIENTO SOLANO</t>
  </si>
  <si>
    <t>LILIANA ISABEL ATEHORTUA SARMIENTO</t>
  </si>
  <si>
    <t>liliana_atehortua@cun.edu.co</t>
  </si>
  <si>
    <t>atehortua.sarmiento@gmail.com</t>
  </si>
  <si>
    <t>3166439923</t>
  </si>
  <si>
    <t>ATEHORTUA SARMIENTO</t>
  </si>
  <si>
    <t>1110471471</t>
  </si>
  <si>
    <t>DIANA PATRICIA CASTAÑEDA MANJARRES</t>
  </si>
  <si>
    <t>diana_castanedam@cun.edu.co</t>
  </si>
  <si>
    <t>DIANACAST0704@GMAIL.COM</t>
  </si>
  <si>
    <t>3188775881</t>
  </si>
  <si>
    <t>CASTAÑEDA MANJARRES</t>
  </si>
  <si>
    <t>JULY CAROLINA GUTIERREZ GARCIA</t>
  </si>
  <si>
    <t>july_gutierrezg@cun.edu.co</t>
  </si>
  <si>
    <t>CAROLINAGUTIERREZ3123@GMAIL.COM</t>
  </si>
  <si>
    <t>3208051307</t>
  </si>
  <si>
    <t>JULY CAROLINA</t>
  </si>
  <si>
    <t>GUTIERREZ GARCIA</t>
  </si>
  <si>
    <t>1037589409</t>
  </si>
  <si>
    <t>MARIA CAMILA CHILAMACK BENAVIDES</t>
  </si>
  <si>
    <t>maria_chilamack@cun.edu.co</t>
  </si>
  <si>
    <t>mcchilamack@gmail.com</t>
  </si>
  <si>
    <t>3015431235</t>
  </si>
  <si>
    <t>CHILAMACK BENAVIDES</t>
  </si>
  <si>
    <t>1110488811</t>
  </si>
  <si>
    <t>LUISA FERNANDA ARANGO LOMBANA</t>
  </si>
  <si>
    <t>luisa_arango@cun.edu.co</t>
  </si>
  <si>
    <t>LFAL8909@hotmail.com</t>
  </si>
  <si>
    <t>3118507096</t>
  </si>
  <si>
    <t>ARANGO LOMBANA</t>
  </si>
  <si>
    <t>1005753346</t>
  </si>
  <si>
    <t>ANGELA MANUELA CHAVES MORENO</t>
  </si>
  <si>
    <t>angela_chavesm@cun.edu.co</t>
  </si>
  <si>
    <t>ANGELA.MANUELA.M.CH@GMAIL.COM</t>
  </si>
  <si>
    <t>3219968915</t>
  </si>
  <si>
    <t>ANGELA MANUELA</t>
  </si>
  <si>
    <t>CHAVES MORENO</t>
  </si>
  <si>
    <t>1000588583</t>
  </si>
  <si>
    <t>ANDREA CAROLINA ORTIZ BONILLA</t>
  </si>
  <si>
    <t>carolina_ortiz@cun.edu.co</t>
  </si>
  <si>
    <t>CAROTIZ2000@GMAIL.COM</t>
  </si>
  <si>
    <t>3162867652</t>
  </si>
  <si>
    <t>ANDREA CAROLINA</t>
  </si>
  <si>
    <t>ORTIZ BONILLA</t>
  </si>
  <si>
    <t>GLADYS ALEJANDRA GAVIRIA ESCOBAR</t>
  </si>
  <si>
    <t>gladys_gaviriae@cun.edu.co</t>
  </si>
  <si>
    <t>GLAGAES@HOTMAIL.COM</t>
  </si>
  <si>
    <t>3014958011</t>
  </si>
  <si>
    <t>GLADYS ALEJANDRA</t>
  </si>
  <si>
    <t>GAVIRIA ESCOBAR</t>
  </si>
  <si>
    <t>LINDA DIANA BUSTOS PARRA</t>
  </si>
  <si>
    <t>DOCENTE ASIS/N/TC/EMPRENDIMIE/FUN.ACADE-ADMIN</t>
  </si>
  <si>
    <t>linda_bustos@cun.edu.co</t>
  </si>
  <si>
    <t>dianabustos77@hotmail.com</t>
  </si>
  <si>
    <t>3014597902</t>
  </si>
  <si>
    <t>LINDA DIANA</t>
  </si>
  <si>
    <t>BUSTOS PARRA</t>
  </si>
  <si>
    <t>53907629</t>
  </si>
  <si>
    <t>LILIANA SANCHEZ CLOPATOFSKY</t>
  </si>
  <si>
    <t>liliana_sanchezcl@cun.edu.co</t>
  </si>
  <si>
    <t>LILISC@HOTMAIL.COM</t>
  </si>
  <si>
    <t>3105746516</t>
  </si>
  <si>
    <t>SANCHEZ CLOPATOFSKY</t>
  </si>
  <si>
    <t>OSCAR JAVIER MORENO MARTINEZ</t>
  </si>
  <si>
    <t>REGIONAL QUINDIO</t>
  </si>
  <si>
    <t>ARMENIA</t>
  </si>
  <si>
    <t>DOCENTE AUX/N/TC/EMPRENDIMIE/PROYECCION</t>
  </si>
  <si>
    <t>oscar_morenom@cun.edu.co</t>
  </si>
  <si>
    <t>osjamo.737@hotmail.com</t>
  </si>
  <si>
    <t>3174992177</t>
  </si>
  <si>
    <t>MORENO MARTINEZ</t>
  </si>
  <si>
    <t>ARMENIA SEDE</t>
  </si>
  <si>
    <t>JULIO CESAR SANCHEZ AREVALO</t>
  </si>
  <si>
    <t>DOC AUX T&amp;T/N/V/TC/EMPRENDIMIENTO/FUN.ACADE-ADMIN</t>
  </si>
  <si>
    <t>Julio_Sanchez@cun.edu.co</t>
  </si>
  <si>
    <t>JUCSANCHEZAR@UNAL.EDU.CO</t>
  </si>
  <si>
    <t>3223890599</t>
  </si>
  <si>
    <t>JULIO CESAR</t>
  </si>
  <si>
    <t>SANCHEZ AREVALO</t>
  </si>
  <si>
    <t>52963300</t>
  </si>
  <si>
    <t>PIEDAD FRANCO AGUDELO</t>
  </si>
  <si>
    <t>DOCENTE AUX/N/V/TC/EMPRENDIMIE/FUN.ACADE-ADMIN</t>
  </si>
  <si>
    <t>piedad_franco@cun.edu.co</t>
  </si>
  <si>
    <t>piedadfranco@gmail.com</t>
  </si>
  <si>
    <t>3106282908</t>
  </si>
  <si>
    <t>PIEDAD</t>
  </si>
  <si>
    <t>FRANCO AGUDELO</t>
  </si>
  <si>
    <t>WILMER DE JESUS PARODIS HERRERA</t>
  </si>
  <si>
    <t>DOC ASIS/N/V/TC/EMPRENDIMIENTO/PROYE. AC</t>
  </si>
  <si>
    <t>wilmer_parodis@cun.edu.co</t>
  </si>
  <si>
    <t>wilpah35@hotmail.com</t>
  </si>
  <si>
    <t>3008621223</t>
  </si>
  <si>
    <t>WILMER DE JESUS</t>
  </si>
  <si>
    <t>PARODIS HERRERA</t>
  </si>
  <si>
    <t>52412273</t>
  </si>
  <si>
    <t>MELVY CRISTIANI RIVERA</t>
  </si>
  <si>
    <t>DOC ASIS/N/TC/EMPRENDIMIENTO/PROYECTOS A</t>
  </si>
  <si>
    <t>melvy_cristiani@cun.edu.co</t>
  </si>
  <si>
    <t>melcristiani@yahoo.com</t>
  </si>
  <si>
    <t>3108001405</t>
  </si>
  <si>
    <t>MELVY</t>
  </si>
  <si>
    <t>CRISTIANI RIVERA</t>
  </si>
  <si>
    <t>IVETTE VÉLEZ RUIZ</t>
  </si>
  <si>
    <t>ivette_velez@cun.edu.co</t>
  </si>
  <si>
    <t>ivveru@gmail.com</t>
  </si>
  <si>
    <t>3507666418</t>
  </si>
  <si>
    <t>IVETTE</t>
  </si>
  <si>
    <t>VÉLEZ RUIZ</t>
  </si>
  <si>
    <t>DANIELA TORRES ESPINOSA</t>
  </si>
  <si>
    <t>daniela_torres@cun.edu.co</t>
  </si>
  <si>
    <t>danielatorrese95@gmail.com</t>
  </si>
  <si>
    <t>3138364022</t>
  </si>
  <si>
    <t>TORRES ESPINOSA</t>
  </si>
  <si>
    <t>1015452586</t>
  </si>
  <si>
    <t>GERMAN STEVEN SARMIENTO TRIVIÑO</t>
  </si>
  <si>
    <t>german_sarmiento@cun.edu.co</t>
  </si>
  <si>
    <t>germansteven95@gmail.com</t>
  </si>
  <si>
    <t>3506112483</t>
  </si>
  <si>
    <t>GERMAN STEVEN</t>
  </si>
  <si>
    <t>SARMIENTO TRIVIÑO</t>
  </si>
  <si>
    <t>LAURA DANIELA MANOSALVA FLOREZ</t>
  </si>
  <si>
    <t>laura_manosalva@cun.edu.co</t>
  </si>
  <si>
    <t>ldmanosalvaf@gmail.com</t>
  </si>
  <si>
    <t>3155862084</t>
  </si>
  <si>
    <t>MANOSALVA FLOREZ</t>
  </si>
  <si>
    <t>jeffry_lozano@cun.edu.co</t>
  </si>
  <si>
    <t>jeffreygarcia_10@hotmail.com</t>
  </si>
  <si>
    <t>3014228398</t>
  </si>
  <si>
    <t>JEFFRY JASSAN</t>
  </si>
  <si>
    <t>LOZANO GARCIA</t>
  </si>
  <si>
    <t>7711528</t>
  </si>
  <si>
    <t>ANDREW RAMON MONJE</t>
  </si>
  <si>
    <t>andrew_ramon@cun.edu.co</t>
  </si>
  <si>
    <t>andrewra@hotmail.com</t>
  </si>
  <si>
    <t>3115853850</t>
  </si>
  <si>
    <t>ANDREW</t>
  </si>
  <si>
    <t>RAMON MONJE</t>
  </si>
  <si>
    <t>YAMID SANCHEZ LASPRILLA</t>
  </si>
  <si>
    <t>yamid_sanchez@cun.edu.co</t>
  </si>
  <si>
    <t>YAMID.SANCHEZ@GMAIL.COM</t>
  </si>
  <si>
    <t>3108296724</t>
  </si>
  <si>
    <t>YAMID</t>
  </si>
  <si>
    <t>SANCHEZ LASPRILLA</t>
  </si>
  <si>
    <t>NICOLE NATHALY ARROYO SANCHEZ</t>
  </si>
  <si>
    <t>DOCENTE AUX/N/TC/EMPRENDIMIE/FUN.ACADE-ADMIN</t>
  </si>
  <si>
    <t>nicole_arroyo@cun.edu.co</t>
  </si>
  <si>
    <t>nicolearroyo07@gmail.com</t>
  </si>
  <si>
    <t>3116853569</t>
  </si>
  <si>
    <t>NICOLE NATHALY</t>
  </si>
  <si>
    <t>ARROYO SANCHEZ</t>
  </si>
  <si>
    <t>ENRIQUE RINCON PRIETO</t>
  </si>
  <si>
    <t>ENRIQUE_RINCON@CUN.EDU.CO</t>
  </si>
  <si>
    <t>enriquerinconprieto@gmail.com</t>
  </si>
  <si>
    <t>3208164603</t>
  </si>
  <si>
    <t>ENRIQUE</t>
  </si>
  <si>
    <t>RINCON PRIETO</t>
  </si>
  <si>
    <t>DIANA FERNANDA VARGAS BERNAL</t>
  </si>
  <si>
    <t>diana_vargasbe@cun.edu.co</t>
  </si>
  <si>
    <t>dfernanda06@gmail.com</t>
  </si>
  <si>
    <t>3118922867</t>
  </si>
  <si>
    <t>DIANA FERNANDA</t>
  </si>
  <si>
    <t>VARGAS BERNAL</t>
  </si>
  <si>
    <t>YARIMA KATHERIN JIMENEZ OLARTE</t>
  </si>
  <si>
    <t>DOCENTE AUX/N/V/TC/EMPRENDIMIE/PROYECT A</t>
  </si>
  <si>
    <t>yarima_jimenez@cun.edu.co</t>
  </si>
  <si>
    <t>kjkatherin@gmail.com</t>
  </si>
  <si>
    <t>3203838206</t>
  </si>
  <si>
    <t>YARIMA KATHERIN</t>
  </si>
  <si>
    <t>JIMENEZ OLARTE</t>
  </si>
  <si>
    <t>JAIRO RUBEN MACIAS VERA</t>
  </si>
  <si>
    <t>jairo_macias@cun.edu.co</t>
  </si>
  <si>
    <t>maciasverajairo@gmail.com</t>
  </si>
  <si>
    <t>3007375760</t>
  </si>
  <si>
    <t>JAIRO RUBEN</t>
  </si>
  <si>
    <t>MACIAS VERA</t>
  </si>
  <si>
    <t>1017129321</t>
  </si>
  <si>
    <t>SANTIAGO GALEANO ALARCA</t>
  </si>
  <si>
    <t>santiago_galeano@cun.edu.co</t>
  </si>
  <si>
    <t>sgaleano2011@hotmail.com</t>
  </si>
  <si>
    <t>3006293693</t>
  </si>
  <si>
    <t>SANTIAGO</t>
  </si>
  <si>
    <t>GALEANO ALARCA</t>
  </si>
  <si>
    <t>SARAH LIA PRIETO RODRIGUEZ</t>
  </si>
  <si>
    <t>DOC AUX/N/V/TC/EMPRENDIMIE/FUN.ACADE-ADMIN</t>
  </si>
  <si>
    <t>sarah_prieto@cun.edu.co</t>
  </si>
  <si>
    <t>oaprietos022@gmail.com</t>
  </si>
  <si>
    <t>3227101789</t>
  </si>
  <si>
    <t>SARAH LIA</t>
  </si>
  <si>
    <t>PRIETO RODRIGUEZ</t>
  </si>
  <si>
    <t>LUIS EDUARDO CASTILLO MARTINEZ</t>
  </si>
  <si>
    <t>luis_castillom@cun.edu.co</t>
  </si>
  <si>
    <t>cmluiseduardo2@gmail.com</t>
  </si>
  <si>
    <t>3168307651</t>
  </si>
  <si>
    <t>LUIS EDUARDO</t>
  </si>
  <si>
    <t>CASTILLO MARTINEZ</t>
  </si>
  <si>
    <t>JONNY ALEXANDER UMAÑA GUEVARA</t>
  </si>
  <si>
    <t>jonny_umana@cun.edu.co</t>
  </si>
  <si>
    <t>ingjonnyug@gmail.com</t>
  </si>
  <si>
    <t>3106793704</t>
  </si>
  <si>
    <t>JONNY ALEXANDER</t>
  </si>
  <si>
    <t>UMAÑA GUEVARA</t>
  </si>
  <si>
    <t>JHON ALEXANDER GONZALEZ DORADO</t>
  </si>
  <si>
    <t>jhon_gonzalez@cun.edu.co</t>
  </si>
  <si>
    <t>jhon.gonzalezdo@gmail.com</t>
  </si>
  <si>
    <t>3123666157</t>
  </si>
  <si>
    <t>GONZALEZ DORADO</t>
  </si>
  <si>
    <t>TATIANA BAZZANI MENDOZA</t>
  </si>
  <si>
    <t>TATIANA_BAZZANI@CUN.EDU.CO</t>
  </si>
  <si>
    <t>TATIANA.BM1222@GMAIL.COM</t>
  </si>
  <si>
    <t>3202362143</t>
  </si>
  <si>
    <t>TATIANA</t>
  </si>
  <si>
    <t>BAZZANI MENDOZA</t>
  </si>
  <si>
    <t>1140844526</t>
  </si>
  <si>
    <t>JORGE ARTURO MENDOZA PERALTA</t>
  </si>
  <si>
    <t>jorge_mendozap@cun.edu.co</t>
  </si>
  <si>
    <t>jmendozap@outlook.es</t>
  </si>
  <si>
    <t>3006688991</t>
  </si>
  <si>
    <t>JORGE ARTURO</t>
  </si>
  <si>
    <t>MENDOZA PERALTA</t>
  </si>
  <si>
    <t>MARIA FERNANDA MATEUS ARIZA</t>
  </si>
  <si>
    <t>DOC AUX T&amp;T/N/V/TC/EMPRENDIMIENTO/PROYECTO</t>
  </si>
  <si>
    <t>maria_mateusa@cun.edu.co</t>
  </si>
  <si>
    <t>mafets1822@gmail.com</t>
  </si>
  <si>
    <t>3123735932</t>
  </si>
  <si>
    <t>MATEUS ARIZA</t>
  </si>
  <si>
    <t>RAFAEL EDUARDO PATERNINA DÍAZ</t>
  </si>
  <si>
    <t>rafael_paterninad@cun.edu.co</t>
  </si>
  <si>
    <t>rafaelunisucre@gmail.com</t>
  </si>
  <si>
    <t>3122984076</t>
  </si>
  <si>
    <t>RAFAEL EDUARDO</t>
  </si>
  <si>
    <t>PATERNINA DÍAZ</t>
  </si>
  <si>
    <t>ERIKA ORTIZ RODRIGUEZ</t>
  </si>
  <si>
    <t>erika_ortiz@cun.edu.co</t>
  </si>
  <si>
    <t>erikaortiz.rodriguez@hotmail.com</t>
  </si>
  <si>
    <t>3143000315</t>
  </si>
  <si>
    <t>ERIKA</t>
  </si>
  <si>
    <t>ORTIZ RODRIGUEZ</t>
  </si>
  <si>
    <t>GUILLERMO ALBERTO RAMIREZ MEDINA</t>
  </si>
  <si>
    <t>REGIONAL CAUCA</t>
  </si>
  <si>
    <t>POPAYAN</t>
  </si>
  <si>
    <t>guillermo_ramirezm@cun.edu.co</t>
  </si>
  <si>
    <t>guillermo.ramirez284@gmail.com</t>
  </si>
  <si>
    <t>3187125143</t>
  </si>
  <si>
    <t>GUILLERMO ALBERTO</t>
  </si>
  <si>
    <t>RAMIREZ MEDINA</t>
  </si>
  <si>
    <t>JOHANNA BARRAGAN CUERVO</t>
  </si>
  <si>
    <t>johanna_barragan@cun.edu.co</t>
  </si>
  <si>
    <t>johannabarragancuervo@gmail.com</t>
  </si>
  <si>
    <t>3002031698</t>
  </si>
  <si>
    <t>JOHANNA</t>
  </si>
  <si>
    <t>BARRAGAN CUERVO</t>
  </si>
  <si>
    <t>LADY JOHANA MOYA BEDOYA</t>
  </si>
  <si>
    <t>lady_moya@cun.edu.co</t>
  </si>
  <si>
    <t>ladymoya89@gmail.com</t>
  </si>
  <si>
    <t>3134263370</t>
  </si>
  <si>
    <t>LADY JOHANA</t>
  </si>
  <si>
    <t>MOYA BEDOYA</t>
  </si>
  <si>
    <t>DANIEL HERNANDEZ GOMEZ</t>
  </si>
  <si>
    <t>daniel_hernandez@cun.edu.co</t>
  </si>
  <si>
    <t>hergoz@gmail.com</t>
  </si>
  <si>
    <t>3112363677</t>
  </si>
  <si>
    <t>DANIEL</t>
  </si>
  <si>
    <t>HERNANDEZ GOMEZ</t>
  </si>
  <si>
    <t>MICHAEL LEONARDO BOHORQUEZ GUZMAN</t>
  </si>
  <si>
    <t>michael_bohorquez@cun.edu.co</t>
  </si>
  <si>
    <t>michaelbohorquez28@gmail.com</t>
  </si>
  <si>
    <t>3153898650</t>
  </si>
  <si>
    <t>MICHAEL LEONARDO</t>
  </si>
  <si>
    <t>BOHORQUEZ GUZMAN</t>
  </si>
  <si>
    <t>1075233261</t>
  </si>
  <si>
    <t>FARID ANDRES GRANADOS AYA</t>
  </si>
  <si>
    <t>farid_granadosa@cun.edu.co</t>
  </si>
  <si>
    <t>andresgranadosaya@gmail.com</t>
  </si>
  <si>
    <t>3176813102</t>
  </si>
  <si>
    <t>FARID ANDRES</t>
  </si>
  <si>
    <t>GRANADOS AYA</t>
  </si>
  <si>
    <t>1140866530</t>
  </si>
  <si>
    <t>JUAN DAVID RIOS PEREZ</t>
  </si>
  <si>
    <t>juan_riosp@cun.edu.co</t>
  </si>
  <si>
    <t>juandavidriosperez@gmail.com</t>
  </si>
  <si>
    <t>3128573076</t>
  </si>
  <si>
    <t>RIOS PEREZ</t>
  </si>
  <si>
    <t>CAROLINA MORA OSPINA</t>
  </si>
  <si>
    <t>carolina_mora@cun.edu.co</t>
  </si>
  <si>
    <t>caritomorao@gmail.com</t>
  </si>
  <si>
    <t>3204570622</t>
  </si>
  <si>
    <t>MORA OSPINA</t>
  </si>
  <si>
    <t>alejandra_martinez@cun.edu.co</t>
  </si>
  <si>
    <t>almamartinezsalgado@gmail.com</t>
  </si>
  <si>
    <t>3043591260</t>
  </si>
  <si>
    <t>ALEJANDRA MARIA</t>
  </si>
  <si>
    <t>MARTINEZ SALGADO</t>
  </si>
  <si>
    <t>38212384</t>
  </si>
  <si>
    <t>DIANA LUCIA ECHEVERRY SARMIENTO</t>
  </si>
  <si>
    <t>diana_echeverrysa@cun.edu.co</t>
  </si>
  <si>
    <t>diecheverry@gmail.com</t>
  </si>
  <si>
    <t>3013460926</t>
  </si>
  <si>
    <t>DIANA LUCIA</t>
  </si>
  <si>
    <t>ECHEVERRY SARMIENTO</t>
  </si>
  <si>
    <t>1022438374</t>
  </si>
  <si>
    <t>ANGIE KATERIN FUENTES RODRIGUEZ</t>
  </si>
  <si>
    <t>angie_fuentes@cun.edu.co</t>
  </si>
  <si>
    <t>katerinfuentes56@gmail.com</t>
  </si>
  <si>
    <t>3155421761</t>
  </si>
  <si>
    <t>ANGIE KATERIN</t>
  </si>
  <si>
    <t>FUENTES RODRIGUEZ</t>
  </si>
  <si>
    <t>DIEGO ARMANDO OLIVARES RODRIGUEZ</t>
  </si>
  <si>
    <t>diego_olivaresr@cun.edu.co</t>
  </si>
  <si>
    <t>jerico8474@hotmail.com</t>
  </si>
  <si>
    <t>3112354806</t>
  </si>
  <si>
    <t>OLIVARES RODRIGUEZ</t>
  </si>
  <si>
    <t>PAULA ANDREA BARBOSA RODRIGUEZ</t>
  </si>
  <si>
    <t>paula_barbosaro@cun.edu.co</t>
  </si>
  <si>
    <t>ingeniera.paulabarbosa@gmail.com</t>
  </si>
  <si>
    <t>3023513296</t>
  </si>
  <si>
    <t>PAULA ANDREA</t>
  </si>
  <si>
    <t>BARBOSA RODRIGUEZ</t>
  </si>
  <si>
    <t>JHON JAIRO BENITEZ NIÑO</t>
  </si>
  <si>
    <t>jhon_benitez@cun.edu.co</t>
  </si>
  <si>
    <t>JHONJABENI@GMAIL.COM</t>
  </si>
  <si>
    <t>3133270688</t>
  </si>
  <si>
    <t>JHON JAIRO</t>
  </si>
  <si>
    <t>BENITEZ NIÑO</t>
  </si>
  <si>
    <t>JULIAN ANDRES CORDERO MARTINEZ</t>
  </si>
  <si>
    <t>MOSQUERA</t>
  </si>
  <si>
    <t>julian_cordero@cun.edu.co</t>
  </si>
  <si>
    <t>JACORMAZ10@GMAIL.COM</t>
  </si>
  <si>
    <t>3112494547</t>
  </si>
  <si>
    <t>CORDERO MARTINEZ</t>
  </si>
  <si>
    <t>MOSQUERA SEDE</t>
  </si>
  <si>
    <t>JENNIFER PAOLA GARAVIÑO GARZON</t>
  </si>
  <si>
    <t>jennifer_garavino@cun.edu.co</t>
  </si>
  <si>
    <t>je.nifer13@outlook.com</t>
  </si>
  <si>
    <t>3006831159</t>
  </si>
  <si>
    <t>JENNIFER PAOLA</t>
  </si>
  <si>
    <t>GARAVIÑO GARZON</t>
  </si>
  <si>
    <t>52818298</t>
  </si>
  <si>
    <t>ANGELICA ROCIO GOMEZ ROBAYO</t>
  </si>
  <si>
    <t>angelica_gomezro@cun.edu.co</t>
  </si>
  <si>
    <t>angelicar.gomezr@gmail.com</t>
  </si>
  <si>
    <t>3123887533</t>
  </si>
  <si>
    <t>ANGELICA ROCIO</t>
  </si>
  <si>
    <t>GOMEZ ROBAYO</t>
  </si>
  <si>
    <t>HENRY ANDRES GOMEZ RAMIREZ</t>
  </si>
  <si>
    <t>DOCENTE ASIS/N/MT/EMPRENDIMIE</t>
  </si>
  <si>
    <t>henry_gomez@cun.edu.co</t>
  </si>
  <si>
    <t>henryan.gomez@urosario.edu.co</t>
  </si>
  <si>
    <t>3122273520</t>
  </si>
  <si>
    <t>HENRY ANDRES</t>
  </si>
  <si>
    <t>GOMEZ RAMIREZ</t>
  </si>
  <si>
    <t>1018423290</t>
  </si>
  <si>
    <t>SERGIO ALFONSO PARRA SANCHEZ</t>
  </si>
  <si>
    <t>sergio_parrasan@cun.edu.co</t>
  </si>
  <si>
    <t>sergio.l1015@hotmail.com</t>
  </si>
  <si>
    <t>3102596111</t>
  </si>
  <si>
    <t>SERGIO ALFONSO</t>
  </si>
  <si>
    <t>PARRA SANCHEZ</t>
  </si>
  <si>
    <t>CRISTOBAL GOMEZ REINA</t>
  </si>
  <si>
    <t>cristobal_gomezre@cun.edu.co</t>
  </si>
  <si>
    <t>cristobalgr2025@gmail.com</t>
  </si>
  <si>
    <t>3053184333</t>
  </si>
  <si>
    <t>CRISTOBAL</t>
  </si>
  <si>
    <t>GOMEZ REINA</t>
  </si>
  <si>
    <t>1105676701</t>
  </si>
  <si>
    <t>JUAN SEBASTIAN CESPEDES RODRIGUEZ</t>
  </si>
  <si>
    <t>juan_cespedes@cun.edu.co</t>
  </si>
  <si>
    <t>jsebastian512@gmail.com</t>
  </si>
  <si>
    <t>3145978781</t>
  </si>
  <si>
    <t>CESPEDES RODRIGUEZ</t>
  </si>
  <si>
    <t>WILLIAM FERNANDO MARIN CHAVEZ</t>
  </si>
  <si>
    <t>william_marinch@cun.edu.co</t>
  </si>
  <si>
    <t>fernandomarinchavez.015@gmail.com</t>
  </si>
  <si>
    <t>3112524179</t>
  </si>
  <si>
    <t>MARIN CHAVEZ</t>
  </si>
  <si>
    <t>MANUEL LEONARDO LAVERDE DONOSO</t>
  </si>
  <si>
    <t>manuel_laverdedo@cun.edu.co</t>
  </si>
  <si>
    <t>leonardolaverded@gmail.com</t>
  </si>
  <si>
    <t>3133723214</t>
  </si>
  <si>
    <t>MANUEL LEONARDO</t>
  </si>
  <si>
    <t>LAVERDE DONOSO</t>
  </si>
  <si>
    <t>52771002</t>
  </si>
  <si>
    <t>DEISY MORENO SANCHEZ</t>
  </si>
  <si>
    <t>deisy_morenos@cun.edu.co</t>
  </si>
  <si>
    <t>deisymoreno176@gmail.com</t>
  </si>
  <si>
    <t>3024027950</t>
  </si>
  <si>
    <t>DEISY</t>
  </si>
  <si>
    <t>MORENO SANCHEZ</t>
  </si>
  <si>
    <t>65785392</t>
  </si>
  <si>
    <t>GENNY CAROLINA MORA ROJAS</t>
  </si>
  <si>
    <t>genny_morar@cun.edu.co</t>
  </si>
  <si>
    <t>cmora1979@gmail.com</t>
  </si>
  <si>
    <t>3107757510</t>
  </si>
  <si>
    <t>GENNY CAROLINA</t>
  </si>
  <si>
    <t>MORA ROJAS</t>
  </si>
  <si>
    <t>ANGIE MARICELLA BLANCO CARREÑO</t>
  </si>
  <si>
    <t>angie_blancoca@cun.edu.co</t>
  </si>
  <si>
    <t>ANGIEBLANCO.C@GMAIL.COM</t>
  </si>
  <si>
    <t>3155627474</t>
  </si>
  <si>
    <t>ANGIE MARICELLA</t>
  </si>
  <si>
    <t>BLANCO CARREÑO</t>
  </si>
  <si>
    <t>JOSE RAFAEL DAVILA FERNANDEZ</t>
  </si>
  <si>
    <t>jose_davilaf@cun.edu.co</t>
  </si>
  <si>
    <t>joserafaeldavila@hotmail.com</t>
  </si>
  <si>
    <t>3022104823</t>
  </si>
  <si>
    <t>JOSE RAFAEL</t>
  </si>
  <si>
    <t>DAVILA FERNANDEZ</t>
  </si>
  <si>
    <t>JULIO CESAR GARCIA SIERRA</t>
  </si>
  <si>
    <t>julio_garcias@cun.edu.co</t>
  </si>
  <si>
    <t>JULIOCGARCIAS@GMAIL.COM</t>
  </si>
  <si>
    <t>3102743301</t>
  </si>
  <si>
    <t>GARCIA SIERRA</t>
  </si>
  <si>
    <t>ANDRES FELIPE BRICEÑO NIÑO</t>
  </si>
  <si>
    <t>andres_bricenon@cun.edu.co</t>
  </si>
  <si>
    <t>ANFEBRI2N@GMAIL.COM</t>
  </si>
  <si>
    <t>3209421735</t>
  </si>
  <si>
    <t>BRICEÑO NIÑO</t>
  </si>
  <si>
    <t>DIEGO SALIM MISERQUE MARTINEZ</t>
  </si>
  <si>
    <t>diego_miserque@cun.edu.co</t>
  </si>
  <si>
    <t>D.S.MISEMART@HOTMAIL.COM</t>
  </si>
  <si>
    <t>3023151088</t>
  </si>
  <si>
    <t>DIEGO SALIM</t>
  </si>
  <si>
    <t>MISERQUE MARTINEZ</t>
  </si>
  <si>
    <t>CHARLINE GUISELY GOMEZ GAMEZ</t>
  </si>
  <si>
    <t>charline_gomezga@cun.edu.co</t>
  </si>
  <si>
    <t>guisely90@hotmail.com</t>
  </si>
  <si>
    <t>3114799831</t>
  </si>
  <si>
    <t>CHARLINE GUISELY</t>
  </si>
  <si>
    <t>GOMEZ GAMEZ</t>
  </si>
  <si>
    <t>1047428467</t>
  </si>
  <si>
    <t>ALBA STEFANIA MEZA CORCHO</t>
  </si>
  <si>
    <t>REGIONAL BOLIVAR</t>
  </si>
  <si>
    <t>CARTAGENA</t>
  </si>
  <si>
    <t>alba_meza@cun.edu.co</t>
  </si>
  <si>
    <t>STEFYMEZA16@GMAIL.COM</t>
  </si>
  <si>
    <t>3004463102</t>
  </si>
  <si>
    <t>ALBA STEFANIA</t>
  </si>
  <si>
    <t>MEZA CORCHO</t>
  </si>
  <si>
    <t>CARTAGENA SEDE</t>
  </si>
  <si>
    <t>GLORIA ESPERANZA BAENA TABARES</t>
  </si>
  <si>
    <t>REGIONAL CALDAS</t>
  </si>
  <si>
    <t>MANIZALES</t>
  </si>
  <si>
    <t>gloria_baena@cun.edu.co</t>
  </si>
  <si>
    <t>glori.baena24@gmail.com</t>
  </si>
  <si>
    <t>3016672143</t>
  </si>
  <si>
    <t>MANIZALEZ</t>
  </si>
  <si>
    <t>GLORIA ESPERANZA</t>
  </si>
  <si>
    <t>BAENA TABARES</t>
  </si>
  <si>
    <t>MANIZALES SEDE</t>
  </si>
  <si>
    <t>WILSON GONZALEZ MONTILLA</t>
  </si>
  <si>
    <t>wilson_gonzalezmo@cun.edu.co</t>
  </si>
  <si>
    <t>WJSGONZALEZ2016@GMAIL.COM</t>
  </si>
  <si>
    <t>3143050556</t>
  </si>
  <si>
    <t>WILSON</t>
  </si>
  <si>
    <t>GONZALEZ MONTILLA</t>
  </si>
  <si>
    <t>CARLOS MAURICIO BAEZ PALENCIA</t>
  </si>
  <si>
    <t>carlos_baezpa@cun.edu.co</t>
  </si>
  <si>
    <t>maobaezp@gmail.com</t>
  </si>
  <si>
    <t>3133303003</t>
  </si>
  <si>
    <t>CARLOS MAURICIO</t>
  </si>
  <si>
    <t>BAEZ PALENCIA</t>
  </si>
  <si>
    <t>DIEGO ALEJANDRO ESGUERRA BUITRAGO</t>
  </si>
  <si>
    <t>diego_esguerrabu@cun.edu.co</t>
  </si>
  <si>
    <t>desguerrabuitrago@gmail.com</t>
  </si>
  <si>
    <t>3208541877</t>
  </si>
  <si>
    <t>ESGUERRA BUITRAGO</t>
  </si>
  <si>
    <t>DAVID JULIAN ROZO RAMOS</t>
  </si>
  <si>
    <t>DOC ASIS/N/TC/EMPRENDIMIENTO/FUN.ACADE-ADMIN</t>
  </si>
  <si>
    <t>david_rozo@cun.edu.co</t>
  </si>
  <si>
    <t>DAVID.ROZO.R@GMAIL.COM</t>
  </si>
  <si>
    <t>3002692791</t>
  </si>
  <si>
    <t>DAVID JULIAN</t>
  </si>
  <si>
    <t>ROZO RAMOS</t>
  </si>
  <si>
    <t>YENIFFER DE LA HOZ GARCIA</t>
  </si>
  <si>
    <t>yeniffer_delahoz@cun.edu.co</t>
  </si>
  <si>
    <t>YENDELAHOZG@GMAIL.COM</t>
  </si>
  <si>
    <t>3102655197</t>
  </si>
  <si>
    <t>YENIFFER</t>
  </si>
  <si>
    <t>DE LA HOZ GARCIA</t>
  </si>
  <si>
    <t>GUSTAVO CARDENAS CHACON</t>
  </si>
  <si>
    <t>gustavo_cardenasch@cun.edu.co</t>
  </si>
  <si>
    <t>GCCHACON@GMAIL.COM</t>
  </si>
  <si>
    <t>3164955567</t>
  </si>
  <si>
    <t>GUSTAVO</t>
  </si>
  <si>
    <t>CARDENAS CHACON</t>
  </si>
  <si>
    <t>MARIA ISABEL ZARATE BARRANTES</t>
  </si>
  <si>
    <t>maria_zarateba@cun.edu.co</t>
  </si>
  <si>
    <t>issazarate2025@gmail.com</t>
  </si>
  <si>
    <t>3192591410</t>
  </si>
  <si>
    <t>ZARATE BARRANTES</t>
  </si>
  <si>
    <t>DIANA NAYIBE RODRIGUEZ VELANDIA</t>
  </si>
  <si>
    <t>diana_rodriguezv@cun.edu.co</t>
  </si>
  <si>
    <t>DIANA.RODRIVE@OUTLOOK.COM</t>
  </si>
  <si>
    <t>3142438150</t>
  </si>
  <si>
    <t>DIANA NAYIBE</t>
  </si>
  <si>
    <t>RODRIGUEZ VELANDIA</t>
  </si>
  <si>
    <t>JOHN GUILLERMO CRUZ BARRETO</t>
  </si>
  <si>
    <t>john_cruzb@cun.edu.co</t>
  </si>
  <si>
    <t>JHONCRUZBARRETO19842@GMAIL.COM</t>
  </si>
  <si>
    <t>3118737565</t>
  </si>
  <si>
    <t>JOHN GUILLERMO</t>
  </si>
  <si>
    <t>CRUZ BARRETO</t>
  </si>
  <si>
    <t>MANUEL ALEJANDRO RODRIGUEZ ROJAS</t>
  </si>
  <si>
    <t>manuel_rodriguezr@cun.edu.co</t>
  </si>
  <si>
    <t>PSALEJANDRO2507@GMAIL.COM</t>
  </si>
  <si>
    <t>3502692135</t>
  </si>
  <si>
    <t>MANUEL ALEJANDRO</t>
  </si>
  <si>
    <t>RODRIGUEZ ROJAS</t>
  </si>
  <si>
    <t>KAREN STEPHANY MENDOZA ROSAS</t>
  </si>
  <si>
    <t>karen_mendozaro@cun.edu.co</t>
  </si>
  <si>
    <t>STEPHANYMENDOZAROS@GMAIL.COM</t>
  </si>
  <si>
    <t>3007370660</t>
  </si>
  <si>
    <t>KAREN STEPHANY</t>
  </si>
  <si>
    <t>MENDOZA ROSAS</t>
  </si>
  <si>
    <t>GUSTAVO ADOLFO RUBIANO JIMENEZ</t>
  </si>
  <si>
    <t>gustavo_rubianoj@cun.edu.co</t>
  </si>
  <si>
    <t>g.rubiano2502@gmail.com</t>
  </si>
  <si>
    <t>3184130782</t>
  </si>
  <si>
    <t>GUSTAVO ADOLFO</t>
  </si>
  <si>
    <t>RUBIANO JIMENEZ</t>
  </si>
  <si>
    <t>1143344795</t>
  </si>
  <si>
    <t>CESAR AUGUSTO GUERRERO RUIZ</t>
  </si>
  <si>
    <t>cesar_guerreror@cun.edu.co</t>
  </si>
  <si>
    <t>GUERREROUTB@OUTLOOK.COM</t>
  </si>
  <si>
    <t>3026696886</t>
  </si>
  <si>
    <t>GUERRERO RUIZ</t>
  </si>
  <si>
    <t>ANDRES SEBASTIAN HURTADO SOLORZANO</t>
  </si>
  <si>
    <t>andres_hurtados@cun.edu.co</t>
  </si>
  <si>
    <t>ansehuso@gmail.co</t>
  </si>
  <si>
    <t>3249520602</t>
  </si>
  <si>
    <t>ANDRES SEBASTIAN</t>
  </si>
  <si>
    <t>HURTADO SOLORZANO</t>
  </si>
  <si>
    <t>DAVID GUERRERO FERNANDEZ</t>
  </si>
  <si>
    <t>david_guerrerof@cun.edu.co</t>
  </si>
  <si>
    <t>D_GUERRE@YAHOO.COM</t>
  </si>
  <si>
    <t>3014376415</t>
  </si>
  <si>
    <t>GUERRERO FERNANDEZ</t>
  </si>
  <si>
    <t>LADY JOHANNA HUERTAS RAMIREZ</t>
  </si>
  <si>
    <t>lady_huertasr@cun.edu.co</t>
  </si>
  <si>
    <t>LADYJOHANNA22@GMAIL.COM</t>
  </si>
  <si>
    <t>3168253361</t>
  </si>
  <si>
    <t>LADY JOHANNA</t>
  </si>
  <si>
    <t>HUERTAS RAMIREZ</t>
  </si>
  <si>
    <t>CAROL NATALY GONZALEZ MENJURA</t>
  </si>
  <si>
    <t>carol_gonzalezm@cun.edu.co</t>
  </si>
  <si>
    <t>NATALY3419@OUTLOOK.COM</t>
  </si>
  <si>
    <t>3143272717</t>
  </si>
  <si>
    <t>CAROL NATALY</t>
  </si>
  <si>
    <t>GONZALEZ MENJURA</t>
  </si>
  <si>
    <t>OSCAR IVAN MAYORGA ROMERO</t>
  </si>
  <si>
    <t>oscar_mayorgar@cun.edu.co</t>
  </si>
  <si>
    <t>oscar.697@hotmail.com</t>
  </si>
  <si>
    <t>3508563870</t>
  </si>
  <si>
    <t>OSCAR IVAN</t>
  </si>
  <si>
    <t>MAYORGA ROMERO</t>
  </si>
  <si>
    <t>MARIA JOSE ERAZO ORTIZ</t>
  </si>
  <si>
    <t>maria_erazoo@cun.edu.co</t>
  </si>
  <si>
    <t>MJEO97@GMAIL.COM</t>
  </si>
  <si>
    <t>3169860346</t>
  </si>
  <si>
    <t>ERAZO ORTIZ</t>
  </si>
  <si>
    <t>ANDRES FELIPE RAMIREZ ACEVEDO</t>
  </si>
  <si>
    <t>andres_ramireza@cun.edu.co</t>
  </si>
  <si>
    <t>TIENDAIKWA@GMAIL.COM</t>
  </si>
  <si>
    <t>3194950805</t>
  </si>
  <si>
    <t>RAMIREZ ACEVEDO</t>
  </si>
  <si>
    <t>FELIX EDUARDO SEGURA GIL</t>
  </si>
  <si>
    <t>felix_seguragi@cun.edu.co</t>
  </si>
  <si>
    <t>SEGURAFELIXEDUARDO@GMAIL.COM</t>
  </si>
  <si>
    <t>3143115829</t>
  </si>
  <si>
    <t>FELIX EDUARDO</t>
  </si>
  <si>
    <t>SEGURA GIL</t>
  </si>
  <si>
    <t>PAULA ANDREA DONCEL RINCON</t>
  </si>
  <si>
    <t>paula_doncelri@cun.edu.co</t>
  </si>
  <si>
    <t>ANDREADONCEL99@GMAIL.COM</t>
  </si>
  <si>
    <t>3224527015</t>
  </si>
  <si>
    <t>DONCEL RINCON</t>
  </si>
  <si>
    <t>CATHERINE YISEL PARRA VIA</t>
  </si>
  <si>
    <t>catherine_parrav@cun.edu.co</t>
  </si>
  <si>
    <t>yisel2107.1910@gmail.com</t>
  </si>
  <si>
    <t>3043908759</t>
  </si>
  <si>
    <t>CATHERINE YISEL</t>
  </si>
  <si>
    <t>PARRA VIA</t>
  </si>
  <si>
    <t>ELIZABETH MERCEDES BERNAL MARTINEZ</t>
  </si>
  <si>
    <t>elizabeth_bernalm@cun.edu.co</t>
  </si>
  <si>
    <t>elizabeth.m.bernal@gmail.com</t>
  </si>
  <si>
    <t>3105552183</t>
  </si>
  <si>
    <t>ELIZABETH MERCEDES</t>
  </si>
  <si>
    <t>BERNAL MARTINEZ</t>
  </si>
  <si>
    <t>SANDRA CATALINA OLAYA MENDEZ</t>
  </si>
  <si>
    <t>sandra_olaya@cun.edu.co</t>
  </si>
  <si>
    <t>CATALINA.OLAYA.COL@GMAIL.COM</t>
  </si>
  <si>
    <t>3167485153</t>
  </si>
  <si>
    <t>SANDRA CATALINA</t>
  </si>
  <si>
    <t>OLAYA MENDEZ</t>
  </si>
  <si>
    <t>JUAN PABLO ALBAN PERDOMO</t>
  </si>
  <si>
    <t>juan_albanp@cun.edu.co</t>
  </si>
  <si>
    <t>CONSUEGRACONGRA@HOTMAIL.COM</t>
  </si>
  <si>
    <t>3158663188</t>
  </si>
  <si>
    <t>ALBAN PERDOMO</t>
  </si>
  <si>
    <t>ADRIANA PAOLA RODRIGUEZ ALVAREZ</t>
  </si>
  <si>
    <t>adriana_rodrigueza@cun.edu.co</t>
  </si>
  <si>
    <t>ADRIYAYA18@GMAIL.COM</t>
  </si>
  <si>
    <t>3046195006</t>
  </si>
  <si>
    <t>ADRIANA PAOLA</t>
  </si>
  <si>
    <t>RODRIGUEZ ALVAREZ</t>
  </si>
  <si>
    <t>MANUEL ALEJANDRO BONILLA GOMEZ</t>
  </si>
  <si>
    <t>manuel_bonillag@cun.edu.co</t>
  </si>
  <si>
    <t>ALEJANDROBONILLAG@GMAIL.COM</t>
  </si>
  <si>
    <t>3115417313</t>
  </si>
  <si>
    <t>BONILLA GOMEZ</t>
  </si>
  <si>
    <t>DIEGO FERNANDO BATERO MANSO</t>
  </si>
  <si>
    <t>DOC ASIS/N/V/TC/ESP ANALIT DATOS/FUN.ACADE-ADMIN</t>
  </si>
  <si>
    <t>ESPECIALIZACION DE ANALITICA DE DATOS</t>
  </si>
  <si>
    <t>diego_batero@cun.edu.co</t>
  </si>
  <si>
    <t>diegoindustrial@gmail.com</t>
  </si>
  <si>
    <t>3194501866</t>
  </si>
  <si>
    <t>BATERO MANSO</t>
  </si>
  <si>
    <t>7731838</t>
  </si>
  <si>
    <t>JOSE MIGUEL LLANOS MOSQUERA</t>
  </si>
  <si>
    <t>DOC TITU/N/V/TC/ESP ANALIT DATOS/FUN.ACA</t>
  </si>
  <si>
    <t>jose_llanos@cun.edu.co</t>
  </si>
  <si>
    <t>llanos159@hotmail.com</t>
  </si>
  <si>
    <t>3003473415</t>
  </si>
  <si>
    <t>JOSE MIGUEL</t>
  </si>
  <si>
    <t>LLANOS MOSQUERA</t>
  </si>
  <si>
    <t>1144180616</t>
  </si>
  <si>
    <t>ANDRES MAURICIO VALDERRAMA GIRALDO</t>
  </si>
  <si>
    <t>andres_valderrama@cun.edu.co</t>
  </si>
  <si>
    <t>andres.mauriciov94@gmail.com</t>
  </si>
  <si>
    <t>3143724278</t>
  </si>
  <si>
    <t>ANDRES MAURICIO</t>
  </si>
  <si>
    <t>VALDERRAMA GIRALDO</t>
  </si>
  <si>
    <t>1143269479</t>
  </si>
  <si>
    <t>EMANUEL ELIAS GUTIERREZ PAEZ</t>
  </si>
  <si>
    <t>DOC ASIS/N/V/MT/ESP ANALIT DATOS</t>
  </si>
  <si>
    <t>emanuel_gutierrezp@cun.edu.co</t>
  </si>
  <si>
    <t>emanuel.gutierrez0717@gmail.com</t>
  </si>
  <si>
    <t>3001494678</t>
  </si>
  <si>
    <t>EMANUEL ELIAS</t>
  </si>
  <si>
    <t>GUTIERREZ PAEZ</t>
  </si>
  <si>
    <t>1001369115</t>
  </si>
  <si>
    <t>ALEJANDRA URIBE SIERRA</t>
  </si>
  <si>
    <t>DOC AUX/N/V/MT/ESP ANALIT DATOS</t>
  </si>
  <si>
    <t>alejandra_uribes@cun.edu.co</t>
  </si>
  <si>
    <t>ALEJANDRAURIBESIERRA@GMAIL.COM</t>
  </si>
  <si>
    <t>3022383904</t>
  </si>
  <si>
    <t>ALEJANDRA</t>
  </si>
  <si>
    <t>URIBE SIERRA</t>
  </si>
  <si>
    <t>DIANA CATALINA VASQUEZ RENDON</t>
  </si>
  <si>
    <t>DOC AUX T&amp;T/N/V/MT/ESP ANALIT DATOS</t>
  </si>
  <si>
    <t>diana_vasquezr@cun.edu.co</t>
  </si>
  <si>
    <t>catonga9823@gmail.com</t>
  </si>
  <si>
    <t>3002410114</t>
  </si>
  <si>
    <t>DIANA CATALINA</t>
  </si>
  <si>
    <t>VASQUEZ RENDON</t>
  </si>
  <si>
    <t>DAVID ANDRES VARGAS SALAZAR</t>
  </si>
  <si>
    <t>david_vargas@cun.edu.co</t>
  </si>
  <si>
    <t>david.vargas.abogado@gmail.com</t>
  </si>
  <si>
    <t>3004789068</t>
  </si>
  <si>
    <t>VARGAS SALAZAR</t>
  </si>
  <si>
    <t>ANDRES FELIPE BERNAL DAZA</t>
  </si>
  <si>
    <t>DOC ASIS/N/V/MT/ESP CONTRA ESTATAL</t>
  </si>
  <si>
    <t>andres_bernald@cun.edu.co</t>
  </si>
  <si>
    <t>felipebernalabogado@gmail.com</t>
  </si>
  <si>
    <t>3204838173</t>
  </si>
  <si>
    <t>BERNAL DAZA</t>
  </si>
  <si>
    <t>52874922</t>
  </si>
  <si>
    <t>SANDRA EDITH HUERTAS VARGAS</t>
  </si>
  <si>
    <t>DOC ASIS/N/V/TC/ESP CONTRA ESTATAL/PROYE</t>
  </si>
  <si>
    <t>sandra_huertav@cun.edu.co</t>
  </si>
  <si>
    <t>contrato.estatal01@gmail.com</t>
  </si>
  <si>
    <t>3185331751</t>
  </si>
  <si>
    <t>SANDRA EDITH</t>
  </si>
  <si>
    <t>HUERTAS VARGAS</t>
  </si>
  <si>
    <t>jorge_torresca@cun.edu.co</t>
  </si>
  <si>
    <t>JANDRESTORRES@HOTMAIL.COM</t>
  </si>
  <si>
    <t>3164855554</t>
  </si>
  <si>
    <t>TORRES CALDERON</t>
  </si>
  <si>
    <t>ANA MARIA ECHEVERRIA AVELLA</t>
  </si>
  <si>
    <t>DOC AUX/N/V/TC/ESP CONTRA ESTATAL/FUN.AC</t>
  </si>
  <si>
    <t>ana_echeverriaa@cun.edu.co</t>
  </si>
  <si>
    <t>ANITAVALERIA2408@GMAIL.COM</t>
  </si>
  <si>
    <t>3208942047</t>
  </si>
  <si>
    <t>ECHEVERRIA AVELLA</t>
  </si>
  <si>
    <t>LINA JOHANA GONZALEZ BARON</t>
  </si>
  <si>
    <t>lina_gonzalezba@cun.edu.co</t>
  </si>
  <si>
    <t>LINAGONZALEZ.ABOGADA@HOTMAIL.COM</t>
  </si>
  <si>
    <t>3138908592</t>
  </si>
  <si>
    <t>LINA JOHANA</t>
  </si>
  <si>
    <t>GONZALEZ BARON</t>
  </si>
  <si>
    <t>ELIANA RONDON CAÑON</t>
  </si>
  <si>
    <t>eliana_rondon@cun.edu.co</t>
  </si>
  <si>
    <t>ELIANARONDONCANON@GMAIL.COM</t>
  </si>
  <si>
    <t>3005285400</t>
  </si>
  <si>
    <t>ELIANA</t>
  </si>
  <si>
    <t>RONDON CAÑON</t>
  </si>
  <si>
    <t>40189417</t>
  </si>
  <si>
    <t>DIANA MARIA REY LEMA</t>
  </si>
  <si>
    <t>DOC TITU/N/V/TC/ESP CONT ESTA/FUN AD</t>
  </si>
  <si>
    <t>diana_reyl@cun.edu.co</t>
  </si>
  <si>
    <t>DIANAMARIA59@GMAIL.COM</t>
  </si>
  <si>
    <t>3023203611</t>
  </si>
  <si>
    <t>DIANA MARIA</t>
  </si>
  <si>
    <t>REY LEMA</t>
  </si>
  <si>
    <t>JUAN DAVID GUZMAN CARDENAS</t>
  </si>
  <si>
    <t>juan_guzmanc@cun.edu.co</t>
  </si>
  <si>
    <t>GUZMAN.JUANDAVID8@GMAIL.COM</t>
  </si>
  <si>
    <t>3022824587</t>
  </si>
  <si>
    <t>GUZMAN CARDENAS</t>
  </si>
  <si>
    <t>KAREN GIANETH ARCHILA CARDENAS</t>
  </si>
  <si>
    <t>karen_archila@cun.edu.co</t>
  </si>
  <si>
    <t>kareng.archilac@gmail.com</t>
  </si>
  <si>
    <t>3133693536</t>
  </si>
  <si>
    <t>KAREN GIANETH</t>
  </si>
  <si>
    <t>ARCHILA CARDENAS</t>
  </si>
  <si>
    <t>LINA MARIA AVILAN CORTES</t>
  </si>
  <si>
    <t>FUSAGASUGÁ</t>
  </si>
  <si>
    <t>lina_avilanco@cun.edu.co</t>
  </si>
  <si>
    <t>LINACORTES93@HOTMAIL.COM</t>
  </si>
  <si>
    <t>3164501171</t>
  </si>
  <si>
    <t>FUSAGASUGA</t>
  </si>
  <si>
    <t>AVILAN CORTES</t>
  </si>
  <si>
    <t>FUSAGASUGA SEDE</t>
  </si>
  <si>
    <t>JUAN SEBASTIAN BARRERA ANGEL</t>
  </si>
  <si>
    <t>juan_barreraan@cun.edu.co</t>
  </si>
  <si>
    <t>Juanse_barrera@hotmail.com</t>
  </si>
  <si>
    <t>3108751150</t>
  </si>
  <si>
    <t>BARRERA ANGEL</t>
  </si>
  <si>
    <t>80102077</t>
  </si>
  <si>
    <t>RONALD EDGARDO CUENCA TOVAR</t>
  </si>
  <si>
    <t>ronald_cuenca@cun.edu.co</t>
  </si>
  <si>
    <t>ronaldcuencatovar@gmail.com</t>
  </si>
  <si>
    <t>3145112972</t>
  </si>
  <si>
    <t>RONALD EDGARDO</t>
  </si>
  <si>
    <t>CUENCA TOVAR</t>
  </si>
  <si>
    <t>JAIME JUNIOR BLANCO NAVARRO</t>
  </si>
  <si>
    <t>jaime_blancon@cun.edu.co</t>
  </si>
  <si>
    <t>JADASABLANCO@GMAIL.COM</t>
  </si>
  <si>
    <t>3107809103</t>
  </si>
  <si>
    <t>JAIME JUNIOR</t>
  </si>
  <si>
    <t>BLANCO NAVARRO</t>
  </si>
  <si>
    <t>JESUS DAVID TUIRAN RUIZ</t>
  </si>
  <si>
    <t>jesus_tuiranr@cun.edu.co</t>
  </si>
  <si>
    <t>JESUSDAVIDTUIRANRUIZ@GMAIL.COM</t>
  </si>
  <si>
    <t>3016649496</t>
  </si>
  <si>
    <t>JESUS DAVID</t>
  </si>
  <si>
    <t>TUIRAN RUIZ</t>
  </si>
  <si>
    <t>1010166434</t>
  </si>
  <si>
    <t>NELSON NIÑO TRIANA</t>
  </si>
  <si>
    <t>nelson_ninot@cun.edu.co</t>
  </si>
  <si>
    <t>NINOTRIANANELSON@GMAIL.COM</t>
  </si>
  <si>
    <t>3166170519</t>
  </si>
  <si>
    <t>NELSON</t>
  </si>
  <si>
    <t>NIÑO TRIANA</t>
  </si>
  <si>
    <t>JUAN CAMILO CAMACHO OSORIO</t>
  </si>
  <si>
    <t>juan_camachoo@cun.edu.co</t>
  </si>
  <si>
    <t>JUANC.CAMACHOO@GMAIL.COM</t>
  </si>
  <si>
    <t>3124619087</t>
  </si>
  <si>
    <t>CAMACHO OSORIO</t>
  </si>
  <si>
    <t>JULIAN ERNESTO CELY HERNANDEZ</t>
  </si>
  <si>
    <t>DOC ASOC/N/V/TC/ESP PAZ Y DESARR/FUN.ACADE-ADMIN</t>
  </si>
  <si>
    <t>ESPECIALIZACION DE PAZ Y DESARROLLO</t>
  </si>
  <si>
    <t>julian_cely@cun.edu.co</t>
  </si>
  <si>
    <t>jecelyh@unal.edu.co</t>
  </si>
  <si>
    <t>3193313980</t>
  </si>
  <si>
    <t>JULIAN ERNESTO</t>
  </si>
  <si>
    <t>CELY HERNANDEZ</t>
  </si>
  <si>
    <t>ESTEBAN CASTAÑEDA SANCHEZ</t>
  </si>
  <si>
    <t>DOC ASIS/N/V/TC/ESP PAZ Y DESARR/FUN.ACADE-ADMIN</t>
  </si>
  <si>
    <t>esteban_castaneda@cun.edu.co</t>
  </si>
  <si>
    <t>e.castaneda@uniandes.edu.co</t>
  </si>
  <si>
    <t>3185290030</t>
  </si>
  <si>
    <t>ESTEBAN</t>
  </si>
  <si>
    <t>CASTAÑEDA SANCHEZ</t>
  </si>
  <si>
    <t>PAOLA ANDREA CAMACHO VANEGAS</t>
  </si>
  <si>
    <t>paola_camachov@cun.edu.co</t>
  </si>
  <si>
    <t>paocamacho22@hotmail.com</t>
  </si>
  <si>
    <t>3124499137</t>
  </si>
  <si>
    <t>CAMACHO VANEGAS</t>
  </si>
  <si>
    <t>JEYSON BERNAL CAMACHO</t>
  </si>
  <si>
    <t>jeyson_bernal@cun.edu.co</t>
  </si>
  <si>
    <t>jeysonbernalc@gmail.com</t>
  </si>
  <si>
    <t>3212786654</t>
  </si>
  <si>
    <t>JEYSON</t>
  </si>
  <si>
    <t>BERNAL CAMACHO</t>
  </si>
  <si>
    <t>FERNANDO CARDONA SANCHEZ</t>
  </si>
  <si>
    <t>fernando_cardonasa@cun.edu.co</t>
  </si>
  <si>
    <t>fcardonasanchez@gmail.com</t>
  </si>
  <si>
    <t>3196075057</t>
  </si>
  <si>
    <t>FERNANDO</t>
  </si>
  <si>
    <t>CARDONA SANCHEZ</t>
  </si>
  <si>
    <t>LUIS ALFREDO NARVAEZ JARAMILLO</t>
  </si>
  <si>
    <t>DOC ASIS/N/V/TC/ESP TRANSF DIGITAL/FUN.ACADE-ADMIN</t>
  </si>
  <si>
    <t>ESPECIALIZACION DE TRANSFORMACION DIGITAL</t>
  </si>
  <si>
    <t>luis_narvaez@cun.edu.co</t>
  </si>
  <si>
    <t>LNARVAEZJ@HOTMAIL.COM</t>
  </si>
  <si>
    <t>3014566559</t>
  </si>
  <si>
    <t>LUIS ALFREDO</t>
  </si>
  <si>
    <t>NARVAEZ JARAMILLO</t>
  </si>
  <si>
    <t>RICARDO HUMBERTO SUSA RUBIANO</t>
  </si>
  <si>
    <t>DOC AUX/N/V/TC/ESP. TRANSF. DIGITAL/PROY</t>
  </si>
  <si>
    <t>ricardo_susa@cun.edu.co</t>
  </si>
  <si>
    <t>RSUSA75@GMAIL.COM</t>
  </si>
  <si>
    <t>3135152121</t>
  </si>
  <si>
    <t>RICARDO HUMBERTO</t>
  </si>
  <si>
    <t>SUSA RUBIANO</t>
  </si>
  <si>
    <t>JAIRO ALEJANDRO ROJAS MURCIA</t>
  </si>
  <si>
    <t>DOC AUX/N/V/TC/ESP TRANSF DIGITAL/FUN.AC</t>
  </si>
  <si>
    <t>jairo_rojas@cun.edu.co</t>
  </si>
  <si>
    <t>alejandrorojmu@gmail.com</t>
  </si>
  <si>
    <t>3115671845</t>
  </si>
  <si>
    <t>JAIRO ALEJANDRO</t>
  </si>
  <si>
    <t>ROJAS MURCIA</t>
  </si>
  <si>
    <t>10492473</t>
  </si>
  <si>
    <t>LUIS FERNANDO ABANIS POPO</t>
  </si>
  <si>
    <t>DOC ASIS/N/V/MT/ESP TRANSF DIGITAL</t>
  </si>
  <si>
    <t>luis_abanis@cun.edu.co</t>
  </si>
  <si>
    <t>fernando.abanis@gmail.com</t>
  </si>
  <si>
    <t>3104193521</t>
  </si>
  <si>
    <t>LUIS FERNANDO</t>
  </si>
  <si>
    <t>ABANIS POPO</t>
  </si>
  <si>
    <t>1013636171</t>
  </si>
  <si>
    <t>CRISTIAN ALEXANDER ALONSO MENDEZ</t>
  </si>
  <si>
    <t>DOC AUX/N/V/TC/ESP DYD VIDEOJUEGOS/FUN.A</t>
  </si>
  <si>
    <t>ESPECIALIZACION DISEÑO Y DESARROLLO VIDEOJUEGOS</t>
  </si>
  <si>
    <t>cristian_alonso@cun.edu.co</t>
  </si>
  <si>
    <t>cristianalonso07@gmail.com</t>
  </si>
  <si>
    <t>3194637489</t>
  </si>
  <si>
    <t>CRISTIAN ALEXANDER</t>
  </si>
  <si>
    <t>ALONSO MENDEZ</t>
  </si>
  <si>
    <t>MATEO MANCERA CAMACHO</t>
  </si>
  <si>
    <t>DOC AUX T&amp;T/N/V/TC/ESP DYD VIDEOJUEGOS/F</t>
  </si>
  <si>
    <t>mateo_mancera@cun.edu.co</t>
  </si>
  <si>
    <t>mateo.m.camacho@hotmail.es</t>
  </si>
  <si>
    <t>3176803322</t>
  </si>
  <si>
    <t>MANCERA CAMACHO</t>
  </si>
  <si>
    <t>OSWALDO ANDRES ORDOÑEZ BOLAÑOS</t>
  </si>
  <si>
    <t>DOC ASIS/N/V/TC/ESP DYD VIDEOJUEGOS/FUN.</t>
  </si>
  <si>
    <t>oswaldo_ordonezb@cun.edu.co</t>
  </si>
  <si>
    <t>xrandres369@gmail.com</t>
  </si>
  <si>
    <t>3157191848</t>
  </si>
  <si>
    <t>OSWALDO ANDRES</t>
  </si>
  <si>
    <t>ORDOÑEZ BOLAÑOS</t>
  </si>
  <si>
    <t>SERGIO GOMEZ DELGADO</t>
  </si>
  <si>
    <t>sergio_gomezdel@cun.edu.co</t>
  </si>
  <si>
    <t>sergiomlp123@hotmail.com</t>
  </si>
  <si>
    <t>3197377015</t>
  </si>
  <si>
    <t>SERGIO</t>
  </si>
  <si>
    <t>GOMEZ DELGADO</t>
  </si>
  <si>
    <t>1061688741</t>
  </si>
  <si>
    <t>ANDRES FELIPE PISSO TOBAR</t>
  </si>
  <si>
    <t>andres_pissot@cun.edu.co</t>
  </si>
  <si>
    <t>AFPISSO@GMAIL.COM</t>
  </si>
  <si>
    <t>314 3581623</t>
  </si>
  <si>
    <t>PISSO TOBAR</t>
  </si>
  <si>
    <t>LAURA MARCELA PASACHOA LUNA</t>
  </si>
  <si>
    <t>DOC ASIS/N/V/TC/ESP ALTA GEREN/PROYECCIO</t>
  </si>
  <si>
    <t>ESPECIALIZACION EN ALTA GERENCIA</t>
  </si>
  <si>
    <t>laura_pasachoa@cun.edu.co</t>
  </si>
  <si>
    <t>lmpasachoa@gmail.com</t>
  </si>
  <si>
    <t>3176688272</t>
  </si>
  <si>
    <t>LAURA MARCELA</t>
  </si>
  <si>
    <t>PASACHOA LUNA</t>
  </si>
  <si>
    <t>91508471</t>
  </si>
  <si>
    <t>JEAN PIERRE ANCHICOQUE CADENA</t>
  </si>
  <si>
    <t>DOC ASIS/N/V/MT/ESP ALTA GERENCIA</t>
  </si>
  <si>
    <t>jean_anchioque@cun.edu.co</t>
  </si>
  <si>
    <t>JEAN1411@HOTMAIL.COM</t>
  </si>
  <si>
    <t>3222270649</t>
  </si>
  <si>
    <t>JEAN PIERRE</t>
  </si>
  <si>
    <t>ANCHICOQUE CADENA</t>
  </si>
  <si>
    <t>FREDDY DANIEL FONTALVO DOMINGUEZ</t>
  </si>
  <si>
    <t>DOCENTE ASIS/N/V/TC/ESP ALTA GEREN/FUN.A</t>
  </si>
  <si>
    <t>freddy_fontalvo@cun.edu.co</t>
  </si>
  <si>
    <t>FDFONTALVO18@GMAIL.COM</t>
  </si>
  <si>
    <t>300 2587554</t>
  </si>
  <si>
    <t>FREDDY DANIEL</t>
  </si>
  <si>
    <t>FONTALVO DOMINGUEZ</t>
  </si>
  <si>
    <t>GINNA PAOLA GOMEZ PEÑA</t>
  </si>
  <si>
    <t>ginna_gomezp@cun.edu.co</t>
  </si>
  <si>
    <t>GINNAPAOLAGOMEZ29@GMAIL.COM</t>
  </si>
  <si>
    <t>3116400737</t>
  </si>
  <si>
    <t>GINNA PAOLA</t>
  </si>
  <si>
    <t>GOMEZ PEÑA</t>
  </si>
  <si>
    <t>RAFAEL EMILIO CASADIEGO SARMIENTO</t>
  </si>
  <si>
    <t>DOC TIT/N/V/MT/ESP ALTA GEREN</t>
  </si>
  <si>
    <t>rafael_casadiegos@cun.edu.co</t>
  </si>
  <si>
    <t>INDUSTRIALRAFA@GMAIL.COM</t>
  </si>
  <si>
    <t>3108885939</t>
  </si>
  <si>
    <t>RAFAEL EMILIO</t>
  </si>
  <si>
    <t>CASADIEGO SARMIENTO</t>
  </si>
  <si>
    <t>1140868403</t>
  </si>
  <si>
    <t>ANDRES DAVID CARRASQUILLA MERCADO</t>
  </si>
  <si>
    <t>andres_carrasquilla@cun.edu.co</t>
  </si>
  <si>
    <t>andrescarr94@gmail.com</t>
  </si>
  <si>
    <t>3005631833</t>
  </si>
  <si>
    <t>ANDRES DAVID</t>
  </si>
  <si>
    <t>CARRASQUILLA MERCADO</t>
  </si>
  <si>
    <t>1143128210</t>
  </si>
  <si>
    <t>DANIEL EDUARDO DE LA ROSA MORRON</t>
  </si>
  <si>
    <t>DOC ASIS/N/V/TC/ESP CIBERSEG/FUN.ACA</t>
  </si>
  <si>
    <t>ESPECIALIZACION EN CIBERSEGURIDAD</t>
  </si>
  <si>
    <t>daniel_del@cun.edu.co</t>
  </si>
  <si>
    <t>DANNDELAROSAM@GMAIL.COM</t>
  </si>
  <si>
    <t>3152370721</t>
  </si>
  <si>
    <t>DE LA ROSA MORRON</t>
  </si>
  <si>
    <t>LUIS GUILLERMO LOZANO PEÑARANDA</t>
  </si>
  <si>
    <t>DOC AUX/N/V/TC/ESP CIBERSEG/FUN.ACA</t>
  </si>
  <si>
    <t>luis_lozanop@cun.edu.co</t>
  </si>
  <si>
    <t>luislozanop@outlook.com</t>
  </si>
  <si>
    <t>3027913380</t>
  </si>
  <si>
    <t>LUIS GUILLERMO</t>
  </si>
  <si>
    <t>LOZANO PEÑARANDA</t>
  </si>
  <si>
    <t>JUAN CAMILO BOTONERO RODRIGUEZ</t>
  </si>
  <si>
    <t>juan_botonero@cun.edu.co</t>
  </si>
  <si>
    <t>jcbotonero97@gmail.com</t>
  </si>
  <si>
    <t>3212527612</t>
  </si>
  <si>
    <t>BOTONERO RODRIGUEZ</t>
  </si>
  <si>
    <t>LUIS ERNESTO ROJAS UMFRIED</t>
  </si>
  <si>
    <t>luis_rojasu@cun.edu.co</t>
  </si>
  <si>
    <t>LUCHOERU@GMAIL.COM</t>
  </si>
  <si>
    <t>3112500782</t>
  </si>
  <si>
    <t>LUIS ERNESTO</t>
  </si>
  <si>
    <t>ROJAS UMFRIED</t>
  </si>
  <si>
    <t>JOHN FREDY CERON CIFUENTES</t>
  </si>
  <si>
    <t>DOC ASIS/N/V/TC/ESP DES ORG TH/FUN.ACADE</t>
  </si>
  <si>
    <t>ESPECIALIZACION EN DESARROLLO ORGANIZACIONAL Y GESTION DEL TALENTO HUMANO</t>
  </si>
  <si>
    <t>john_ceronc@cun.edu.co</t>
  </si>
  <si>
    <t>johnceron0110@gmail.com</t>
  </si>
  <si>
    <t>3134517074</t>
  </si>
  <si>
    <t>CERON CIFUENTES</t>
  </si>
  <si>
    <t>SHARON DAYANNA QUIROGA BERNAL</t>
  </si>
  <si>
    <t>DOC AUX/N/V/TC/ESP DES Y GEST TH/FUN ACA</t>
  </si>
  <si>
    <t>sharon_quirogab@cun.edu.co</t>
  </si>
  <si>
    <t>sdqb0325@gmail.com</t>
  </si>
  <si>
    <t>3193161254</t>
  </si>
  <si>
    <t>SHARON DAYANNA</t>
  </si>
  <si>
    <t>QUIROGA BERNAL</t>
  </si>
  <si>
    <t>ALBA YETCENIA OSORIO CALVO</t>
  </si>
  <si>
    <t>DOC AUX/N/V/TC/ESP DES Y GEST TAL HUM/PR</t>
  </si>
  <si>
    <t>alba_osorioc@cun.edu.co</t>
  </si>
  <si>
    <t>yeceniao2020@gmail.com</t>
  </si>
  <si>
    <t>3107927061</t>
  </si>
  <si>
    <t>ALBA YETCENIA</t>
  </si>
  <si>
    <t>OSORIO CALVO</t>
  </si>
  <si>
    <t>MONICA CUERVO AULLON</t>
  </si>
  <si>
    <t>monica_cuervo@cun.edu.co</t>
  </si>
  <si>
    <t>monicacuervo_1110@hotmail.com</t>
  </si>
  <si>
    <t>3186983064</t>
  </si>
  <si>
    <t>MONICA</t>
  </si>
  <si>
    <t>CUERVO AULLON</t>
  </si>
  <si>
    <t>CRHISTIAN CAMILO HIDROBO BACA</t>
  </si>
  <si>
    <t>DOC ASIS/N/V/TC/ESP DES Y GEST TAL HUM/F</t>
  </si>
  <si>
    <t>cristian_hidrobo@cun.edu.co</t>
  </si>
  <si>
    <t>cchidrobo@gmail.com</t>
  </si>
  <si>
    <t>3164900654</t>
  </si>
  <si>
    <t>CRHISTIAN CAMILO</t>
  </si>
  <si>
    <t>HIDROBO BACA</t>
  </si>
  <si>
    <t>GLORIA JULIANA VILLAMIZAR PEREIRA</t>
  </si>
  <si>
    <t>gloria_villamizarp@cun.edu.co</t>
  </si>
  <si>
    <t>gloju38@hotmail.com</t>
  </si>
  <si>
    <t>3176819139</t>
  </si>
  <si>
    <t>GLORIA JULIANA</t>
  </si>
  <si>
    <t>VILLAMIZAR PEREIRA</t>
  </si>
  <si>
    <t>AMPARO CAROLINA DELGADO MARTINEZ</t>
  </si>
  <si>
    <t>amparo_delgado@cun.edu.co</t>
  </si>
  <si>
    <t>PSCAROLINA.DELGADO@GMAIL.COM</t>
  </si>
  <si>
    <t>3164247168</t>
  </si>
  <si>
    <t>AMPARO CAROLINA</t>
  </si>
  <si>
    <t>DELGADO MARTINEZ</t>
  </si>
  <si>
    <t>JULIAN DIAZ OLAYA</t>
  </si>
  <si>
    <t>julian_diazo@cun.edu.co</t>
  </si>
  <si>
    <t>diazojulian@gmail.com</t>
  </si>
  <si>
    <t>3147279897</t>
  </si>
  <si>
    <t>JULIAN</t>
  </si>
  <si>
    <t>DIAZ OLAYA</t>
  </si>
  <si>
    <t>65630098</t>
  </si>
  <si>
    <t>JENNIFER RODRIGUEZ VANEGAS</t>
  </si>
  <si>
    <t>jennifer_rodriguezv@cun.edu.co</t>
  </si>
  <si>
    <t>jenniferrodriguezvanegas921@gmail.com</t>
  </si>
  <si>
    <t>3172160418</t>
  </si>
  <si>
    <t>JENNIFER</t>
  </si>
  <si>
    <t>RODRIGUEZ VANEGAS</t>
  </si>
  <si>
    <t>JUAN FELIPE SARMIENTO TIBADUIZA</t>
  </si>
  <si>
    <t>juan_sarmiento@cun.edu.co</t>
  </si>
  <si>
    <t>juansar28@gmail.com</t>
  </si>
  <si>
    <t>3213021736</t>
  </si>
  <si>
    <t>SARMIENTO TIBADUIZA</t>
  </si>
  <si>
    <t>79745482</t>
  </si>
  <si>
    <t>LUIS ALFREDO ROJAS CHACON</t>
  </si>
  <si>
    <t>DOC ASIS/N/V/TC/ESP. GERE MARCA/FUN.ACADE-ADMIN</t>
  </si>
  <si>
    <t>ESPECIALIZACION EN GERENCIA DE MARCA</t>
  </si>
  <si>
    <t>luis_rojasc@cun.edu.co</t>
  </si>
  <si>
    <t>luisalfredorojasch@hotmail.com</t>
  </si>
  <si>
    <t>3142952423</t>
  </si>
  <si>
    <t>ROJAS CHACON</t>
  </si>
  <si>
    <t>1073681008</t>
  </si>
  <si>
    <t>JONNATHAN LOPEZ HURTADO</t>
  </si>
  <si>
    <t>DOC ASOC/N/V/TC/ESP GEREN MARCA/PROY</t>
  </si>
  <si>
    <t>jonnathan_lopez@cun.edu.co</t>
  </si>
  <si>
    <t>lopezh89@gmail.com</t>
  </si>
  <si>
    <t>3002823938</t>
  </si>
  <si>
    <t>JONNATHAN</t>
  </si>
  <si>
    <t>LOPEZ HURTADO</t>
  </si>
  <si>
    <t>EDWAR ALEJANDRO BECERRA GONZALEZ</t>
  </si>
  <si>
    <t>edwar_becerra@cun.edu.co</t>
  </si>
  <si>
    <t>e.alejandro.bg@gmail.com</t>
  </si>
  <si>
    <t>3135736956</t>
  </si>
  <si>
    <t>EDWAR ALEJANDRO</t>
  </si>
  <si>
    <t>BECERRA GONZALEZ</t>
  </si>
  <si>
    <t>JUDY ANDREA HERNANDEZ MORA</t>
  </si>
  <si>
    <t>DOC AUX/N/V/TC/ESP. GERENCIA MARCA/FUN.ACADE-ADMIN</t>
  </si>
  <si>
    <t>judy_hernandez@cun.edu.co</t>
  </si>
  <si>
    <t>judyandrea.hernandezmora@gmail.com</t>
  </si>
  <si>
    <t>3132434725</t>
  </si>
  <si>
    <t>JUDY ANDREA</t>
  </si>
  <si>
    <t>HERNANDEZ MORA</t>
  </si>
  <si>
    <t>NATALIA GOMEZ ALZATE</t>
  </si>
  <si>
    <t>natalia_gomeza@cun.edu.co</t>
  </si>
  <si>
    <t>NATALIA.GOMEZ@GMAIL.COM</t>
  </si>
  <si>
    <t>3023181569</t>
  </si>
  <si>
    <t>GOMEZ ALZATE</t>
  </si>
  <si>
    <t>1030524637</t>
  </si>
  <si>
    <t>CARLOS ANDRES ARIAS PINEDA</t>
  </si>
  <si>
    <t>DOC ASIS/N/V/TC/ESP GERE DE PROY/FUN.ACA</t>
  </si>
  <si>
    <t>ESPECIALIZACION EN GERENCIA DE PROYECTOS</t>
  </si>
  <si>
    <t>carlos_ariasp@cun.edu.co</t>
  </si>
  <si>
    <t>carlosandresarias1030@gmail.com</t>
  </si>
  <si>
    <t>3046467866</t>
  </si>
  <si>
    <t>ARIAS PINEDA</t>
  </si>
  <si>
    <t>ANDRES HERNANDO MATIZ ROJAS</t>
  </si>
  <si>
    <t>andres_matiz@cun.edu.co</t>
  </si>
  <si>
    <t>an.matiz@gmail.com</t>
  </si>
  <si>
    <t>3502253010</t>
  </si>
  <si>
    <t>ANDRES HERNANDO</t>
  </si>
  <si>
    <t>MATIZ ROJAS</t>
  </si>
  <si>
    <t>ALVARO DIEGO ALBORNOZ MARIN</t>
  </si>
  <si>
    <t>alvaro_albornoz@cun.edu.co</t>
  </si>
  <si>
    <t>ALVARODIEGO7@GMAIL.COM</t>
  </si>
  <si>
    <t>3006440224</t>
  </si>
  <si>
    <t>ALVARO DIEGO</t>
  </si>
  <si>
    <t>ALBORNOZ MARIN</t>
  </si>
  <si>
    <t>JOSE EDUARDO MARTINEZ ORREGO</t>
  </si>
  <si>
    <t>DOC ASOC/N/V/TC/ESP GER PROYEC/FUN.ACAD</t>
  </si>
  <si>
    <t>jose_martinezor@cun.edu.co</t>
  </si>
  <si>
    <t>joseduardomvz@hotmail.com</t>
  </si>
  <si>
    <t>3123535675</t>
  </si>
  <si>
    <t>JOSE EDUARDO</t>
  </si>
  <si>
    <t>MARTINEZ ORREGO</t>
  </si>
  <si>
    <t>YEISON EDUARDO PACHON PEREZ</t>
  </si>
  <si>
    <t>yeison_pachonpe@cun.edu.co</t>
  </si>
  <si>
    <t>JEISSONP7@GMAIL.COM</t>
  </si>
  <si>
    <t>3144827559</t>
  </si>
  <si>
    <t>YEISON EDUARDO</t>
  </si>
  <si>
    <t>PACHON PEREZ</t>
  </si>
  <si>
    <t>ANA MARIA GARCIA MARTINEZ</t>
  </si>
  <si>
    <t>ana_garciam@cun.edu.co</t>
  </si>
  <si>
    <t>ANAMARIAGARCIA5511@GMAIL.COM</t>
  </si>
  <si>
    <t>3167577605</t>
  </si>
  <si>
    <t>GARCIA MARTINEZ</t>
  </si>
  <si>
    <t>LUIS FERNANDO JACOBO PEREZ</t>
  </si>
  <si>
    <t>DOC AUX/N/V/TC/ESP GER DE PROY/FUN.ACA</t>
  </si>
  <si>
    <t>luis_jacobo@cun.edu.co</t>
  </si>
  <si>
    <t>luisfernandojacobo@gmail.com</t>
  </si>
  <si>
    <t>3155490548</t>
  </si>
  <si>
    <t>JACOBO PEREZ</t>
  </si>
  <si>
    <t>MARCELA LISETH FERNANDEZ PEDREROS</t>
  </si>
  <si>
    <t>marcela_fernandezp@cun.edu.co</t>
  </si>
  <si>
    <t>MAJU8591@GMAIL.COM</t>
  </si>
  <si>
    <t>3214433283</t>
  </si>
  <si>
    <t>MARCELA LISETH</t>
  </si>
  <si>
    <t>FERNANDEZ PEDREROS</t>
  </si>
  <si>
    <t>LORMA VENCY GONZALEZ VASQUEZ</t>
  </si>
  <si>
    <t>lorma_gonzalezv@cun.edu.co</t>
  </si>
  <si>
    <t>LGONZA25A@GMAIL.COM</t>
  </si>
  <si>
    <t>3113631363</t>
  </si>
  <si>
    <t>LORMA VENCY</t>
  </si>
  <si>
    <t>GONZALEZ VASQUEZ</t>
  </si>
  <si>
    <t>CHARLY GOMEZ MENDOZA</t>
  </si>
  <si>
    <t>charly_gomezm@cun.edu.co</t>
  </si>
  <si>
    <t>CHARLY_6999@HOTMAIL.COM</t>
  </si>
  <si>
    <t>3014414756</t>
  </si>
  <si>
    <t>CHARLY</t>
  </si>
  <si>
    <t>GOMEZ MENDOZA</t>
  </si>
  <si>
    <t>OSCAR GILDARDO HERNANDEZ ALOMIA</t>
  </si>
  <si>
    <t>DOC TITU/N/V/TC/ESP GER DE PROY/FUN.ACA</t>
  </si>
  <si>
    <t>oscar_hernandezalo@cun.edu.co</t>
  </si>
  <si>
    <t>oscarg517@hotmail.com</t>
  </si>
  <si>
    <t>3043379125</t>
  </si>
  <si>
    <t>OSCAR GILDARDO</t>
  </si>
  <si>
    <t>HERNANDEZ ALOMIA</t>
  </si>
  <si>
    <t>1039459093</t>
  </si>
  <si>
    <t>MARIA ALEJANDRA RODRIGUEZ TRIANA</t>
  </si>
  <si>
    <t>maria_rodriguezt@cun.edu.co</t>
  </si>
  <si>
    <t>MARIA.RTRIANA@GMAIL.COM</t>
  </si>
  <si>
    <t>3228405669</t>
  </si>
  <si>
    <t>RODRIGUEZ TRIANA</t>
  </si>
  <si>
    <t>DANIEL ALFONSO MORENO GUATIVA</t>
  </si>
  <si>
    <t>daniel_morenog@cun.edu.co</t>
  </si>
  <si>
    <t>michunetplay2025@gmail.com</t>
  </si>
  <si>
    <t>3107786440</t>
  </si>
  <si>
    <t>DANIEL ALFONSO</t>
  </si>
  <si>
    <t>MORENO GUATIVA</t>
  </si>
  <si>
    <t>NATALIA ESCOBAR BUITRAGO</t>
  </si>
  <si>
    <t>DOC AUX T&amp;T/N/V/TC/ESP GERE PROY/FUN ACA</t>
  </si>
  <si>
    <t>natalia_escobarb@cun.edu.co</t>
  </si>
  <si>
    <t>NATESCOB@GMAIL.COM</t>
  </si>
  <si>
    <t>3112317582</t>
  </si>
  <si>
    <t>ESCOBAR BUITRAGO</t>
  </si>
  <si>
    <t>LUIS MIGUEL HERNANDEZ GALVIS</t>
  </si>
  <si>
    <t>luis_hernandezg@cun.edu.co</t>
  </si>
  <si>
    <t>LUMIGUE95@GMAIL.COM</t>
  </si>
  <si>
    <t>3152662161</t>
  </si>
  <si>
    <t>LUIS MIGUEL</t>
  </si>
  <si>
    <t>HERNANDEZ GALVIS</t>
  </si>
  <si>
    <t>VALENTINA LEON RODRIGUEZ</t>
  </si>
  <si>
    <t>DOC ASIS/N/V/TC/ESP GER EDUC/FUN.ACADE-A</t>
  </si>
  <si>
    <t>ESPECIALIZACION EN GERENCIA EDUCATIVA</t>
  </si>
  <si>
    <t>valentina_leon@cun.edu.co</t>
  </si>
  <si>
    <t>valentinalero@hotmail.com</t>
  </si>
  <si>
    <t>3144563639</t>
  </si>
  <si>
    <t>VALENTINA</t>
  </si>
  <si>
    <t>LEON RODRIGUEZ</t>
  </si>
  <si>
    <t>RONALD SAUL GUTIERREZ RIOS</t>
  </si>
  <si>
    <t>DOC TITU/N/V/TC/ESP GER EDUC/FUN.ACADE-A</t>
  </si>
  <si>
    <t>ronald_gutierrez@cun.edu.co</t>
  </si>
  <si>
    <t>ronguti@gmail.com</t>
  </si>
  <si>
    <t>3134185350</t>
  </si>
  <si>
    <t>RONALD SAUL</t>
  </si>
  <si>
    <t>GUTIERREZ RIOS</t>
  </si>
  <si>
    <t>79844300</t>
  </si>
  <si>
    <t>JHONN FREDY BETANCUR</t>
  </si>
  <si>
    <t>DOC ASIS/N/V/MT/ESP GER EDUC</t>
  </si>
  <si>
    <t>jhonn_betancur@cun.edu.co</t>
  </si>
  <si>
    <t>jhonbetancur@gmail.com</t>
  </si>
  <si>
    <t>3044205254</t>
  </si>
  <si>
    <t>JHONN FREDY</t>
  </si>
  <si>
    <t>BETANCUR</t>
  </si>
  <si>
    <t>JULIAN CAMILO BECERRA RODRIGUEZ</t>
  </si>
  <si>
    <t>julian_becerraro@cun.edu.co</t>
  </si>
  <si>
    <t>Jbecerra01@outlook.com</t>
  </si>
  <si>
    <t>3118407721</t>
  </si>
  <si>
    <t>BECERRA RODRIGUEZ</t>
  </si>
  <si>
    <t>OSCAR JAVIER MEJIA GARAVITO</t>
  </si>
  <si>
    <t>oscar_mejia@cun.edu.co</t>
  </si>
  <si>
    <t>OSCAR.MEJIA19@OUTLOOK.COM</t>
  </si>
  <si>
    <t>3203082828</t>
  </si>
  <si>
    <t>MEJIA GARAVITO</t>
  </si>
  <si>
    <t>1075226090</t>
  </si>
  <si>
    <t>LEIDY YELITZA ROMERO ARDILA</t>
  </si>
  <si>
    <t>leidy_romero@cun.edu.co</t>
  </si>
  <si>
    <t>leidyyelitzaromeroardila@gmail.com</t>
  </si>
  <si>
    <t>3153049303</t>
  </si>
  <si>
    <t>LEIDY YELITZA</t>
  </si>
  <si>
    <t>ROMERO ARDILA</t>
  </si>
  <si>
    <t>1085930197</t>
  </si>
  <si>
    <t>YORELY BRYJETH CEBALLOS CARDONA</t>
  </si>
  <si>
    <t>DOC ASOC/N/V/TC/ESP GEREN EDU/FUN ACA</t>
  </si>
  <si>
    <t>yorely_ceballos@cun.edu.co</t>
  </si>
  <si>
    <t>brigethcc@gmail.com</t>
  </si>
  <si>
    <t>3163456788</t>
  </si>
  <si>
    <t>YORELY BRYJETH</t>
  </si>
  <si>
    <t>CEBALLOS CARDONA</t>
  </si>
  <si>
    <t>HERNAN DAVID PRIETO ORJUELA</t>
  </si>
  <si>
    <t>DOC ASIS/N/V/TC/ESP GEREN FINAN/PROYECCI</t>
  </si>
  <si>
    <t>ESPECIALIZACION EN GERENCIA FINANCIERA</t>
  </si>
  <si>
    <t>hernan_prieto@cun.edu.co</t>
  </si>
  <si>
    <t>david20p@hotmail.com</t>
  </si>
  <si>
    <t>3008057159</t>
  </si>
  <si>
    <t>HERNAN DAVID</t>
  </si>
  <si>
    <t>PRIETO ORJUELA</t>
  </si>
  <si>
    <t>41964121</t>
  </si>
  <si>
    <t>BIANEY CASTRO PEÑALOZA</t>
  </si>
  <si>
    <t>DOC ASIS/N/V/TC/ESP GEREN FINAN/FUN.ACAD</t>
  </si>
  <si>
    <t>bianey_castrop@cun.edu.co</t>
  </si>
  <si>
    <t>BICASTRO@OUTLOOK.COM</t>
  </si>
  <si>
    <t>3147453139</t>
  </si>
  <si>
    <t>BIANEY</t>
  </si>
  <si>
    <t>CASTRO PEÑALOZA</t>
  </si>
  <si>
    <t>TANIA CAROLINA ACOSTA BAUTISTA</t>
  </si>
  <si>
    <t>DOC AUX/N/V/TC/ESP GER FINAN/PROYECC</t>
  </si>
  <si>
    <t>tania_acostab@cun.edu.co</t>
  </si>
  <si>
    <t>taniacaro21@hotmail.com</t>
  </si>
  <si>
    <t>3183276118</t>
  </si>
  <si>
    <t>TANIA CAROLINA</t>
  </si>
  <si>
    <t>ACOSTA BAUTISTA</t>
  </si>
  <si>
    <t>1094900416</t>
  </si>
  <si>
    <t>MYRIAM JOHANNA ESCAMILLA CARDONA</t>
  </si>
  <si>
    <t>myriam_escamillaca@cun.edu.co</t>
  </si>
  <si>
    <t>johannaescamilla@hotmail.com</t>
  </si>
  <si>
    <t>3165375735</t>
  </si>
  <si>
    <t>MYRIAM JOHANNA</t>
  </si>
  <si>
    <t>ESCAMILLA CARDONA</t>
  </si>
  <si>
    <t>NICOLAS MOGOLLON RAMIREZ</t>
  </si>
  <si>
    <t>DOC ASIS/N/V/MT/ESP GER FINANC</t>
  </si>
  <si>
    <t>nicolas_magollon@cun.edu.co</t>
  </si>
  <si>
    <t>nicolas.mogollon@gmail.com</t>
  </si>
  <si>
    <t>3204998334</t>
  </si>
  <si>
    <t>MOGOLLON RAMIREZ</t>
  </si>
  <si>
    <t>DANIEL GUILLERMO TAPIA GARZON</t>
  </si>
  <si>
    <t>daniel_tapia@cun.edu.co</t>
  </si>
  <si>
    <t>dgtapiag@gmail.com</t>
  </si>
  <si>
    <t>3005547104</t>
  </si>
  <si>
    <t>DANIEL GUILLERMO</t>
  </si>
  <si>
    <t>TAPIA GARZON</t>
  </si>
  <si>
    <t>1116798246</t>
  </si>
  <si>
    <t>ADRIAN FERNANDO RIOS QUINTERO</t>
  </si>
  <si>
    <t>adrian_riosq@cun.edu.co</t>
  </si>
  <si>
    <t>riosquinteroa@gmail.com</t>
  </si>
  <si>
    <t>3046452836</t>
  </si>
  <si>
    <t>ADRIAN FERNANDO</t>
  </si>
  <si>
    <t>RIOS QUINTERO</t>
  </si>
  <si>
    <t>ROLANDO STITH PAEZ GARZON</t>
  </si>
  <si>
    <t>DOC AUX/N/V/TC/ESP GER FINAN/FUN ACADE A</t>
  </si>
  <si>
    <t>rolando_paez@cun.edu.co</t>
  </si>
  <si>
    <t>PAEZROLANDO165@GMAIL.COM</t>
  </si>
  <si>
    <t>3125820432</t>
  </si>
  <si>
    <t>ROLANDO STITH</t>
  </si>
  <si>
    <t>PAEZ GARZON</t>
  </si>
  <si>
    <t>MARCOS ANDRES RAMOS CASTAÑEDA</t>
  </si>
  <si>
    <t>DOC ASIS/N/V/TC/ESP GER TRAN ENER/PROYEC</t>
  </si>
  <si>
    <t>ESPECIALIZACION EN GERENCIA PARA LA TRANSICION ENERGETICA</t>
  </si>
  <si>
    <t>marcos_ramosc@cun.edu.co</t>
  </si>
  <si>
    <t>Megamarc2414@hotmail.com</t>
  </si>
  <si>
    <t>3057540089</t>
  </si>
  <si>
    <t>MARCOS ANDRES</t>
  </si>
  <si>
    <t>RAMOS CASTAÑEDA</t>
  </si>
  <si>
    <t>IVAN MAURICIO SANTISTEBAN SANDOVAL</t>
  </si>
  <si>
    <t>DOC AUX/N/V/TC/ESP GER TRAN ENER/PROYEC</t>
  </si>
  <si>
    <t>ivan_santisteban@cun.edu.co</t>
  </si>
  <si>
    <t>Ivansanty91@gmail.com</t>
  </si>
  <si>
    <t>3203879380</t>
  </si>
  <si>
    <t>IVAN MAURICIO</t>
  </si>
  <si>
    <t>SANTISTEBAN SANDOVAL</t>
  </si>
  <si>
    <t>DEIVER SAAVEDRA COTRINA</t>
  </si>
  <si>
    <t>DOC ASIS/N/V/TC/ESP GER TRAN ENER/FUN.AC</t>
  </si>
  <si>
    <t>deiver_saavedra@cun.edu.co</t>
  </si>
  <si>
    <t>DEIVERPROFE@GMAIL.COM</t>
  </si>
  <si>
    <t>3014115918</t>
  </si>
  <si>
    <t>DEIVER</t>
  </si>
  <si>
    <t>SAAVEDRA COTRINA</t>
  </si>
  <si>
    <t>LINA NATALY ALVARADO RIAÑO</t>
  </si>
  <si>
    <t>DOC ASOC/N/V/TC/ESP GEST INN MODA/FUN.AC</t>
  </si>
  <si>
    <t>ESPECIALIZACION EN GESTION DE LA INNOVACION DEL SISTEMA MODA</t>
  </si>
  <si>
    <t>lina_alvarador@cun.edu.co</t>
  </si>
  <si>
    <t>LINALVARADOR@GMAIL.COM</t>
  </si>
  <si>
    <t>3177115052</t>
  </si>
  <si>
    <t>LINA NATALY</t>
  </si>
  <si>
    <t>ALVARADO RIAÑO</t>
  </si>
  <si>
    <t>MIYER ARBEY MAHECHA MARTINEZ</t>
  </si>
  <si>
    <t>DOC ASIS/N/V/TC/ESP GEST INN MODA/FUN.AC</t>
  </si>
  <si>
    <t>miyer_mahecha@cun.edu.co</t>
  </si>
  <si>
    <t>MIYER ARBEY</t>
  </si>
  <si>
    <t>MAHECHA MARTINEZ</t>
  </si>
  <si>
    <t>1075291630</t>
  </si>
  <si>
    <t>RANDY WILFRED TRIANA GARCIA</t>
  </si>
  <si>
    <t>randy_trianaga@cun.edu.co</t>
  </si>
  <si>
    <t>TRIANARANDY@GMAIL.COM</t>
  </si>
  <si>
    <t>3222011338</t>
  </si>
  <si>
    <t>RANDY WILFRED</t>
  </si>
  <si>
    <t>TRIANA GARCIA</t>
  </si>
  <si>
    <t>1140854655</t>
  </si>
  <si>
    <t>FABIO ANDRES COLPAS RUIZ</t>
  </si>
  <si>
    <t>DOC ASIS/N/V/MT/ESP NEGO DIGITALES</t>
  </si>
  <si>
    <t>ESPECIALIZACION EN GESTION DE NEGOCIOS DIGITALES</t>
  </si>
  <si>
    <t>fabio_colpas@cun.edu.co</t>
  </si>
  <si>
    <t>fabiocolpas@hotmail.com</t>
  </si>
  <si>
    <t>3116292993</t>
  </si>
  <si>
    <t>FABIO ANDRES</t>
  </si>
  <si>
    <t>COLPAS RUIZ</t>
  </si>
  <si>
    <t>DANIELA ARICAPA MUÑOZ</t>
  </si>
  <si>
    <t>DOC AUX T&amp;T/N/V/MT/ESP NEGO DIGITALES</t>
  </si>
  <si>
    <t>daniela_aricapa@cun.edu.co</t>
  </si>
  <si>
    <t>daniela-aricapa-m@hotmail.com</t>
  </si>
  <si>
    <t>3146104886</t>
  </si>
  <si>
    <t>ARICAPA MUÑOZ</t>
  </si>
  <si>
    <t>SANDRA PATRICIA MENA MENA</t>
  </si>
  <si>
    <t>REGIONAL CHOCO</t>
  </si>
  <si>
    <t>QUIBDO</t>
  </si>
  <si>
    <t>DOC ASIS/N/V/TC/ESP GEST NEG DIGIT/PROYE</t>
  </si>
  <si>
    <t>sandra_mena@cun.edu.co</t>
  </si>
  <si>
    <t>sameservicios@gmail.com</t>
  </si>
  <si>
    <t>3206945270</t>
  </si>
  <si>
    <t>MENA MENA</t>
  </si>
  <si>
    <t>QUIBDO SEDE</t>
  </si>
  <si>
    <t>ALEX DAVID MEDINA CELY</t>
  </si>
  <si>
    <t>DOC ASIS/N/V/TC/ESP GEST INFOR/FUN.ACADE-ADMIN</t>
  </si>
  <si>
    <t>ESPECIALIZACION EN GESTION DE TECNOLOGIAS DE LA INFORMACION</t>
  </si>
  <si>
    <t>alex_medina@cun.edu.co</t>
  </si>
  <si>
    <t>alexdavidmedinacely@gmail.com</t>
  </si>
  <si>
    <t>3103125019</t>
  </si>
  <si>
    <t>ALEX DAVID</t>
  </si>
  <si>
    <t>MEDINA CELY</t>
  </si>
  <si>
    <t>55230526</t>
  </si>
  <si>
    <t>VANESSA ALEXANDRA ALFARO SANZ</t>
  </si>
  <si>
    <t>vanessa_alfaro@cun.edu.co</t>
  </si>
  <si>
    <t>bedgz@hotmail.com</t>
  </si>
  <si>
    <t>3205611752</t>
  </si>
  <si>
    <t>VANESSA ALEXANDRA</t>
  </si>
  <si>
    <t>ALFARO SANZ</t>
  </si>
  <si>
    <t>1023902624</t>
  </si>
  <si>
    <t>JOHN JAIRO ARIAS GOMEZ</t>
  </si>
  <si>
    <t>john_ariasg@cun.edu.co</t>
  </si>
  <si>
    <t>ing.johnariasg@gmail.com</t>
  </si>
  <si>
    <t>3102780766</t>
  </si>
  <si>
    <t>ARIAS GOMEZ</t>
  </si>
  <si>
    <t>CARLOS MARIO MINU QUIROGA</t>
  </si>
  <si>
    <t>DOC ASIS/N/V/TC/ESP EN IA/FUN.ACAD</t>
  </si>
  <si>
    <t>ESPECIALIZACION EN IA</t>
  </si>
  <si>
    <t>carlos_minu@cun.edu.co</t>
  </si>
  <si>
    <t>cm.minu10@uniandes.edu.co</t>
  </si>
  <si>
    <t>3114898665</t>
  </si>
  <si>
    <t>MINU QUIROGA</t>
  </si>
  <si>
    <t>HAMILTON RIVERA FLOR</t>
  </si>
  <si>
    <t>DOC TIT/N/V/TC/ESP EN IA/FUN.ACAD</t>
  </si>
  <si>
    <t>hamilton_rivera@cun.edu.co</t>
  </si>
  <si>
    <t>HAMRIVER@GMAIL.COM</t>
  </si>
  <si>
    <t>3234712750</t>
  </si>
  <si>
    <t>HAMILTON</t>
  </si>
  <si>
    <t>RIVERA FLOR</t>
  </si>
  <si>
    <t>CRISTIAN FELIPE RIVERA CAÑAS</t>
  </si>
  <si>
    <t>REGIONAL NORTE DE SANTANDER</t>
  </si>
  <si>
    <t>CUCUTÁ</t>
  </si>
  <si>
    <t>DOC AUX/N/V/TC/ESP EN IA/FUN.ACAD</t>
  </si>
  <si>
    <t>cristian_riveraca@cun.edu.co</t>
  </si>
  <si>
    <t>cfriverac@ufpso.edu.co</t>
  </si>
  <si>
    <t>3009508339</t>
  </si>
  <si>
    <t>CUCUTA</t>
  </si>
  <si>
    <t>CRISTIAN FELIPE</t>
  </si>
  <si>
    <t>RIVERA CAÑAS</t>
  </si>
  <si>
    <t>CUCUTA SEDE</t>
  </si>
  <si>
    <t>JANIER ANDRES BALLESTEROS RINCON</t>
  </si>
  <si>
    <t>jainer_ballesteros@cun.edu.co</t>
  </si>
  <si>
    <t>ING.JANIERBALLESTEROS@GMAIL.COM</t>
  </si>
  <si>
    <t>3142624356</t>
  </si>
  <si>
    <t>JANIER ANDRES</t>
  </si>
  <si>
    <t>BALLESTEROS RINCON</t>
  </si>
  <si>
    <t>DANILO ESTEBAN RODRIGUEZ ZAPATA</t>
  </si>
  <si>
    <t>DOC AUX/N/V/TC/ESP INTE NEGO/PROYECCION</t>
  </si>
  <si>
    <t>ESPECIALIZACION EN INTELIGENCIA DE NEGOCIOS</t>
  </si>
  <si>
    <t>danilo_rodriguez@cun.edu.co</t>
  </si>
  <si>
    <t>rzapatadaniloe@gmail.com</t>
  </si>
  <si>
    <t>3138878735</t>
  </si>
  <si>
    <t>DANILO ESTEBAN</t>
  </si>
  <si>
    <t>RODRIGUEZ ZAPATA</t>
  </si>
  <si>
    <t>ERIKA MARTINEZ MARTINEZ</t>
  </si>
  <si>
    <t>DOC ASIS/N/V/MT/ESP INTE NEGO</t>
  </si>
  <si>
    <t>erika_martinezm@cun.edu.co</t>
  </si>
  <si>
    <t>EMARTINEZM03@LIBERTADORES.EDU.CO</t>
  </si>
  <si>
    <t>3133783670</t>
  </si>
  <si>
    <t>MARTINEZ MARTINEZ</t>
  </si>
  <si>
    <t>MAITE MICHELL GOMEZ GOMEZ</t>
  </si>
  <si>
    <t>DOC ASIS/N/V/TC/ESP INTE NEGO/PROYECCION</t>
  </si>
  <si>
    <t>maite_gomez@cun.edu.co</t>
  </si>
  <si>
    <t>maitego97@gmail.com</t>
  </si>
  <si>
    <t>3138854434</t>
  </si>
  <si>
    <t>MAITE MICHELL</t>
  </si>
  <si>
    <t>GOMEZ GOMEZ</t>
  </si>
  <si>
    <t>CESAR HUMBERTO PARADA VERGARA</t>
  </si>
  <si>
    <t>REGIONAL CASANARE</t>
  </si>
  <si>
    <t>YOPAL</t>
  </si>
  <si>
    <t>DOC ASIS/N/V/TC/ESP INTE NEGO/FUN.ACA</t>
  </si>
  <si>
    <t>cesar_paradav@cun.edu.co</t>
  </si>
  <si>
    <t>cessarin@gmail.com</t>
  </si>
  <si>
    <t>3108837485</t>
  </si>
  <si>
    <t>CESAR HUMBERTO</t>
  </si>
  <si>
    <t>PARADA VERGARA</t>
  </si>
  <si>
    <t>YOPAL SEDE</t>
  </si>
  <si>
    <t>GINNA PAOLA CASTAÑEDA DELGADO</t>
  </si>
  <si>
    <t>DOC ASIS/N/V/MT/ESP MARKETING DIG</t>
  </si>
  <si>
    <t>ESPECIALIZACION EN MARKETING DIGITAL</t>
  </si>
  <si>
    <t>ginna_castanedad@cun.edu.co</t>
  </si>
  <si>
    <t>CASTANEDAG4@GMAIL.COM</t>
  </si>
  <si>
    <t>3142797659</t>
  </si>
  <si>
    <t>CASTAÑEDA DELGADO</t>
  </si>
  <si>
    <t>1233512414</t>
  </si>
  <si>
    <t>RONALD STEVEN PEÑA TRIANA</t>
  </si>
  <si>
    <t>DOC ASIS/N/V/TC/ESP MARK DIG/FUN.ACADE</t>
  </si>
  <si>
    <t>ronald_pena@cun.edu.co</t>
  </si>
  <si>
    <t>Ronald.penatria@gmail.com</t>
  </si>
  <si>
    <t>3138386609</t>
  </si>
  <si>
    <t>RONALD STEVEN</t>
  </si>
  <si>
    <t>PEÑA TRIANA</t>
  </si>
  <si>
    <t>DIANA LORENA RODRIGUEZ MUÑOZ</t>
  </si>
  <si>
    <t>DOC AUX T&amp;T/N/V/MT/ESP MAR DIG</t>
  </si>
  <si>
    <t>diana_rodriguezm@cun.edu.co</t>
  </si>
  <si>
    <t>TYPESTONE.TS@GMAIL.COM</t>
  </si>
  <si>
    <t>3192486898</t>
  </si>
  <si>
    <t>RODRIGUEZ MUÑOZ</t>
  </si>
  <si>
    <t>1032360552</t>
  </si>
  <si>
    <t>MIGUEL ANGEL BOHORQUEZ PACHON</t>
  </si>
  <si>
    <t>miguel_bohorquez@cun.edu.co</t>
  </si>
  <si>
    <t>MIGUEL860411@GMAIL.COM</t>
  </si>
  <si>
    <t>3503759203</t>
  </si>
  <si>
    <t>BOHORQUEZ PACHON</t>
  </si>
  <si>
    <t>ALBERTO EMILIO GUTIERREZ CHARRIS</t>
  </si>
  <si>
    <t>DOC ASIS/N/V/TC/ESP PROSP ESTR/PROYECC</t>
  </si>
  <si>
    <t>ESPECIALIZACION EN PROSPECTIVA ESTRATEGICA</t>
  </si>
  <si>
    <t>alberto_gutierrezc@cun.edu.co</t>
  </si>
  <si>
    <t>albertogutich@gmail.com</t>
  </si>
  <si>
    <t>3006009660</t>
  </si>
  <si>
    <t>ALBERTO EMILIO</t>
  </si>
  <si>
    <t>GUTIERREZ CHARRIS</t>
  </si>
  <si>
    <t>52542490</t>
  </si>
  <si>
    <t>CAROLL ALEAN MAHECHA</t>
  </si>
  <si>
    <t>caroll_alean@cun.edu.co</t>
  </si>
  <si>
    <t>carollalean@gmail.com</t>
  </si>
  <si>
    <t>3187739760</t>
  </si>
  <si>
    <t>CAROLL</t>
  </si>
  <si>
    <t>ALEAN MAHECHA</t>
  </si>
  <si>
    <t>WILSON ALEJANDRO MARTINEZ BERNAL</t>
  </si>
  <si>
    <t>DOC ASIS/N/V/TC/ESP PROSP ESTR/FUN.ACA</t>
  </si>
  <si>
    <t>wilson_martinezb@cun.edu.co</t>
  </si>
  <si>
    <t>WALMABE@GMAIL.COM</t>
  </si>
  <si>
    <t>3002118163</t>
  </si>
  <si>
    <t>WILSON ALEJANDRO</t>
  </si>
  <si>
    <t>MARTINEZ BERNAL</t>
  </si>
  <si>
    <t>1098688290</t>
  </si>
  <si>
    <t>MAYRA ALEJANDRA RIVERA GARCIA</t>
  </si>
  <si>
    <t>mayra_riverag@cun.edu.co</t>
  </si>
  <si>
    <t>ALE_RIVERA612@HOTMAIL.COM</t>
  </si>
  <si>
    <t>3172205721</t>
  </si>
  <si>
    <t>MAYRA ALEJANDRA</t>
  </si>
  <si>
    <t>RIVERA GARCIA</t>
  </si>
  <si>
    <t>LEIDY MILENA SUESCA VILLAMIL</t>
  </si>
  <si>
    <t>DOC AUX T&amp;T/N/V/TC/ESP SEG SALUD TRAB/FU</t>
  </si>
  <si>
    <t>leidy_suesca@cun.edu.co</t>
  </si>
  <si>
    <t>LMSUESCAV@GMAIL.COM</t>
  </si>
  <si>
    <t>3118396895</t>
  </si>
  <si>
    <t>LEIDY MILENA</t>
  </si>
  <si>
    <t>SUESCA VILLAMIL</t>
  </si>
  <si>
    <t>WEIMAR CORTES MONTIEL</t>
  </si>
  <si>
    <t>weimar_cortes@cun.edu.co</t>
  </si>
  <si>
    <t>WEIMARCORTES@GMAIL.COM</t>
  </si>
  <si>
    <t>3154003627</t>
  </si>
  <si>
    <t>WEIMAR</t>
  </si>
  <si>
    <t>CORTES MONTIEL</t>
  </si>
  <si>
    <t>JOHANNA CAROLINA CUERVO BERNAL</t>
  </si>
  <si>
    <t>johanna_cuervob@cun.edu.co</t>
  </si>
  <si>
    <t>jcarolinacuervo@gmail.com</t>
  </si>
  <si>
    <t>3157043964</t>
  </si>
  <si>
    <t>JOHANNA CAROLINA</t>
  </si>
  <si>
    <t>CUERVO BERNAL</t>
  </si>
  <si>
    <t>edwin_solano@cun.edu.co</t>
  </si>
  <si>
    <t>EOSGAITAN@GMAIL.COM</t>
  </si>
  <si>
    <t>3027632794</t>
  </si>
  <si>
    <t>EDWIN ORLANDO</t>
  </si>
  <si>
    <t>SOLANO GAITAN</t>
  </si>
  <si>
    <t>1096235289</t>
  </si>
  <si>
    <t>CARLOS ALONSO ROMERO REYES</t>
  </si>
  <si>
    <t>carlos_romeror@cun.edu.co</t>
  </si>
  <si>
    <t>CARLOSROMERO.SST@GMAIL.COM</t>
  </si>
  <si>
    <t>3184856987</t>
  </si>
  <si>
    <t>CARLOS ALONSO</t>
  </si>
  <si>
    <t>ROMERO REYES</t>
  </si>
  <si>
    <t>JOHAN SEBASTIAN DURAN VARGAS</t>
  </si>
  <si>
    <t>johan_duran@cun.edu.co</t>
  </si>
  <si>
    <t>JSDV11@HOTMAIL.COM</t>
  </si>
  <si>
    <t>3214587239</t>
  </si>
  <si>
    <t>DURAN VARGAS</t>
  </si>
  <si>
    <t>michael_amayas@cun.edu.co</t>
  </si>
  <si>
    <t>PSI.MICHAELAMAYA@OUTLOOK.COM</t>
  </si>
  <si>
    <t>MICHAEL STEVEN</t>
  </si>
  <si>
    <t>AMAYA SANCHEZ</t>
  </si>
  <si>
    <t>SERGIO LUIS GOMEZ ARTETA</t>
  </si>
  <si>
    <t>sergio_gomezar@cun.edu.co</t>
  </si>
  <si>
    <t>ING.GOMEZARTETA@GMAIL.COM</t>
  </si>
  <si>
    <t>3122748167</t>
  </si>
  <si>
    <t>SERGIO LUIS</t>
  </si>
  <si>
    <t>GOMEZ ARTETA</t>
  </si>
  <si>
    <t>NATHALIE VALENZUELA SERRANO</t>
  </si>
  <si>
    <t>nathalie_valenzuelas@cun.edu.co</t>
  </si>
  <si>
    <t>navalse@gmail.com</t>
  </si>
  <si>
    <t>3505797872</t>
  </si>
  <si>
    <t>NATHALIE</t>
  </si>
  <si>
    <t>VALENZUELA SERRANO</t>
  </si>
  <si>
    <t>CLAUDIA MILENA OSPINA LOPEZ</t>
  </si>
  <si>
    <t>claudia_ospinal@cun.edu.co</t>
  </si>
  <si>
    <t>claoslo@gmail.com</t>
  </si>
  <si>
    <t>3176572737</t>
  </si>
  <si>
    <t>CLAUDIA MILENA</t>
  </si>
  <si>
    <t>OSPINA LOPEZ</t>
  </si>
  <si>
    <t>CARLOS ANDRES PIRAQUIVE CIFUENTES</t>
  </si>
  <si>
    <t>DOC AUX/N/V/TC/ESP GOB IA/FUN.ACAD</t>
  </si>
  <si>
    <t>ESPECIALIZACION GOBERNANZA DE LA IA</t>
  </si>
  <si>
    <t>carlos_piraquivec@cun.edu.co</t>
  </si>
  <si>
    <t>CPIRAQUIVE@LIVE.COM</t>
  </si>
  <si>
    <t>3237584945</t>
  </si>
  <si>
    <t>PIRAQUIVE CIFUENTES</t>
  </si>
  <si>
    <t>MARIA FERNANDA PACHECO MEJIA</t>
  </si>
  <si>
    <t>DOC ASIS/N/V/TC/ESP MARKETING POLI/FUN.A</t>
  </si>
  <si>
    <t>ESPECIALIZACION MARKETING POLITICO</t>
  </si>
  <si>
    <t>maria_pachecom@cun.edu.co</t>
  </si>
  <si>
    <t>mf.pacheco10@gmail.com</t>
  </si>
  <si>
    <t>3115227525</t>
  </si>
  <si>
    <t>PACHECO MEJIA</t>
  </si>
  <si>
    <t>LUIS MIGUEL GOMEZ HENAO</t>
  </si>
  <si>
    <t>luis_gomezh@cun.edu.co</t>
  </si>
  <si>
    <t>luismi.consultor@gmail.com</t>
  </si>
  <si>
    <t>3026722330</t>
  </si>
  <si>
    <t>GOMEZ HENAO</t>
  </si>
  <si>
    <t>1001851596</t>
  </si>
  <si>
    <t>MARIA JOSE ARROYO CANTILLO</t>
  </si>
  <si>
    <t>DOC AUX/N/V/TC/ESP MARK POLI/FUN.ACA</t>
  </si>
  <si>
    <t>maria_arroyoc@cun.edu.co</t>
  </si>
  <si>
    <t>M.ARROYO11@OUTLOOK.COM</t>
  </si>
  <si>
    <t>3002899860</t>
  </si>
  <si>
    <t>ARROYO CANTILLO</t>
  </si>
  <si>
    <t>JOHN ANDERSON PEREZ LOPEZ</t>
  </si>
  <si>
    <t>john_perezl@cun.edu.co</t>
  </si>
  <si>
    <t>johnandersonperezlopez@gmail.com</t>
  </si>
  <si>
    <t>3028389746</t>
  </si>
  <si>
    <t>JOHN ANDERSON</t>
  </si>
  <si>
    <t>PEREZ LOPEZ</t>
  </si>
  <si>
    <t>CHARLIE PAOLA CHACON ROCHA</t>
  </si>
  <si>
    <t>charlie_chacon@cun.edu.co</t>
  </si>
  <si>
    <t>charliepaola@hotmail.com</t>
  </si>
  <si>
    <t>3154225400</t>
  </si>
  <si>
    <t>CHARLIE PAOLA</t>
  </si>
  <si>
    <t>CHACON ROCHA</t>
  </si>
  <si>
    <t>YASMILY ESLENDY ARDILA QUIROGA</t>
  </si>
  <si>
    <t>yasmily_ardila@cun.edu.co</t>
  </si>
  <si>
    <t>ardilayasmily@gmail.com</t>
  </si>
  <si>
    <t>3124034419</t>
  </si>
  <si>
    <t>YASMILY ESLENDY</t>
  </si>
  <si>
    <t>ARDILA QUIROGA</t>
  </si>
  <si>
    <t>NUBIA INES PRIETO GRIMALDOS</t>
  </si>
  <si>
    <t>nubia_prieto@cun.edu.co</t>
  </si>
  <si>
    <t>nubiaprietogrimaldos@gmail.com</t>
  </si>
  <si>
    <t>3012412663</t>
  </si>
  <si>
    <t>NUBIA INES</t>
  </si>
  <si>
    <t>PRIETO GRIMALDOS</t>
  </si>
  <si>
    <t>bibiana_avila@cun.edu.co</t>
  </si>
  <si>
    <t>bibianaavilamartinez@gmail.com</t>
  </si>
  <si>
    <t>3196430005</t>
  </si>
  <si>
    <t>BIBIANA</t>
  </si>
  <si>
    <t>IVONNE LISSETH CARREÑO SERRANO</t>
  </si>
  <si>
    <t>DOC AUX/N/V/TC/IDIOMAS/FUN.ACADE-ADMIN</t>
  </si>
  <si>
    <t>ivonne_carreno@cun.edu.co</t>
  </si>
  <si>
    <t>ivo.serrano2@gmail.com</t>
  </si>
  <si>
    <t>3185224045</t>
  </si>
  <si>
    <t>IVONNE LISSETH</t>
  </si>
  <si>
    <t>CARREÑO SERRANO</t>
  </si>
  <si>
    <t>1110567475</t>
  </si>
  <si>
    <t>ANGELLO CAMILO SANCHEZ GALINDO</t>
  </si>
  <si>
    <t>angello_sanchez@cun.edu.co</t>
  </si>
  <si>
    <t>angellocsg@outlook.com</t>
  </si>
  <si>
    <t>3132908739</t>
  </si>
  <si>
    <t>ANGELLO CAMILO</t>
  </si>
  <si>
    <t>SANCHEZ GALINDO</t>
  </si>
  <si>
    <t>ANDRES ALBERTO GARRIDO TORRES</t>
  </si>
  <si>
    <t>andres_garrido@cun.edu.co</t>
  </si>
  <si>
    <t>andresgator@gmail.com</t>
  </si>
  <si>
    <t>3154806818</t>
  </si>
  <si>
    <t>ANDRES ALBERTO</t>
  </si>
  <si>
    <t>GARRIDO TORRES</t>
  </si>
  <si>
    <t>GIOVANNI GUTIERREZ MARTINEZ</t>
  </si>
  <si>
    <t>giovanni_gutierrez@cun.edu.co</t>
  </si>
  <si>
    <t>nanoprof88@gmail.com</t>
  </si>
  <si>
    <t>3214162669</t>
  </si>
  <si>
    <t>GIOVANNI</t>
  </si>
  <si>
    <t>GUTIERREZ MARTINEZ</t>
  </si>
  <si>
    <t>ASTRID EMILIA BUENHOMBRE CAÑON</t>
  </si>
  <si>
    <t>astrid_buenhombre@cun.edu.co</t>
  </si>
  <si>
    <t>astridemiliabc@gmail.com</t>
  </si>
  <si>
    <t>3227424595</t>
  </si>
  <si>
    <t>ASTRID EMILIA</t>
  </si>
  <si>
    <t>BUENHOMBRE CAÑON</t>
  </si>
  <si>
    <t>1042438453</t>
  </si>
  <si>
    <t>YULEIDYS MARIA RODRIGUEZ RAMBAO</t>
  </si>
  <si>
    <t>DOC TITULAR/N/V/TC/IDIOMAS/FUN.ACADE-ADMIN</t>
  </si>
  <si>
    <t>yuleidys_rodriguez@cun.edu.co</t>
  </si>
  <si>
    <t>yuleidys_rodriguez@hotmail.com</t>
  </si>
  <si>
    <t>3234503525</t>
  </si>
  <si>
    <t>YULEIDYS MARIA</t>
  </si>
  <si>
    <t>RODRIGUEZ RAMBAO</t>
  </si>
  <si>
    <t>LEIDY TATIANA JAIMES CADAVID</t>
  </si>
  <si>
    <t>leidy_jaimes@cun.edu.co</t>
  </si>
  <si>
    <t>leidyjaimes0711@gmail.com</t>
  </si>
  <si>
    <t>3017722574</t>
  </si>
  <si>
    <t>JAIMES CADAVID</t>
  </si>
  <si>
    <t>NELLY JOHANA ALVAREZ IDARRAGA</t>
  </si>
  <si>
    <t>nelly_alvarez@cun.edu.co</t>
  </si>
  <si>
    <t>nalvarez356@unab.edu.co</t>
  </si>
  <si>
    <t>3175127628</t>
  </si>
  <si>
    <t>NELLY JOHANA</t>
  </si>
  <si>
    <t>ALVAREZ IDARRAGA</t>
  </si>
  <si>
    <t>JESSICA PAOLA HIGUERA SANCHEZ</t>
  </si>
  <si>
    <t>jessica_higuera@cun.edu.co</t>
  </si>
  <si>
    <t>jessicdlm46@gmail.com</t>
  </si>
  <si>
    <t>3192466617</t>
  </si>
  <si>
    <t>JESSICA PAOLA</t>
  </si>
  <si>
    <t>HIGUERA SANCHEZ</t>
  </si>
  <si>
    <t>CATHERIN JULIET COY ASTAIZA</t>
  </si>
  <si>
    <t>catherin_coy@cun.edu.co</t>
  </si>
  <si>
    <t>catherincoy@gmail.com</t>
  </si>
  <si>
    <t>3005964585</t>
  </si>
  <si>
    <t>CATHERIN JULIET</t>
  </si>
  <si>
    <t>COY ASTAIZA</t>
  </si>
  <si>
    <t>MARIA CATALINA ESPINOSA SUAREZ</t>
  </si>
  <si>
    <t>maria_espinosa@cun.edu.co</t>
  </si>
  <si>
    <t>mariacata25@gmail.com</t>
  </si>
  <si>
    <t>3008053778</t>
  </si>
  <si>
    <t>MARIA CATALINA</t>
  </si>
  <si>
    <t>ESPINOSA SUAREZ</t>
  </si>
  <si>
    <t>JENNIFFER CONSTANZA GALLEGOS SARMIENTO</t>
  </si>
  <si>
    <t>jennifer_gallego@cun.edu.co</t>
  </si>
  <si>
    <t>teachercony2020@gmail.com</t>
  </si>
  <si>
    <t>3203958455</t>
  </si>
  <si>
    <t>JENNIFFER CONSTANZA</t>
  </si>
  <si>
    <t>GALLEGOS SARMIENTO</t>
  </si>
  <si>
    <t>KEVIN DE JESUS BRAVO ANAYA</t>
  </si>
  <si>
    <t>kevin_bravoa@cun.edu.co</t>
  </si>
  <si>
    <t>KVINBRAVO98@HOTMAIL.COM</t>
  </si>
  <si>
    <t>3105257007</t>
  </si>
  <si>
    <t>KEVIN DE JESUS</t>
  </si>
  <si>
    <t>BRAVO ANAYA</t>
  </si>
  <si>
    <t>ANA MARIA VIVAS SILVA</t>
  </si>
  <si>
    <t>ana_vivass@cun.edu.co</t>
  </si>
  <si>
    <t>ANAMAVI48@GMAIL.COM</t>
  </si>
  <si>
    <t>3137260627</t>
  </si>
  <si>
    <t>VIVAS SILVA</t>
  </si>
  <si>
    <t>CINDY PAOLA MORENO PARRA</t>
  </si>
  <si>
    <t>cindy_morenop@cun.edu.co</t>
  </si>
  <si>
    <t>cipamopa2@gmail.com</t>
  </si>
  <si>
    <t>3176733377</t>
  </si>
  <si>
    <t>1067928314</t>
  </si>
  <si>
    <t>ANYI MILENA ALVAREZ COGOLLO</t>
  </si>
  <si>
    <t>anyi_alvarezc@cun.edu.co</t>
  </si>
  <si>
    <t>anyimalvarezc@gmail.com</t>
  </si>
  <si>
    <t>3012141318</t>
  </si>
  <si>
    <t>ANYI MILENA</t>
  </si>
  <si>
    <t>ALVAREZ COGOLLO</t>
  </si>
  <si>
    <t>1019150974</t>
  </si>
  <si>
    <t>LAURY YULIANA HERNANDEZ BECERRA</t>
  </si>
  <si>
    <t>laury_hernandez@cun.edu.co</t>
  </si>
  <si>
    <t>LAURYYHDEZ@GMAIL.COM</t>
  </si>
  <si>
    <t>3232062486</t>
  </si>
  <si>
    <t>LAURY YULIANA</t>
  </si>
  <si>
    <t>HERNANDEZ BECERRA</t>
  </si>
  <si>
    <t>1234645306</t>
  </si>
  <si>
    <t>MICHAEL ANDRES ESPINOZA MELO</t>
  </si>
  <si>
    <t>michael_espinozam@cun.edu.co</t>
  </si>
  <si>
    <t>MAICOL.30@HOTMAIL.COM</t>
  </si>
  <si>
    <t>3176901190</t>
  </si>
  <si>
    <t>MICHAEL ANDRES</t>
  </si>
  <si>
    <t>ESPINOZA MELO</t>
  </si>
  <si>
    <t>1033752730</t>
  </si>
  <si>
    <t>CAMILO ANDRES SANCHEZ SILVA</t>
  </si>
  <si>
    <t>camilo_sanchezs@cun.edu.co</t>
  </si>
  <si>
    <t>CAMILOSANCHEZPROF@GMAIL.COM</t>
  </si>
  <si>
    <t>3112608929</t>
  </si>
  <si>
    <t>SANCHEZ SILVA</t>
  </si>
  <si>
    <t>estefania_gutierrezg@cun.edu.co</t>
  </si>
  <si>
    <t>NIAGUTIERREZ.LINGUA@GMAIL.COM</t>
  </si>
  <si>
    <t>3045858110</t>
  </si>
  <si>
    <t>ESTEFANIA</t>
  </si>
  <si>
    <t>GUTIERREZ GALVIS</t>
  </si>
  <si>
    <t>KEVIN EULICES ORTIZ DUARTE</t>
  </si>
  <si>
    <t>kevin_ortizdu@cun.edu.co</t>
  </si>
  <si>
    <t>kevinortizduarte@gmail.com</t>
  </si>
  <si>
    <t>3143661251</t>
  </si>
  <si>
    <t>KEVIN EULICES</t>
  </si>
  <si>
    <t>ORTIZ DUARTE</t>
  </si>
  <si>
    <t>79406563</t>
  </si>
  <si>
    <t>RICARDO ALFREDO LOPEZ BULLA</t>
  </si>
  <si>
    <t>DOC ASOC/N/V/TC/ING DE SISTEMAS/FUN.ACADE-ADMIN</t>
  </si>
  <si>
    <t>ricardo_lopez@cun.edu.co</t>
  </si>
  <si>
    <t>Ing.ricardoalopez@gmail.com</t>
  </si>
  <si>
    <t>3002176856</t>
  </si>
  <si>
    <t>RICARDO ALFREDO</t>
  </si>
  <si>
    <t>LOPEZ BULLA</t>
  </si>
  <si>
    <t>MAGDA PAOLA FERNANDEZ ECHEVERRI</t>
  </si>
  <si>
    <t>DOCENTE ASIS/N/TC/ING SISTEM/FUN.ACADE-ADMIN</t>
  </si>
  <si>
    <t>magda_fernandez@cun.edu.co</t>
  </si>
  <si>
    <t>magpafer49@hotmail.com</t>
  </si>
  <si>
    <t>3159264210</t>
  </si>
  <si>
    <t>MAGDA PAOLA</t>
  </si>
  <si>
    <t>FERNANDEZ ECHEVERRI</t>
  </si>
  <si>
    <t>20654719</t>
  </si>
  <si>
    <t>DILSA ENITH TRIANA MARTINEZ</t>
  </si>
  <si>
    <t>DOC ASIS/N/V/TC/ING DE SISTEMAS/FUN.ACADE-ADMIN</t>
  </si>
  <si>
    <t>dilsa_triana@cun.edu.co</t>
  </si>
  <si>
    <t>enithtriana09@gmail.com</t>
  </si>
  <si>
    <t>3185577181</t>
  </si>
  <si>
    <t>DILSA ENITH</t>
  </si>
  <si>
    <t>TRIANA MARTINEZ</t>
  </si>
  <si>
    <t>JOHN FREDY CALDERON</t>
  </si>
  <si>
    <t>John_Calderon@cun.edu.co</t>
  </si>
  <si>
    <t>jfc@adsysmedia.com</t>
  </si>
  <si>
    <t>3163019011</t>
  </si>
  <si>
    <t>CALDERON</t>
  </si>
  <si>
    <t>LUZ ELENA CEDIEL BRAVO</t>
  </si>
  <si>
    <t>DOCENTE ASOC/N/TC/ING SISTEM/FUN.ACADE-ADMIN</t>
  </si>
  <si>
    <t>luz_cediel@cun.edu.co</t>
  </si>
  <si>
    <t>elenacediel@gmail.com</t>
  </si>
  <si>
    <t>3153964251</t>
  </si>
  <si>
    <t>LUZ ELENA</t>
  </si>
  <si>
    <t>CEDIEL BRAVO</t>
  </si>
  <si>
    <t>50910783</t>
  </si>
  <si>
    <t>SIRLEY DEL CARMEN KERGUELEN GOMEZ</t>
  </si>
  <si>
    <t>sirley_kerguelen@cun.edu.co</t>
  </si>
  <si>
    <t>skerguelen1126@hotmail.com</t>
  </si>
  <si>
    <t>3017586800</t>
  </si>
  <si>
    <t>SIRLEY DEL CARMEN</t>
  </si>
  <si>
    <t>KERGUELEN GOMEZ</t>
  </si>
  <si>
    <t>VERONICA CASTRO MUNAR</t>
  </si>
  <si>
    <t>veronica_castro@cun.edu.co</t>
  </si>
  <si>
    <t>vkasmunar@gmail.com</t>
  </si>
  <si>
    <t>3204680601</t>
  </si>
  <si>
    <t>VERONICA</t>
  </si>
  <si>
    <t>CASTRO MUNAR</t>
  </si>
  <si>
    <t>MAURICIO RODRIGUEZ GARCIA</t>
  </si>
  <si>
    <t>DOC AUX/N/V/TC/ING DE SISTEMAS/FUN.ACADE-ADMIN</t>
  </si>
  <si>
    <t>Mauricio_Rodriguezg@cun.edu.co</t>
  </si>
  <si>
    <t>maorodriguez@gmail.com</t>
  </si>
  <si>
    <t>3115095227</t>
  </si>
  <si>
    <t>MAURICIO</t>
  </si>
  <si>
    <t>RODRIGUEZ GARCIA</t>
  </si>
  <si>
    <t>80850454</t>
  </si>
  <si>
    <t>EDGAR ALEXANDER BARRAGAN GARCIA</t>
  </si>
  <si>
    <t>edgar_barragan@cun.edu.co</t>
  </si>
  <si>
    <t>edgarbarragangarcia@gmail.com</t>
  </si>
  <si>
    <t>3123526277</t>
  </si>
  <si>
    <t>EDGAR ALEXANDER</t>
  </si>
  <si>
    <t>BARRAGAN GARCIA</t>
  </si>
  <si>
    <t>DANILO ANDRES RINCON PLAZAS</t>
  </si>
  <si>
    <t>danilo_rincon@cun.edu.co</t>
  </si>
  <si>
    <t>3112609438</t>
  </si>
  <si>
    <t>DANILO ANDRES</t>
  </si>
  <si>
    <t>RINCON PLAZAS</t>
  </si>
  <si>
    <t>1033691855</t>
  </si>
  <si>
    <t>HÉCTOR MANUEL HERRERA HERRERA</t>
  </si>
  <si>
    <t>hector_herrera@cun.edu.co</t>
  </si>
  <si>
    <t>hetorherrera@hotmail.com   INGMANUELHH@GMAIL.COM</t>
  </si>
  <si>
    <t>3208439312</t>
  </si>
  <si>
    <t>HÉCTOR MANUEL</t>
  </si>
  <si>
    <t>HERRERA HERRERA</t>
  </si>
  <si>
    <t>CLAUDIA PATRICIA RAMIREZ TRIANA</t>
  </si>
  <si>
    <t>claudia_ramirezt@cun.edu.co</t>
  </si>
  <si>
    <t>clauss97@hotmail.com</t>
  </si>
  <si>
    <t>3144706871</t>
  </si>
  <si>
    <t>CLAUDIA PATRICIA</t>
  </si>
  <si>
    <t>RAMIREZ TRIANA</t>
  </si>
  <si>
    <t>CAMILO AUGUSTO CARDONA PATIÑO</t>
  </si>
  <si>
    <t>camilo_cardona@cun.edu.co</t>
  </si>
  <si>
    <t>cacardonap@gmail.com</t>
  </si>
  <si>
    <t>3144664732</t>
  </si>
  <si>
    <t>CAMILO AUGUSTO</t>
  </si>
  <si>
    <t>CARDONA PATIÑO</t>
  </si>
  <si>
    <t>78746303</t>
  </si>
  <si>
    <t>RAFAEL ENRIQUE BENEDETTI NAVARRO</t>
  </si>
  <si>
    <t>rafael_benedetti@cun.edu.co</t>
  </si>
  <si>
    <t>rafael.benedetti75@gmail.com</t>
  </si>
  <si>
    <t>3008948572</t>
  </si>
  <si>
    <t>RAFAEL ENRIQUE</t>
  </si>
  <si>
    <t>JHON UBERNEY LONDOÑO VILLALBA</t>
  </si>
  <si>
    <t>jhon_londono@cun.edu.co</t>
  </si>
  <si>
    <t>jhonub@gmail.com</t>
  </si>
  <si>
    <t>3125007917</t>
  </si>
  <si>
    <t>JHON UBERNEY</t>
  </si>
  <si>
    <t>LONDOÑO VILLALBA</t>
  </si>
  <si>
    <t>JOSE RICARDO CASALLAS TRIANA</t>
  </si>
  <si>
    <t>jose_casallas@cun.edu.co</t>
  </si>
  <si>
    <t>ricardocasallas3@gmail.com</t>
  </si>
  <si>
    <t>3505050423</t>
  </si>
  <si>
    <t>JOSE RICARDO</t>
  </si>
  <si>
    <t>CASALLAS TRIANA</t>
  </si>
  <si>
    <t>KERWIN CARLOS TORRES CASTILLO</t>
  </si>
  <si>
    <t>DOCENTE AUX/N/TC/ING SISTEM/FUN.ACADE-ADMIN</t>
  </si>
  <si>
    <t>kerwin_torres@cun.edu.co</t>
  </si>
  <si>
    <t>torreskerwin@gmail.com</t>
  </si>
  <si>
    <t>3015487006</t>
  </si>
  <si>
    <t>KERWIN CARLOS</t>
  </si>
  <si>
    <t>TORRES CASTILLO</t>
  </si>
  <si>
    <t>EDWIN ANTONIO ARRIETA BENAVIDES</t>
  </si>
  <si>
    <t>DOC AUX T&amp;T/N/TC/ING SISTEM/PROYECCION</t>
  </si>
  <si>
    <t>edwin_arrieta@cun.edu.co</t>
  </si>
  <si>
    <t>arrietaedwin@gmail.com</t>
  </si>
  <si>
    <t>3184492083</t>
  </si>
  <si>
    <t>EDWIN ANTONIO</t>
  </si>
  <si>
    <t>ARRIETA BENAVIDES</t>
  </si>
  <si>
    <t>1110545690</t>
  </si>
  <si>
    <t>JULIETH CAROLINA RIOS BOCANEGRA</t>
  </si>
  <si>
    <t>julieth_rios@cun.edu.co</t>
  </si>
  <si>
    <t>juliethcrb@gmail.com</t>
  </si>
  <si>
    <t>3114867519</t>
  </si>
  <si>
    <t>JULIETH CAROLINA</t>
  </si>
  <si>
    <t>RIOS BOCANEGRA</t>
  </si>
  <si>
    <t>79604950</t>
  </si>
  <si>
    <t>EFREN OSWALDO VILLAQUIRAN PEÑA</t>
  </si>
  <si>
    <t>efren_villaquiran@cun.edu.co</t>
  </si>
  <si>
    <t>efrenvillaquiran@gmail.com</t>
  </si>
  <si>
    <t>3152288045</t>
  </si>
  <si>
    <t>EFREN OSWALDO</t>
  </si>
  <si>
    <t>VILLAQUIRAN PEÑA</t>
  </si>
  <si>
    <t>ANDRES FELIPE CORREA ESPITIA</t>
  </si>
  <si>
    <t>andres_correa@cun.edu.co</t>
  </si>
  <si>
    <t>felipecorreae@gmail.com</t>
  </si>
  <si>
    <t>3022559612</t>
  </si>
  <si>
    <t>CORREA ESPITIA</t>
  </si>
  <si>
    <t>JORGE ANDRES ARAUJO BERNAL</t>
  </si>
  <si>
    <t>REGIONAL AMAZONAS</t>
  </si>
  <si>
    <t>LETICIA</t>
  </si>
  <si>
    <t>DOC TITULAR/N/V/TC/ING DE SISTEMAS/FUN.ACADE-ADMIN</t>
  </si>
  <si>
    <t>jorge_araujo@cun.edu.co</t>
  </si>
  <si>
    <t>jorgeandresok@gmail.com</t>
  </si>
  <si>
    <t>3242882226</t>
  </si>
  <si>
    <t>ARAUJO BERNAL</t>
  </si>
  <si>
    <t>CAD LETICIA SEDE</t>
  </si>
  <si>
    <t>AMALIA CASTRO ARDILA</t>
  </si>
  <si>
    <t>DOC AUX/N/V/TC/ING DE SISTEMAS/PROYECCION</t>
  </si>
  <si>
    <t>amalia_castro@cun.edu.co</t>
  </si>
  <si>
    <t>amaliacastro78@gmail.com</t>
  </si>
  <si>
    <t>3118835868</t>
  </si>
  <si>
    <t>AMALIA</t>
  </si>
  <si>
    <t>CASTRO ARDILA</t>
  </si>
  <si>
    <t>OSMANY ALEY MARTINEZ</t>
  </si>
  <si>
    <t>osmary_aley@cun.edu.co</t>
  </si>
  <si>
    <t>osmany.aley@hotmail.com</t>
  </si>
  <si>
    <t>3166297393</t>
  </si>
  <si>
    <t>OSMANY</t>
  </si>
  <si>
    <t>ALEY MARTINEZ</t>
  </si>
  <si>
    <t>CAMILO VELASCO PAREDES</t>
  </si>
  <si>
    <t>camilo_velasco@cun.edu.co</t>
  </si>
  <si>
    <t>kmiuni@hotmail.com</t>
  </si>
  <si>
    <t>3173180211</t>
  </si>
  <si>
    <t>CAMILO</t>
  </si>
  <si>
    <t>VELASCO PAREDES</t>
  </si>
  <si>
    <t>HUGO JAVIER MANTILLA GOMEZ</t>
  </si>
  <si>
    <t>DOCENTE AUX/N/MT/ING SISTEM</t>
  </si>
  <si>
    <t>hugo_mantilla@cun.edu.co</t>
  </si>
  <si>
    <t>hugojavier_mantilla@yahoo.com</t>
  </si>
  <si>
    <t>3013528363</t>
  </si>
  <si>
    <t>HUGO JAVIER</t>
  </si>
  <si>
    <t>MANTILLA GOMEZ</t>
  </si>
  <si>
    <t>HERNANDO FUERTES NIETO</t>
  </si>
  <si>
    <t>hernando_fuertes@cun.edu.co</t>
  </si>
  <si>
    <t>HFUERTES73@YAHOO.COM</t>
  </si>
  <si>
    <t>3003021181</t>
  </si>
  <si>
    <t>HERNANDO</t>
  </si>
  <si>
    <t>FUERTES NIETO</t>
  </si>
  <si>
    <t>79868763</t>
  </si>
  <si>
    <t>EFRAIN CUEVAS RIAÑO</t>
  </si>
  <si>
    <t>DOC AUX T&amp;T/N/TC/ING SISTEM/FUN.ACADE-ADMIN</t>
  </si>
  <si>
    <t>efrain_cuevas@cun.edu.co</t>
  </si>
  <si>
    <t>efratuto@gmail.com</t>
  </si>
  <si>
    <t>3116825570</t>
  </si>
  <si>
    <t>EFRAIN</t>
  </si>
  <si>
    <t>CUEVAS RIAÑO</t>
  </si>
  <si>
    <t>72265519</t>
  </si>
  <si>
    <t>GABRIEL ENRIQUE BELTRAN IBARRA</t>
  </si>
  <si>
    <t>DOC AUX T&amp;T/N/V/TC/ING DE SISTEMAS/FUN.ACADE-ADMIN</t>
  </si>
  <si>
    <t>gabriel_beltran@cun.edu.co</t>
  </si>
  <si>
    <t>gabriel.beltran@hotmail.com</t>
  </si>
  <si>
    <t>3004802115</t>
  </si>
  <si>
    <t>GABRIEL ENRIQUE</t>
  </si>
  <si>
    <t>BELTRAN IBARRA</t>
  </si>
  <si>
    <t>LUIS FERNANDO ALMARIO NARVAEZ</t>
  </si>
  <si>
    <t>luis_almario@cun.edu.co</t>
  </si>
  <si>
    <t>lalmari@gmail.com</t>
  </si>
  <si>
    <t>3002176880</t>
  </si>
  <si>
    <t>ALMARIO NARVAEZ</t>
  </si>
  <si>
    <t>1110455172</t>
  </si>
  <si>
    <t>JONNATHAN DAVID CUELLAR BARRERO</t>
  </si>
  <si>
    <t>jonnatan_cuellar@cun.edu.co</t>
  </si>
  <si>
    <t>jonnatancb@gmail.com</t>
  </si>
  <si>
    <t>3123889084</t>
  </si>
  <si>
    <t>JONNATHAN DAVID</t>
  </si>
  <si>
    <t>CUELLAR BARRERO</t>
  </si>
  <si>
    <t>DIEGO SALVADOR RAMIREZ REAL</t>
  </si>
  <si>
    <t>diego_ramirezr@cun.edu.co</t>
  </si>
  <si>
    <t>diego.salvador.ramirez@gmail.com</t>
  </si>
  <si>
    <t>3017699697</t>
  </si>
  <si>
    <t>DIEGO SALVADOR</t>
  </si>
  <si>
    <t>RAMIREZ REAL</t>
  </si>
  <si>
    <t>JUAN ESTEBAN CAICEDO PALACIO</t>
  </si>
  <si>
    <t>juan_caicedop@cun.edu.co</t>
  </si>
  <si>
    <t>jecaicedop@unal.edu.co</t>
  </si>
  <si>
    <t>3115914421</t>
  </si>
  <si>
    <t>JUAN ESTEBAN</t>
  </si>
  <si>
    <t>CAICEDO PALACIO</t>
  </si>
  <si>
    <t>78032067</t>
  </si>
  <si>
    <t>MARIO ALEXANDER REALES MARTINEZ</t>
  </si>
  <si>
    <t>mario_reales@cun.edu.co</t>
  </si>
  <si>
    <t>mario.reales154@gmail.com</t>
  </si>
  <si>
    <t>3147179422</t>
  </si>
  <si>
    <t>MARIO ALEXANDER</t>
  </si>
  <si>
    <t>REALES MARTINEZ</t>
  </si>
  <si>
    <t>FANNY LEON CHAVEZ</t>
  </si>
  <si>
    <t>fanny_leon@cun.edu.co</t>
  </si>
  <si>
    <t>falego21@gmail.com</t>
  </si>
  <si>
    <t>3043440940</t>
  </si>
  <si>
    <t>FANNY</t>
  </si>
  <si>
    <t>LEON CHAVEZ</t>
  </si>
  <si>
    <t>1234645458</t>
  </si>
  <si>
    <t>JUAN DAVID FORERO ACOSTA</t>
  </si>
  <si>
    <t>juan_foreroa@cun.edu.co</t>
  </si>
  <si>
    <t>Juanmaximo01@gmail.com</t>
  </si>
  <si>
    <t>3157878702</t>
  </si>
  <si>
    <t>FORERO ACOSTA</t>
  </si>
  <si>
    <t>72248477</t>
  </si>
  <si>
    <t>JUAN CARLOS PEREZ CASTILLO</t>
  </si>
  <si>
    <t>juan_perezc@cun.edu.co</t>
  </si>
  <si>
    <t>juancarlosperezcastillo631@gmail.com</t>
  </si>
  <si>
    <t>3015939873</t>
  </si>
  <si>
    <t>PEREZ CASTILLO</t>
  </si>
  <si>
    <t>1039446771</t>
  </si>
  <si>
    <t>ANDRES FELIPE MONTOYA RIVERA</t>
  </si>
  <si>
    <t>andres_montoya@cun.edu.co</t>
  </si>
  <si>
    <t>MONTOYAANDRES357@GMAIL.COM  ANDRESFELIPEMONTOYA0@GMAIL.COM</t>
  </si>
  <si>
    <t>3506686908</t>
  </si>
  <si>
    <t>MONTOYA RIVERA</t>
  </si>
  <si>
    <t>DANIEL ALEJANDRO GARCIA RODRIGUEZ</t>
  </si>
  <si>
    <t>daniel_garciar@cun.edu.co</t>
  </si>
  <si>
    <t>daniel.gartzia@gmail.com</t>
  </si>
  <si>
    <t>319370826</t>
  </si>
  <si>
    <t>DANIEL ALEJANDRO</t>
  </si>
  <si>
    <t>GARCIA RODRIGUEZ</t>
  </si>
  <si>
    <t>1067956433</t>
  </si>
  <si>
    <t>OSCAR LUIS SIBAJA CUELLO</t>
  </si>
  <si>
    <t>oscar_sibaja@cun.edu.co</t>
  </si>
  <si>
    <t>Oscar.sibajacuello@gmail.com</t>
  </si>
  <si>
    <t>3014476262</t>
  </si>
  <si>
    <t>OSCAR LUIS</t>
  </si>
  <si>
    <t>SIBAJA CUELLO</t>
  </si>
  <si>
    <t>MARIA EUGENIA SOLER HUERTAS</t>
  </si>
  <si>
    <t>maria_soler@cun.edu.co</t>
  </si>
  <si>
    <t>mesh162009@gmail.com</t>
  </si>
  <si>
    <t>3114429583</t>
  </si>
  <si>
    <t>SOLER HUERTAS</t>
  </si>
  <si>
    <t>ALEXANDER CALDERON MARTINEZ</t>
  </si>
  <si>
    <t>alexander_calderon@cun.edu.co</t>
  </si>
  <si>
    <t>masyacm@gmail.com</t>
  </si>
  <si>
    <t>3165471670</t>
  </si>
  <si>
    <t>CALDERON MARTINEZ</t>
  </si>
  <si>
    <t>EDGAR KREJCI GARZON</t>
  </si>
  <si>
    <t>edgar_krejci@cun.edu.co</t>
  </si>
  <si>
    <t>alemanekg@gmail.com</t>
  </si>
  <si>
    <t>3134231947</t>
  </si>
  <si>
    <t>EDGAR</t>
  </si>
  <si>
    <t>KREJCI GARZON</t>
  </si>
  <si>
    <t>JULIANA OJEDA OLARTE</t>
  </si>
  <si>
    <t>juliana_ojeda@cun.edu.co</t>
  </si>
  <si>
    <t>juliojeda1@hotmail.com</t>
  </si>
  <si>
    <t>3225135765</t>
  </si>
  <si>
    <t>JULIANA</t>
  </si>
  <si>
    <t>OJEDA OLARTE</t>
  </si>
  <si>
    <t>52698798</t>
  </si>
  <si>
    <t>MYRIAM ROCIO MALPICA PARRA</t>
  </si>
  <si>
    <t>myriam_malpica@cun.edu.co</t>
  </si>
  <si>
    <t>myriam.malpica@gmail.com</t>
  </si>
  <si>
    <t>3103139607</t>
  </si>
  <si>
    <t>MYRIAM ROCIO</t>
  </si>
  <si>
    <t>MALPICA PARRA</t>
  </si>
  <si>
    <t>MIGUEL ANGEL VILLAMIL BUSTOS</t>
  </si>
  <si>
    <t>miguel_villamil@cun.edu.co</t>
  </si>
  <si>
    <t>miguel.villamil9316@gmail.com</t>
  </si>
  <si>
    <t>3114266262</t>
  </si>
  <si>
    <t>VILLAMIL BUSTOS</t>
  </si>
  <si>
    <t>YEISON FERNANDO ROJAS MESA</t>
  </si>
  <si>
    <t>yeison_rojas@cun.edu.co</t>
  </si>
  <si>
    <t>yeisonf_91@hotmail.com</t>
  </si>
  <si>
    <t>3013310665</t>
  </si>
  <si>
    <t>YEISON FERNANDO</t>
  </si>
  <si>
    <t>ROJAS MESA</t>
  </si>
  <si>
    <t>SAMUEL HORACIO BAUTISTA ORTEGA</t>
  </si>
  <si>
    <t>samuel_bautista@cun.edu.co</t>
  </si>
  <si>
    <t>samuelortegabautista@gmail.com</t>
  </si>
  <si>
    <t>3154666994</t>
  </si>
  <si>
    <t>SAMUEL HORACIO</t>
  </si>
  <si>
    <t>BAUTISTA ORTEGA</t>
  </si>
  <si>
    <t>79627318</t>
  </si>
  <si>
    <t>YESID DIAZ GUTIERREZ</t>
  </si>
  <si>
    <t>DOCENTE ASOC/N/TC/ING SISTEM/FUNC SUST</t>
  </si>
  <si>
    <t>yesid_diaz@cun.edu.co</t>
  </si>
  <si>
    <t>diazyesid@yahoo.com</t>
  </si>
  <si>
    <t>3232231575</t>
  </si>
  <si>
    <t>YESID</t>
  </si>
  <si>
    <t>DIAZ GUTIERREZ</t>
  </si>
  <si>
    <t>WILLIAN MICHEL VELEZ CANDIA</t>
  </si>
  <si>
    <t>DOCENTE TITU/N/TC/ING SISTEM/FUN.ACADE-ADMIN</t>
  </si>
  <si>
    <t>willian_velez@cun.edu.co</t>
  </si>
  <si>
    <t>wmvelezv@gmail.com</t>
  </si>
  <si>
    <t>3112628703</t>
  </si>
  <si>
    <t>WILLIAN MICHEL</t>
  </si>
  <si>
    <t>VELEZ CANDIA</t>
  </si>
  <si>
    <t>80179672</t>
  </si>
  <si>
    <t>GERMAN ORLANDO SOTO ARENAS</t>
  </si>
  <si>
    <t>DOC AUX/N/V/MT/ING DE SISTEMAS</t>
  </si>
  <si>
    <t>german_soto@cun.edu.co</t>
  </si>
  <si>
    <t>gosagy@hotmail.com</t>
  </si>
  <si>
    <t>3168716647</t>
  </si>
  <si>
    <t>GERMAN ORLANDO</t>
  </si>
  <si>
    <t>SOTO ARENAS</t>
  </si>
  <si>
    <t>JOSE FREDY VARGAS MARTINEZ</t>
  </si>
  <si>
    <t>jose_vargasm@cun.edu.co</t>
  </si>
  <si>
    <t>mafre1975@gmail.com diafre1975@hotmail.com</t>
  </si>
  <si>
    <t>3138216828</t>
  </si>
  <si>
    <t>JOSE FREDY</t>
  </si>
  <si>
    <t>VARGAS MARTINEZ</t>
  </si>
  <si>
    <t>1024469422</t>
  </si>
  <si>
    <t>JOHN FREDY CESPEDES BELTRAN</t>
  </si>
  <si>
    <t>john_cespedes@cun.edu.co</t>
  </si>
  <si>
    <t>JOHNCESBEL@GMAIL.COM</t>
  </si>
  <si>
    <t>3143135169</t>
  </si>
  <si>
    <t>CESPEDES BELTRAN</t>
  </si>
  <si>
    <t>14296577</t>
  </si>
  <si>
    <t>PABLO ANDRES MAYORGA RODRIGUEZ</t>
  </si>
  <si>
    <t>DOCENTE ASIS/N/MT/ING SISTEM</t>
  </si>
  <si>
    <t>pablo_mayorga@cun.edu.co</t>
  </si>
  <si>
    <t>pablomayorgqa@gmail.com</t>
  </si>
  <si>
    <t>3213646829</t>
  </si>
  <si>
    <t>PABLO ANDRES</t>
  </si>
  <si>
    <t>MAYORGA RODRIGUEZ</t>
  </si>
  <si>
    <t>MARIA CAMILA RINCON NAVARRO</t>
  </si>
  <si>
    <t>maria_rinconn@cun.edu.co</t>
  </si>
  <si>
    <t>MCRN.1523@GMAIL.COM</t>
  </si>
  <si>
    <t>3143187529</t>
  </si>
  <si>
    <t>RINCON NAVARRO</t>
  </si>
  <si>
    <t>JORGE MARIO GONZALES CANIZALES</t>
  </si>
  <si>
    <t>jorge_gonzales@cun.edu.co</t>
  </si>
  <si>
    <t>jomagozstar@gmail.com</t>
  </si>
  <si>
    <t>3013406320</t>
  </si>
  <si>
    <t>JORGE MARIO</t>
  </si>
  <si>
    <t>GONZALES CANIZALES</t>
  </si>
  <si>
    <t>78761502</t>
  </si>
  <si>
    <t>VICTOR FABIAN CASTRO PEREZ</t>
  </si>
  <si>
    <t>victor_castrop@cun.edu.co</t>
  </si>
  <si>
    <t>ingvictorcastro@gmail.com</t>
  </si>
  <si>
    <t>3013050489</t>
  </si>
  <si>
    <t>VICTOR FABIAN</t>
  </si>
  <si>
    <t>CASTRO PEREZ</t>
  </si>
  <si>
    <t>1062424483</t>
  </si>
  <si>
    <t>WILSON JOSE LOPEZ MERCADO</t>
  </si>
  <si>
    <t>wilson_lopez@cun.edu.co</t>
  </si>
  <si>
    <t>wilson1lopezmercado@gmail.com</t>
  </si>
  <si>
    <t>3205585912</t>
  </si>
  <si>
    <t>WILSON JOSE</t>
  </si>
  <si>
    <t>LOPEZ MERCADO</t>
  </si>
  <si>
    <t>14398501</t>
  </si>
  <si>
    <t>CARLOS EDGAR LOZANO CIFUENTES</t>
  </si>
  <si>
    <t>carlos_lozanoc@cun.edu.co</t>
  </si>
  <si>
    <t>carlosedgarlozanocifentes2020@hotmail.com</t>
  </si>
  <si>
    <t>3043266787</t>
  </si>
  <si>
    <t>CARLOS EDGAR</t>
  </si>
  <si>
    <t>LOZANO CIFUENTES</t>
  </si>
  <si>
    <t>YOHANA CAROLINA OLARTE PARRA</t>
  </si>
  <si>
    <t>yohana_olarte@cun.edu.co</t>
  </si>
  <si>
    <t>yohana1.olarte@gmail.com</t>
  </si>
  <si>
    <t>3185191193</t>
  </si>
  <si>
    <t>YOHANA CAROLINA</t>
  </si>
  <si>
    <t>OLARTE PARRA</t>
  </si>
  <si>
    <t>1030584024</t>
  </si>
  <si>
    <t>DORIAN ESNEIDER TORRES DELGADO</t>
  </si>
  <si>
    <t>dorian_torres@cun.edu.co</t>
  </si>
  <si>
    <t>doriantorres84@gmail.com</t>
  </si>
  <si>
    <t>3224471687</t>
  </si>
  <si>
    <t>DORIAN ESNEIDER</t>
  </si>
  <si>
    <t>TORRES DELGADO</t>
  </si>
  <si>
    <t>1007355745</t>
  </si>
  <si>
    <t>FRANZ ESTEBAN CORTES MEDINA</t>
  </si>
  <si>
    <t>franz_cortes@cun.edu.co</t>
  </si>
  <si>
    <t>frescome2000@gmail.com</t>
  </si>
  <si>
    <t>3232930395</t>
  </si>
  <si>
    <t>FRANZ ESTEBAN</t>
  </si>
  <si>
    <t>CORTES MEDINA</t>
  </si>
  <si>
    <t>1104706314</t>
  </si>
  <si>
    <t>DAVID ALBERTO ORTEGA CADENA</t>
  </si>
  <si>
    <t>david_ortega@cun.edu.co</t>
  </si>
  <si>
    <t>davidortegacadena@gmail.com</t>
  </si>
  <si>
    <t>3185572439</t>
  </si>
  <si>
    <t>DAVID ALBERTO</t>
  </si>
  <si>
    <t>ORTEGA CADENA</t>
  </si>
  <si>
    <t>88311020</t>
  </si>
  <si>
    <t>GABRIEL SÁNCHEZ SUÁREZ</t>
  </si>
  <si>
    <t>gabriel_suarez@cun.edu.co</t>
  </si>
  <si>
    <t>gabrielsanchezsuarez@gmail.com</t>
  </si>
  <si>
    <t>3123781522</t>
  </si>
  <si>
    <t>GABRIEL</t>
  </si>
  <si>
    <t>SÁNCHEZ SUÁREZ</t>
  </si>
  <si>
    <t>SERGIO ANDRES ARDILA GONZALEZ</t>
  </si>
  <si>
    <t>sergio_ardila@cun.edu.co</t>
  </si>
  <si>
    <t>sergiochecho15@hotmail.com</t>
  </si>
  <si>
    <t>3172481428</t>
  </si>
  <si>
    <t>ARDILA GONZALEZ</t>
  </si>
  <si>
    <t>PEDRO DANIEL OSPINA ARIAS</t>
  </si>
  <si>
    <t>pedro_ospina@cun.edu.co</t>
  </si>
  <si>
    <t>daniel.ospina12@gmail.com</t>
  </si>
  <si>
    <t>3028580196</t>
  </si>
  <si>
    <t>PEDRO DANIEL</t>
  </si>
  <si>
    <t>OSPINA ARIAS</t>
  </si>
  <si>
    <t>OSCAR DANIEL CARRERO ROMERO</t>
  </si>
  <si>
    <t>oscar_carrero@cun.edu.co</t>
  </si>
  <si>
    <t>PROFESORDANIELCARRERO@GMAIL.COM</t>
  </si>
  <si>
    <t>3214068920</t>
  </si>
  <si>
    <t>CARRERO ROMERO</t>
  </si>
  <si>
    <t>JORGE ALBERTO BERNAL OLAYA</t>
  </si>
  <si>
    <t>jorge_bernal@cun.edu.co</t>
  </si>
  <si>
    <t>alberto@impactoweb.net</t>
  </si>
  <si>
    <t>3178942750</t>
  </si>
  <si>
    <t>BERNAL OLAYA</t>
  </si>
  <si>
    <t>FABER ALEMAN MENDOZA</t>
  </si>
  <si>
    <t>faber_aleman@cun.edu.co</t>
  </si>
  <si>
    <t>faber17.am@gmail.com</t>
  </si>
  <si>
    <t>3002354721</t>
  </si>
  <si>
    <t>FABER</t>
  </si>
  <si>
    <t>ALEMAN MENDOZA</t>
  </si>
  <si>
    <t>IVAN ANDRES TRUJILLO GUTIERREZ</t>
  </si>
  <si>
    <t>ivan_trujillo@cun.edu.co</t>
  </si>
  <si>
    <t>ivantrugu@gmail.com</t>
  </si>
  <si>
    <t>3505212542</t>
  </si>
  <si>
    <t>IVAN ANDRES</t>
  </si>
  <si>
    <t>TRUJILLO GUTIERREZ</t>
  </si>
  <si>
    <t>1039683123</t>
  </si>
  <si>
    <t>YENNIFER XIOMARA HERNANDEZ HIRALDO</t>
  </si>
  <si>
    <t>yennifer_hernandezhi@cun.edu.co</t>
  </si>
  <si>
    <t>yexiomar@gmail.com</t>
  </si>
  <si>
    <t>3208672387</t>
  </si>
  <si>
    <t>YENNIFER XIOMARA</t>
  </si>
  <si>
    <t>HERNANDEZ HIRALDO</t>
  </si>
  <si>
    <t>VAIRON JESUS VASQUEZ DIAZ</t>
  </si>
  <si>
    <t>vairon_vasquez@cun.edu.co</t>
  </si>
  <si>
    <t>VAIRONJVD@GMAIL.COM</t>
  </si>
  <si>
    <t>3013983437</t>
  </si>
  <si>
    <t>VAIRON JESUS</t>
  </si>
  <si>
    <t>VASQUEZ DIAZ</t>
  </si>
  <si>
    <t>1102849953</t>
  </si>
  <si>
    <t>YESID DE JESUS SUAREZ PATERNINA</t>
  </si>
  <si>
    <t>yesid_suarez@cun.edu.co</t>
  </si>
  <si>
    <t>yesid.suarezp7@gmail.com</t>
  </si>
  <si>
    <t>3007549711</t>
  </si>
  <si>
    <t>YESID DE JESUS</t>
  </si>
  <si>
    <t>SUAREZ PATERNINA</t>
  </si>
  <si>
    <t>79873426</t>
  </si>
  <si>
    <t>HERBERT ANDRES PARDO MURCIA</t>
  </si>
  <si>
    <t>herbert_pardo@cun.edu.co</t>
  </si>
  <si>
    <t>andrespardo5@gmail.com</t>
  </si>
  <si>
    <t>3105880187</t>
  </si>
  <si>
    <t>HERBERT ANDRES</t>
  </si>
  <si>
    <t>PARDO MURCIA</t>
  </si>
  <si>
    <t>1026274937</t>
  </si>
  <si>
    <t>JOHN HENRY NAUSA ALARCON</t>
  </si>
  <si>
    <t>john_nausa@cun.edu.co</t>
  </si>
  <si>
    <t>john.nausa@hotmail.com</t>
  </si>
  <si>
    <t>3203049981</t>
  </si>
  <si>
    <t>JOHN HENRY</t>
  </si>
  <si>
    <t>NAUSA ALARCON</t>
  </si>
  <si>
    <t>1063137379</t>
  </si>
  <si>
    <t>ENRIQUE MANUEL MORA NEGRETE</t>
  </si>
  <si>
    <t>enrique_mora@cun.edu.co</t>
  </si>
  <si>
    <t>enmone27@gmail.com</t>
  </si>
  <si>
    <t>3214833073</t>
  </si>
  <si>
    <t>ENRIQUE MANUEL</t>
  </si>
  <si>
    <t>MORA NEGRETE</t>
  </si>
  <si>
    <t>1010054822</t>
  </si>
  <si>
    <t>JASSER LENEY BLANCO MOGOLLON</t>
  </si>
  <si>
    <t>jasser_blanco@cun.edu.co</t>
  </si>
  <si>
    <t>yaser.keny@gmail.com</t>
  </si>
  <si>
    <t>3196353431</t>
  </si>
  <si>
    <t>JASSER LENEY</t>
  </si>
  <si>
    <t>BLANCO MOGOLLON</t>
  </si>
  <si>
    <t>EMMANUEL MOSQUERA CASAS</t>
  </si>
  <si>
    <t>emmanuel_mosquera@cun.edu.co</t>
  </si>
  <si>
    <t>emamosqua@gmail.com</t>
  </si>
  <si>
    <t>3223796931</t>
  </si>
  <si>
    <t>EMMANUEL</t>
  </si>
  <si>
    <t>MOSQUERA CASAS</t>
  </si>
  <si>
    <t>SERGIO ALEXANDER MORA NOVOA</t>
  </si>
  <si>
    <t>sergio_mora@cun.edu.co</t>
  </si>
  <si>
    <t>alexmn_91@hotmail.com</t>
  </si>
  <si>
    <t>3174907984</t>
  </si>
  <si>
    <t>SERGIO ALEXANDER</t>
  </si>
  <si>
    <t>MORA NOVOA</t>
  </si>
  <si>
    <t>1032374176</t>
  </si>
  <si>
    <t>JOSE FRANCISCO ACOSTA RUBIO</t>
  </si>
  <si>
    <t>jose_acostar@cun.edu.co</t>
  </si>
  <si>
    <t>darkness863@gmail.com</t>
  </si>
  <si>
    <t>3164659129</t>
  </si>
  <si>
    <t>JOSE FRANCISCO</t>
  </si>
  <si>
    <t>ACOSTA RUBIO</t>
  </si>
  <si>
    <t>JENNY ALEXANDRA ROA FERNANDEZ</t>
  </si>
  <si>
    <t>jenny_roafe@cun.edu.co</t>
  </si>
  <si>
    <t>ROAALEXANDRA@HOTMAIL.COM</t>
  </si>
  <si>
    <t>3112959326</t>
  </si>
  <si>
    <t>JENNY ALEXANDRA</t>
  </si>
  <si>
    <t>ROA FERNANDEZ</t>
  </si>
  <si>
    <t>FERNANDO AUGUSTO CELIS FLOREZ</t>
  </si>
  <si>
    <t>fernando_celis@cun.edu.co</t>
  </si>
  <si>
    <t>CELISFDO@GMAIL.COM</t>
  </si>
  <si>
    <t>310-3010276</t>
  </si>
  <si>
    <t>FERNANDO AUGUSTO</t>
  </si>
  <si>
    <t>CELIS FLOREZ</t>
  </si>
  <si>
    <t>1010046675</t>
  </si>
  <si>
    <t>FELIPE ALEXANDER GARZON CASTILLO</t>
  </si>
  <si>
    <t>felipe_garzonc@cun.edu.co</t>
  </si>
  <si>
    <t>FELIPEALEXANDERG7@GMAIL.COM</t>
  </si>
  <si>
    <t>3132808168</t>
  </si>
  <si>
    <t>FELIPE ALEXANDER</t>
  </si>
  <si>
    <t>GARZON CASTILLO</t>
  </si>
  <si>
    <t>LIZETH CANDELARIA PATERNINA PEREZ</t>
  </si>
  <si>
    <t>lizeth_paternina@cun.edu.co</t>
  </si>
  <si>
    <t>LISETHPATERNINA@OUTLOOK.COM</t>
  </si>
  <si>
    <t>3014946655</t>
  </si>
  <si>
    <t>LIZETH CANDELARIA</t>
  </si>
  <si>
    <t>PATERNINA PEREZ</t>
  </si>
  <si>
    <t>1020773350</t>
  </si>
  <si>
    <t>JUAN CAMILO ANDRADE PLAZAS</t>
  </si>
  <si>
    <t>juan_andradep@cun.edu.co</t>
  </si>
  <si>
    <t>mrcahz1992@gmail.com</t>
  </si>
  <si>
    <t>3156165943</t>
  </si>
  <si>
    <t>ANDRADE PLAZAS</t>
  </si>
  <si>
    <t>1102873401</t>
  </si>
  <si>
    <t>NEMIS EDUARDO PADILLA OLIVEROS</t>
  </si>
  <si>
    <t>nemis_padilla@cun.edu.co</t>
  </si>
  <si>
    <t>NEMIS.PADILLA@GMAIL.COM</t>
  </si>
  <si>
    <t>3148511901</t>
  </si>
  <si>
    <t>NEMIS EDUARDO</t>
  </si>
  <si>
    <t>PADILLA OLIVEROS</t>
  </si>
  <si>
    <t>1004377069</t>
  </si>
  <si>
    <t>SEDIEL SMITH RUIZ PEREZ</t>
  </si>
  <si>
    <t>sediel_ruizpe@cun.edu.co</t>
  </si>
  <si>
    <t>sedielruiz21@gmail.com</t>
  </si>
  <si>
    <t>3227105953</t>
  </si>
  <si>
    <t>SEDIEL SMITH</t>
  </si>
  <si>
    <t>RUIZ PEREZ</t>
  </si>
  <si>
    <t>1098759763</t>
  </si>
  <si>
    <t>HEYNER LEONEL BECERRA RAMIREZ</t>
  </si>
  <si>
    <t>DOC ASIS/N/V/MT/ING DE SISTEMAS</t>
  </si>
  <si>
    <t>heyner_becerra@cun.edu.co</t>
  </si>
  <si>
    <t>heynerlbr@gmail.com</t>
  </si>
  <si>
    <t>3192807632</t>
  </si>
  <si>
    <t>HEYNER LEONEL</t>
  </si>
  <si>
    <t>BECERRA RAMIREZ</t>
  </si>
  <si>
    <t>BRAYAN SANTIAGO BUITRAGO MURILLO</t>
  </si>
  <si>
    <t>brayan_buitrago@cun.edu.co</t>
  </si>
  <si>
    <t>INSANTIAGOBUITRAGO@OUTLOOK.COM</t>
  </si>
  <si>
    <t>313 4551324</t>
  </si>
  <si>
    <t>BRAYAN SANTIAGO</t>
  </si>
  <si>
    <t>BUITRAGO MURILLO</t>
  </si>
  <si>
    <t>DANIEL CAMILO MALAVER MENDOZA</t>
  </si>
  <si>
    <t>daniel_malaver@cun.edu.co</t>
  </si>
  <si>
    <t>MALAVERMDANIELCAMILO@GMAIL.COM</t>
  </si>
  <si>
    <t>319 2703545</t>
  </si>
  <si>
    <t>DANIEL CAMILO</t>
  </si>
  <si>
    <t>MALAVER MENDOZA</t>
  </si>
  <si>
    <t>JULIAN CAMILO CLAVIJO CASTRO</t>
  </si>
  <si>
    <t>julian_clavijo@cun.edu.co</t>
  </si>
  <si>
    <t>julianclavijocastro@hotmail.com</t>
  </si>
  <si>
    <t>3044523862</t>
  </si>
  <si>
    <t>CLAVIJO CASTRO</t>
  </si>
  <si>
    <t>JOSE SANTIAGO HERNANDEZ SUAREZ</t>
  </si>
  <si>
    <t>jose_hernandezsu@cun.edu.co</t>
  </si>
  <si>
    <t>ingenierosantiagohernandez@hotmail.com</t>
  </si>
  <si>
    <t>3138267874</t>
  </si>
  <si>
    <t>HERNANDEZ SUAREZ</t>
  </si>
  <si>
    <t>jesus_arroyot@cun.edu.co</t>
  </si>
  <si>
    <t>ARROYOJESUSPRIV@GMAIL.COM</t>
  </si>
  <si>
    <t>JESUS RICARDO</t>
  </si>
  <si>
    <t>ARROYO TORRES</t>
  </si>
  <si>
    <t>CARMEN MILENA HERRERA HERRERA</t>
  </si>
  <si>
    <t>carmen_herrerah@cun.edu.co</t>
  </si>
  <si>
    <t>MILENAHERRERA@HOTMAIL.COM</t>
  </si>
  <si>
    <t>3046022445</t>
  </si>
  <si>
    <t>CARMEN MILENA</t>
  </si>
  <si>
    <t>KELLY DANIELA SORACA SALAMANCA</t>
  </si>
  <si>
    <t>kelly_soraca@cun.edu.co</t>
  </si>
  <si>
    <t>KELLY.SORACA@UPTC.EDU.CO</t>
  </si>
  <si>
    <t>3114666867</t>
  </si>
  <si>
    <t>KELLY DANIELA</t>
  </si>
  <si>
    <t>SORACA SALAMANCA</t>
  </si>
  <si>
    <t>CRISTIAN LAREL FANDIÑO HERRAN</t>
  </si>
  <si>
    <t>cristian_fandino@cun.edu.co</t>
  </si>
  <si>
    <t>cristianfan06@hotmail.com</t>
  </si>
  <si>
    <t>3138037011</t>
  </si>
  <si>
    <t>CRISTIAN LAREL</t>
  </si>
  <si>
    <t>FANDIÑO HERRAN</t>
  </si>
  <si>
    <t>5820761</t>
  </si>
  <si>
    <t>GERMAN EDUARDO RAMIREZ RODRIGUEZ</t>
  </si>
  <si>
    <t>german_ramirezro@cun.edu.co</t>
  </si>
  <si>
    <t>ingeduramirez@gmail.com</t>
  </si>
  <si>
    <t>3144575984</t>
  </si>
  <si>
    <t>GERMAN EDUARDO</t>
  </si>
  <si>
    <t>RAMIREZ RODRIGUEZ</t>
  </si>
  <si>
    <t>WALTER EDGARDO GARZON HERNANDEZ</t>
  </si>
  <si>
    <t>walter_garzon@cun.edu.co</t>
  </si>
  <si>
    <t>walgar23@hotmail.com</t>
  </si>
  <si>
    <t>3103387601</t>
  </si>
  <si>
    <t>WALTER EDGARDO</t>
  </si>
  <si>
    <t>GARZON HERNANDEZ</t>
  </si>
  <si>
    <t>SHESMAN ALEXANDER MURCIA GARCIA</t>
  </si>
  <si>
    <t>shesman_murcia@cun.edu.co</t>
  </si>
  <si>
    <t>pyrophorussolutions@gmail.com</t>
  </si>
  <si>
    <t>3133557830</t>
  </si>
  <si>
    <t>SHESMAN ALEXANDER</t>
  </si>
  <si>
    <t>MURCIA GARCIA</t>
  </si>
  <si>
    <t>1102809276</t>
  </si>
  <si>
    <t>ORIANA LISSETH CORRALES PEÑATES</t>
  </si>
  <si>
    <t>ORLICOPE@HOTMAIL.COM</t>
  </si>
  <si>
    <t>3015756986</t>
  </si>
  <si>
    <t>ORIANA LISSETH</t>
  </si>
  <si>
    <t>CORRALES PEÑATES</t>
  </si>
  <si>
    <t>52285349</t>
  </si>
  <si>
    <t>MONICA JEANNETTE PENAGOS MARTINEZ</t>
  </si>
  <si>
    <t>monica_penagosma@cun.edu.co</t>
  </si>
  <si>
    <t>mpenagosm@gmail.com</t>
  </si>
  <si>
    <t>3015919587</t>
  </si>
  <si>
    <t>MONICA JEANNETTE</t>
  </si>
  <si>
    <t>PENAGOS MARTINEZ</t>
  </si>
  <si>
    <t>LUIS ENRIQUE ARIAS CHAVARRO</t>
  </si>
  <si>
    <t>luis_ariasch@cun.edu.co</t>
  </si>
  <si>
    <t>ariaschavarro@gmail.com</t>
  </si>
  <si>
    <t>3224006233</t>
  </si>
  <si>
    <t>LUIS ENRIQUE</t>
  </si>
  <si>
    <t>ARIAS CHAVARRO</t>
  </si>
  <si>
    <t>1110451853</t>
  </si>
  <si>
    <t>MAURICIO PATIÑO ALVAREZ</t>
  </si>
  <si>
    <t>mauricio_patino@cun.edu.co</t>
  </si>
  <si>
    <t>mapal0925@gmail.com</t>
  </si>
  <si>
    <t>3208994348</t>
  </si>
  <si>
    <t>PATIÑO ALVAREZ</t>
  </si>
  <si>
    <t>SERGIO ANDRES NOVOA OSPINO</t>
  </si>
  <si>
    <t>sergio_novoao@cun.edu.co</t>
  </si>
  <si>
    <t>SERGIO.NOVOA1109@GMAIL.COM</t>
  </si>
  <si>
    <t>3205010762</t>
  </si>
  <si>
    <t>NOVOA OSPINO</t>
  </si>
  <si>
    <t>ALEX ARIEL COMBITA ROSAS</t>
  </si>
  <si>
    <t>alex_combita@cun.edu.co</t>
  </si>
  <si>
    <t>ALEXHVR@GMAIL.COM</t>
  </si>
  <si>
    <t>3007406995</t>
  </si>
  <si>
    <t>ALEX ARIEL</t>
  </si>
  <si>
    <t>COMBITA ROSAS</t>
  </si>
  <si>
    <t>ROGGER FABIAN PINILLA PARDO</t>
  </si>
  <si>
    <t>rogger_pinilla@cun.edu.co</t>
  </si>
  <si>
    <t>RFPPARDO@GMAIL.COM</t>
  </si>
  <si>
    <t>3134617464</t>
  </si>
  <si>
    <t>ROGGER FABIAN</t>
  </si>
  <si>
    <t>PINILLA PARDO</t>
  </si>
  <si>
    <t>MILTON RAMIRO NECHIZA DELGADO</t>
  </si>
  <si>
    <t>milton_nechiza@cun.edu.co</t>
  </si>
  <si>
    <t>RNECHI@GMAIL.COM</t>
  </si>
  <si>
    <t>3184561353</t>
  </si>
  <si>
    <t>MILTON RAMIRO</t>
  </si>
  <si>
    <t>NECHIZA DELGADO</t>
  </si>
  <si>
    <t>1007759493</t>
  </si>
  <si>
    <t>JOSE DAVID ESCORCIA RODRIGUEZ</t>
  </si>
  <si>
    <t>DOC AUX T&amp;T/N/V/MT/ING DE SISTEMAS</t>
  </si>
  <si>
    <t>jose_escorcia@cun.edu.co</t>
  </si>
  <si>
    <t>JOSEESCORCIAR@GMAIL.COM</t>
  </si>
  <si>
    <t>3022672608</t>
  </si>
  <si>
    <t>JOSE DAVID</t>
  </si>
  <si>
    <t>ESCORCIA RODRIGUEZ</t>
  </si>
  <si>
    <t>GERMAN FERNANDO HEREDIA SANCHEZ</t>
  </si>
  <si>
    <t>german_heredias@cun.edu.co</t>
  </si>
  <si>
    <t>GERMEN64@HOTMAIL.COM</t>
  </si>
  <si>
    <t>3204995999</t>
  </si>
  <si>
    <t>GERMAN FERNANDO</t>
  </si>
  <si>
    <t>HEREDIA SANCHEZ</t>
  </si>
  <si>
    <t>1018437184</t>
  </si>
  <si>
    <t>WILLIAM ANDRES AGUILAR RODRIGUEZ</t>
  </si>
  <si>
    <t>william_aguilarr@cun.edu.co</t>
  </si>
  <si>
    <t>AWILLIAMANDRES@GMAIL.COM</t>
  </si>
  <si>
    <t>3224660322</t>
  </si>
  <si>
    <t>WILLIAM ANDRES</t>
  </si>
  <si>
    <t>AGUILAR RODRIGUEZ</t>
  </si>
  <si>
    <t>78031713</t>
  </si>
  <si>
    <t>CESAR AUGUSTO GARCIA SUAREZ</t>
  </si>
  <si>
    <t>cesar_garcias@cun.edu.co</t>
  </si>
  <si>
    <t>CESAR.GARCIA.SUAREZ@GMAIL.COM</t>
  </si>
  <si>
    <t>3023647319</t>
  </si>
  <si>
    <t>GARCIA SUAREZ</t>
  </si>
  <si>
    <t>12201567</t>
  </si>
  <si>
    <t>SILVIO VILLEGAS MENDEZ</t>
  </si>
  <si>
    <t>silvio_villegasm@cun.edu.co</t>
  </si>
  <si>
    <t>SVILLEGASME@GMAIL.COM</t>
  </si>
  <si>
    <t>3133576875</t>
  </si>
  <si>
    <t>SILVIO</t>
  </si>
  <si>
    <t>VILLEGAS MENDEZ</t>
  </si>
  <si>
    <t>FRANCISCO ANTONIO RIASCOS SANCHEZ</t>
  </si>
  <si>
    <t>francisco_riascos@cun.edu.co</t>
  </si>
  <si>
    <t>FRANCISCO.RIASCOSS@GMAIL.COM</t>
  </si>
  <si>
    <t>321 6421747</t>
  </si>
  <si>
    <t>FRANCISCO ANTONIO</t>
  </si>
  <si>
    <t>RIASCOS SANCHEZ</t>
  </si>
  <si>
    <t>BRAYAN FELIPE MEDINA DUARTE</t>
  </si>
  <si>
    <t>brayan_medina@cun.edu.co</t>
  </si>
  <si>
    <t>BRAYAN5562@GMAIL.COM</t>
  </si>
  <si>
    <t>3142867364</t>
  </si>
  <si>
    <t>BRAYAN FELIPE</t>
  </si>
  <si>
    <t>MEDINA DUARTE</t>
  </si>
  <si>
    <t>VICTOR MANUEL CASTRO GALVIS</t>
  </si>
  <si>
    <t>victor_castrog@cun.edu.co</t>
  </si>
  <si>
    <t>VMCASTRO09@GMAIL.COM</t>
  </si>
  <si>
    <t>3124771090</t>
  </si>
  <si>
    <t>VICTOR MANUEL</t>
  </si>
  <si>
    <t>CASTRO GALVIS</t>
  </si>
  <si>
    <t>EMERSON HENRY TIBADUIZA REYES</t>
  </si>
  <si>
    <t>emerson_tibaduiza@cun.edu.co</t>
  </si>
  <si>
    <t>emertibaduiza@gmail.com</t>
  </si>
  <si>
    <t>3124621521</t>
  </si>
  <si>
    <t>EMERSON HENRY</t>
  </si>
  <si>
    <t>TIBADUIZA REYES</t>
  </si>
  <si>
    <t>LUIS EDUARDO GARCIA PAREDES</t>
  </si>
  <si>
    <t>DOC AUX T&amp;T/N/MT/ING SOFTWARE</t>
  </si>
  <si>
    <t>INGENIERIA DE SOFTWARE</t>
  </si>
  <si>
    <t>luis_garciap@cun.edu.co</t>
  </si>
  <si>
    <t>luisgarcia9908@gmail.com</t>
  </si>
  <si>
    <t>3045528476</t>
  </si>
  <si>
    <t>GARCIA PAREDES</t>
  </si>
  <si>
    <t>SAID PINZON CASTANEDA</t>
  </si>
  <si>
    <t>DOCENTE ASIS/N/TC/ING ELECTRO/FUN.ACADE-ADMIN</t>
  </si>
  <si>
    <t>INGENIERIA ELECTRONICA</t>
  </si>
  <si>
    <t>said_pinzon@cun.edu.co</t>
  </si>
  <si>
    <t>SAIDPINZON145@GMAIL.COM</t>
  </si>
  <si>
    <t>3204686537</t>
  </si>
  <si>
    <t>SAID</t>
  </si>
  <si>
    <t>PINZON CASTANEDA</t>
  </si>
  <si>
    <t>BTA SEDE I</t>
  </si>
  <si>
    <t>JUAN FRANCISCO LOPEZ FERNANDEZ</t>
  </si>
  <si>
    <t>DOC AUX T&amp;T/N/TC/ING ELECTRO/FUN.ACADE-ADMIN</t>
  </si>
  <si>
    <t>juan_lopezf@cun.edu.co</t>
  </si>
  <si>
    <t>fralo030@gmail.com</t>
  </si>
  <si>
    <t>3132695609</t>
  </si>
  <si>
    <t>JUAN FRANCISCO</t>
  </si>
  <si>
    <t>LOPEZ FERNANDEZ</t>
  </si>
  <si>
    <t>GUSTAVO ADOLFO BRICEÑO GUERRERO</t>
  </si>
  <si>
    <t>gustavo_briceno@cun.edu.co</t>
  </si>
  <si>
    <t>devsigner.gb@gmail.com</t>
  </si>
  <si>
    <t>3195417613</t>
  </si>
  <si>
    <t>BRICEÑO GUERRERO</t>
  </si>
  <si>
    <t>DANTE GIOVANNI STERPIN BUITRAGO</t>
  </si>
  <si>
    <t>DOCENTE ASOC/N/TC/ING ELECTRO/INVESTIGAC</t>
  </si>
  <si>
    <t>dante_sterpin@cun.edu.co</t>
  </si>
  <si>
    <t>dantesterpin@yahoo.com</t>
  </si>
  <si>
    <t>3187660563</t>
  </si>
  <si>
    <t>DANTE GIOVANNI</t>
  </si>
  <si>
    <t>STERPIN BUITRAGO</t>
  </si>
  <si>
    <t>EDUWIN LEONARDO PARRA SANTOS</t>
  </si>
  <si>
    <t>eduwin_parra@cun.edu.co</t>
  </si>
  <si>
    <t>eduwinparra@gmail.com</t>
  </si>
  <si>
    <t>3057002841</t>
  </si>
  <si>
    <t>EDUWIN LEONARDO</t>
  </si>
  <si>
    <t>PARRA SANTOS</t>
  </si>
  <si>
    <t>MARY LUZ REYES CORREDOR</t>
  </si>
  <si>
    <t>DOCENTE ASIS/N/TC/ING ELECTRO/PROYECCION</t>
  </si>
  <si>
    <t>mary_reyes@cun.edu.co</t>
  </si>
  <si>
    <t>myda2006@outlook.com</t>
  </si>
  <si>
    <t>3046239357</t>
  </si>
  <si>
    <t>MARY LUZ</t>
  </si>
  <si>
    <t>REYES CORREDOR</t>
  </si>
  <si>
    <t>EMERSON JASSAN OLAYA BENITEZ</t>
  </si>
  <si>
    <t>DOCENTE ASOC/N/TC/ING ELECTRO/FUN.ACADE-ADMIN</t>
  </si>
  <si>
    <t>emerson_olaya@cun.edu.co</t>
  </si>
  <si>
    <t>emerson.j.olaya@gmail.com</t>
  </si>
  <si>
    <t>3144913225</t>
  </si>
  <si>
    <t>EMERSON JASSAN</t>
  </si>
  <si>
    <t>OLAYA BENITEZ</t>
  </si>
  <si>
    <t>DIANA ASTRID FAJARDO SUA</t>
  </si>
  <si>
    <t>diana_fajardo@cun.edu.co</t>
  </si>
  <si>
    <t>diana.fajardos@gmail.com</t>
  </si>
  <si>
    <t>3045466643</t>
  </si>
  <si>
    <t>DIANA ASTRID</t>
  </si>
  <si>
    <t>FAJARDO SUA</t>
  </si>
  <si>
    <t>1018457317</t>
  </si>
  <si>
    <t>CARLOS EDUARDO CABRERA ARDILA</t>
  </si>
  <si>
    <t>carlos_cabrera@cun.edu.co</t>
  </si>
  <si>
    <t>ccabreraa@unal.edu.co</t>
  </si>
  <si>
    <t>3046467887</t>
  </si>
  <si>
    <t>CARLOS EDUARDO</t>
  </si>
  <si>
    <t>CABRERA ARDILA</t>
  </si>
  <si>
    <t>1015477295</t>
  </si>
  <si>
    <t>DANIELA ALEJANDRA ARDILA YOPAZA</t>
  </si>
  <si>
    <t>daniela_ardila@cun.edu.co</t>
  </si>
  <si>
    <t>dani060998@gmail.com</t>
  </si>
  <si>
    <t>3014068756</t>
  </si>
  <si>
    <t>DANIELA ALEJANDRA</t>
  </si>
  <si>
    <t>ARDILA YOPAZA</t>
  </si>
  <si>
    <t>ALVARO ANDRES GONZALEZ CHAPARRO</t>
  </si>
  <si>
    <t>alvaro_gonzalez@cun.edu.co</t>
  </si>
  <si>
    <t>alvan0410@yahoo.es</t>
  </si>
  <si>
    <t>3114516625</t>
  </si>
  <si>
    <t>ALVARO ANDRES</t>
  </si>
  <si>
    <t>GONZALEZ CHAPARRO</t>
  </si>
  <si>
    <t>HELBERT ARTURO LOPEZ AMARIS</t>
  </si>
  <si>
    <t>helbert_lopez@cun.edu.co</t>
  </si>
  <si>
    <t>hellop.85@gmail.com</t>
  </si>
  <si>
    <t>3115575864</t>
  </si>
  <si>
    <t>HELBERT ARTURO</t>
  </si>
  <si>
    <t>LOPEZ AMARIS</t>
  </si>
  <si>
    <t>MANUEL ALEJANDRO GUERRERO BERNAL</t>
  </si>
  <si>
    <t>DOC AUX T&amp;T/N/MT/ING ELECTRO</t>
  </si>
  <si>
    <t>manuel_guerrerob@cun.edu.co</t>
  </si>
  <si>
    <t>maguerrerob91@gmail.com</t>
  </si>
  <si>
    <t>3107545153</t>
  </si>
  <si>
    <t>GUERRERO BERNAL</t>
  </si>
  <si>
    <t>1026580399</t>
  </si>
  <si>
    <t>BREISMAM ALFONSO RUEDA DIAZ</t>
  </si>
  <si>
    <t>breismam_rueda@cun.edu.co</t>
  </si>
  <si>
    <t>b.rueda@uniandes.edu.co</t>
  </si>
  <si>
    <t>3158218442</t>
  </si>
  <si>
    <t>BREISMAM ALFONSO</t>
  </si>
  <si>
    <t>RUEDA DIAZ</t>
  </si>
  <si>
    <t>JOSE ALEJANDRO MAHECHA MAHECHA</t>
  </si>
  <si>
    <t>jose_mahecham@cun.edu.co</t>
  </si>
  <si>
    <t>JOAMAHECHAMA@UNAL.EDU.CO</t>
  </si>
  <si>
    <t>3115281853</t>
  </si>
  <si>
    <t>JOSE ALEJANDRO</t>
  </si>
  <si>
    <t>MAHECHA MAHECHA</t>
  </si>
  <si>
    <t>1024527611</t>
  </si>
  <si>
    <t>SERGIO ANDRES BARRANTES JOYA</t>
  </si>
  <si>
    <t>sergio_barrantes@cun.edu.co</t>
  </si>
  <si>
    <t>sergio.barrantes10@gmail.com</t>
  </si>
  <si>
    <t>3132797998</t>
  </si>
  <si>
    <t>BARRANTES JOYA</t>
  </si>
  <si>
    <t>1030617559</t>
  </si>
  <si>
    <t>CAMILO ENRIQUE PRIETO DIAZ</t>
  </si>
  <si>
    <t>KMILOPRIETO09@HOTMAIL.COM</t>
  </si>
  <si>
    <t>3202774317</t>
  </si>
  <si>
    <t>CAMILO ENRIQUE</t>
  </si>
  <si>
    <t>PRIETO DIAZ</t>
  </si>
  <si>
    <t>WILDAR BONILLA PARRA</t>
  </si>
  <si>
    <t>DOC ASIS/N/V/TC/ING INDUS/FUN.ACADE-ADMIN</t>
  </si>
  <si>
    <t>INGENIERIA INDUSTRIAL</t>
  </si>
  <si>
    <t>wildar_bonilla@cun.edu.co</t>
  </si>
  <si>
    <t>wildarbonilla@gmail.com</t>
  </si>
  <si>
    <t>3102885684</t>
  </si>
  <si>
    <t>WILDAR</t>
  </si>
  <si>
    <t>BONILLA PARRA</t>
  </si>
  <si>
    <t>WILBER GIRSEAHO MENDEZ ZOTAQUIRA</t>
  </si>
  <si>
    <t>wilber_mendez@cun.edu.co</t>
  </si>
  <si>
    <t>ingewilme@gmail.com</t>
  </si>
  <si>
    <t>3158527679</t>
  </si>
  <si>
    <t>WILBER GIRSEAHO</t>
  </si>
  <si>
    <t>MENDEZ ZOTAQUIRA</t>
  </si>
  <si>
    <t>75064436</t>
  </si>
  <si>
    <t>MARCELO TORRES ARANGO</t>
  </si>
  <si>
    <t>marcelo_torres@cun.edu.co</t>
  </si>
  <si>
    <t>MARCELOTORRESARANGO@YAHOO.COM</t>
  </si>
  <si>
    <t>3004738022</t>
  </si>
  <si>
    <t>MARCELO</t>
  </si>
  <si>
    <t>TORRES ARANGO</t>
  </si>
  <si>
    <t>YEISON SIERRA CHACON</t>
  </si>
  <si>
    <t>DOC AUX/N/V/TC/ING INDUS/FUN.ACADE-ADMIN</t>
  </si>
  <si>
    <t>yeison_sierra@cun.edu.co</t>
  </si>
  <si>
    <t>chaconjeison@gmail.com</t>
  </si>
  <si>
    <t>3118055457</t>
  </si>
  <si>
    <t>YEISON</t>
  </si>
  <si>
    <t>SIERRA CHACON</t>
  </si>
  <si>
    <t>MARY JIMENEZ TOVAR</t>
  </si>
  <si>
    <t>mary_jimenezt@cun.edu.co</t>
  </si>
  <si>
    <t>maryjimenez.ing@gmail.com</t>
  </si>
  <si>
    <t>3017909188</t>
  </si>
  <si>
    <t>MARY</t>
  </si>
  <si>
    <t>JIMENEZ TOVAR</t>
  </si>
  <si>
    <t>OSCAR DAVID RAMIREZ BARRERA</t>
  </si>
  <si>
    <t>oscar_ramirezb@cun.edu.co</t>
  </si>
  <si>
    <t>davidramirez31@gmail.com</t>
  </si>
  <si>
    <t>312 3815145</t>
  </si>
  <si>
    <t>OSCAR DAVID</t>
  </si>
  <si>
    <t>RAMIREZ BARRERA</t>
  </si>
  <si>
    <t>JESSIKA ALEXANDRA SIERRA VILLAMIZAR</t>
  </si>
  <si>
    <t>DOC ASIS/N/V/TC/ING INDUS/PROYECCION SO</t>
  </si>
  <si>
    <t>jessika_sierra@cun.edu.co</t>
  </si>
  <si>
    <t>jessk_112@hotmail.com</t>
  </si>
  <si>
    <t>3187171041</t>
  </si>
  <si>
    <t>JESSIKA ALEXANDRA</t>
  </si>
  <si>
    <t>SIERRA VILLAMIZAR</t>
  </si>
  <si>
    <t>WALTER AREVALO GUILLIN</t>
  </si>
  <si>
    <t>walter_arevalo@cun.edu.co</t>
  </si>
  <si>
    <t>walter.arevalo@hotmail.com</t>
  </si>
  <si>
    <t>3156183682</t>
  </si>
  <si>
    <t>WALTER</t>
  </si>
  <si>
    <t>AREVALO GUILLIN</t>
  </si>
  <si>
    <t>MARIO ALFONSO LUQUE Y GUZMAN SAENZ</t>
  </si>
  <si>
    <t>mario_luque@cun.edu.co</t>
  </si>
  <si>
    <t>marioluque1@hotmail.com</t>
  </si>
  <si>
    <t>3112094473</t>
  </si>
  <si>
    <t>MARIO ALFONSO</t>
  </si>
  <si>
    <t>LUQUE Y GUZMAN SAENZ</t>
  </si>
  <si>
    <t>JHON ALEXANDER GONZÁLEZ GARZON</t>
  </si>
  <si>
    <t>jhon_gonzalezg@cun.edu.co</t>
  </si>
  <si>
    <t>saludocupacional131d@gmail.com</t>
  </si>
  <si>
    <t>3226861961</t>
  </si>
  <si>
    <t>GONZÁLEZ GARZON</t>
  </si>
  <si>
    <t>JONATAHN MAURICIO LOPEZ LEON</t>
  </si>
  <si>
    <t>jonatahn_lopezl@cun.edu.co</t>
  </si>
  <si>
    <t>jonathanlole@unisabana.edu.co</t>
  </si>
  <si>
    <t>3204873981</t>
  </si>
  <si>
    <t>JONATAHN MAURICIO</t>
  </si>
  <si>
    <t>LOPEZ LEON</t>
  </si>
  <si>
    <t>JUAN EMILIO TOBON GUZMAN</t>
  </si>
  <si>
    <t>juan_tobon@cun.edu.co</t>
  </si>
  <si>
    <t>juan.tobon.mkt@gmail.com</t>
  </si>
  <si>
    <t>3197021805</t>
  </si>
  <si>
    <t>JUAN EMILIO</t>
  </si>
  <si>
    <t>TOBON GUZMAN</t>
  </si>
  <si>
    <t>JULIAN ANDRES PINTO MONTES</t>
  </si>
  <si>
    <t>DOC AUX T&amp;T/N/V/TC/ING INDUS/FUN.ACADE-ADMIN</t>
  </si>
  <si>
    <t>julian_pintomo@cun.edu.co</t>
  </si>
  <si>
    <t>julian.pinto840@gmail.com</t>
  </si>
  <si>
    <t>3106279205</t>
  </si>
  <si>
    <t>PINTO MONTES</t>
  </si>
  <si>
    <t>JOHANNA CAROLINA CHAVEZ PINZON</t>
  </si>
  <si>
    <t>johanna_chavez@cun.edu.co</t>
  </si>
  <si>
    <t>johannac.chavez@gmail.com</t>
  </si>
  <si>
    <t>3112911723</t>
  </si>
  <si>
    <t>CHAVEZ PINZON</t>
  </si>
  <si>
    <t>JESSICA DANIELA GALVIS LUQUE</t>
  </si>
  <si>
    <t>DOC AUX T&amp;T/N/V/MT/ING INDUS</t>
  </si>
  <si>
    <t>jessica_galvisl@cun.edu.co</t>
  </si>
  <si>
    <t>JESSI_DANI27@HOTMAIL.COM</t>
  </si>
  <si>
    <t>3113383484</t>
  </si>
  <si>
    <t>JESSICA DANIELA</t>
  </si>
  <si>
    <t>GALVIS LUQUE</t>
  </si>
  <si>
    <t>JOSE BERNARDO PANCHE BALLEN</t>
  </si>
  <si>
    <t>DOC ASIS/N/MT/MAR DIG</t>
  </si>
  <si>
    <t>MARKETING DIGITAL</t>
  </si>
  <si>
    <t>jose_pancheb@cun.edu.co</t>
  </si>
  <si>
    <t>BERNARDOPANCHE@GMAIL.COM</t>
  </si>
  <si>
    <t>3144752933</t>
  </si>
  <si>
    <t>JOSE BERNARDO</t>
  </si>
  <si>
    <t>PANCHE BALLEN</t>
  </si>
  <si>
    <t>MARIA ALEJANDRA DIAZ MIRANDA</t>
  </si>
  <si>
    <t>DOC AUX/N/MT/MAR DIG</t>
  </si>
  <si>
    <t>maria_diazm@cun.edu.co</t>
  </si>
  <si>
    <t>MARIALEDIAZ39@GMAIL.COM</t>
  </si>
  <si>
    <t>3153047688</t>
  </si>
  <si>
    <t>DIAZ MIRANDA</t>
  </si>
  <si>
    <t>1018506709</t>
  </si>
  <si>
    <t>DANIEL ALBERTO PELAEZ GOMEZ</t>
  </si>
  <si>
    <t>DOC AUX T&amp;T/N/MT/MAR DIG</t>
  </si>
  <si>
    <t>daniel_pelaezg@cun.edu.co</t>
  </si>
  <si>
    <t>DANIELPELAEZG@HOTMAIL.COM</t>
  </si>
  <si>
    <t>3013289062</t>
  </si>
  <si>
    <t>DANIEL ALBERTO</t>
  </si>
  <si>
    <t>PELAEZ GOMEZ</t>
  </si>
  <si>
    <t>HECTOR ANDRES VARGAS PARRA</t>
  </si>
  <si>
    <t>DOC ASIS/N/V/MT/MAR DIG</t>
  </si>
  <si>
    <t>hector_vargasp@cun.edu.co</t>
  </si>
  <si>
    <t>ANDRESVARGAS.1194@GMAIL.COM</t>
  </si>
  <si>
    <t>3006300920</t>
  </si>
  <si>
    <t>HECTOR ANDRES</t>
  </si>
  <si>
    <t>VARGAS PARRA</t>
  </si>
  <si>
    <t>DANIELA ISABEL FONTALVO ROJANO</t>
  </si>
  <si>
    <t>daniela_fontalvor@cun.edu.co</t>
  </si>
  <si>
    <t>FONTIDANIELA96@GMAIL.COM</t>
  </si>
  <si>
    <t>3043257370</t>
  </si>
  <si>
    <t>FONTALVO ROJANO</t>
  </si>
  <si>
    <t>JULY CATHERINE PORTILLO ROJAS</t>
  </si>
  <si>
    <t>july_portillor@cun.edu.co</t>
  </si>
  <si>
    <t>CATAPR_CH@HOTMAIL.COM</t>
  </si>
  <si>
    <t>3132083569</t>
  </si>
  <si>
    <t>JULY CATHERINE</t>
  </si>
  <si>
    <t>PORTILLO ROJAS</t>
  </si>
  <si>
    <t>JOSE LUIS RUEDA MORENO</t>
  </si>
  <si>
    <t>DOC AUX/N/V/MT/MAR DIG</t>
  </si>
  <si>
    <t>jose_ruedam@cun.edu.co</t>
  </si>
  <si>
    <t>CREATIVOJOSERUEDA@GMAIL.COM</t>
  </si>
  <si>
    <t>3103188592</t>
  </si>
  <si>
    <t>RUEDA MORENO</t>
  </si>
  <si>
    <t>DANIELA ANDREA MARTINEZ ESPAÑA</t>
  </si>
  <si>
    <t>daniela_martineze@cun.edu.co</t>
  </si>
  <si>
    <t>EMARTINEZ.DANIELA@GMAIL.COM</t>
  </si>
  <si>
    <t>3003321718</t>
  </si>
  <si>
    <t>DANIELA ANDREA</t>
  </si>
  <si>
    <t>MARTINEZ ESPAÑA</t>
  </si>
  <si>
    <t>NICOLAS ALEXIS DIAZ ARBOLEDA</t>
  </si>
  <si>
    <t>nicolas_diazar@cun.edu.co</t>
  </si>
  <si>
    <t>NICOLASDIAZARBOLEDA2004MFG@GMAIL.COM</t>
  </si>
  <si>
    <t>3126142106</t>
  </si>
  <si>
    <t>NICOLAS ALEXIS</t>
  </si>
  <si>
    <t>DIAZ ARBOLEDA</t>
  </si>
  <si>
    <t>SANTIAGO ALFONSO CARRILLO RAMIREZ</t>
  </si>
  <si>
    <t>santiago_carrillor@cun.edu.co</t>
  </si>
  <si>
    <t>OPERACIONES@OCHOVEINTIOCHO.COM</t>
  </si>
  <si>
    <t>3008521113</t>
  </si>
  <si>
    <t>SANTIAGO ALFONSO</t>
  </si>
  <si>
    <t>CARRILLO RAMIREZ</t>
  </si>
  <si>
    <t>80766622</t>
  </si>
  <si>
    <t>LUIS EDUARDO CONSUEGRA GONZALEZ</t>
  </si>
  <si>
    <t>luis_consuegrag@cun.edu.co</t>
  </si>
  <si>
    <t>CONSUEGRA GONZALEZ</t>
  </si>
  <si>
    <t>ALEJANDRA PATIÑO MORA</t>
  </si>
  <si>
    <t>DOC AUX T&amp;T/N/V/MT/MAR DIG</t>
  </si>
  <si>
    <t>alejandra_patiñom@cun.edu.co</t>
  </si>
  <si>
    <t>PATINOMORAALEJANDRA@GMAIL.COM</t>
  </si>
  <si>
    <t>3043367739</t>
  </si>
  <si>
    <t>PATIÑO MORA</t>
  </si>
  <si>
    <t>JOHN ERICK BUSTOS AMIN</t>
  </si>
  <si>
    <t>john_bustosa@cun.edu.co</t>
  </si>
  <si>
    <t>AMINERICK@HOTMAIL.COM</t>
  </si>
  <si>
    <t>3204662821</t>
  </si>
  <si>
    <t>JOHN ERICK</t>
  </si>
  <si>
    <t>BUSTOS AMIN</t>
  </si>
  <si>
    <t>JAQUELINE ANGELICA CASTELLANOS BUSTOS</t>
  </si>
  <si>
    <t>DOCENTE ASIS/N/TC/NEGO INTER/FUN.ACADE-ADMIN</t>
  </si>
  <si>
    <t>NEGOCIOS INTERNACIONALES</t>
  </si>
  <si>
    <t>jaqueline_castellanos@cun.edu.co</t>
  </si>
  <si>
    <t>jacki.castell@gmail.com</t>
  </si>
  <si>
    <t>3174920503</t>
  </si>
  <si>
    <t>JAQUELINE ANGELICA</t>
  </si>
  <si>
    <t>CASTELLANOS BUSTOS</t>
  </si>
  <si>
    <t>WILLIAM FERNEY CHILATRA DÍAZ</t>
  </si>
  <si>
    <t>DOCENTE AUX/N/MT/NEGO INTER</t>
  </si>
  <si>
    <t>William_Chilatra@cun.edu.co</t>
  </si>
  <si>
    <t>chilatrawilliam@gmail.com</t>
  </si>
  <si>
    <t>3102752422</t>
  </si>
  <si>
    <t>WILLIAM FERNEY</t>
  </si>
  <si>
    <t>CHILATRA DÍAZ</t>
  </si>
  <si>
    <t>GILBERTO MOLINA CASALLAS</t>
  </si>
  <si>
    <t>DOCENTE AUX/N/TC/NEGO INTER/FUN.ACADE-ADMIN</t>
  </si>
  <si>
    <t>gilberto_molina@cun.edu.co</t>
  </si>
  <si>
    <t>gilbertomolinamba@gmail.com</t>
  </si>
  <si>
    <t>3187941913</t>
  </si>
  <si>
    <t>GILBERTO</t>
  </si>
  <si>
    <t>MOLINA CASALLAS</t>
  </si>
  <si>
    <t>DARLING NATHALI GOMEZ OSPINA</t>
  </si>
  <si>
    <t>DOC ASIS/N/V/MT/NEG INTER</t>
  </si>
  <si>
    <t>darling_gomez@cun.edu.co</t>
  </si>
  <si>
    <t>darlingnathali@yahoo.es</t>
  </si>
  <si>
    <t>3173816036</t>
  </si>
  <si>
    <t>DARLING NATHALI</t>
  </si>
  <si>
    <t>GOMEZ OSPINA</t>
  </si>
  <si>
    <t>1110557091</t>
  </si>
  <si>
    <t>OSCAR MAURICIO CAMPOS FAJARDO</t>
  </si>
  <si>
    <t>oscar_camposf@cun.edu.co</t>
  </si>
  <si>
    <t>Omcamposf@ut.edu.co</t>
  </si>
  <si>
    <t>3219161502</t>
  </si>
  <si>
    <t>CAMPOS FAJARDO</t>
  </si>
  <si>
    <t>NATALY MALDONADO SILVA</t>
  </si>
  <si>
    <t>nataly_maldonado@cun.edu.co</t>
  </si>
  <si>
    <t>nmaldonados@unal.edu.co</t>
  </si>
  <si>
    <t>3204165168</t>
  </si>
  <si>
    <t>NATALY</t>
  </si>
  <si>
    <t>MALDONADO SILVA</t>
  </si>
  <si>
    <t>YENIS ALEXANDRA MORALES TOBON</t>
  </si>
  <si>
    <t>DOCENTE ASOC/N/TC/NEGO INTER/PROYECCION</t>
  </si>
  <si>
    <t>yenis_morales@cun.edu.co</t>
  </si>
  <si>
    <t>jennymoralescbn@gmail.com</t>
  </si>
  <si>
    <t>3224950237</t>
  </si>
  <si>
    <t>YENIS ALEXANDRA</t>
  </si>
  <si>
    <t>MORALES TOBON</t>
  </si>
  <si>
    <t>ELIANA KARINA VEGA PEÑA</t>
  </si>
  <si>
    <t>DOC AUX T&amp;T/N/TC/NEGO INTER/FUN.ACADE-ADMIN</t>
  </si>
  <si>
    <t>eliana_vega@cun.edu.co</t>
  </si>
  <si>
    <t>elianakarinavega7@gmail.com</t>
  </si>
  <si>
    <t>3044534806</t>
  </si>
  <si>
    <t>ELIANA KARINA</t>
  </si>
  <si>
    <t>VEGA PEÑA</t>
  </si>
  <si>
    <t>JAIME ALEXANDER RANGEL CÁCERES</t>
  </si>
  <si>
    <t>DOC AUX/N/V/TC/NEG INTER/FUN.ACADE-ADMIN</t>
  </si>
  <si>
    <t>jaime_rangel@cun.edu.co</t>
  </si>
  <si>
    <t>COMERCIOEXTERIOR1973@HOTMAIL.COM</t>
  </si>
  <si>
    <t>3168736764</t>
  </si>
  <si>
    <t>JAIME ALEXANDER</t>
  </si>
  <si>
    <t>RANGEL CÁCERES</t>
  </si>
  <si>
    <t>14395266</t>
  </si>
  <si>
    <t>DIEGO FERNANDO ECHEVERRI QUINTERO</t>
  </si>
  <si>
    <t>diego_echeverri@cun.edu.co</t>
  </si>
  <si>
    <t>diegofernandoecheverriquintero@gmail.com</t>
  </si>
  <si>
    <t>3002659114</t>
  </si>
  <si>
    <t>ECHEVERRI QUINTERO</t>
  </si>
  <si>
    <t>CRISTIAN NEIROTH DIAZ ALFONSO</t>
  </si>
  <si>
    <t>cristian_diaza@cun.edu.co</t>
  </si>
  <si>
    <t>cristiann1890@gmail.com</t>
  </si>
  <si>
    <t>3132467366</t>
  </si>
  <si>
    <t>CRISTIAN NEIROTH</t>
  </si>
  <si>
    <t>DIAZ ALFONSO</t>
  </si>
  <si>
    <t>SEBASTIAN CAMILO QUINTERO HIGUERA</t>
  </si>
  <si>
    <t>sebastian_quintero@cun.edu.co</t>
  </si>
  <si>
    <t>SEBASTIANCAMILOQUINTERO@GMAIL.COM</t>
  </si>
  <si>
    <t>3505754611</t>
  </si>
  <si>
    <t>SEBASTIAN CAMILO</t>
  </si>
  <si>
    <t>QUINTERO HIGUERA</t>
  </si>
  <si>
    <t>CESAR AUGUSTO SAMPEDRO DIAZ</t>
  </si>
  <si>
    <t>DOCENTE ASOC/N/TC/NEGO INTER/FUN.ACADE-ADMIN</t>
  </si>
  <si>
    <t>cesar_sampedro@cun.edu.co</t>
  </si>
  <si>
    <t>cesarsampedrod@gmail.com</t>
  </si>
  <si>
    <t>3003019800</t>
  </si>
  <si>
    <t>SAMPEDRO DIAZ</t>
  </si>
  <si>
    <t>JUAN SEBASTIAN GARCIA PEREZ</t>
  </si>
  <si>
    <t>DOC ASIS/N/V/TC/NEG INTER/FUN.ACADE-ADMIN</t>
  </si>
  <si>
    <t>juan_garciap@cun.edu.co</t>
  </si>
  <si>
    <t>garciap.juans@gmail.com</t>
  </si>
  <si>
    <t>3208549872</t>
  </si>
  <si>
    <t>GARCIA PEREZ</t>
  </si>
  <si>
    <t>LUZ MARY VALDERRAMA CARVAJAL</t>
  </si>
  <si>
    <t>DOC AUX T&amp;T/N/MT/NEGO INTER</t>
  </si>
  <si>
    <t>luz_valderrama@cun.edu.co</t>
  </si>
  <si>
    <t>maryeta-426@hotmail.com</t>
  </si>
  <si>
    <t>3115170418</t>
  </si>
  <si>
    <t>LUZ MARY</t>
  </si>
  <si>
    <t>VALDERRAMA CARVAJAL</t>
  </si>
  <si>
    <t>JAVIER OSWALDO PAEZ MURCIA</t>
  </si>
  <si>
    <t>javier_paez@cun.edu.co</t>
  </si>
  <si>
    <t>PAEZ_0810@HOTMAIL.COM</t>
  </si>
  <si>
    <t>3005279695</t>
  </si>
  <si>
    <t>JAVIER OSWALDO</t>
  </si>
  <si>
    <t>PAEZ MURCIA</t>
  </si>
  <si>
    <t>SERGIO NICOLAS CARDENAS BARRERA</t>
  </si>
  <si>
    <t>sergio_cardenasba@cun.edu.co</t>
  </si>
  <si>
    <t>sergionicolasc@yahoo.com</t>
  </si>
  <si>
    <t>3104832564</t>
  </si>
  <si>
    <t>1067941470</t>
  </si>
  <si>
    <t>LUIS FERNANDO MIRANDA VILLERA</t>
  </si>
  <si>
    <t>DOCENTE ASIS/N/MT/NEGO INTER</t>
  </si>
  <si>
    <t>luis_miranda@cun.edu.co</t>
  </si>
  <si>
    <t>luisf.miranda.9556@gmail.com</t>
  </si>
  <si>
    <t>3176498053</t>
  </si>
  <si>
    <t>MIRANDA VILLERA</t>
  </si>
  <si>
    <t>LESLY YULIANA SANCHEZ MONJE</t>
  </si>
  <si>
    <t>DOC AUX/N/V/MT/NEG INTER</t>
  </si>
  <si>
    <t>lesly_sanchez@cun.edu.co</t>
  </si>
  <si>
    <t>Yulianasanchezm1@hotmail.com</t>
  </si>
  <si>
    <t>3005754314</t>
  </si>
  <si>
    <t>LESLY YULIANA</t>
  </si>
  <si>
    <t>SANCHEZ MONJE</t>
  </si>
  <si>
    <t>MARIA CAMILA BORJA RIVERO</t>
  </si>
  <si>
    <t>maria_borja@cun.edu.co</t>
  </si>
  <si>
    <t>mariaborja2013@gmail.com</t>
  </si>
  <si>
    <t>3025409335</t>
  </si>
  <si>
    <t>BORJA RIVERO</t>
  </si>
  <si>
    <t>1004307048</t>
  </si>
  <si>
    <t>EIMMY DE JESUS FERNANDEZ RUIZ</t>
  </si>
  <si>
    <t>eimmy_fernandezr@cun.edu.co</t>
  </si>
  <si>
    <t>EIMMY102@GMAIL.COM</t>
  </si>
  <si>
    <t>3218283705</t>
  </si>
  <si>
    <t>EIMMY DE JESUS</t>
  </si>
  <si>
    <t>FERNANDEZ RUIZ</t>
  </si>
  <si>
    <t>7720901</t>
  </si>
  <si>
    <t>JOHN FAIBER CASTAÑEDA LOSADA</t>
  </si>
  <si>
    <t>john_castanedal@cun.edu.co</t>
  </si>
  <si>
    <t>JOHNFAIBERCASTANEDA14@GMAIL.COM</t>
  </si>
  <si>
    <t>3142240162</t>
  </si>
  <si>
    <t>JOHN FAIBER</t>
  </si>
  <si>
    <t>CASTAÑEDA LOSADA</t>
  </si>
  <si>
    <t>RAÚL ANDRÉS VILLAMIL VANEGAS</t>
  </si>
  <si>
    <t>raul_villamil@cun.edu.co</t>
  </si>
  <si>
    <t>rodian.ilich@gmail.com</t>
  </si>
  <si>
    <t>3102579557</t>
  </si>
  <si>
    <t>RAÚL ANDRÉS</t>
  </si>
  <si>
    <t>VILLAMIL VANEGAS</t>
  </si>
  <si>
    <t>LESLIE DAYAN BARRERA GONZALEZ</t>
  </si>
  <si>
    <t>DOC AUX/N/V/TC/PUB Y MERC/FUN.ACADE-ADMIN</t>
  </si>
  <si>
    <t>leslie_barrera@cun.edu.co</t>
  </si>
  <si>
    <t>lesliie@gmail.com</t>
  </si>
  <si>
    <t>3213715383</t>
  </si>
  <si>
    <t>LESLIE DAYAN</t>
  </si>
  <si>
    <t>BARRERA GONZALEZ</t>
  </si>
  <si>
    <t>LUIS GABRIEL LANCHEROS NUÑEZ</t>
  </si>
  <si>
    <t>luis_lancheros@cun.edu.co</t>
  </si>
  <si>
    <t>luisgabriel.lancheros@gmail.com</t>
  </si>
  <si>
    <t>3184993961</t>
  </si>
  <si>
    <t>LANCHEROS NUÑEZ</t>
  </si>
  <si>
    <t>JENNY ALEXANDRA CORREDOR AVILA</t>
  </si>
  <si>
    <t>jenny_corredor@cun.edu.co</t>
  </si>
  <si>
    <t>alexandracorredoravila@gmail.com</t>
  </si>
  <si>
    <t>3017773902</t>
  </si>
  <si>
    <t>CORREDOR AVILA</t>
  </si>
  <si>
    <t>ALEX GENARO MORA CASTRO</t>
  </si>
  <si>
    <t>alex_mora@cun.edu.co</t>
  </si>
  <si>
    <t>moraag@hotmail.com</t>
  </si>
  <si>
    <t>3192277205</t>
  </si>
  <si>
    <t>ALEX GENARO</t>
  </si>
  <si>
    <t>MORA CASTRO</t>
  </si>
  <si>
    <t>ALBYN FABIAN LEON BAQUERO</t>
  </si>
  <si>
    <t>DOC TITULAR/N/V/MT/PUB Y MERC</t>
  </si>
  <si>
    <t>albyn_leon@cun.edu.co</t>
  </si>
  <si>
    <t>fabianleon.abogado@gmail.com</t>
  </si>
  <si>
    <t>3102307445</t>
  </si>
  <si>
    <t>ALBYN FABIAN</t>
  </si>
  <si>
    <t>LEON BAQUERO</t>
  </si>
  <si>
    <t>ALEJANDRO CARDENAS GUALTEROS</t>
  </si>
  <si>
    <t>alejandro_cardenas@cun.edu.co</t>
  </si>
  <si>
    <t>akardenasg@gmail.com</t>
  </si>
  <si>
    <t>3118123366</t>
  </si>
  <si>
    <t>CARDENAS GUALTEROS</t>
  </si>
  <si>
    <t>LUIS FERNANDO POVEDA CALDERÓN</t>
  </si>
  <si>
    <t>DOC ASIS/N/V/MT/PUB Y MERC</t>
  </si>
  <si>
    <t>luis_poveda@cun.edu.co</t>
  </si>
  <si>
    <t>fernandopovedacalderon@gmail.com</t>
  </si>
  <si>
    <t>3187871612</t>
  </si>
  <si>
    <t>POVEDA CALDERÓN</t>
  </si>
  <si>
    <t>GINA MARCELA AVILA CRUZ</t>
  </si>
  <si>
    <t>DOC ASIS/N/V/TC/PUB Y MERC/PROYECCION SO</t>
  </si>
  <si>
    <t>gina_avila@cun.edu.co</t>
  </si>
  <si>
    <t>ginavila.c@gmail.com</t>
  </si>
  <si>
    <t>3143109929</t>
  </si>
  <si>
    <t>AVILA CRUZ</t>
  </si>
  <si>
    <t>KATHERINE JULIED MURILLO AVENDAÑO</t>
  </si>
  <si>
    <t>katherine_murillo@cun.edu.co</t>
  </si>
  <si>
    <t>KATHEMURILLO21@GMAIL.COM</t>
  </si>
  <si>
    <t>3204572571</t>
  </si>
  <si>
    <t>KATHERINE JULIED</t>
  </si>
  <si>
    <t>MURILLO AVENDAÑO</t>
  </si>
  <si>
    <t>omar_rey@cun.edu.co</t>
  </si>
  <si>
    <t>omar07santiago@gmail.com</t>
  </si>
  <si>
    <t>3207780165</t>
  </si>
  <si>
    <t>OMAR SANTIAGO</t>
  </si>
  <si>
    <t>REY RAMIREZ</t>
  </si>
  <si>
    <t>LINA MERCEDES PEÑARANDA DELGADO</t>
  </si>
  <si>
    <t>lina_penarandad@cun.edu.co</t>
  </si>
  <si>
    <t>LINAPENARANDA@HOTMAIL.COM</t>
  </si>
  <si>
    <t>3006354168</t>
  </si>
  <si>
    <t>LINA MERCEDES</t>
  </si>
  <si>
    <t>PEÑARANDA DELGADO</t>
  </si>
  <si>
    <t>CRISTOBAL ANDRES CAJIGAS RUBIO</t>
  </si>
  <si>
    <t>DOC AUX/N/V/MT/PUB Y MERC</t>
  </si>
  <si>
    <t>cristobal_cajigas@cun.edu.co</t>
  </si>
  <si>
    <t>cristobalcajigas@gmail.com</t>
  </si>
  <si>
    <t>3142078533</t>
  </si>
  <si>
    <t>CRISTOBAL ANDRES</t>
  </si>
  <si>
    <t>CAJIGAS RUBIO</t>
  </si>
  <si>
    <t>FRANKIN EDUARDO LOPEZ FLOREZ</t>
  </si>
  <si>
    <t>frankin_lopezf@cun.edu.co</t>
  </si>
  <si>
    <t>lopezpublicista@hotmail.com</t>
  </si>
  <si>
    <t>3002431367</t>
  </si>
  <si>
    <t>FRANKIN EDUARDO</t>
  </si>
  <si>
    <t>LOPEZ FLOREZ</t>
  </si>
  <si>
    <t>WILLIAM ALEJANDRO BAYONA CERON</t>
  </si>
  <si>
    <t>william_bayona@cun.edu.co</t>
  </si>
  <si>
    <t>alejandro.bayona@gmail.com</t>
  </si>
  <si>
    <t>3103345595</t>
  </si>
  <si>
    <t>WILLIAM ALEJANDRO</t>
  </si>
  <si>
    <t>BAYONA CERON</t>
  </si>
  <si>
    <t>80815267</t>
  </si>
  <si>
    <t>JOHN ANDERSON SANCHEZ TORRES</t>
  </si>
  <si>
    <t>john_sanchez@cun.edu.co</t>
  </si>
  <si>
    <t>JASTHOM5@GMAIL.COM</t>
  </si>
  <si>
    <t>3208150169</t>
  </si>
  <si>
    <t>SANCHEZ TORRES</t>
  </si>
  <si>
    <t>NICOLAS SANABRIA SANCHEZ</t>
  </si>
  <si>
    <t>DOC AUX T&amp;T/N/V/MT/PUB Y MERC</t>
  </si>
  <si>
    <t>nicolas_sanabrias@cun.edu.co</t>
  </si>
  <si>
    <t>NICSANAB@GMAIL.COM</t>
  </si>
  <si>
    <t>3213216307</t>
  </si>
  <si>
    <t>SANABRIA SANCHEZ</t>
  </si>
  <si>
    <t>JONATHAN LINARES GARZON</t>
  </si>
  <si>
    <t>jonathan_linaresg@cun.edu.co</t>
  </si>
  <si>
    <t>JONNY.LINGAR@GMAIL.COM</t>
  </si>
  <si>
    <t>3167512173</t>
  </si>
  <si>
    <t>JONATHAN</t>
  </si>
  <si>
    <t>LINARES GARZON</t>
  </si>
  <si>
    <t>SERGIO RICARDO LEON QUIJANO</t>
  </si>
  <si>
    <t>sergio_leonq@cun.edu.co</t>
  </si>
  <si>
    <t>sergioleonquijano@gmail.com</t>
  </si>
  <si>
    <t>3166282522</t>
  </si>
  <si>
    <t>SERGIO RICARDO</t>
  </si>
  <si>
    <t>LEON QUIJANO</t>
  </si>
  <si>
    <t>JUAN ALEJANDRO VILLA MARTINEZ</t>
  </si>
  <si>
    <t>DOC AUX T&amp;T/N/V/TC/SOCIOHUMANISTI/PROYECTO</t>
  </si>
  <si>
    <t>SOCIOHUMANISTICA</t>
  </si>
  <si>
    <t>juan_villama@cun.edu.co</t>
  </si>
  <si>
    <t>alejovillamartinez@gmail.com</t>
  </si>
  <si>
    <t>3156750169</t>
  </si>
  <si>
    <t>JUAN ALEJANDRO</t>
  </si>
  <si>
    <t>VILLA MARTINEZ</t>
  </si>
  <si>
    <t>CARLOS FERNANDO RICO AREVALO</t>
  </si>
  <si>
    <t>DOC ASIS/N/V/TC/SOCIOHUMANISTI/FUN.ACADE-ADMIN</t>
  </si>
  <si>
    <t>carlos_rico@cun.edu.co</t>
  </si>
  <si>
    <t>carlosfrico@hotmail.com</t>
  </si>
  <si>
    <t>3132962357</t>
  </si>
  <si>
    <t>RICO AREVALO</t>
  </si>
  <si>
    <t>LAURA TATIANA USECHE PINEDA</t>
  </si>
  <si>
    <t>DOC AUX T&amp;T/N/V/TC/SOCIOHUMANISTI/FUN.ACADE-ADMIN</t>
  </si>
  <si>
    <t>laura_useche@cun.edu.co</t>
  </si>
  <si>
    <t>ltusechep03@gmail.com</t>
  </si>
  <si>
    <t>3223692889</t>
  </si>
  <si>
    <t>LAURA TATIANA</t>
  </si>
  <si>
    <t>USECHE PINEDA</t>
  </si>
  <si>
    <t>KAREN PAOLA GALINDO RONDON</t>
  </si>
  <si>
    <t>DOC ASIS/N/V/MT/SOCIOHUMANISTI</t>
  </si>
  <si>
    <t>karen_galindo@cun.edu.co</t>
  </si>
  <si>
    <t>karenpao8@gmail.com</t>
  </si>
  <si>
    <t>3202192812</t>
  </si>
  <si>
    <t>KAREN PAOLA</t>
  </si>
  <si>
    <t>GALINDO RONDON</t>
  </si>
  <si>
    <t>EVARISTO ANDRES SIERRA ROBAYO</t>
  </si>
  <si>
    <t>evaristo_sierra@cun.edu.co</t>
  </si>
  <si>
    <t>evaristoandresierra9128@gmail.com  andrecierra1945@gmail.com</t>
  </si>
  <si>
    <t>3017320909</t>
  </si>
  <si>
    <t>EVARISTO ANDRES</t>
  </si>
  <si>
    <t>SIERRA ROBAYO</t>
  </si>
  <si>
    <t>1026575769</t>
  </si>
  <si>
    <t>LAURA CAMILA SANCHEZ LOMBANA</t>
  </si>
  <si>
    <t>DOC AUX/N/V/MT/SOCIOHUMANISTI</t>
  </si>
  <si>
    <t>laura_sanchezl@cun.edu.co</t>
  </si>
  <si>
    <t>abogadalaurasanchez3@gmail.com</t>
  </si>
  <si>
    <t>3188385047</t>
  </si>
  <si>
    <t>SANCHEZ LOMBANA</t>
  </si>
  <si>
    <t>ESTEFANIA VELASQUEZ GONZALEZ</t>
  </si>
  <si>
    <t>estefania_velasquez@cun.edu.co</t>
  </si>
  <si>
    <t>STEPHANYGONZA321@HOTMAIL.COM</t>
  </si>
  <si>
    <t>3186282011</t>
  </si>
  <si>
    <t>VELASQUEZ GONZALEZ</t>
  </si>
  <si>
    <t>GERARDO RAMÍREZ BONILLA</t>
  </si>
  <si>
    <t>gerardo_ramirez@cun.edu.co</t>
  </si>
  <si>
    <t>gramirezbonilla@hotmail.com</t>
  </si>
  <si>
    <t>3023882886</t>
  </si>
  <si>
    <t>GERARDO</t>
  </si>
  <si>
    <t>RAMÍREZ BONILLA</t>
  </si>
  <si>
    <t>NICOLAS BERNARDO NAVAS GONZALEZ</t>
  </si>
  <si>
    <t>nicolas_navas@cun.edu.co</t>
  </si>
  <si>
    <t>nbnavasg@gmail.com</t>
  </si>
  <si>
    <t>3202045167</t>
  </si>
  <si>
    <t>NICOLAS BERNARDO</t>
  </si>
  <si>
    <t>NAVAS GONZALEZ</t>
  </si>
  <si>
    <t>IVAN ANDRES QUINTERO MORA</t>
  </si>
  <si>
    <t>ivan_quintero@cun.edu.co</t>
  </si>
  <si>
    <t>QUINTEROM.IVAN@GMAIL.COM</t>
  </si>
  <si>
    <t>3153906613</t>
  </si>
  <si>
    <t>QUINTERO MORA</t>
  </si>
  <si>
    <t>CAMILO ERNESTO BRAVO GOMEZ</t>
  </si>
  <si>
    <t>DOC ASOC/N/V/TC/SOCIOHUMANISTI/FUN.ACADE-ADMIN</t>
  </si>
  <si>
    <t>camilo_bravog@cun.edu.co</t>
  </si>
  <si>
    <t>cavisu021096@hotmail.com</t>
  </si>
  <si>
    <t>3005569626</t>
  </si>
  <si>
    <t>CAMILO ERNESTO</t>
  </si>
  <si>
    <t>BRAVO GOMEZ</t>
  </si>
  <si>
    <t>36733493</t>
  </si>
  <si>
    <t>LILIBETH BENAVIDES SILVA</t>
  </si>
  <si>
    <t>lilibeth_benavides@cun.edu.co</t>
  </si>
  <si>
    <t>libenavides272@gmail.com</t>
  </si>
  <si>
    <t>3002432334</t>
  </si>
  <si>
    <t>LILIBETH</t>
  </si>
  <si>
    <t>BENAVIDES SILVA</t>
  </si>
  <si>
    <t>KAREN JIMENA BURBANO MORENO</t>
  </si>
  <si>
    <t>DOC AUX/N/V/TC/SOCIOHUMANISTI/FUN.ACADE-ADMIN</t>
  </si>
  <si>
    <t>karen_burbano@cun.edu.co</t>
  </si>
  <si>
    <t>JIMEBM_004@HOTMAIL.COM</t>
  </si>
  <si>
    <t>3192594695</t>
  </si>
  <si>
    <t>KAREN JIMENA</t>
  </si>
  <si>
    <t>BURBANO MORENO</t>
  </si>
  <si>
    <t>LUISA FERNANDA SOLANO MILQUEZ</t>
  </si>
  <si>
    <t>luisa_solano@cun.edu.co</t>
  </si>
  <si>
    <t>luisa.solanom99@gmail.com</t>
  </si>
  <si>
    <t>3204787284</t>
  </si>
  <si>
    <t>SOLANO MILQUEZ</t>
  </si>
  <si>
    <t>MANUEL SALGADO ALBA</t>
  </si>
  <si>
    <t>INNOVACION E INVESTIGACION</t>
  </si>
  <si>
    <t>DOCENTE ASOC/N/TC/INVESTIGACIONES/INVEST</t>
  </si>
  <si>
    <t>manuel_salgado@cun.edu.co</t>
  </si>
  <si>
    <t>ingmanuelsalgado@yahoo.es</t>
  </si>
  <si>
    <t>3152816069</t>
  </si>
  <si>
    <t>MANUEL</t>
  </si>
  <si>
    <t>SALGADO ALBA</t>
  </si>
  <si>
    <t>LEONAR JAVIER BRICEÑO ARIZA</t>
  </si>
  <si>
    <t>leonar_briceno@cun.edu.co</t>
  </si>
  <si>
    <t>leobri2010@gmail.com</t>
  </si>
  <si>
    <t>300 5619468</t>
  </si>
  <si>
    <t>LEONAR JAVIER</t>
  </si>
  <si>
    <t>BRICEÑO ARIZA</t>
  </si>
  <si>
    <t>ANDRES FELIPE PINZON RODRIGUEZ</t>
  </si>
  <si>
    <t>DOCENTE ASOC/N/TC/INVESTIGA/INVESTIGACIO</t>
  </si>
  <si>
    <t>Andres_Pinzon@cun.edu.co</t>
  </si>
  <si>
    <t>pinzonandresfelipe@hotmail.com</t>
  </si>
  <si>
    <t>3212098694</t>
  </si>
  <si>
    <t>PINZON RODRIGUEZ</t>
  </si>
  <si>
    <t>TOBIAS ALFONSO PARODI CAMAÑO</t>
  </si>
  <si>
    <t>tobias_parodi@cun.edu.co</t>
  </si>
  <si>
    <t>toalpha712@gmail.com</t>
  </si>
  <si>
    <t>3146751346</t>
  </si>
  <si>
    <t>TOBIAS ALFONSO</t>
  </si>
  <si>
    <t>PARODI CAMAÑO</t>
  </si>
  <si>
    <t>94533302</t>
  </si>
  <si>
    <t>DARIO FERNANDO CORTES TOBAR</t>
  </si>
  <si>
    <t>DOC ASOC/N/V/TC/INVESTIGACIONES/INVESTIGAC</t>
  </si>
  <si>
    <t>dario_cortes@cun.edu.co</t>
  </si>
  <si>
    <t>dacortes00@hotmail.com</t>
  </si>
  <si>
    <t>3175474448</t>
  </si>
  <si>
    <t>DARIO FERNANDO</t>
  </si>
  <si>
    <t>CORTES TOBAR</t>
  </si>
  <si>
    <t>1110553429</t>
  </si>
  <si>
    <t>AURA VETSY MUNERA MONSALVE</t>
  </si>
  <si>
    <t>DOC AUX T&amp;T/N/TC/INVESTIGACIONES/INVESTI</t>
  </si>
  <si>
    <t>aura_munera@cun.edu.co</t>
  </si>
  <si>
    <t>urimumo11@gmail.com</t>
  </si>
  <si>
    <t>3184512782</t>
  </si>
  <si>
    <t>AURA VETSY</t>
  </si>
  <si>
    <t>MUNERA MONSALVE</t>
  </si>
  <si>
    <t>ANGÉLICA MARÍA GONZÁLEZ  FLOREZ</t>
  </si>
  <si>
    <t>angelica_gonzalezf@cun.edu.co</t>
  </si>
  <si>
    <t>gonflo21@gmail.com</t>
  </si>
  <si>
    <t>3183606033</t>
  </si>
  <si>
    <t>ANGÉLICA MARÍA</t>
  </si>
  <si>
    <t>GONZÁLEZ  FLOREZ</t>
  </si>
  <si>
    <t>1019039648</t>
  </si>
  <si>
    <t>CARLOS ALBERTO GÓMEZ CANO</t>
  </si>
  <si>
    <t>REGIONAL CAQUETA</t>
  </si>
  <si>
    <t>FLORENCIA</t>
  </si>
  <si>
    <t>carlos_gomezca@cun.edu.co</t>
  </si>
  <si>
    <t>carlosgomez325@gmail.com</t>
  </si>
  <si>
    <t>3125631203</t>
  </si>
  <si>
    <t>CARLOS ALBERTO</t>
  </si>
  <si>
    <t>GÓMEZ CANO</t>
  </si>
  <si>
    <t>FLORENCIA SEDE</t>
  </si>
  <si>
    <t>EDUARDO DAVID CHALAPUD NARVÁEZ</t>
  </si>
  <si>
    <t>DOCENTE ASIS/N/TC/INVESTIGA/INVESTIGACIO</t>
  </si>
  <si>
    <t>eduardo_chalapud@cun.edu.co</t>
  </si>
  <si>
    <t>ecpdavid@gmail.com</t>
  </si>
  <si>
    <t>3163856836</t>
  </si>
  <si>
    <t>EDUARDO DAVID</t>
  </si>
  <si>
    <t>CHALAPUD NARVÁEZ</t>
  </si>
  <si>
    <t>1032438503</t>
  </si>
  <si>
    <t>PAOLA ANDREA PLATA PACHECO</t>
  </si>
  <si>
    <t>paola_plata@cun.edu.co</t>
  </si>
  <si>
    <t>ANDREAPLATAP@GMAIL.COM</t>
  </si>
  <si>
    <t>3102511352</t>
  </si>
  <si>
    <t>PLATA PACHECO</t>
  </si>
  <si>
    <t>AURA LUZ RODRIGUEZ</t>
  </si>
  <si>
    <t>aura_rodriguez@cun.edu.co</t>
  </si>
  <si>
    <t>RODRIGUEZAURALUZ1@GMAIL.COM</t>
  </si>
  <si>
    <t>3013825561</t>
  </si>
  <si>
    <t>AURA LUZ</t>
  </si>
  <si>
    <t>RODRIGUEZ</t>
  </si>
  <si>
    <t>ANGELA MARCELA LUNA JARAMILLO</t>
  </si>
  <si>
    <t>angela_luna@cun.edu.co</t>
  </si>
  <si>
    <t>angelalunaj@gmail.com</t>
  </si>
  <si>
    <t>3173092265</t>
  </si>
  <si>
    <t>ANGELA MARCELA</t>
  </si>
  <si>
    <t>LUNA JARAMILLO</t>
  </si>
  <si>
    <t>1019135139</t>
  </si>
  <si>
    <t>SANTIAGO ALFONSO BOLAÑOS SUÁREZ</t>
  </si>
  <si>
    <t>santiago_bolanos@cun.edu.co</t>
  </si>
  <si>
    <t>santibola.multimedia@gmail.com</t>
  </si>
  <si>
    <t>3142006993</t>
  </si>
  <si>
    <t>BOLAÑOS SUÁREZ</t>
  </si>
  <si>
    <t>BTA SEDE CHAP</t>
  </si>
  <si>
    <t>JASLEIDY ASTRID PRADA SEGURA</t>
  </si>
  <si>
    <t>jasleidy_prada@cun.edu.co</t>
  </si>
  <si>
    <t>jasleipra@yahoo.es</t>
  </si>
  <si>
    <t>3123421408</t>
  </si>
  <si>
    <t>JASLEIDY ASTRID</t>
  </si>
  <si>
    <t>PRADA SEGURA</t>
  </si>
  <si>
    <t>DIANA MILENA QUIROGA BERASTEGUI</t>
  </si>
  <si>
    <t>diana_quirogab@cun.edu.co</t>
  </si>
  <si>
    <t>NANI.MILE@HOTMAIL.COM</t>
  </si>
  <si>
    <t>3112459254</t>
  </si>
  <si>
    <t>QUIROGA BERASTEGUI</t>
  </si>
  <si>
    <t>YULI TATIANA NOVOA BOBADILLA</t>
  </si>
  <si>
    <t>yuli_novoa@cun.edu.co</t>
  </si>
  <si>
    <t>TATIANANOVOA6@GMAIL.COM</t>
  </si>
  <si>
    <t>3214852041</t>
  </si>
  <si>
    <t>YULI TATIANA</t>
  </si>
  <si>
    <t>NOVOA BOBADILLA</t>
  </si>
  <si>
    <t>74795889</t>
  </si>
  <si>
    <t>WILQUER HERNEY CRUZ MEDINA</t>
  </si>
  <si>
    <t>wilquer_cruz@cun.edu.co</t>
  </si>
  <si>
    <t>wilkercruzm@gmail.com</t>
  </si>
  <si>
    <t>3212130350</t>
  </si>
  <si>
    <t>WILQUER HERNEY</t>
  </si>
  <si>
    <t>CRUZ MEDINA</t>
  </si>
  <si>
    <t>FABIO ORLANDO CRUZ PÁEZ</t>
  </si>
  <si>
    <t>fabio_cruz@cun.edu.co</t>
  </si>
  <si>
    <t>fabio_cruzp@yahoo.es</t>
  </si>
  <si>
    <t>3125191719</t>
  </si>
  <si>
    <t>FABIO ORLANDO</t>
  </si>
  <si>
    <t>CRUZ PÁEZ</t>
  </si>
  <si>
    <t>RICARDO JAVIER ALBARRACIN VANOY</t>
  </si>
  <si>
    <t>ricardo_albarracin@cun.edu.co</t>
  </si>
  <si>
    <t>RICARDOVANOY@HOTMAIL.COM</t>
  </si>
  <si>
    <t>3106131718</t>
  </si>
  <si>
    <t>RICARDO JAVIER</t>
  </si>
  <si>
    <t>ALBARRACIN VANOY</t>
  </si>
  <si>
    <t>YENNY LUJAN CORREAL</t>
  </si>
  <si>
    <t>yenny_lujan@cun.edu.co</t>
  </si>
  <si>
    <t>yelujanco@gmail.com</t>
  </si>
  <si>
    <t>3503324265</t>
  </si>
  <si>
    <t>YENNY</t>
  </si>
  <si>
    <t>LUJAN CORREAL</t>
  </si>
  <si>
    <t>JAYDER FRANCISCO HERNANDEZ IRIARTE</t>
  </si>
  <si>
    <t>jayder_hernandez@cun.edu.co</t>
  </si>
  <si>
    <t>jayderh@gmail.com</t>
  </si>
  <si>
    <t>3014584823</t>
  </si>
  <si>
    <t>JAYDER FRANCISCO</t>
  </si>
  <si>
    <t>HERNANDEZ IRIARTE</t>
  </si>
  <si>
    <t>ANDREA CAROLINA CAMACHO</t>
  </si>
  <si>
    <t>andrea_camacho@cun.edu.co</t>
  </si>
  <si>
    <t>acamachoyanez@gmail.com</t>
  </si>
  <si>
    <t>3165790897</t>
  </si>
  <si>
    <t>CAMACHO</t>
  </si>
  <si>
    <t>LAY ARACELY RODRIGUEZ HERNANDEZ</t>
  </si>
  <si>
    <t>DOC ASIS/N/V/TC/INVESTIGACIONES/INVESTIG</t>
  </si>
  <si>
    <t>lay_rodriguez@cun.edu.co</t>
  </si>
  <si>
    <t>lrlayyrodriguez2@gmail.com</t>
  </si>
  <si>
    <t>3114606915</t>
  </si>
  <si>
    <t>LAY ARACELY</t>
  </si>
  <si>
    <t>RODRIGUEZ HERNANDEZ</t>
  </si>
  <si>
    <t>IRMA VICTORIA QUINTERO SAAVEDRA</t>
  </si>
  <si>
    <t>irma_quintero@cun.edu.co</t>
  </si>
  <si>
    <t>ivquinteros@unal.edu.co</t>
  </si>
  <si>
    <t>3506111322</t>
  </si>
  <si>
    <t>IRMA VICTORIA</t>
  </si>
  <si>
    <t>QUINTERO SAAVEDRA</t>
  </si>
  <si>
    <t>9237379</t>
  </si>
  <si>
    <t>LUIS ALFREDO BLANQUICETT BENAVIDES</t>
  </si>
  <si>
    <t>luis_blanquicett@cun.edu.co</t>
  </si>
  <si>
    <t>luisblanquicett@gmail.com</t>
  </si>
  <si>
    <t>3155752722</t>
  </si>
  <si>
    <t>BLANQUICETT BENAVIDES</t>
  </si>
  <si>
    <t>10772338</t>
  </si>
  <si>
    <t>KAVIR ALA OVIEDO PRIOLO</t>
  </si>
  <si>
    <t>Kavir_Oviedo@cun.edu.co</t>
  </si>
  <si>
    <t>kaval125@hotmail.com</t>
  </si>
  <si>
    <t>3215284718</t>
  </si>
  <si>
    <t>KAVIR ALA</t>
  </si>
  <si>
    <t>OVIEDO PRIOLO</t>
  </si>
  <si>
    <t>6892687</t>
  </si>
  <si>
    <t>JUAN CARLOS BUENDIA PASTRANA</t>
  </si>
  <si>
    <t>juan_buendia@cun.edu.co</t>
  </si>
  <si>
    <t>juanc2030@gmail.com</t>
  </si>
  <si>
    <t>3004135947</t>
  </si>
  <si>
    <t>BUENDIA PASTRANA</t>
  </si>
  <si>
    <t>IRIS MARIA CANTILLO VELASQUEZ</t>
  </si>
  <si>
    <t>iris_cantillo@cun.edu.co</t>
  </si>
  <si>
    <t>iriscantillov@gmail.com</t>
  </si>
  <si>
    <t>3005998086</t>
  </si>
  <si>
    <t>IRIS MARIA</t>
  </si>
  <si>
    <t>CANTILLO VELASQUEZ</t>
  </si>
  <si>
    <t>DIANA PAOLA ANGARITA NIÑO</t>
  </si>
  <si>
    <t>diana_angarita@cun.edu.co</t>
  </si>
  <si>
    <t>paola.angarita@gmail.com</t>
  </si>
  <si>
    <t>3202366215</t>
  </si>
  <si>
    <t>ANGARITA NIÑO</t>
  </si>
  <si>
    <t>ERIKA ASTRID ARAQUE GENEY</t>
  </si>
  <si>
    <t>erika_araque@cun.edu.co</t>
  </si>
  <si>
    <t>erika_araqueg@hotmail.com</t>
  </si>
  <si>
    <t>3126402909</t>
  </si>
  <si>
    <t>ERIKA ASTRID</t>
  </si>
  <si>
    <t>ARAQUE GENEY</t>
  </si>
  <si>
    <t>YEYSON ALEJANDRO BECERRA MORA</t>
  </si>
  <si>
    <t>yeyson_becerra@cun.edu.co</t>
  </si>
  <si>
    <t>becerrayeyson@gmail.com</t>
  </si>
  <si>
    <t>3138924282</t>
  </si>
  <si>
    <t>YEYSON ALEJANDRO</t>
  </si>
  <si>
    <t>BECERRA MORA</t>
  </si>
  <si>
    <t>BTA SEDE O</t>
  </si>
  <si>
    <t>LAURA ESPERANZA GELVEZ GARCIA</t>
  </si>
  <si>
    <t>laura_gelvez@cun.edu.co</t>
  </si>
  <si>
    <t>lauris4430@gmail.com</t>
  </si>
  <si>
    <t>3004549231</t>
  </si>
  <si>
    <t>LAURA ESPERANZA</t>
  </si>
  <si>
    <t>GELVEZ GARCIA</t>
  </si>
  <si>
    <t>luis_restrepoj@cun.edu.co</t>
  </si>
  <si>
    <t>luis.restrepo8218@gmail.com</t>
  </si>
  <si>
    <t>3205701442</t>
  </si>
  <si>
    <t>RESTREPO JIMENEZ</t>
  </si>
  <si>
    <t>1075244076</t>
  </si>
  <si>
    <t>JOHN EDISSON GARCIA PEÑALOZA</t>
  </si>
  <si>
    <t>john_garcia@cun.edu.co</t>
  </si>
  <si>
    <t>john.garciawtf@gmail.com</t>
  </si>
  <si>
    <t>3144122656</t>
  </si>
  <si>
    <t>JOHN EDISSON</t>
  </si>
  <si>
    <t>GARCIA PEÑALOZA</t>
  </si>
  <si>
    <t>FRANCISCO JAVIER BUENDIA PUYO</t>
  </si>
  <si>
    <t>francisco_buendia@cun.edu.co</t>
  </si>
  <si>
    <t>FRANCISCOJAVIERBUENDIA@HOTMAIL.COM</t>
  </si>
  <si>
    <t>3165464064</t>
  </si>
  <si>
    <t>BUENDIA PUYO</t>
  </si>
  <si>
    <t>HELMER MUÑOZ HERNANDEZ</t>
  </si>
  <si>
    <t>helmer_munoz@cun.edu.co</t>
  </si>
  <si>
    <t>inghelmer@gmail.com</t>
  </si>
  <si>
    <t>3118746734</t>
  </si>
  <si>
    <t>HELMER</t>
  </si>
  <si>
    <t>MUÑOZ HERNANDEZ</t>
  </si>
  <si>
    <t>LUIS FERNANDO GASCA BAZURTO</t>
  </si>
  <si>
    <t>luis_gasca@cun.edu.co</t>
  </si>
  <si>
    <t>luisf.gascab@gmail.com</t>
  </si>
  <si>
    <t>3209409130</t>
  </si>
  <si>
    <t>GASCA BAZURTO</t>
  </si>
  <si>
    <t>LUIS ANDRES TELLEZ TINJACA</t>
  </si>
  <si>
    <t>luis_tellez@cun.edu.co</t>
  </si>
  <si>
    <t>andrestt10@hotmail.com</t>
  </si>
  <si>
    <t>301 784 8882</t>
  </si>
  <si>
    <t>LUIS ANDRES</t>
  </si>
  <si>
    <t>TELLEZ TINJACA</t>
  </si>
  <si>
    <t>JOHAN FELIPE RODRIGUEZ PALACIO</t>
  </si>
  <si>
    <t>johan_rodriguezp@cun.edu.co</t>
  </si>
  <si>
    <t>jfrp97@gmail.com</t>
  </si>
  <si>
    <t>3105750083</t>
  </si>
  <si>
    <t>JOHAN FELIPE</t>
  </si>
  <si>
    <t>RODRIGUEZ PALACIO</t>
  </si>
  <si>
    <t>JOSE LEON LEON</t>
  </si>
  <si>
    <t>jose_leonl@cun.edu.co</t>
  </si>
  <si>
    <t>joseleon1024@gmail.com</t>
  </si>
  <si>
    <t>3197491359</t>
  </si>
  <si>
    <t>JOSE</t>
  </si>
  <si>
    <t>LEON LEON</t>
  </si>
  <si>
    <t>ALEXANDER MONTEALEGRE SAAVEDRA</t>
  </si>
  <si>
    <t>alexander_montealegresaa@cun.edu.co</t>
  </si>
  <si>
    <t>ramiro459@gmail.com</t>
  </si>
  <si>
    <t>3152669737</t>
  </si>
  <si>
    <t>MONTEALEGRE SAAVEDRA</t>
  </si>
  <si>
    <t>MARIA ANGELICA ROJAS BERNAL</t>
  </si>
  <si>
    <t>maria_rojasb@cun.edu.co</t>
  </si>
  <si>
    <t>angelica.rojas.bernal@gmail.com</t>
  </si>
  <si>
    <t>3174791547</t>
  </si>
  <si>
    <t>MARIA ANGELICA</t>
  </si>
  <si>
    <t>ROJAS BERNAL</t>
  </si>
  <si>
    <t>LUIS MANUEL ZUÑIGA PEREZ</t>
  </si>
  <si>
    <t>luis_zuniga@cun.edu.co</t>
  </si>
  <si>
    <t>luis_zp22@hotmail.com</t>
  </si>
  <si>
    <t>3005398095</t>
  </si>
  <si>
    <t>LUIS MANUEL</t>
  </si>
  <si>
    <t>ZUÑIGA PEREZ</t>
  </si>
  <si>
    <t>1110538380</t>
  </si>
  <si>
    <t>ZAYRA YULIANA ARIAS PAEZ</t>
  </si>
  <si>
    <t>zayra_arias@cun.edu.co</t>
  </si>
  <si>
    <t>ZYAP04@GMAIL.COM</t>
  </si>
  <si>
    <t>3185415447</t>
  </si>
  <si>
    <t>ZAYRA YULIANA</t>
  </si>
  <si>
    <t>ARIAS PAEZ</t>
  </si>
  <si>
    <t>JUAN CARLOS FORERO RODRIGUEZ</t>
  </si>
  <si>
    <t>Juan_foreror@Cun.Edu.Co</t>
  </si>
  <si>
    <t>forero0525@gmail.com</t>
  </si>
  <si>
    <t>3107720845</t>
  </si>
  <si>
    <t>FORERO RODRIGUEZ</t>
  </si>
  <si>
    <t>OSCAR MAURICIO GOMEZ MIRANDA</t>
  </si>
  <si>
    <t>oscar_gomezm@cun.edu.co</t>
  </si>
  <si>
    <t>OMGM_12@HOTMAIL.COM</t>
  </si>
  <si>
    <t>3144169967</t>
  </si>
  <si>
    <t>GOMEZ MIRANDA</t>
  </si>
  <si>
    <t>JOHAN SEBASTIÁN OSORIO CHAVES</t>
  </si>
  <si>
    <t>DOC AUX T&amp;T/N/V/TC/INVESTIGACIONES/INVESTI</t>
  </si>
  <si>
    <t>johan_osorio@cun.edu.co</t>
  </si>
  <si>
    <t>johan.0401@hotmail.com</t>
  </si>
  <si>
    <t>3004704255</t>
  </si>
  <si>
    <t>JOHAN SEBASTIÁN</t>
  </si>
  <si>
    <t>OSORIO CHAVES</t>
  </si>
  <si>
    <t>ANA TULIA SANCHEZ REYES</t>
  </si>
  <si>
    <t>ana_sanchezr@cun.edu.co</t>
  </si>
  <si>
    <t>anatuliasan@gmail.com</t>
  </si>
  <si>
    <t>3124986133</t>
  </si>
  <si>
    <t>ANA TULIA</t>
  </si>
  <si>
    <t>SANCHEZ REYES</t>
  </si>
  <si>
    <t>HELBER MAURICIO BERNAL MORENO</t>
  </si>
  <si>
    <t>helber_bernalm@cun.edu.co</t>
  </si>
  <si>
    <t>elmaurobm@hotmail.com</t>
  </si>
  <si>
    <t>3003610107</t>
  </si>
  <si>
    <t>HELBER MAURICIO</t>
  </si>
  <si>
    <t>BERNAL MORENO</t>
  </si>
  <si>
    <t>NIKOLAI ALEXANDER NARVAEZ CABALLERO</t>
  </si>
  <si>
    <t>Nikolai_Narvaez@cun.edu.co</t>
  </si>
  <si>
    <t>diniko.narvaez@gmail.com</t>
  </si>
  <si>
    <t>3204762333</t>
  </si>
  <si>
    <t>NIKOLAI ALEXANDER</t>
  </si>
  <si>
    <t>NARVAEZ CABALLERO</t>
  </si>
  <si>
    <t>JORGE LUIS MATTOS MEJIA</t>
  </si>
  <si>
    <t>jorge_mattos@cun.edu.co</t>
  </si>
  <si>
    <t>jorgemattos@unicesar.edu.co</t>
  </si>
  <si>
    <t>3007682611</t>
  </si>
  <si>
    <t>JORGE LUIS</t>
  </si>
  <si>
    <t>MATTOS MEJIA</t>
  </si>
  <si>
    <t>1032364843</t>
  </si>
  <si>
    <t>MARTIN EDUARDO ESPITIA NERY</t>
  </si>
  <si>
    <t>martin_espitia@cun.edu.co</t>
  </si>
  <si>
    <t>mespitian@yahoo.com</t>
  </si>
  <si>
    <t>3112285413</t>
  </si>
  <si>
    <t>MARTIN EDUARDO</t>
  </si>
  <si>
    <t>ESPITIA NERY</t>
  </si>
  <si>
    <t>ANGELICA MARIA JIMENEZ CORONADO</t>
  </si>
  <si>
    <t>angelica_jimenezco@cun.edu.co</t>
  </si>
  <si>
    <t>anmajico77@hotmail.com</t>
  </si>
  <si>
    <t>3132141638</t>
  </si>
  <si>
    <t>ANGELICA MARIA</t>
  </si>
  <si>
    <t>JIMENEZ CORONADO</t>
  </si>
  <si>
    <t>LAURA CAMILA URREA SEPÚLVEDA</t>
  </si>
  <si>
    <t>laura_urrea@cun.edu.co</t>
  </si>
  <si>
    <t>lauraurrea9731@gmail.com</t>
  </si>
  <si>
    <t>3195979198</t>
  </si>
  <si>
    <t>URREA SEPÚLVEDA</t>
  </si>
  <si>
    <t>94541068</t>
  </si>
  <si>
    <t>CESAR AUGUSTO GUTIERREZ RODRIGUEZ</t>
  </si>
  <si>
    <t>cesar_gutierrezr@cun.edu.co</t>
  </si>
  <si>
    <t>PROFECESAR15@GMAIL.COM</t>
  </si>
  <si>
    <t>3176455503</t>
  </si>
  <si>
    <t>GUTIERREZ RODRIGUEZ</t>
  </si>
  <si>
    <t>ANGIE PATRICIA SALAS CARRANZA</t>
  </si>
  <si>
    <t>angie_salasc@cun.edu.co</t>
  </si>
  <si>
    <t>angiepsalasc@gmail.com</t>
  </si>
  <si>
    <t>3102558061</t>
  </si>
  <si>
    <t>ANGIE PATRICIA</t>
  </si>
  <si>
    <t>SALAS CARRANZA</t>
  </si>
  <si>
    <t>JHONNY ALEXIS LIZCANO LOPEZ</t>
  </si>
  <si>
    <t>jhonny_lizcanol@cun.edu.co</t>
  </si>
  <si>
    <t>jalizcanol@yahoo.com</t>
  </si>
  <si>
    <t>3164058852</t>
  </si>
  <si>
    <t>JHONNY ALEXIS</t>
  </si>
  <si>
    <t>LIZCANO LOPEZ</t>
  </si>
  <si>
    <t>ADOLFO JOSE GALINDO MESA</t>
  </si>
  <si>
    <t>adolfo_galindo@cun.edu.co</t>
  </si>
  <si>
    <t>adolfogalindomeza@gmail.com</t>
  </si>
  <si>
    <t>3005901367</t>
  </si>
  <si>
    <t>ADOLFO JOSE</t>
  </si>
  <si>
    <t>GALINDO MESA</t>
  </si>
  <si>
    <t>WILFREDO GUEVARA RODRIGUEZ</t>
  </si>
  <si>
    <t>wilfredo_rodriguez@cun.edu.co</t>
  </si>
  <si>
    <t>wmarines@hotmail.com</t>
  </si>
  <si>
    <t>3115578764</t>
  </si>
  <si>
    <t>WILFREDO</t>
  </si>
  <si>
    <t>GUEVARA RODRIGUEZ</t>
  </si>
  <si>
    <t>YERAZZI EDGARDO CLARO LA ROTTA</t>
  </si>
  <si>
    <t>yerazzi_claro@cun.edu.co</t>
  </si>
  <si>
    <t>edgardoclaro2020@gmail.com</t>
  </si>
  <si>
    <t>5638817868</t>
  </si>
  <si>
    <t>YERAZZI EDGARDO</t>
  </si>
  <si>
    <t>CLARO LA ROTTA</t>
  </si>
  <si>
    <t>91260826</t>
  </si>
  <si>
    <t>RAUL BAREÑO GUTIERREZ</t>
  </si>
  <si>
    <t>raul_bareno@cun.edu.co</t>
  </si>
  <si>
    <t>RAULBARE@YAHOO.ES</t>
  </si>
  <si>
    <t>3184313047</t>
  </si>
  <si>
    <t>RAUL</t>
  </si>
  <si>
    <t>BAREÑO GUTIERREZ</t>
  </si>
  <si>
    <t>1110475543</t>
  </si>
  <si>
    <t>YULLI XIMENA VILLANUEVA GARCIA</t>
  </si>
  <si>
    <t>yulli_villanueva@cun.edu.co</t>
  </si>
  <si>
    <t>yullivillanueva@gmail.com</t>
  </si>
  <si>
    <t>3002731348</t>
  </si>
  <si>
    <t>YULLI XIMENA</t>
  </si>
  <si>
    <t>VILLANUEVA GARCIA</t>
  </si>
  <si>
    <t>SERGIO ESTEBAN MARTÍNEZ BENÍTEZ</t>
  </si>
  <si>
    <t>sergio_martinez@cun.edu.co</t>
  </si>
  <si>
    <t>s19martinez97@gmail.com</t>
  </si>
  <si>
    <t>3506859317</t>
  </si>
  <si>
    <t>SERGIO ESTEBAN</t>
  </si>
  <si>
    <t>MARTÍNEZ BENÍTEZ</t>
  </si>
  <si>
    <t>MARIA FERNANDA RIVERA SANCLEMENTE</t>
  </si>
  <si>
    <t>DOC TITULAR/N/V/TC/INVESTIGACIONES/INVESTI</t>
  </si>
  <si>
    <t>maria_riveras@cun.edu.co</t>
  </si>
  <si>
    <t>chafer333@gmail.com</t>
  </si>
  <si>
    <t>3017618407</t>
  </si>
  <si>
    <t>RIVERA SANCLEMENTE</t>
  </si>
  <si>
    <t>SERGIO ELADIO BALLESTEROS HERRERA</t>
  </si>
  <si>
    <t>sergio_ballesteros@cun.edu.co</t>
  </si>
  <si>
    <t>sergioebh@gmail.com</t>
  </si>
  <si>
    <t>3157294226</t>
  </si>
  <si>
    <t>SERGIO ELADIO</t>
  </si>
  <si>
    <t>BALLESTEROS HERRERA</t>
  </si>
  <si>
    <t>MARCO ANTONIO RUIZ NIEVES</t>
  </si>
  <si>
    <t>marco_ruiz@cun.edu.co</t>
  </si>
  <si>
    <t>endefensadh@gmail.com</t>
  </si>
  <si>
    <t>3234840130</t>
  </si>
  <si>
    <t>RUIZ NIEVES</t>
  </si>
  <si>
    <t>MARIA JOSE ESCOBAR MEJIA</t>
  </si>
  <si>
    <t>maria_escobarm@cun.edu.co</t>
  </si>
  <si>
    <t>interlab.creativo@gmail.com</t>
  </si>
  <si>
    <t>3105005579</t>
  </si>
  <si>
    <t>ESCOBAR MEJIA</t>
  </si>
  <si>
    <t>1082870328</t>
  </si>
  <si>
    <t>YULIANA KARIN DE JESUS BOLAÑO BORNACHERA</t>
  </si>
  <si>
    <t>yuliana_bolano@cun.edu.co</t>
  </si>
  <si>
    <t>yulianakarin1@gmail.com</t>
  </si>
  <si>
    <t>3014865937</t>
  </si>
  <si>
    <t>YULIANA KARIN DE JESUS</t>
  </si>
  <si>
    <t>BOLAÑO BORNACHERA</t>
  </si>
  <si>
    <t>1032493171</t>
  </si>
  <si>
    <t>ASSIAH UMMANI SOLARIS ABDALA GONZALEZ</t>
  </si>
  <si>
    <t>assiah_abdala@cun.edu.co</t>
  </si>
  <si>
    <t>assiabdala@gmail.com</t>
  </si>
  <si>
    <t>3044024847</t>
  </si>
  <si>
    <t>ASSIAH UMMANI SOLARIS</t>
  </si>
  <si>
    <t>ABDALA GONZALEZ</t>
  </si>
  <si>
    <t>JOHANNA CAROLINA URICOECHEA FLOREZ</t>
  </si>
  <si>
    <t>johanna_uricoechea@cun.edu.co</t>
  </si>
  <si>
    <t>johanna.uricoechea@gmail.com</t>
  </si>
  <si>
    <t>3006361884</t>
  </si>
  <si>
    <t>URICOECHEA FLOREZ</t>
  </si>
  <si>
    <t>BRENDA CAROLINA CHACON CAICEDO</t>
  </si>
  <si>
    <t>brenda_chacon@cun.edu.co</t>
  </si>
  <si>
    <t>BRECHASPACE@GMAIL.COM</t>
  </si>
  <si>
    <t>3045859002</t>
  </si>
  <si>
    <t>BRENDA CAROLINA</t>
  </si>
  <si>
    <t>CHACON CAICEDO</t>
  </si>
  <si>
    <t>LIRA ISIS VALENCIA QUECANO</t>
  </si>
  <si>
    <t>lira_valenciaq@cun.edu.co</t>
  </si>
  <si>
    <t>liraisis@yahoo.es</t>
  </si>
  <si>
    <t>3125021078</t>
  </si>
  <si>
    <t>LIRA ISIS</t>
  </si>
  <si>
    <t>VALENCIA QUECANO</t>
  </si>
  <si>
    <t>BERTOLT DELFIN RIVERA COLMENARES</t>
  </si>
  <si>
    <t>bertolt_riverac@cun.edu.co</t>
  </si>
  <si>
    <t>bertoltrivera@gmail.com</t>
  </si>
  <si>
    <t>3012791890</t>
  </si>
  <si>
    <t>BERTOLT DELFIN</t>
  </si>
  <si>
    <t>RIVERA COLMENARES</t>
  </si>
  <si>
    <t>WILSON BONILLA PABON</t>
  </si>
  <si>
    <t>wilson_bonillap@cun.edu.co</t>
  </si>
  <si>
    <t>ingwilsonbonilla@yahoo.es</t>
  </si>
  <si>
    <t>3182405025</t>
  </si>
  <si>
    <t>BONILLA PABON</t>
  </si>
  <si>
    <t>MARIA EDELMIRA LESMES GOMEZ</t>
  </si>
  <si>
    <t>maria_lesmes@cun.edu.co</t>
  </si>
  <si>
    <t>mlesmes1@gmail.com</t>
  </si>
  <si>
    <t>3162694946</t>
  </si>
  <si>
    <t>MARIA EDELMIRA</t>
  </si>
  <si>
    <t>LESMES GOMEZ</t>
  </si>
  <si>
    <t>MARIANO ESTEBAN ROMERO TORRES</t>
  </si>
  <si>
    <t>mariano_romero@cun.edu.co</t>
  </si>
  <si>
    <t>meromerot@gmail.com</t>
  </si>
  <si>
    <t>3205704972</t>
  </si>
  <si>
    <t>MARIANO ESTEBAN</t>
  </si>
  <si>
    <t>ROMERO TORRES</t>
  </si>
  <si>
    <t>6343646</t>
  </si>
  <si>
    <t>ANDRES FELIPE VALENCIA VIDAL</t>
  </si>
  <si>
    <t>andres_valenciav@cun.edu.co</t>
  </si>
  <si>
    <t>andresvvidal@gmail.com</t>
  </si>
  <si>
    <t>3127757499</t>
  </si>
  <si>
    <t>VALENCIA VIDAL</t>
  </si>
  <si>
    <t>OSCAR JAVIER ZAMBRANO VALDIVIESO</t>
  </si>
  <si>
    <t>oscar_zambrano@cun.edu.co</t>
  </si>
  <si>
    <t>zambranoscar@gmail.com</t>
  </si>
  <si>
    <t>3106957697</t>
  </si>
  <si>
    <t>ZAMBRANO VALDIVIESO</t>
  </si>
  <si>
    <t>CAMILO EDUARDO TOVAR CLAROS</t>
  </si>
  <si>
    <t>camilo_tovarc@cun.edu.co</t>
  </si>
  <si>
    <t>designzeero@gmail.com</t>
  </si>
  <si>
    <t>3203234297</t>
  </si>
  <si>
    <t>CAMILO EDUARDO</t>
  </si>
  <si>
    <t>TOVAR CLAROS</t>
  </si>
  <si>
    <t>ANDRES FELIPE SOLIZ PINO</t>
  </si>
  <si>
    <t>andres_solisp@cun.edu.co</t>
  </si>
  <si>
    <t>felipe1594@hotmail.es</t>
  </si>
  <si>
    <t>3006591749</t>
  </si>
  <si>
    <t>SOLIZ PINO</t>
  </si>
  <si>
    <t>luis_sernah@cun.edu.co</t>
  </si>
  <si>
    <t>luisfsernah@gmail.com</t>
  </si>
  <si>
    <t>3015235498</t>
  </si>
  <si>
    <t>SERNA HERNANDEZ</t>
  </si>
  <si>
    <t>1032457407</t>
  </si>
  <si>
    <t>SERGIO ANDRES CONTRERAS CARDENAS</t>
  </si>
  <si>
    <t>DOCENTE INTELIGENCIA ARTIFICIAL</t>
  </si>
  <si>
    <t>sergio_contreras@cun.edu.co</t>
  </si>
  <si>
    <t>sacontrerasc21@gmail.com</t>
  </si>
  <si>
    <t>3014086232</t>
  </si>
  <si>
    <t>CONTRERAS CARDENAS</t>
  </si>
  <si>
    <t>SAMIR ALVEIRO MEDINA RONCANCIO</t>
  </si>
  <si>
    <t>samir_medina@cun.edu.co</t>
  </si>
  <si>
    <t>samirmedina.network@gmail.com</t>
  </si>
  <si>
    <t>3186965902</t>
  </si>
  <si>
    <t>SAMIR ALVEIRO</t>
  </si>
  <si>
    <t>MEDINA RONCANCIO</t>
  </si>
  <si>
    <t>MANUEL FRANCISCO ACOSTA TRUJILLO</t>
  </si>
  <si>
    <t>manuel_acosta@cun.edu.co</t>
  </si>
  <si>
    <t>manufacosta13@gmail.com</t>
  </si>
  <si>
    <t>3214954294</t>
  </si>
  <si>
    <t>MANUEL FRANCISCO</t>
  </si>
  <si>
    <t>ACOSTA TRUJILLO</t>
  </si>
  <si>
    <t>ABELARDO LEAL HERNANDEZ</t>
  </si>
  <si>
    <t>abelardo_lealh@cun.edu.co</t>
  </si>
  <si>
    <t>alealh@unal.edu.co</t>
  </si>
  <si>
    <t>3102216986</t>
  </si>
  <si>
    <t>ABELARDO</t>
  </si>
  <si>
    <t>LEAL HERNANDEZ</t>
  </si>
  <si>
    <t>ADRIAN MARCEL GARCIA CAICEDO</t>
  </si>
  <si>
    <t>adrian_garciac@cun.edu.co</t>
  </si>
  <si>
    <t>adriangarciacaicedo017@gmail.com</t>
  </si>
  <si>
    <t>3113647473</t>
  </si>
  <si>
    <t>ADRIAN MARCEL</t>
  </si>
  <si>
    <t>GARCIA CAICEDO</t>
  </si>
  <si>
    <t>DANIEL ALBERTO SALAS MENESES</t>
  </si>
  <si>
    <t>daniel_salasme@cun.edu.co</t>
  </si>
  <si>
    <t>lasendalisa@gmail.com</t>
  </si>
  <si>
    <t>3133256226</t>
  </si>
  <si>
    <t>SALAS MENESES</t>
  </si>
  <si>
    <t>DAGOBERTO GARZON QUEVEDO</t>
  </si>
  <si>
    <t>dagoberto_garzon@cun.edu.co</t>
  </si>
  <si>
    <t>dgarzonquevedo@gmail.com</t>
  </si>
  <si>
    <t>3028496683</t>
  </si>
  <si>
    <t>DAGOBERTO</t>
  </si>
  <si>
    <t>GARZON QUEVEDO</t>
  </si>
  <si>
    <t>DANIEL FERNANDO FLORIAN SALCEDO</t>
  </si>
  <si>
    <t>daniel_florians@cun.edu.co</t>
  </si>
  <si>
    <t>danielflorian12r@gmail.com</t>
  </si>
  <si>
    <t>3138403510</t>
  </si>
  <si>
    <t>DANIEL FERNANDO</t>
  </si>
  <si>
    <t>FLORIAN SALCEDO</t>
  </si>
  <si>
    <t>1067879307</t>
  </si>
  <si>
    <t>RODRIGO JUNIOR GARCIA HOYOS</t>
  </si>
  <si>
    <t>rodrigo_garciah@cun.edu.co</t>
  </si>
  <si>
    <t>rodrigogarciahoyos@gmail.com</t>
  </si>
  <si>
    <t>3106763499</t>
  </si>
  <si>
    <t>RODRIGO JUNIOR</t>
  </si>
  <si>
    <t>GARCIA HOYOS</t>
  </si>
  <si>
    <t>LUZ MARINA ESCAMILLA FONSECA</t>
  </si>
  <si>
    <t>luz_escamilla@cun.edu.co</t>
  </si>
  <si>
    <t>lumaesfo@yahoo.es</t>
  </si>
  <si>
    <t>3192297139</t>
  </si>
  <si>
    <t>ESCAMILLA FONSECA</t>
  </si>
  <si>
    <t>JORGE ENRIQUE CHAPARRO MEDINA</t>
  </si>
  <si>
    <t>jorge_chaparro@cun.edu.co</t>
  </si>
  <si>
    <t>JECHAPARROM@HOTMAIL.COM</t>
  </si>
  <si>
    <t>3123681546</t>
  </si>
  <si>
    <t>CHAPARRO MEDINA</t>
  </si>
  <si>
    <t>ANDRES CARRILLO GONZALEZ</t>
  </si>
  <si>
    <t>andres_carrillogo@cun.edu.co</t>
  </si>
  <si>
    <t>andres_628@hotmail.com</t>
  </si>
  <si>
    <t>3188572270</t>
  </si>
  <si>
    <t>ANDRES</t>
  </si>
  <si>
    <t>CARRILLO GONZALEZ</t>
  </si>
  <si>
    <t>ANGELA PATRICIA PULIDO CASTELBLANCO</t>
  </si>
  <si>
    <t>angela_pulido@cun.edu.co</t>
  </si>
  <si>
    <t>angelapulido07@icloud.com</t>
  </si>
  <si>
    <t>3006761792</t>
  </si>
  <si>
    <t>ANGELA PATRICIA</t>
  </si>
  <si>
    <t>PULIDO CASTELBLANCO</t>
  </si>
  <si>
    <t>VEREL ELVIRA MONROY FLORES</t>
  </si>
  <si>
    <t>verel_monroy@cun.edu.co</t>
  </si>
  <si>
    <t>verelmf1@gmail.com</t>
  </si>
  <si>
    <t>3238115769</t>
  </si>
  <si>
    <t>VEREL ELVIRA</t>
  </si>
  <si>
    <t>MONROY FLORES</t>
  </si>
  <si>
    <t>VICTOR HUGO PIÑEROS BAEZ</t>
  </si>
  <si>
    <t>victor_pinerosb@cun.edu.co</t>
  </si>
  <si>
    <t>victorh.pineros@gmail.com</t>
  </si>
  <si>
    <t>3152975330</t>
  </si>
  <si>
    <t>VICTOR HUGO</t>
  </si>
  <si>
    <t>PIÑEROS BAEZ</t>
  </si>
  <si>
    <t>MONICA ANDREA HIDALGO VERGARA</t>
  </si>
  <si>
    <t>monica_hidalgo@cun.edu.co</t>
  </si>
  <si>
    <t>moanhive@gmail.com</t>
  </si>
  <si>
    <t>3102878462</t>
  </si>
  <si>
    <t>MONICA ANDREA</t>
  </si>
  <si>
    <t>HIDALGO VERGARA</t>
  </si>
  <si>
    <t>DANIELLA RODRIGUEZ MOLINA</t>
  </si>
  <si>
    <t>daniella_rodriguez@cun.edu.co</t>
  </si>
  <si>
    <t>daniellarodriguez1993@gmail.com</t>
  </si>
  <si>
    <t>3016474183</t>
  </si>
  <si>
    <t>DANIELLA</t>
  </si>
  <si>
    <t>RODRIGUEZ MOLINA</t>
  </si>
  <si>
    <t>LAURA MARCELA POSSO MENCO</t>
  </si>
  <si>
    <t>laura_posso@cun.edu.co</t>
  </si>
  <si>
    <t>laurapossomenco@gmail.com</t>
  </si>
  <si>
    <t>3017521755</t>
  </si>
  <si>
    <t>POSSO MENCO</t>
  </si>
  <si>
    <t>JUAN SEBASTIAN HERNANDEZ MONSALVE</t>
  </si>
  <si>
    <t>juan_hernandezmo@cun.edu.co</t>
  </si>
  <si>
    <t>sebashmonsalve@gmail.com</t>
  </si>
  <si>
    <t>3176701186</t>
  </si>
  <si>
    <t>HERNANDEZ MONSALVE</t>
  </si>
  <si>
    <t>10931421</t>
  </si>
  <si>
    <t>ROBERTO CARLOS OSORIO MASS</t>
  </si>
  <si>
    <t>roberto_osorio@cun.edu.co</t>
  </si>
  <si>
    <t>rosoriomass0415@gmail.com</t>
  </si>
  <si>
    <t>3002391074</t>
  </si>
  <si>
    <t>ROBERTO CARLOS</t>
  </si>
  <si>
    <t>OSORIO MASS</t>
  </si>
  <si>
    <t>DIANA MARCELA CASTILLO ORTIZ</t>
  </si>
  <si>
    <t>diana_castilloor@cun.edu.co</t>
  </si>
  <si>
    <t>DIANIS74.DC@GMAIL.COM</t>
  </si>
  <si>
    <t>3224413444</t>
  </si>
  <si>
    <t>CASTILLO ORTIZ</t>
  </si>
  <si>
    <t>VICTOR ALFONSO MOLINA MANDON</t>
  </si>
  <si>
    <t>victor_molinam@cun.edu.co</t>
  </si>
  <si>
    <t>vicmolinamandon@gmail.com</t>
  </si>
  <si>
    <t>3152008703</t>
  </si>
  <si>
    <t>VICTOR ALFONSO</t>
  </si>
  <si>
    <t>MOLINA MANDON</t>
  </si>
  <si>
    <t>CARLOS ALBERTO SEVERICHE SIERRA</t>
  </si>
  <si>
    <t>carlos_severiche@cun.edu.co</t>
  </si>
  <si>
    <t>cseveriches2025@gmail.com</t>
  </si>
  <si>
    <t>3217534198</t>
  </si>
  <si>
    <t>SEVERICHE SIERRA</t>
  </si>
  <si>
    <t>JOHNNATHAN ALEJANDRO CARDENAS BAUTISTA</t>
  </si>
  <si>
    <t>johnnathan_cardenas@cun.edu.co</t>
  </si>
  <si>
    <t>ALEJANDROCARDENASCB@GMAIL.COM</t>
  </si>
  <si>
    <t>3204628987</t>
  </si>
  <si>
    <t>JOHNNATHAN ALEJANDRO</t>
  </si>
  <si>
    <t>CARDENAS BAUTISTA</t>
  </si>
  <si>
    <t>SANTIAGO CASTILLO HIGUERA</t>
  </si>
  <si>
    <t>santiago_castillo@cun.edu.co</t>
  </si>
  <si>
    <t>scastilloh@unal.edu.co</t>
  </si>
  <si>
    <t>3208490195</t>
  </si>
  <si>
    <t>CASTILLO HIGUERA</t>
  </si>
  <si>
    <t>RAMIRO ANTONIO MARRUGO GONZALEZ</t>
  </si>
  <si>
    <t>ramiro_marrugo@cun.edu.co</t>
  </si>
  <si>
    <t>ramarrgo@yahoo.es</t>
  </si>
  <si>
    <t>3158629959</t>
  </si>
  <si>
    <t>RAMIRO ANTONIO</t>
  </si>
  <si>
    <t>MARRUGO GONZALEZ</t>
  </si>
  <si>
    <t>MARIANA CORREA MANTILLA</t>
  </si>
  <si>
    <t>mariana_correa@cun.edu.co</t>
  </si>
  <si>
    <t>MARIANACORREABOGADA@GMAIL.COM</t>
  </si>
  <si>
    <t>3023744939</t>
  </si>
  <si>
    <t>MARIANA</t>
  </si>
  <si>
    <t>CORREA MANTILLA</t>
  </si>
  <si>
    <t>1101693535</t>
  </si>
  <si>
    <t>FLOR MARIA TORRES GUZMAN</t>
  </si>
  <si>
    <t>flor_torres@cun.edu.co</t>
  </si>
  <si>
    <t>FMTG94@HOTMAIL.COM</t>
  </si>
  <si>
    <t>3123171909</t>
  </si>
  <si>
    <t>FLOR MARIA</t>
  </si>
  <si>
    <t>TORRES GUZMAN</t>
  </si>
  <si>
    <t>CAMILO ANDRES ACOSTA ROMERO</t>
  </si>
  <si>
    <t>DOC AUX T&amp;T/N/TC/INVESTIGA/INVESTIGACIO</t>
  </si>
  <si>
    <t>camilo_acostaro@cun.edu.co</t>
  </si>
  <si>
    <t>CAMARO15006@GMAIL.COM</t>
  </si>
  <si>
    <t>3012250405</t>
  </si>
  <si>
    <t>ACOSTA ROMERO</t>
  </si>
  <si>
    <t>92641673</t>
  </si>
  <si>
    <t>JESUS EDUARDO SARMIENTO CHADID</t>
  </si>
  <si>
    <t>jesus_sarmientoc@cun.edu.co</t>
  </si>
  <si>
    <t>JESUCHADIDLAWYERS@GMAIL.COM</t>
  </si>
  <si>
    <t>3113145393</t>
  </si>
  <si>
    <t>JESUS EDUARDO</t>
  </si>
  <si>
    <t>SARMIENTO CHADID</t>
  </si>
  <si>
    <t>JUAN DAVID VIEDA MEDINA</t>
  </si>
  <si>
    <t>juan_vieda@cun.edu.co</t>
  </si>
  <si>
    <t>JUANVIMA1TOO@GMAIL.COM</t>
  </si>
  <si>
    <t>3143586071</t>
  </si>
  <si>
    <t>VIEDA MEDINA</t>
  </si>
  <si>
    <t>HASBLEIDY TATIANA CANTOR VANEGAS</t>
  </si>
  <si>
    <t>hasbleidy_cantorv@cun.edu.co</t>
  </si>
  <si>
    <t>TATIANACANTORVANEGAS@GMAIL.COM</t>
  </si>
  <si>
    <t>3192343575</t>
  </si>
  <si>
    <t>HASBLEIDY TATIANA</t>
  </si>
  <si>
    <t>CANTOR VANEGAS</t>
  </si>
  <si>
    <t>JAIME VERGARA HINCAPIE</t>
  </si>
  <si>
    <t>jaime_vergara@cun.edu.co</t>
  </si>
  <si>
    <t>JVERGARAH@UNAL.EDU.CO</t>
  </si>
  <si>
    <t>3214528129</t>
  </si>
  <si>
    <t>VERGARA HINCAPIE</t>
  </si>
  <si>
    <t>MARIA ALEJANDRA JAIMES QUINTANILLA</t>
  </si>
  <si>
    <t>maria_jaimesq@cun.edu.co</t>
  </si>
  <si>
    <t>ALEJANDRAJAIMESQ@GMAIL.COM</t>
  </si>
  <si>
    <t>3007374949</t>
  </si>
  <si>
    <t>JAIMES QUINTANILLA</t>
  </si>
  <si>
    <t>MANUEL FERNANDO BLANCO PINEDA</t>
  </si>
  <si>
    <t>manuel_blancop@cun.edu.co</t>
  </si>
  <si>
    <t>MANUEL.BLANCO@ULAGRANCOLOMBIA.EDU.CO</t>
  </si>
  <si>
    <t>3178659434</t>
  </si>
  <si>
    <t>MANUEL FERNANDO</t>
  </si>
  <si>
    <t>BLANCO PINEDA</t>
  </si>
  <si>
    <t>LUIS ALBERTO LEÓN LÓPEZ</t>
  </si>
  <si>
    <t>luis_leonl@cun.edu.co</t>
  </si>
  <si>
    <t>LUILEOLO89@GMAIL.COM</t>
  </si>
  <si>
    <t>3057084158</t>
  </si>
  <si>
    <t>LUIS ALBERTO</t>
  </si>
  <si>
    <t>LEÓN LÓPEZ</t>
  </si>
  <si>
    <t>YECID ALBERTO MATEUS PRADA</t>
  </si>
  <si>
    <t>yecid_mateusp@cun.edu.co</t>
  </si>
  <si>
    <t>Y.MATEUSP@UNIANDES.EDU.CO</t>
  </si>
  <si>
    <t>3135596807</t>
  </si>
  <si>
    <t>YECID ALBERTO</t>
  </si>
  <si>
    <t>MATEUS PRADA</t>
  </si>
  <si>
    <t>CARLOS ALEJANDRO PINEDA ROA</t>
  </si>
  <si>
    <t>carlos_pinedaro@cun.edu.co</t>
  </si>
  <si>
    <t>ALEJANDROPINEDA2001@GMAIL.COM</t>
  </si>
  <si>
    <t>3112031273</t>
  </si>
  <si>
    <t>CARLOS ALEJANDRO</t>
  </si>
  <si>
    <t>PINEDA ROA</t>
  </si>
  <si>
    <t>LEIDY TATIANA PORTILLO DELGADO</t>
  </si>
  <si>
    <t>leidy_portillod@cun.edu.co</t>
  </si>
  <si>
    <t>LEIDYTATIANAPORTILLODELGADO@GMAIL.COM</t>
  </si>
  <si>
    <t>3215777650</t>
  </si>
  <si>
    <t>PORTILLO DELGADO</t>
  </si>
  <si>
    <t>52346966</t>
  </si>
  <si>
    <t>CLAUDIA MARCELA ARIAS MEJIA</t>
  </si>
  <si>
    <t>claudia_ariasm@cun.edu.co</t>
  </si>
  <si>
    <t>CMARIASMEJIA@GMAIL.COM</t>
  </si>
  <si>
    <t>3114627298</t>
  </si>
  <si>
    <t>CLAUDIA MARCELA</t>
  </si>
  <si>
    <t>ARIAS MEJIA</t>
  </si>
  <si>
    <t>JULIAN ANDRES CASTAÑO ESPINOSA</t>
  </si>
  <si>
    <t>DOC AUX T&amp;T/N/V/TC/INVESTIGACIONES/PROYECC</t>
  </si>
  <si>
    <t>julian_castañoe@cun.edu.co</t>
  </si>
  <si>
    <t>ANDRES_DFX@HOTMAIL.COM</t>
  </si>
  <si>
    <t>3188468892</t>
  </si>
  <si>
    <t>CASTAÑO ESPINOSA</t>
  </si>
  <si>
    <t>1094933414</t>
  </si>
  <si>
    <t>DAVID MANRIQUE PEREZ</t>
  </si>
  <si>
    <t>david_manrique@cun.edu.co</t>
  </si>
  <si>
    <t>davidmanpe633@gmail.com</t>
  </si>
  <si>
    <t>3122262802</t>
  </si>
  <si>
    <t>MANRIQUE PEREZ</t>
  </si>
  <si>
    <t>INGRID NAYID RUBIANO MORALES</t>
  </si>
  <si>
    <t>ingrid_rubiano@cun.edu.co</t>
  </si>
  <si>
    <t>NAYID0102@HOTMAIL.COM</t>
  </si>
  <si>
    <t>3042162962</t>
  </si>
  <si>
    <t>INGRID NAYID</t>
  </si>
  <si>
    <t>RUBIANO MORALES</t>
  </si>
  <si>
    <t>JULIO CESAR VALDERRAMA LOZANO</t>
  </si>
  <si>
    <t>julio_valderrama@cun.edu.co</t>
  </si>
  <si>
    <t>juliocvl1@hotmail.com</t>
  </si>
  <si>
    <t>3173312962</t>
  </si>
  <si>
    <t>VALDERRAMA LOZANO</t>
  </si>
  <si>
    <t>HAROLD MEDINA MONTOYA</t>
  </si>
  <si>
    <t>harold_medinam@cun.edu.co</t>
  </si>
  <si>
    <t>HAROLD.MEDINAMONTOYA@GMAIL.COM</t>
  </si>
  <si>
    <t>3107173625</t>
  </si>
  <si>
    <t>HAROLD</t>
  </si>
  <si>
    <t>MEDINA MONTOYA</t>
  </si>
  <si>
    <t>CESAR ALBERTO VILLA MARTINEZ</t>
  </si>
  <si>
    <t>cesar_villa@cun.edu.co</t>
  </si>
  <si>
    <t>cvsports0103@gmail.com</t>
  </si>
  <si>
    <t>3126240803</t>
  </si>
  <si>
    <t>CESAR ALBERTO</t>
  </si>
  <si>
    <t>FABIAN YESID DAVILA LOPEZ</t>
  </si>
  <si>
    <t>DOC ASIS/N/V/TC/INVESTIGACIONES/INVESTIGAC</t>
  </si>
  <si>
    <t>fabian_davilal@cun.edu.co</t>
  </si>
  <si>
    <t>fabianyesiddl@ufps.edu.co</t>
  </si>
  <si>
    <t>3138682574</t>
  </si>
  <si>
    <t>FABIAN YESID</t>
  </si>
  <si>
    <t>DAVILA LOPEZ</t>
  </si>
  <si>
    <t>ISIDRO AREVALO VARGAS</t>
  </si>
  <si>
    <t>isidro_arevalo@cun.edu.co</t>
  </si>
  <si>
    <t>idrosi@gmail.com</t>
  </si>
  <si>
    <t>34624255994</t>
  </si>
  <si>
    <t>ISIDRO</t>
  </si>
  <si>
    <t>AREVALO VARGAS</t>
  </si>
  <si>
    <t>INGRID NATHALY RODRÍGUEZ MÉNDEZ</t>
  </si>
  <si>
    <t>ingrid_rodriguez@cun.edu.co</t>
  </si>
  <si>
    <t>NATHYRODRIGUEZ717@GMAIL.COM</t>
  </si>
  <si>
    <t>3169851328</t>
  </si>
  <si>
    <t>INGRID NATHALY</t>
  </si>
  <si>
    <t>RODRÍGUEZ MÉNDEZ</t>
  </si>
  <si>
    <t>1067837234</t>
  </si>
  <si>
    <t>INDIRA PAOLA POLO SANCHEZ</t>
  </si>
  <si>
    <t>indira_polo@cun.edu.co</t>
  </si>
  <si>
    <t>indipao85@hotmail.com</t>
  </si>
  <si>
    <t>3202611216</t>
  </si>
  <si>
    <t>INDIRA PAOLA</t>
  </si>
  <si>
    <t>POLO SANCHEZ</t>
  </si>
  <si>
    <t>JUAN PABLO DUEÑAS BAEZ</t>
  </si>
  <si>
    <t>juan_duenasba@cun.edu.co</t>
  </si>
  <si>
    <t>OTRODISENO1@GMAIL.COM</t>
  </si>
  <si>
    <t>3115845063</t>
  </si>
  <si>
    <t>DUEÑAS BAEZ</t>
  </si>
  <si>
    <t>KILLIAM ALBERTO LARA FLOREZ</t>
  </si>
  <si>
    <t>killiam_lara@cun.edu.co</t>
  </si>
  <si>
    <t>KILLIAMLARA95@GMAIL.COM</t>
  </si>
  <si>
    <t>313 6820108</t>
  </si>
  <si>
    <t>KILLIAM ALBERTO</t>
  </si>
  <si>
    <t>LARA FLOREZ</t>
  </si>
  <si>
    <t>ALFREDO ALEJANDRO ALDANA NOPE</t>
  </si>
  <si>
    <t>alfredo_aldana@cun.edu.co</t>
  </si>
  <si>
    <t>abogadoalejandroaldana@gmail.com</t>
  </si>
  <si>
    <t>3138835888</t>
  </si>
  <si>
    <t>ALFREDO ALEJANDRO</t>
  </si>
  <si>
    <t>ALDANA NOPE</t>
  </si>
  <si>
    <t>GIOVANNY ROBLEDO VILLANUEVA</t>
  </si>
  <si>
    <t>giovanny_robledovi@cun.edu.co</t>
  </si>
  <si>
    <t>giovarobledo@gmail.com</t>
  </si>
  <si>
    <t>3217511179</t>
  </si>
  <si>
    <t>GIOVANNY</t>
  </si>
  <si>
    <t>ROBLEDO VILLANUEVA</t>
  </si>
  <si>
    <t>cristian_ramirezr@cun.edu.co</t>
  </si>
  <si>
    <t>DAVID.11RAMIREZ@GMAIL.COM</t>
  </si>
  <si>
    <t>3504243695</t>
  </si>
  <si>
    <t>CHRISTIAN DAVID</t>
  </si>
  <si>
    <t>RAMIREZ RUBIANO</t>
  </si>
  <si>
    <t>MILLER RIAÑO SOLANO</t>
  </si>
  <si>
    <t>miller_riano@cun.edu.co</t>
  </si>
  <si>
    <t>millerrs8@gmail.com</t>
  </si>
  <si>
    <t>3132758959</t>
  </si>
  <si>
    <t>MILLER</t>
  </si>
  <si>
    <t>RIAÑO SOLANO</t>
  </si>
  <si>
    <t>EDGAR FARID CARREÑO FLOREZ</t>
  </si>
  <si>
    <t>edgar_carreno@cun.edu.co</t>
  </si>
  <si>
    <t>edgar.carrenof@cun.edu.co</t>
  </si>
  <si>
    <t>3112117391</t>
  </si>
  <si>
    <t>EDGAR FARID</t>
  </si>
  <si>
    <t>CARREÑO FLOREZ</t>
  </si>
  <si>
    <t>PAOLA ANGELICA CASTRO SALAZAR</t>
  </si>
  <si>
    <t>paola_castroh@cun.edu.co</t>
  </si>
  <si>
    <t>paosalazar177@gmail.com</t>
  </si>
  <si>
    <t>3023814334</t>
  </si>
  <si>
    <t>PAOLA ANGELICA</t>
  </si>
  <si>
    <t>CASTRO SALAZAR</t>
  </si>
  <si>
    <t>LAURA VALENTINA MOSCOSO RAMIREZ</t>
  </si>
  <si>
    <t>laura_moscosor@cun.edu.co</t>
  </si>
  <si>
    <t>laura.moscoso@cun.edu.co</t>
  </si>
  <si>
    <t>3158742511</t>
  </si>
  <si>
    <t>LAURA VALENTINA</t>
  </si>
  <si>
    <t>MOSCOSO RAMIREZ</t>
  </si>
  <si>
    <t>JUAN CARLOS HERRERA ESTRADA</t>
  </si>
  <si>
    <t>juan_herreraes@cun.edu.co</t>
  </si>
  <si>
    <t>juancherrerae@gmail.com</t>
  </si>
  <si>
    <t>3118537142</t>
  </si>
  <si>
    <t>HERRERA ESTRADA</t>
  </si>
  <si>
    <t>WILLIAM ANDRES PRIETO GALINDO</t>
  </si>
  <si>
    <t>william_prieto@cun.edu.co</t>
  </si>
  <si>
    <t>PRIGAWILL@GMAIL.COM</t>
  </si>
  <si>
    <t>3114064546</t>
  </si>
  <si>
    <t>PRIETO GALINDO</t>
  </si>
  <si>
    <t>BEICY VIVIANA ACOSTA GONZALEZ</t>
  </si>
  <si>
    <t>beicy_acostag@cun.edu.co</t>
  </si>
  <si>
    <t>E.BACOSTA@GO.UGR.ES</t>
  </si>
  <si>
    <t>3115625866</t>
  </si>
  <si>
    <t>BEICY VIVIANA</t>
  </si>
  <si>
    <t>ACOSTA GONZALEZ</t>
  </si>
  <si>
    <t>FREDDY ALEJANDRO BERNAL GONZALEZ</t>
  </si>
  <si>
    <t>freddy_bernal@cun.edu.co</t>
  </si>
  <si>
    <t>BERNALEJOS2011@HOTMAIL.COM</t>
  </si>
  <si>
    <t>3016304911</t>
  </si>
  <si>
    <t>FREDDY ALEJANDRO</t>
  </si>
  <si>
    <t>BERNAL GONZALEZ</t>
  </si>
  <si>
    <t>evelin_davilal@cun.edu.co</t>
  </si>
  <si>
    <t>EVELINSOFIADALO@UFPS.EDU.CO</t>
  </si>
  <si>
    <t>3023195541</t>
  </si>
  <si>
    <t>EVELIN SOFIA</t>
  </si>
  <si>
    <t>MARVIN LUIS JIMENEZ NARVAEZ</t>
  </si>
  <si>
    <t>marvin_jimenez@cun.edu.co</t>
  </si>
  <si>
    <t>MARVINJIMENEZNARVAEZ@GMAIL.COM</t>
  </si>
  <si>
    <t>3043327088</t>
  </si>
  <si>
    <t>MARVIN LUIS</t>
  </si>
  <si>
    <t>JIMENEZ NARVAEZ</t>
  </si>
  <si>
    <t>DANIEL FELIPE BELTRAN JIMENEZ</t>
  </si>
  <si>
    <t>daniel_beltran@cun.edu.co</t>
  </si>
  <si>
    <t>DFBJ@OUTLOOK.COM</t>
  </si>
  <si>
    <t>3204877670</t>
  </si>
  <si>
    <t>BELTRAN JIMENEZ</t>
  </si>
  <si>
    <t>LUIS ADOLFO PINZON LEON</t>
  </si>
  <si>
    <t>luis_pinzon@cun.edu.co</t>
  </si>
  <si>
    <t>luispinzon81@gmail.com</t>
  </si>
  <si>
    <t>3135370641</t>
  </si>
  <si>
    <t>LUIS ADOLFO</t>
  </si>
  <si>
    <t>PINZON LEON</t>
  </si>
  <si>
    <t>CAMILO ANDRES BARAJAS ROZO</t>
  </si>
  <si>
    <t>camilo_barajasr@cun.edu.co</t>
  </si>
  <si>
    <t>camiandres20013@gmail.com</t>
  </si>
  <si>
    <t>3197015686</t>
  </si>
  <si>
    <t>BARAJAS ROZO</t>
  </si>
  <si>
    <t>DARIO AGATON DIAZ</t>
  </si>
  <si>
    <t>dario_agatond@cun.edu.co</t>
  </si>
  <si>
    <t>D.AGATON7@GMAIL.COM</t>
  </si>
  <si>
    <t>3166935975</t>
  </si>
  <si>
    <t>DARIO</t>
  </si>
  <si>
    <t>AGATON DIAZ</t>
  </si>
  <si>
    <t>88262616</t>
  </si>
  <si>
    <t>CARLOS GERMAN NEIRA LINARES</t>
  </si>
  <si>
    <t>carlos_neira@cun.edu.co</t>
  </si>
  <si>
    <t>C_neira83@hotmail.com</t>
  </si>
  <si>
    <t>3203057120</t>
  </si>
  <si>
    <t>CARLOS GERMAN</t>
  </si>
  <si>
    <t>NEIRA LINARES</t>
  </si>
  <si>
    <t>MARIO JAVIER QUINTERO VIDAL</t>
  </si>
  <si>
    <t>mario_quintero@cun.edu.co</t>
  </si>
  <si>
    <t>MARIOJQUINTERO@GMAIL.COM</t>
  </si>
  <si>
    <t>3014265060</t>
  </si>
  <si>
    <t>MARIO JAVIER</t>
  </si>
  <si>
    <t>QUINTERO VIDAL</t>
  </si>
  <si>
    <t>80186209</t>
  </si>
  <si>
    <t>MICHEL FEDERICO BUSTOS ROMERO</t>
  </si>
  <si>
    <t>michael_bustos@cun.edu.co</t>
  </si>
  <si>
    <t>VIRTUALAWSOLUTIONS@GMAIL.COM</t>
  </si>
  <si>
    <t>3134181833</t>
  </si>
  <si>
    <t>MICHEL FEDERICO</t>
  </si>
  <si>
    <t>BUSTOS ROMERO</t>
  </si>
  <si>
    <t>SERGIO LUIS SÁNCHEZ RENGIFO</t>
  </si>
  <si>
    <t>sergio_sanchezre@cun.edu.co</t>
  </si>
  <si>
    <t>SERGIOLUISANCHEZ22@GMAIL.COM</t>
  </si>
  <si>
    <t>3053397610</t>
  </si>
  <si>
    <t>SÁNCHEZ RENGIFO</t>
  </si>
  <si>
    <t>camilo_vargasma@cun.edu.co</t>
  </si>
  <si>
    <t>U0303623@UNIMILITAR.EDU.CO</t>
  </si>
  <si>
    <t>3502463931</t>
  </si>
  <si>
    <t>CAMILO ANDRÉS</t>
  </si>
  <si>
    <t>VARGAS MACHADO</t>
  </si>
  <si>
    <t>DIEGO FELIPE DIAZ TOVAR</t>
  </si>
  <si>
    <t>diego_diazt@cun.edu.co</t>
  </si>
  <si>
    <t>difedito@gmail.com</t>
  </si>
  <si>
    <t>3182379251</t>
  </si>
  <si>
    <t>DIEGO FELIPE</t>
  </si>
  <si>
    <t>DIAZ TOVAR</t>
  </si>
  <si>
    <t>JIMMY JEOVANY POLINDARA VELASCO</t>
  </si>
  <si>
    <t>jimmy_polindara@cun.edu.co</t>
  </si>
  <si>
    <t>jimmy.polindara@esap.edu.co</t>
  </si>
  <si>
    <t>3126872334</t>
  </si>
  <si>
    <t>JIMMY JEOVANY</t>
  </si>
  <si>
    <t>POLINDARA VELASCO</t>
  </si>
  <si>
    <t>LORENA MARÍA VARGAS DÍAZ</t>
  </si>
  <si>
    <t>lorena_vargasd@cun.edu.co</t>
  </si>
  <si>
    <t>LORENAVAR@GMAIL.COM</t>
  </si>
  <si>
    <t>3152060035</t>
  </si>
  <si>
    <t>LORENA MARÍA</t>
  </si>
  <si>
    <t>VARGAS DÍAZ</t>
  </si>
  <si>
    <t>CAMILO SALGADO JIMENEZ</t>
  </si>
  <si>
    <t>camilo_salgadoj@cun.edu.co</t>
  </si>
  <si>
    <t>CASIJIMENEZ26@GMAIL.COM</t>
  </si>
  <si>
    <t>3105119892</t>
  </si>
  <si>
    <t>SALGADO JIMENEZ</t>
  </si>
  <si>
    <t>ANDRY YINEY TELLEZ PARDO</t>
  </si>
  <si>
    <t>andry_tellez@cun.edu.co</t>
  </si>
  <si>
    <t>ANDRY.TALENTOHUMANO@GMAIL.COM</t>
  </si>
  <si>
    <t>3161758011</t>
  </si>
  <si>
    <t>ANDRY YINEY</t>
  </si>
  <si>
    <t>TELLEZ PARDO</t>
  </si>
  <si>
    <t>JULIO CESAR PACHON EUGENIO</t>
  </si>
  <si>
    <t>julio_pachon@cun.edu.co</t>
  </si>
  <si>
    <t>julio.pachon@yahoo.com</t>
  </si>
  <si>
    <t>3053795523</t>
  </si>
  <si>
    <t>PACHON EUGENIO</t>
  </si>
  <si>
    <t>GERMAN ANDRES ALARCON LEUDO</t>
  </si>
  <si>
    <t>german_alarconl@cun.edu.co</t>
  </si>
  <si>
    <t>germanalarco44@gmail.com</t>
  </si>
  <si>
    <t>3004536840</t>
  </si>
  <si>
    <t>GERMAN ANDRES</t>
  </si>
  <si>
    <t>ALARCON LEUDO</t>
  </si>
  <si>
    <t>ANGIE PAOLA ESPAÑA TORO</t>
  </si>
  <si>
    <t>angie_espana@cun.edu.co</t>
  </si>
  <si>
    <t>angie_espana@hotmail.com</t>
  </si>
  <si>
    <t>3222488703</t>
  </si>
  <si>
    <t>ESPAÑA TORO</t>
  </si>
  <si>
    <t>MICHAEL STEVEN ZAPATA BARBOSA</t>
  </si>
  <si>
    <t>michael_zapatab@cun.edu.co</t>
  </si>
  <si>
    <t>mszapatab@pedagogica.edu.co</t>
  </si>
  <si>
    <t>3013277047</t>
  </si>
  <si>
    <t>ZAPATA BARBOSA</t>
  </si>
  <si>
    <t>RUTH KATHERINE SANABRIA ALARCON</t>
  </si>
  <si>
    <t>ruth_sanabria@cun.edu.co</t>
  </si>
  <si>
    <t>ruksa3@hotmail.com</t>
  </si>
  <si>
    <t>3161818118</t>
  </si>
  <si>
    <t>RUTH KATHERINE</t>
  </si>
  <si>
    <t>SANABRIA ALARCON</t>
  </si>
  <si>
    <t>JARRINSON ALEJANDRO JIMENEZ FAJARDO</t>
  </si>
  <si>
    <t>jarrinson_jimenezf@cun.edu.co</t>
  </si>
  <si>
    <t>ALEJANDRO.JAJ25@GMAIL.COM</t>
  </si>
  <si>
    <t>3104129469</t>
  </si>
  <si>
    <t>JARRINSON ALEJANDRO</t>
  </si>
  <si>
    <t>JIMENEZ FAJARDO</t>
  </si>
  <si>
    <t>JUVER ANDREY JIMENEZ MORENO</t>
  </si>
  <si>
    <t>juver_jimenez@cun.edu.co</t>
  </si>
  <si>
    <t>JUAJIMENEZMO@gmail.com</t>
  </si>
  <si>
    <t>3118412320</t>
  </si>
  <si>
    <t>JUVER ANDREY</t>
  </si>
  <si>
    <t>JIMENEZ MORENO</t>
  </si>
  <si>
    <t>ELVER JULIAN GUILLEN ROZO</t>
  </si>
  <si>
    <t>elver_guillenr@cun.edu.co</t>
  </si>
  <si>
    <t>EJGUILLEN@UTP.EDU.CO</t>
  </si>
  <si>
    <t>3133813322</t>
  </si>
  <si>
    <t>ELVER JULIAN</t>
  </si>
  <si>
    <t>GUILLEN ROZO</t>
  </si>
  <si>
    <t>CARLOS ANDRES RUBIANO CASTILLO</t>
  </si>
  <si>
    <t>carlos_rubianoc@cun.edu.co</t>
  </si>
  <si>
    <t>carlos.comunicadorsocial@gmail.com</t>
  </si>
  <si>
    <t>3014893586</t>
  </si>
  <si>
    <t>RUBIANO CASTILLO</t>
  </si>
  <si>
    <t>JUAN PABLO MORALES ARIAS</t>
  </si>
  <si>
    <t>juan_moralesa@cun.edu.co</t>
  </si>
  <si>
    <t>juanpablomorales37@gmail.com</t>
  </si>
  <si>
    <t>3178816996</t>
  </si>
  <si>
    <t>MORALES ARIAS</t>
  </si>
  <si>
    <t>80204143</t>
  </si>
  <si>
    <t>DANIEL ANDRES VELASQUEZ MANTILLA</t>
  </si>
  <si>
    <t>daniel_velasquez@cun.edu.co</t>
  </si>
  <si>
    <t>danielvelasquez84@gmail.com</t>
  </si>
  <si>
    <t>3103089411</t>
  </si>
  <si>
    <t>DANIEL ANDRES</t>
  </si>
  <si>
    <t>VELASQUEZ MANTILLA</t>
  </si>
  <si>
    <t>JUAN PABLO HEREDIA MARTIN</t>
  </si>
  <si>
    <t>juan_herediam@cun.edu.co</t>
  </si>
  <si>
    <t>tpalqjp@hotmail.com</t>
  </si>
  <si>
    <t>3152819185</t>
  </si>
  <si>
    <t>HEREDIA MARTIN</t>
  </si>
  <si>
    <t>HAYDER ALEJANDRO ROMERO SIERRA</t>
  </si>
  <si>
    <t>hayder_romeros@cun.edu.co</t>
  </si>
  <si>
    <t>hars200588@gmail.com</t>
  </si>
  <si>
    <t>3214470922</t>
  </si>
  <si>
    <t>HAYDER ALEJANDRO</t>
  </si>
  <si>
    <t>ROMERO SIERRA</t>
  </si>
  <si>
    <t>MARIA FERNANDA MOLANO GIRALDO</t>
  </si>
  <si>
    <t>maria_molanog@cun.edu.co</t>
  </si>
  <si>
    <t>mariafernandamolano@hotmail.com</t>
  </si>
  <si>
    <t>3058191746</t>
  </si>
  <si>
    <t>MOLANO GIRALDO</t>
  </si>
  <si>
    <t>LUZ ADRIANA GENOY HERNANDEZ</t>
  </si>
  <si>
    <t>luz_genoy@cun.edu.co</t>
  </si>
  <si>
    <t>luzadrianagenoyh@gmail.com</t>
  </si>
  <si>
    <t>3023679406</t>
  </si>
  <si>
    <t>LUZ ADRIANA</t>
  </si>
  <si>
    <t>GENOY HERNANDEZ</t>
  </si>
  <si>
    <t>LILIAN KATHERINE SANJUAN PABON</t>
  </si>
  <si>
    <t>lilian_sanjuan@cun.edu.co</t>
  </si>
  <si>
    <t>kathesanjuan@hotmail.com</t>
  </si>
  <si>
    <t>3204571530</t>
  </si>
  <si>
    <t>LILIAN KATHERINE</t>
  </si>
  <si>
    <t>SANJUAN PABON</t>
  </si>
  <si>
    <t>MARLENE FLOREZ GUTIERREZ</t>
  </si>
  <si>
    <t>marlene_florez@cun.edu.co</t>
  </si>
  <si>
    <t>MARLEFLOREZ@HOTMAIL.COM</t>
  </si>
  <si>
    <t>3008261178</t>
  </si>
  <si>
    <t>MARLENE</t>
  </si>
  <si>
    <t>FLOREZ GUTIERREZ</t>
  </si>
  <si>
    <t>JORGE IVAN AGUILERA COPETE</t>
  </si>
  <si>
    <t>jorge_aguilerac@cun.edu.co</t>
  </si>
  <si>
    <t>jorge.aguilera.3d@gmail.com</t>
  </si>
  <si>
    <t>3223052896</t>
  </si>
  <si>
    <t>JORGE IVAN</t>
  </si>
  <si>
    <t>AGUILERA COPETE</t>
  </si>
  <si>
    <t>ALICIA VANESA BURGOS BELTRAN</t>
  </si>
  <si>
    <t>alicia_burgos@cun.edu.co</t>
  </si>
  <si>
    <t>vanessabeltranhc@gmail.com</t>
  </si>
  <si>
    <t>3196333392</t>
  </si>
  <si>
    <t>ALICIA VANESA</t>
  </si>
  <si>
    <t>BURGOS BELTRAN</t>
  </si>
  <si>
    <t>1020820280</t>
  </si>
  <si>
    <t>DAVID ANDRES COCOMA SARMIENTO</t>
  </si>
  <si>
    <t>DACOCOSAR10@GMAIL.COM</t>
  </si>
  <si>
    <t>3185579509</t>
  </si>
  <si>
    <t>COCOMA SARMIENTO</t>
  </si>
  <si>
    <t>1086300022</t>
  </si>
  <si>
    <t>ZULENY IRENE CUARAN CUARAN</t>
  </si>
  <si>
    <t>ZULENYCU@GMAIL.COM</t>
  </si>
  <si>
    <t>3122043471</t>
  </si>
  <si>
    <t>ZULENY IRENE</t>
  </si>
  <si>
    <t>CUARAN CUARAN</t>
  </si>
  <si>
    <t>88251157</t>
  </si>
  <si>
    <t>GIAN ANDREI GOMEZ CELIS</t>
  </si>
  <si>
    <t>GIAN.GOMEZ1981@GMAIL.COM</t>
  </si>
  <si>
    <t>3058362915</t>
  </si>
  <si>
    <t>GIAN ANDREI</t>
  </si>
  <si>
    <t>GOMEZ CELIS</t>
  </si>
  <si>
    <t>79538520</t>
  </si>
  <si>
    <t>SAMUEL EDUARDO YARA TIQUE</t>
  </si>
  <si>
    <t>YARATIKE@HOTMAIL.COM</t>
  </si>
  <si>
    <t>3213151189</t>
  </si>
  <si>
    <t>SAMUEL EDUARDO</t>
  </si>
  <si>
    <t>YARA TIQUE</t>
  </si>
  <si>
    <t>JULIO ANDRES SALGADO REYES</t>
  </si>
  <si>
    <t>julio_salgador@cun.edu.co</t>
  </si>
  <si>
    <t>JULIO751@GMAIL.COM</t>
  </si>
  <si>
    <t>3208007380</t>
  </si>
  <si>
    <t>JULIO ANDRES</t>
  </si>
  <si>
    <t>SALGADO REYES</t>
  </si>
  <si>
    <t>OSCAR LIBARDO RODRIGUEZ MONTAÑO</t>
  </si>
  <si>
    <t>oscar_rodriguezm@cun.edu.co</t>
  </si>
  <si>
    <t>olrodriguezm@unal.edu.co</t>
  </si>
  <si>
    <t>3003539779</t>
  </si>
  <si>
    <t>OSCAR LIBARDO</t>
  </si>
  <si>
    <t>RODRIGUEZ MONTAÑO</t>
  </si>
  <si>
    <t>DIANA PAOLA CRUZ VELASQUEZ</t>
  </si>
  <si>
    <t>diana_cruzv@cun.edu.co</t>
  </si>
  <si>
    <t>CRUZNANA3@GMAIL.COM</t>
  </si>
  <si>
    <t>3014372947</t>
  </si>
  <si>
    <t>CRUZ VELASQUEZ</t>
  </si>
  <si>
    <t>SINDY JULIETH BARRERA SUAREZ</t>
  </si>
  <si>
    <t>sindy_barreras@cun.edu.co</t>
  </si>
  <si>
    <t>BSINDYJULIETH@GMAIL.COM</t>
  </si>
  <si>
    <t>3184832238</t>
  </si>
  <si>
    <t>SINDY JULIETH</t>
  </si>
  <si>
    <t>BARRERA SUAREZ</t>
  </si>
  <si>
    <t>1095913345</t>
  </si>
  <si>
    <t>SERGIO ARMANDO RUEDA GOMEZ</t>
  </si>
  <si>
    <t>sergio_ruedago@cun.edu.co</t>
  </si>
  <si>
    <t>sergio.armando.rueda@gmail.com</t>
  </si>
  <si>
    <t>3142338162</t>
  </si>
  <si>
    <t>SERGIO ARMANDO</t>
  </si>
  <si>
    <t>RUEDA GOMEZ</t>
  </si>
  <si>
    <t>1019069182</t>
  </si>
  <si>
    <t>JUAN SEBASTIAN SABOGAL PARRA</t>
  </si>
  <si>
    <t>juan_sabogalp@cun.edu.co</t>
  </si>
  <si>
    <t>JSSABOGALP@udistrital.edu.co</t>
  </si>
  <si>
    <t>3506555528</t>
  </si>
  <si>
    <t>SABOGAL PARRA</t>
  </si>
  <si>
    <t>LEIDY NOREDY PUYO GIRALDO</t>
  </si>
  <si>
    <t>leidy_puyo@cun.edu.co</t>
  </si>
  <si>
    <t>lpuyogiraldo@gmail.com</t>
  </si>
  <si>
    <t>3115882465</t>
  </si>
  <si>
    <t>LEIDY NOREDY</t>
  </si>
  <si>
    <t>PUYO GIRALDO</t>
  </si>
  <si>
    <t>LUIS FELIPE JIMENEZ SANCHEZ</t>
  </si>
  <si>
    <t>luis_jimenezs@cun.edu.co</t>
  </si>
  <si>
    <t>luisjfelipej@gmail.com</t>
  </si>
  <si>
    <t>3123213674</t>
  </si>
  <si>
    <t>LUIS FELIPE</t>
  </si>
  <si>
    <t>JIMENEZ SANCHEZ</t>
  </si>
  <si>
    <t>OLMER ESNEIDER MARTINEZ GARCIA</t>
  </si>
  <si>
    <t>olmer_martinez@cun.edu.co</t>
  </si>
  <si>
    <t>PROFEOLMER@GMAIL.COM</t>
  </si>
  <si>
    <t>3155281008</t>
  </si>
  <si>
    <t>OLMER ESNEIDER</t>
  </si>
  <si>
    <t>MARTINEZ GARCIA</t>
  </si>
  <si>
    <t>LINA MARIA GARIBELLO SANCHEZ</t>
  </si>
  <si>
    <t>lina_garibellos@cun.edu.co</t>
  </si>
  <si>
    <t>LINAMARIASANCHEZ_18@HOTMAIL.COM</t>
  </si>
  <si>
    <t>3204951650</t>
  </si>
  <si>
    <t>GARIBELLO SANCHEZ</t>
  </si>
  <si>
    <t>1010184011</t>
  </si>
  <si>
    <t>MAYERLI GARCIA SAAVEDRA</t>
  </si>
  <si>
    <t>mayerli_garcia@cun.edu.co</t>
  </si>
  <si>
    <t>MAYERLIGARCIASAAVEDRA@GMAIL.COM</t>
  </si>
  <si>
    <t>3138769076</t>
  </si>
  <si>
    <t>MAYERLI</t>
  </si>
  <si>
    <t>GARCIA SAAVEDRA</t>
  </si>
  <si>
    <t>SERGIO ENRIQUE CLAVIJO MORENO</t>
  </si>
  <si>
    <t>sergio_clavijo@cun.edu.co</t>
  </si>
  <si>
    <t>SERGHIO_2407@HOTMAIL.COM</t>
  </si>
  <si>
    <t>3057671829</t>
  </si>
  <si>
    <t>SERGIO ENRIQUE</t>
  </si>
  <si>
    <t>CLAVIJO MORENO</t>
  </si>
  <si>
    <t>RAUL ALEJANDRO MUÑOZ GALINDO</t>
  </si>
  <si>
    <t>raul_munoz@cun.edu.co</t>
  </si>
  <si>
    <t>ING.ALEJANDRO.M@GMAIL.COM</t>
  </si>
  <si>
    <t>3192194506</t>
  </si>
  <si>
    <t>RAUL ALEJANDRO</t>
  </si>
  <si>
    <t>MUÑOZ GALINDO</t>
  </si>
  <si>
    <t>LILIAM ANGGELINE ALONSO PALACIOS</t>
  </si>
  <si>
    <t>liliam_alonso@cun.edu.co</t>
  </si>
  <si>
    <t>ANGGELINE11@GMAIL.COM</t>
  </si>
  <si>
    <t>3202372894</t>
  </si>
  <si>
    <t>LILIAM ANGGELINE</t>
  </si>
  <si>
    <t>ALONSO PALACIOS</t>
  </si>
  <si>
    <t>MILDRE YURANI HERNANDEZ RAMIREZ</t>
  </si>
  <si>
    <t>mildre_hernandezr@cun.edu.co</t>
  </si>
  <si>
    <t>MILDREHER05@GMAIL.COM</t>
  </si>
  <si>
    <t>3502819303</t>
  </si>
  <si>
    <t>MILDRE YURANI</t>
  </si>
  <si>
    <t>HERNANDEZ RAMIREZ</t>
  </si>
  <si>
    <t>1102803464</t>
  </si>
  <si>
    <t>JAIDER JAVIER DE LA ROSA BERTEL</t>
  </si>
  <si>
    <t>jaider_rosa@cun.edu.co</t>
  </si>
  <si>
    <t>ingenierojaiderdelarosa@gmail.com</t>
  </si>
  <si>
    <t>3206843374</t>
  </si>
  <si>
    <t>JAIDER JAVIER</t>
  </si>
  <si>
    <t>DE LA ROSA BERTEL</t>
  </si>
  <si>
    <t>PABLO ANDRES CASTRO HENAO</t>
  </si>
  <si>
    <t>pablo_castroh@cun.edu.co</t>
  </si>
  <si>
    <t>pacastrohenao@gmail.com</t>
  </si>
  <si>
    <t>3118410074</t>
  </si>
  <si>
    <t>CASTRO HENAO</t>
  </si>
  <si>
    <t>ANDRES CAMILO CORREA NUÑEZ</t>
  </si>
  <si>
    <t>andres_correan@cun.edu.co</t>
  </si>
  <si>
    <t>ACAMILOCORREAN@GMAIL.COM</t>
  </si>
  <si>
    <t>3158463025</t>
  </si>
  <si>
    <t>CORREA NUÑEZ</t>
  </si>
  <si>
    <t>RAFAEL FRANCISCO DIAZ VASQUEZ</t>
  </si>
  <si>
    <t>rafael_diazv@cun.edu.co</t>
  </si>
  <si>
    <t>rafaeldia@gmail.com</t>
  </si>
  <si>
    <t>3196899479</t>
  </si>
  <si>
    <t>RAFAEL FRANCISCO</t>
  </si>
  <si>
    <t>DIAZ VASQUEZ</t>
  </si>
  <si>
    <t>WILLIAM GIOVANNI MORENO AVILA</t>
  </si>
  <si>
    <t>william_morenoa@cun.edu.co</t>
  </si>
  <si>
    <t>WMORENO0428@GMAIL.COM</t>
  </si>
  <si>
    <t>3142463975</t>
  </si>
  <si>
    <t>WILLIAM GIOVANNI</t>
  </si>
  <si>
    <t>MORENO AVILA</t>
  </si>
  <si>
    <t>JESUS EDUARDO CONTRERAS NARANJO</t>
  </si>
  <si>
    <t>jesus_contreras@cun.edu.co</t>
  </si>
  <si>
    <t>JCONTRERASNA1224@OUTLOOK.COM</t>
  </si>
  <si>
    <t>3114401498</t>
  </si>
  <si>
    <t>CONTRERAS NARANJO</t>
  </si>
  <si>
    <t>RESUMEN EJECUTIVO DE ASISTENCIA CUN</t>
  </si>
  <si>
    <t>Modalidad / Invitación</t>
  </si>
  <si>
    <t>Cantidad Registros</t>
  </si>
  <si>
    <t>TOTAL GENERAL</t>
  </si>
  <si>
    <t>Regional (Nombre Nivel 2)</t>
  </si>
  <si>
    <t>Presenciales</t>
  </si>
  <si>
    <t>REGIONAL NARInO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</si>
</sst>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1F2937"/>
      <name val="Calibri"/>
    </font>
    <font>
      <b/>
      <sz val="16"/>
      <color rgb="FF004B28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4B28"/>
        <bgColor rgb="FF004B28"/>
      </patternFill>
    </fill>
    <fill>
      <patternFill patternType="solid">
        <fgColor rgb="FFF9FAFB"/>
        <bgColor rgb="FFF9FAF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0" fontId="3" fillId="0" borderId="0" xfId="0" applyFont="1"/>
    <xf numFmtId="0" fontId="1" fillId="2" borderId="0" xfId="0" applyFont="1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Distribución por Modalidad (Únicos Válidos)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Resumen_y_Graficos!$B$3</c:f>
              <c:strCache>
                <c:ptCount val="1"/>
                <c:pt idx="0">
                  <c:v>Cantidad Registros</c:v>
                </c:pt>
              </c:strCache>
            </c:strRef>
          </c:tx>
          <c:spPr>
            <a:ln>
              <a:prstDash val="solid"/>
            </a:ln>
          </c:spPr>
          <c:cat>
            <c:strRef>
              <c:f>Resumen_y_Graficos!$A$4:$A$5</c:f>
              <c:strCache>
                <c:ptCount val="2"/>
                <c:pt idx="0">
                  <c:v>PRESENCIAL</c:v>
                </c:pt>
                <c:pt idx="1">
                  <c:v>VIRTUAL</c:v>
                </c:pt>
              </c:strCache>
            </c:strRef>
          </c:cat>
          <c:val>
            <c:numRef>
              <c:f>Resumen_y_Graficos!$B$4:$B$5</c:f>
              <c:numCache>
                <c:formatCode>General</c:formatCode>
                <c:ptCount val="2"/>
                <c:pt idx="0">
                  <c:v>491</c:v>
                </c:pt>
                <c:pt idx="1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37-4D70-97AF-24D70D542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Participación Presencial por Regional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Resumen_y_Graficos!$B$9</c:f>
              <c:strCache>
                <c:ptCount val="1"/>
                <c:pt idx="0">
                  <c:v>Presenciales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Resumen_y_Graficos!$A$10:$A$23</c:f>
              <c:strCache>
                <c:ptCount val="14"/>
                <c:pt idx="0">
                  <c:v>REGIONAL BOGOTA</c:v>
                </c:pt>
                <c:pt idx="1">
                  <c:v>REGIONAL MAGDALENA</c:v>
                </c:pt>
                <c:pt idx="2">
                  <c:v>REGIONAL SUCRE</c:v>
                </c:pt>
                <c:pt idx="3">
                  <c:v>REGIONAL TOLIMA</c:v>
                </c:pt>
                <c:pt idx="4">
                  <c:v>REGIONAL ANTIOQUIA</c:v>
                </c:pt>
                <c:pt idx="5">
                  <c:v>REGIONAL HUILA</c:v>
                </c:pt>
                <c:pt idx="6">
                  <c:v>REGIONAL ATLANTICO</c:v>
                </c:pt>
                <c:pt idx="7">
                  <c:v>REGIONAL CORDOBA</c:v>
                </c:pt>
                <c:pt idx="8">
                  <c:v>REGIONAL CUNDINAMARCA</c:v>
                </c:pt>
                <c:pt idx="9">
                  <c:v>REGIONAL NARInO</c:v>
                </c:pt>
                <c:pt idx="10">
                  <c:v>REGIONAL QUINDIO</c:v>
                </c:pt>
                <c:pt idx="11">
                  <c:v>REGIONAL CALDAS</c:v>
                </c:pt>
                <c:pt idx="12">
                  <c:v>REGIONAL META</c:v>
                </c:pt>
                <c:pt idx="13">
                  <c:v>REGIONAL BOYACA</c:v>
                </c:pt>
              </c:strCache>
            </c:strRef>
          </c:cat>
          <c:val>
            <c:numRef>
              <c:f>Resumen_y_Graficos!$B$10:$B$23</c:f>
              <c:numCache>
                <c:formatCode>General</c:formatCode>
                <c:ptCount val="14"/>
                <c:pt idx="0">
                  <c:v>394</c:v>
                </c:pt>
                <c:pt idx="1">
                  <c:v>40</c:v>
                </c:pt>
                <c:pt idx="2">
                  <c:v>25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CE-4849-B6E5-84A5580C6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Regional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8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01"/>
  <sheetViews>
    <sheetView topLeftCell="A23" workbookViewId="0"/>
  </sheetViews>
  <sheetFormatPr baseColWidth="10" defaultColWidth="9.140625" defaultRowHeight="15" x14ac:dyDescent="0.25"/>
  <cols>
    <col min="1" max="8" width="22" customWidth="1"/>
  </cols>
  <sheetData>
    <row r="1" spans="1:8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.100000000000001" customHeight="1" x14ac:dyDescent="0.25">
      <c r="A2" s="2" t="str">
        <f>IF(B2="","",IFERROR(VLOOKUP(B2, PLANTA_BASE!A:W, 2, FALSE), "NO ENCONTRADO EN PLANTA"))</f>
        <v>VIRTUAL</v>
      </c>
      <c r="B2" s="3" t="s">
        <v>8</v>
      </c>
      <c r="C2" s="4" t="s">
        <v>9</v>
      </c>
      <c r="D2" s="2" t="str">
        <f>IF(B2="","",IFERROR(VLOOKUP(B2, PLANTA_BASE!A:W, 5, FALSE), "NO ENCONTRADO EN PLANTA"))</f>
        <v>REGIONAL BOGOTA</v>
      </c>
      <c r="E2" s="2" t="str">
        <f>IF(B2="","",IFERROR(VLOOKUP(B2, PLANTA_BASE!A:W, 6, FALSE), "NO ENCONTRADO EN PLANTA"))</f>
        <v>BOGOTA CENTRO</v>
      </c>
      <c r="F2" s="4" t="str">
        <f>IF(B2="","",IFERROR(VLOOKUP(B2, PLANTA_BASE!A:W, 8, FALSE), "DOCENTE / FACILITADOR"))</f>
        <v>DOC ASIS/N/V/TC/ADM DE EMPRE/FUN.ACADE-ADMIN</v>
      </c>
      <c r="G2" s="4" t="str">
        <f>IF(B2="","",IFERROR(VLOOKUP(B2, PLANTA_BASE!A:W, 9, FALSE), "GENERAL"))</f>
        <v>ADMINISTRACION DE EMPRESAS</v>
      </c>
      <c r="H2" s="2" t="str">
        <f>IF(B2="","",IFERROR(VLOOKUP(B2, PLANTA_BASE!A:W, 17, FALSE), "GENERAL"))</f>
        <v>ADMINISTRACION DE EMPRESAS</v>
      </c>
    </row>
    <row r="3" spans="1:8" ht="20.100000000000001" customHeight="1" x14ac:dyDescent="0.25">
      <c r="A3" s="5" t="str">
        <f>IF(B3="","",IFERROR(VLOOKUP(B3, PLANTA_BASE!A:W, 2, FALSE), "NO ENCONTRADO EN PLANTA"))</f>
        <v>VIRTUAL</v>
      </c>
      <c r="B3" s="6" t="s">
        <v>10</v>
      </c>
      <c r="C3" s="7" t="s">
        <v>11</v>
      </c>
      <c r="D3" s="5" t="str">
        <f>IF(B3="","",IFERROR(VLOOKUP(B3, PLANTA_BASE!A:W, 5, FALSE), "NO ENCONTRADO EN PLANTA"))</f>
        <v>REGIONAL BOYACA</v>
      </c>
      <c r="E3" s="5" t="str">
        <f>IF(B3="","",IFERROR(VLOOKUP(B3, PLANTA_BASE!A:W, 6, FALSE), "NO ENCONTRADO EN PLANTA"))</f>
        <v>TUNJA</v>
      </c>
      <c r="F3" s="7" t="str">
        <f>IF(B3="","",IFERROR(VLOOKUP(B3, PLANTA_BASE!A:W, 8, FALSE), "DOCENTE / FACILITADOR"))</f>
        <v>DOCENTE AUX/N/V/TC/EMPRENDIMIE/PROYECT A</v>
      </c>
      <c r="G3" s="7" t="str">
        <f>IF(B3="","",IFERROR(VLOOKUP(B3, PLANTA_BASE!A:W, 9, FALSE), "GENERAL"))</f>
        <v>EMPRENDIMIENTO</v>
      </c>
      <c r="H3" s="5" t="str">
        <f>IF(B3="","",IFERROR(VLOOKUP(B3, PLANTA_BASE!A:W, 17, FALSE), "GENERAL"))</f>
        <v>EMPRENDIMIENTO</v>
      </c>
    </row>
    <row r="4" spans="1:8" ht="20.100000000000001" customHeight="1" x14ac:dyDescent="0.25">
      <c r="A4" s="2" t="str">
        <f>IF(B4="","",IFERROR(VLOOKUP(B4, PLANTA_BASE!A:W, 2, FALSE), "NO ENCONTRADO EN PLANTA"))</f>
        <v>VIRTUAL</v>
      </c>
      <c r="B4" s="3" t="s">
        <v>12</v>
      </c>
      <c r="C4" s="4" t="s">
        <v>13</v>
      </c>
      <c r="D4" s="2" t="str">
        <f>IF(B4="","",IFERROR(VLOOKUP(B4, PLANTA_BASE!A:W, 5, FALSE), "NO ENCONTRADO EN PLANTA"))</f>
        <v>REGIONAL CORDOBA</v>
      </c>
      <c r="E4" s="2" t="str">
        <f>IF(B4="","",IFERROR(VLOOKUP(B4, PLANTA_BASE!A:W, 6, FALSE), "NO ENCONTRADO EN PLANTA"))</f>
        <v>MONTERIA</v>
      </c>
      <c r="F4" s="4" t="str">
        <f>IF(B4="","",IFERROR(VLOOKUP(B4, PLANTA_BASE!A:W, 8, FALSE), "DOCENTE / FACILITADOR"))</f>
        <v>DOC ASOC/N/V/TC/INVESTIGACIONES/INVESTIG</v>
      </c>
      <c r="G4" s="4" t="str">
        <f>IF(B4="","",IFERROR(VLOOKUP(B4, PLANTA_BASE!A:W, 9, FALSE), "GENERAL"))</f>
        <v>INVESTIGACIONES</v>
      </c>
      <c r="H4" s="2" t="str">
        <f>IF(B4="","",IFERROR(VLOOKUP(B4, PLANTA_BASE!A:W, 17, FALSE), "GENERAL"))</f>
        <v>INVESTIGACIONES</v>
      </c>
    </row>
    <row r="5" spans="1:8" ht="20.100000000000001" customHeight="1" x14ac:dyDescent="0.25">
      <c r="A5" s="5" t="str">
        <f>IF(B5="","",IFERROR(VLOOKUP(B5, PLANTA_BASE!A:W, 2, FALSE), "NO ENCONTRADO EN PLANTA"))</f>
        <v>PRESENCIAL</v>
      </c>
      <c r="B5" s="6" t="s">
        <v>14</v>
      </c>
      <c r="C5" s="7" t="s">
        <v>15</v>
      </c>
      <c r="D5" s="5" t="str">
        <f>IF(B5="","",IFERROR(VLOOKUP(B5, PLANTA_BASE!A:W, 5, FALSE), "NO ENCONTRADO EN PLANTA"))</f>
        <v>REGIONAL BOGOTA</v>
      </c>
      <c r="E5" s="5" t="str">
        <f>IF(B5="","",IFERROR(VLOOKUP(B5, PLANTA_BASE!A:W, 6, FALSE), "NO ENCONTRADO EN PLANTA"))</f>
        <v>BOGOTA CENTRO</v>
      </c>
      <c r="F5" s="7" t="str">
        <f>IF(B5="","",IFERROR(VLOOKUP(B5, PLANTA_BASE!A:W, 8, FALSE), "DOCENTE / FACILITADOR"))</f>
        <v>DOC AUX T&amp;T/N/TC/EMPRENDIMIE/FUN.ACADE-ADMIN</v>
      </c>
      <c r="G5" s="7" t="str">
        <f>IF(B5="","",IFERROR(VLOOKUP(B5, PLANTA_BASE!A:W, 9, FALSE), "GENERAL"))</f>
        <v>EMPRENDIMIENTO</v>
      </c>
      <c r="H5" s="5" t="str">
        <f>IF(B5="","",IFERROR(VLOOKUP(B5, PLANTA_BASE!A:W, 17, FALSE), "GENERAL"))</f>
        <v>EMPRENDIMIENTO</v>
      </c>
    </row>
    <row r="6" spans="1:8" ht="20.100000000000001" customHeight="1" x14ac:dyDescent="0.25">
      <c r="A6" s="2" t="str">
        <f>IF(B6="","",IFERROR(VLOOKUP(B6, PLANTA_BASE!A:W, 2, FALSE), "NO ENCONTRADO EN PLANTA"))</f>
        <v>VIRTUAL</v>
      </c>
      <c r="B6" s="3" t="s">
        <v>16</v>
      </c>
      <c r="C6" s="4" t="s">
        <v>17</v>
      </c>
      <c r="D6" s="2" t="str">
        <f>IF(B6="","",IFERROR(VLOOKUP(B6, PLANTA_BASE!A:W, 5, FALSE), "NO ENCONTRADO EN PLANTA"))</f>
        <v>REGIONAL ANTIOQUIA</v>
      </c>
      <c r="E6" s="2" t="str">
        <f>IF(B6="","",IFERROR(VLOOKUP(B6, PLANTA_BASE!A:W, 6, FALSE), "NO ENCONTRADO EN PLANTA"))</f>
        <v>MEDELLIN</v>
      </c>
      <c r="F6" s="4" t="str">
        <f>IF(B6="","",IFERROR(VLOOKUP(B6, PLANTA_BASE!A:W, 8, FALSE), "DOCENTE / FACILITADOR"))</f>
        <v>DOC AUX T&amp;T/N/V/MT/ESP ANALIT DATOS</v>
      </c>
      <c r="G6" s="4" t="str">
        <f>IF(B6="","",IFERROR(VLOOKUP(B6, PLANTA_BASE!A:W, 9, FALSE), "GENERAL"))</f>
        <v>ESPECIALIZACION DE ANALITICA DE DATOS</v>
      </c>
      <c r="H6" s="2" t="str">
        <f>IF(B6="","",IFERROR(VLOOKUP(B6, PLANTA_BASE!A:W, 17, FALSE), "GENERAL"))</f>
        <v>ESPECIALIZACION DE ANALITICA DE DATOS</v>
      </c>
    </row>
    <row r="7" spans="1:8" ht="20.100000000000001" customHeight="1" x14ac:dyDescent="0.25">
      <c r="A7" s="5" t="str">
        <f>IF(B7="","",IFERROR(VLOOKUP(B7, PLANTA_BASE!A:W, 2, FALSE), "NO ENCONTRADO EN PLANTA"))</f>
        <v>PRESENCIAL</v>
      </c>
      <c r="B7" s="6" t="s">
        <v>18</v>
      </c>
      <c r="C7" s="7" t="s">
        <v>19</v>
      </c>
      <c r="D7" s="5" t="str">
        <f>IF(B7="","",IFERROR(VLOOKUP(B7, PLANTA_BASE!A:W, 5, FALSE), "NO ENCONTRADO EN PLANTA"))</f>
        <v>REGIONAL BOGOTA</v>
      </c>
      <c r="E7" s="5" t="str">
        <f>IF(B7="","",IFERROR(VLOOKUP(B7, PLANTA_BASE!A:W, 6, FALSE), "NO ENCONTRADO EN PLANTA"))</f>
        <v>BOGOTA RESTREPO</v>
      </c>
      <c r="F7" s="7" t="str">
        <f>IF(B7="","",IFERROR(VLOOKUP(B7, PLANTA_BASE!A:W, 8, FALSE), "DOCENTE / FACILITADOR"))</f>
        <v>DOCENTE AUX/N/MT/ ADM SER SALUD</v>
      </c>
      <c r="G7" s="7" t="str">
        <f>IF(B7="","",IFERROR(VLOOKUP(B7, PLANTA_BASE!A:W, 9, FALSE), "GENERAL"))</f>
        <v>ADMINISTRACION EN SERVICIOS DE SALUD</v>
      </c>
      <c r="H7" s="5" t="str">
        <f>IF(B7="","",IFERROR(VLOOKUP(B7, PLANTA_BASE!A:W, 17, FALSE), "GENERAL"))</f>
        <v>ADMINISTRACION EN SERVICIOS DE SALUD</v>
      </c>
    </row>
    <row r="8" spans="1:8" ht="20.100000000000001" customHeight="1" x14ac:dyDescent="0.25">
      <c r="A8" s="2" t="str">
        <f>IF(B8="","",IFERROR(VLOOKUP(B8, PLANTA_BASE!A:W, 2, FALSE), "NO ENCONTRADO EN PLANTA"))</f>
        <v>PRESENCIAL</v>
      </c>
      <c r="B8" s="3" t="s">
        <v>20</v>
      </c>
      <c r="C8" s="4" t="s">
        <v>21</v>
      </c>
      <c r="D8" s="2" t="str">
        <f>IF(B8="","",IFERROR(VLOOKUP(B8, PLANTA_BASE!A:W, 5, FALSE), "NO ENCONTRADO EN PLANTA"))</f>
        <v>REGIONAL BOGOTA</v>
      </c>
      <c r="E8" s="2" t="str">
        <f>IF(B8="","",IFERROR(VLOOKUP(B8, PLANTA_BASE!A:W, 6, FALSE), "NO ENCONTRADO EN PLANTA"))</f>
        <v>BOGOTA CENTRO</v>
      </c>
      <c r="F8" s="4" t="str">
        <f>IF(B8="","",IFERROR(VLOOKUP(B8, PLANTA_BASE!A:W, 8, FALSE), "DOCENTE / FACILITADOR"))</f>
        <v>DOC AUX T&amp;T/N/TC/INVESTIGACIONES/INVESTI</v>
      </c>
      <c r="G8" s="4" t="str">
        <f>IF(B8="","",IFERROR(VLOOKUP(B8, PLANTA_BASE!A:W, 9, FALSE), "GENERAL"))</f>
        <v>INVESTIGACIONES</v>
      </c>
      <c r="H8" s="2" t="str">
        <f>IF(B8="","",IFERROR(VLOOKUP(B8, PLANTA_BASE!A:W, 17, FALSE), "GENERAL"))</f>
        <v>INVESTIGACIONES</v>
      </c>
    </row>
    <row r="9" spans="1:8" ht="20.100000000000001" customHeight="1" x14ac:dyDescent="0.25">
      <c r="A9" s="5" t="str">
        <f>IF(B9="","",IFERROR(VLOOKUP(B9, PLANTA_BASE!A:W, 2, FALSE), "NO ENCONTRADO EN PLANTA"))</f>
        <v>PRESENCIAL</v>
      </c>
      <c r="B9" s="6" t="s">
        <v>22</v>
      </c>
      <c r="C9" s="7" t="s">
        <v>23</v>
      </c>
      <c r="D9" s="5" t="str">
        <f>IF(B9="","",IFERROR(VLOOKUP(B9, PLANTA_BASE!A:W, 5, FALSE), "NO ENCONTRADO EN PLANTA"))</f>
        <v>REGIONAL ANTIOQUIA</v>
      </c>
      <c r="E9" s="5" t="str">
        <f>IF(B9="","",IFERROR(VLOOKUP(B9, PLANTA_BASE!A:W, 6, FALSE), "NO ENCONTRADO EN PLANTA"))</f>
        <v>MEDELLIN</v>
      </c>
      <c r="F9" s="7" t="str">
        <f>IF(B9="","",IFERROR(VLOOKUP(B9, PLANTA_BASE!A:W, 8, FALSE), "DOCENTE / FACILITADOR"))</f>
        <v>DOC AUX T&amp;T/N/TC/DIS PROD MOD/FUN.ACADE-ADMIN</v>
      </c>
      <c r="G9" s="7" t="str">
        <f>IF(B9="","",IFERROR(VLOOKUP(B9, PLANTA_BASE!A:W, 9, FALSE), "GENERAL"))</f>
        <v>DISEÑO Y PRODUCCION DE MODAS</v>
      </c>
      <c r="H9" s="5" t="str">
        <f>IF(B9="","",IFERROR(VLOOKUP(B9, PLANTA_BASE!A:W, 17, FALSE), "GENERAL"))</f>
        <v>DISEÑO Y PRODUCCION DE MODAS</v>
      </c>
    </row>
    <row r="10" spans="1:8" ht="20.100000000000001" customHeight="1" x14ac:dyDescent="0.25">
      <c r="A10" s="2" t="str">
        <f>IF(B10="","",IFERROR(VLOOKUP(B10, PLANTA_BASE!A:W, 2, FALSE), "NO ENCONTRADO EN PLANTA"))</f>
        <v>PRESENCIAL</v>
      </c>
      <c r="B10" s="3" t="s">
        <v>24</v>
      </c>
      <c r="C10" s="4" t="s">
        <v>25</v>
      </c>
      <c r="D10" s="2" t="str">
        <f>IF(B10="","",IFERROR(VLOOKUP(B10, PLANTA_BASE!A:W, 5, FALSE), "NO ENCONTRADO EN PLANTA"))</f>
        <v>REGIONAL BOGOTA</v>
      </c>
      <c r="E10" s="2" t="str">
        <f>IF(B10="","",IFERROR(VLOOKUP(B10, PLANTA_BASE!A:W, 6, FALSE), "NO ENCONTRADO EN PLANTA"))</f>
        <v>BOGOTA CENTRO</v>
      </c>
      <c r="F10" s="4" t="str">
        <f>IF(B10="","",IFERROR(VLOOKUP(B10, PLANTA_BASE!A:W, 8, FALSE), "DOCENTE / FACILITADOR"))</f>
        <v>DOCENTE AUX/N/TC/DIS GRAFICO/FUN.ACADE-ADMIN</v>
      </c>
      <c r="G10" s="4" t="str">
        <f>IF(B10="","",IFERROR(VLOOKUP(B10, PLANTA_BASE!A:W, 9, FALSE), "GENERAL"))</f>
        <v>DISEÑO GRAFICO</v>
      </c>
      <c r="H10" s="2" t="str">
        <f>IF(B10="","",IFERROR(VLOOKUP(B10, PLANTA_BASE!A:W, 17, FALSE), "GENERAL"))</f>
        <v>DISEÑO GRAFICO</v>
      </c>
    </row>
    <row r="11" spans="1:8" ht="20.100000000000001" customHeight="1" x14ac:dyDescent="0.25">
      <c r="A11" s="5" t="str">
        <f>IF(B11="","",IFERROR(VLOOKUP(B11, PLANTA_BASE!A:W, 2, FALSE), "NO ENCONTRADO EN PLANTA"))</f>
        <v>PRESENCIAL</v>
      </c>
      <c r="B11" s="6" t="s">
        <v>26</v>
      </c>
      <c r="C11" s="7" t="s">
        <v>27</v>
      </c>
      <c r="D11" s="5" t="str">
        <f>IF(B11="","",IFERROR(VLOOKUP(B11, PLANTA_BASE!A:W, 5, FALSE), "NO ENCONTRADO EN PLANTA"))</f>
        <v>REGIONAL BOGOTA</v>
      </c>
      <c r="E11" s="5" t="str">
        <f>IF(B11="","",IFERROR(VLOOKUP(B11, PLANTA_BASE!A:W, 6, FALSE), "NO ENCONTRADO EN PLANTA"))</f>
        <v>BOGOTA CENTRO</v>
      </c>
      <c r="F11" s="7" t="str">
        <f>IF(B11="","",IFERROR(VLOOKUP(B11, PLANTA_BASE!A:W, 8, FALSE), "DOCENTE / FACILITADOR"))</f>
        <v>DOCENTE ASIS/N/TC/DIS GRAFICO/FUN.ACADE-ADMIN</v>
      </c>
      <c r="G11" s="7" t="str">
        <f>IF(B11="","",IFERROR(VLOOKUP(B11, PLANTA_BASE!A:W, 9, FALSE), "GENERAL"))</f>
        <v>DISEÑO GRAFICO</v>
      </c>
      <c r="H11" s="5" t="str">
        <f>IF(B11="","",IFERROR(VLOOKUP(B11, PLANTA_BASE!A:W, 17, FALSE), "GENERAL"))</f>
        <v>DISEÑO GRAFICO</v>
      </c>
    </row>
    <row r="12" spans="1:8" ht="20.100000000000001" customHeight="1" x14ac:dyDescent="0.25">
      <c r="A12" s="2" t="str">
        <f>IF(B12="","",IFERROR(VLOOKUP(B12, PLANTA_BASE!A:W, 2, FALSE), "NO ENCONTRADO EN PLANTA"))</f>
        <v>PRESENCIAL</v>
      </c>
      <c r="B12" s="3" t="s">
        <v>28</v>
      </c>
      <c r="C12" s="4" t="s">
        <v>29</v>
      </c>
      <c r="D12" s="2" t="str">
        <f>IF(B12="","",IFERROR(VLOOKUP(B12, PLANTA_BASE!A:W, 5, FALSE), "NO ENCONTRADO EN PLANTA"))</f>
        <v>REGIONAL ANTIOQUIA</v>
      </c>
      <c r="E12" s="2" t="str">
        <f>IF(B12="","",IFERROR(VLOOKUP(B12, PLANTA_BASE!A:W, 6, FALSE), "NO ENCONTRADO EN PLANTA"))</f>
        <v>MEDELLIN</v>
      </c>
      <c r="F12" s="4" t="str">
        <f>IF(B12="","",IFERROR(VLOOKUP(B12, PLANTA_BASE!A:W, 8, FALSE), "DOCENTE / FACILITADOR"))</f>
        <v>DOC AUX T&amp;T/N/TC/DIS PROD MOD/FUN.ACADE-ADMIN</v>
      </c>
      <c r="G12" s="4" t="str">
        <f>IF(B12="","",IFERROR(VLOOKUP(B12, PLANTA_BASE!A:W, 9, FALSE), "GENERAL"))</f>
        <v>DISEÑO Y PRODUCCION DE MODAS</v>
      </c>
      <c r="H12" s="2" t="str">
        <f>IF(B12="","",IFERROR(VLOOKUP(B12, PLANTA_BASE!A:W, 17, FALSE), "GENERAL"))</f>
        <v>DISEÑO Y PRODUCCION DE MODAS</v>
      </c>
    </row>
    <row r="13" spans="1:8" ht="20.100000000000001" customHeight="1" x14ac:dyDescent="0.25">
      <c r="A13" s="5" t="str">
        <f>IF(B13="","",IFERROR(VLOOKUP(B13, PLANTA_BASE!A:W, 2, FALSE), "NO ENCONTRADO EN PLANTA"))</f>
        <v>VIRTUAL</v>
      </c>
      <c r="B13" s="6" t="s">
        <v>30</v>
      </c>
      <c r="C13" s="7" t="s">
        <v>31</v>
      </c>
      <c r="D13" s="5" t="str">
        <f>IF(B13="","",IFERROR(VLOOKUP(B13, PLANTA_BASE!A:W, 5, FALSE), "NO ENCONTRADO EN PLANTA"))</f>
        <v>REGIONAL CUNDINAMARCA</v>
      </c>
      <c r="E13" s="5" t="str">
        <f>IF(B13="","",IFERROR(VLOOKUP(B13, PLANTA_BASE!A:W, 6, FALSE), "NO ENCONTRADO EN PLANTA"))</f>
        <v>MOSQUERA</v>
      </c>
      <c r="F13" s="7" t="str">
        <f>IF(B13="","",IFERROR(VLOOKUP(B13, PLANTA_BASE!A:W, 8, FALSE), "DOCENTE / FACILITADOR"))</f>
        <v>DOC AUX T&amp;T/N/V/TC/IDIOMAS/FUN.ACADE-ADMIN</v>
      </c>
      <c r="G13" s="7" t="str">
        <f>IF(B13="","",IFERROR(VLOOKUP(B13, PLANTA_BASE!A:W, 9, FALSE), "GENERAL"))</f>
        <v>IDIOMAS</v>
      </c>
      <c r="H13" s="5" t="str">
        <f>IF(B13="","",IFERROR(VLOOKUP(B13, PLANTA_BASE!A:W, 17, FALSE), "GENERAL"))</f>
        <v>IDIOMAS</v>
      </c>
    </row>
    <row r="14" spans="1:8" ht="20.100000000000001" customHeight="1" x14ac:dyDescent="0.25">
      <c r="A14" s="2" t="str">
        <f>IF(B14="","",IFERROR(VLOOKUP(B14, PLANTA_BASE!A:W, 2, FALSE), "NO ENCONTRADO EN PLANTA"))</f>
        <v>PRESENCIAL</v>
      </c>
      <c r="B14" s="3" t="s">
        <v>32</v>
      </c>
      <c r="C14" s="4" t="s">
        <v>33</v>
      </c>
      <c r="D14" s="2" t="str">
        <f>IF(B14="","",IFERROR(VLOOKUP(B14, PLANTA_BASE!A:W, 5, FALSE), "NO ENCONTRADO EN PLANTA"))</f>
        <v>REGIONAL BOGOTA</v>
      </c>
      <c r="E14" s="2" t="str">
        <f>IF(B14="","",IFERROR(VLOOKUP(B14, PLANTA_BASE!A:W, 6, FALSE), "NO ENCONTRADO EN PLANTA"))</f>
        <v>BOGOTA CENTRO</v>
      </c>
      <c r="F14" s="4" t="str">
        <f>IF(B14="","",IFERROR(VLOOKUP(B14, PLANTA_BASE!A:W, 8, FALSE), "DOCENTE / FACILITADOR"))</f>
        <v>DOC AUX T&amp;T/N/MT/ING ELECTRO</v>
      </c>
      <c r="G14" s="4" t="str">
        <f>IF(B14="","",IFERROR(VLOOKUP(B14, PLANTA_BASE!A:W, 9, FALSE), "GENERAL"))</f>
        <v>INGENIERIA ELECTRONICA</v>
      </c>
      <c r="H14" s="2" t="str">
        <f>IF(B14="","",IFERROR(VLOOKUP(B14, PLANTA_BASE!A:W, 17, FALSE), "GENERAL"))</f>
        <v>INGENIERIA ELECTRONICA</v>
      </c>
    </row>
    <row r="15" spans="1:8" ht="20.100000000000001" customHeight="1" x14ac:dyDescent="0.25">
      <c r="A15" s="5" t="str">
        <f>IF(B15="","",IFERROR(VLOOKUP(B15, PLANTA_BASE!A:W, 2, FALSE), "NO ENCONTRADO EN PLANTA"))</f>
        <v>PRESENCIAL</v>
      </c>
      <c r="B15" s="6" t="s">
        <v>34</v>
      </c>
      <c r="C15" s="7" t="s">
        <v>35</v>
      </c>
      <c r="D15" s="5" t="str">
        <f>IF(B15="","",IFERROR(VLOOKUP(B15, PLANTA_BASE!A:W, 5, FALSE), "NO ENCONTRADO EN PLANTA"))</f>
        <v>REGIONAL ANTIOQUIA</v>
      </c>
      <c r="E15" s="5" t="str">
        <f>IF(B15="","",IFERROR(VLOOKUP(B15, PLANTA_BASE!A:W, 6, FALSE), "NO ENCONTRADO EN PLANTA"))</f>
        <v>MEDELLIN</v>
      </c>
      <c r="F15" s="7" t="str">
        <f>IF(B15="","",IFERROR(VLOOKUP(B15, PLANTA_BASE!A:W, 8, FALSE), "DOCENTE / FACILITADOR"))</f>
        <v>DOCENTE AUX/N/TC/DIS PROD MOD/FUN.ACADE-ADMIN</v>
      </c>
      <c r="G15" s="7" t="str">
        <f>IF(B15="","",IFERROR(VLOOKUP(B15, PLANTA_BASE!A:W, 9, FALSE), "GENERAL"))</f>
        <v>DISEÑO Y PRODUCCION DE MODAS</v>
      </c>
      <c r="H15" s="5" t="str">
        <f>IF(B15="","",IFERROR(VLOOKUP(B15, PLANTA_BASE!A:W, 17, FALSE), "GENERAL"))</f>
        <v>DISEÑO Y PRODUCCION DE MODAS</v>
      </c>
    </row>
    <row r="16" spans="1:8" ht="20.100000000000001" customHeight="1" x14ac:dyDescent="0.25">
      <c r="A16" s="2" t="str">
        <f>IF(B16="","",IFERROR(VLOOKUP(B16, PLANTA_BASE!A:W, 2, FALSE), "NO ENCONTRADO EN PLANTA"))</f>
        <v>PRESENCIAL</v>
      </c>
      <c r="B16" s="3" t="s">
        <v>36</v>
      </c>
      <c r="C16" s="4" t="s">
        <v>37</v>
      </c>
      <c r="D16" s="2" t="str">
        <f>IF(B16="","",IFERROR(VLOOKUP(B16, PLANTA_BASE!A:W, 5, FALSE), "NO ENCONTRADO EN PLANTA"))</f>
        <v>REGIONAL BOGOTA</v>
      </c>
      <c r="E16" s="2" t="str">
        <f>IF(B16="","",IFERROR(VLOOKUP(B16, PLANTA_BASE!A:W, 6, FALSE), "NO ENCONTRADO EN PLANTA"))</f>
        <v>BOGOTA SUBA</v>
      </c>
      <c r="F16" s="4" t="str">
        <f>IF(B16="","",IFERROR(VLOOKUP(B16, PLANTA_BASE!A:W, 8, FALSE), "DOCENTE / FACILITADOR"))</f>
        <v>DOCENTE AUX/N/TC/ING SISTEM/FUN.ACADE-ADMIN</v>
      </c>
      <c r="G16" s="4" t="str">
        <f>IF(B16="","",IFERROR(VLOOKUP(B16, PLANTA_BASE!A:W, 9, FALSE), "GENERAL"))</f>
        <v>INGENIERIA DE SISTEMAS</v>
      </c>
      <c r="H16" s="2" t="str">
        <f>IF(B16="","",IFERROR(VLOOKUP(B16, PLANTA_BASE!A:W, 17, FALSE), "GENERAL"))</f>
        <v>INGENIERIA DE SISTEMAS</v>
      </c>
    </row>
    <row r="17" spans="1:8" ht="20.100000000000001" customHeight="1" x14ac:dyDescent="0.25">
      <c r="A17" s="5" t="str">
        <f>IF(B17="","",IFERROR(VLOOKUP(B17, PLANTA_BASE!A:W, 2, FALSE), "NO ENCONTRADO EN PLANTA"))</f>
        <v>PRESENCIAL</v>
      </c>
      <c r="B17" s="6" t="s">
        <v>38</v>
      </c>
      <c r="C17" s="7" t="s">
        <v>39</v>
      </c>
      <c r="D17" s="5" t="str">
        <f>IF(B17="","",IFERROR(VLOOKUP(B17, PLANTA_BASE!A:W, 5, FALSE), "NO ENCONTRADO EN PLANTA"))</f>
        <v>REGIONAL ANTIOQUIA</v>
      </c>
      <c r="E17" s="5" t="str">
        <f>IF(B17="","",IFERROR(VLOOKUP(B17, PLANTA_BASE!A:W, 6, FALSE), "NO ENCONTRADO EN PLANTA"))</f>
        <v>MEDELLIN</v>
      </c>
      <c r="F17" s="7" t="str">
        <f>IF(B17="","",IFERROR(VLOOKUP(B17, PLANTA_BASE!A:W, 8, FALSE), "DOCENTE / FACILITADOR"))</f>
        <v>DOC AUX T&amp;T/N/TC/DIS PROD MOD/PROYECCIO</v>
      </c>
      <c r="G17" s="7" t="str">
        <f>IF(B17="","",IFERROR(VLOOKUP(B17, PLANTA_BASE!A:W, 9, FALSE), "GENERAL"))</f>
        <v>DISEÑO Y PRODUCCION DE MODAS</v>
      </c>
      <c r="H17" s="5" t="str">
        <f>IF(B17="","",IFERROR(VLOOKUP(B17, PLANTA_BASE!A:W, 17, FALSE), "GENERAL"))</f>
        <v>DISEÑO Y PRODUCCION DE MODAS</v>
      </c>
    </row>
    <row r="18" spans="1:8" ht="20.100000000000001" customHeight="1" x14ac:dyDescent="0.25">
      <c r="A18" s="2" t="str">
        <f>IF(B18="","",IFERROR(VLOOKUP(B18, PLANTA_BASE!A:W, 2, FALSE), "NO ENCONTRADO EN PLANTA"))</f>
        <v>VIRTUAL</v>
      </c>
      <c r="B18" s="3" t="s">
        <v>40</v>
      </c>
      <c r="C18" s="4" t="s">
        <v>41</v>
      </c>
      <c r="D18" s="2" t="str">
        <f>IF(B18="","",IFERROR(VLOOKUP(B18, PLANTA_BASE!A:W, 5, FALSE), "NO ENCONTRADO EN PLANTA"))</f>
        <v>REGIONAL SANTANDER</v>
      </c>
      <c r="E18" s="2" t="str">
        <f>IF(B18="","",IFERROR(VLOOKUP(B18, PLANTA_BASE!A:W, 6, FALSE), "NO ENCONTRADO EN PLANTA"))</f>
        <v>BUCARAMANGA</v>
      </c>
      <c r="F18" s="4" t="str">
        <f>IF(B18="","",IFERROR(VLOOKUP(B18, PLANTA_BASE!A:W, 8, FALSE), "DOCENTE / FACILITADOR"))</f>
        <v>DOC ASOC/N/V/TC/INVESTIGACIONES/INVESTIG</v>
      </c>
      <c r="G18" s="4" t="str">
        <f>IF(B18="","",IFERROR(VLOOKUP(B18, PLANTA_BASE!A:W, 9, FALSE), "GENERAL"))</f>
        <v>INVESTIGACIONES</v>
      </c>
      <c r="H18" s="2" t="str">
        <f>IF(B18="","",IFERROR(VLOOKUP(B18, PLANTA_BASE!A:W, 17, FALSE), "GENERAL"))</f>
        <v>INVESTIGACIONES</v>
      </c>
    </row>
    <row r="19" spans="1:8" ht="20.100000000000001" customHeight="1" x14ac:dyDescent="0.25">
      <c r="A19" s="5" t="str">
        <f>IF(B19="","",IFERROR(VLOOKUP(B19, PLANTA_BASE!A:W, 2, FALSE), "NO ENCONTRADO EN PLANTA"))</f>
        <v>PRESENCIAL</v>
      </c>
      <c r="B19" s="6" t="s">
        <v>42</v>
      </c>
      <c r="C19" s="7" t="s">
        <v>43</v>
      </c>
      <c r="D19" s="5" t="str">
        <f>IF(B19="","",IFERROR(VLOOKUP(B19, PLANTA_BASE!A:W, 5, FALSE), "NO ENCONTRADO EN PLANTA"))</f>
        <v>REGIONAL BOGOTA</v>
      </c>
      <c r="E19" s="5" t="str">
        <f>IF(B19="","",IFERROR(VLOOKUP(B19, PLANTA_BASE!A:W, 6, FALSE), "NO ENCONTRADO EN PLANTA"))</f>
        <v>BOGOTA CENTRO</v>
      </c>
      <c r="F19" s="7" t="str">
        <f>IF(B19="","",IFERROR(VLOOKUP(B19, PLANTA_BASE!A:W, 8, FALSE), "DOCENTE / FACILITADOR"))</f>
        <v>DOCENTE ASIS/N/TC/INVESTIGA/INVESTIGACIO</v>
      </c>
      <c r="G19" s="7" t="str">
        <f>IF(B19="","",IFERROR(VLOOKUP(B19, PLANTA_BASE!A:W, 9, FALSE), "GENERAL"))</f>
        <v>INVESTIGACIONES</v>
      </c>
      <c r="H19" s="5" t="str">
        <f>IF(B19="","",IFERROR(VLOOKUP(B19, PLANTA_BASE!A:W, 17, FALSE), "GENERAL"))</f>
        <v>INVESTIGACIONES</v>
      </c>
    </row>
    <row r="20" spans="1:8" ht="20.100000000000001" customHeight="1" x14ac:dyDescent="0.25">
      <c r="A20" s="2" t="str">
        <f>IF(B20="","",IFERROR(VLOOKUP(B20, PLANTA_BASE!A:W, 2, FALSE), "NO ENCONTRADO EN PLANTA"))</f>
        <v>VIRTUAL</v>
      </c>
      <c r="B20" s="3" t="s">
        <v>44</v>
      </c>
      <c r="C20" s="4" t="s">
        <v>45</v>
      </c>
      <c r="D20" s="2" t="str">
        <f>IF(B20="","",IFERROR(VLOOKUP(B20, PLANTA_BASE!A:W, 5, FALSE), "NO ENCONTRADO EN PLANTA"))</f>
        <v>REGIONAL SUCRE</v>
      </c>
      <c r="E20" s="2" t="str">
        <f>IF(B20="","",IFERROR(VLOOKUP(B20, PLANTA_BASE!A:W, 6, FALSE), "NO ENCONTRADO EN PLANTA"))</f>
        <v>SINCELEJO</v>
      </c>
      <c r="F20" s="4" t="str">
        <f>IF(B20="","",IFERROR(VLOOKUP(B20, PLANTA_BASE!A:W, 8, FALSE), "DOCENTE / FACILITADOR"))</f>
        <v>DOC AUX/N/V/TC/INVESTIGACIONES/INVESTIGACI</v>
      </c>
      <c r="G20" s="4" t="str">
        <f>IF(B20="","",IFERROR(VLOOKUP(B20, PLANTA_BASE!A:W, 9, FALSE), "GENERAL"))</f>
        <v>INVESTIGACIONES</v>
      </c>
      <c r="H20" s="2" t="str">
        <f>IF(B20="","",IFERROR(VLOOKUP(B20, PLANTA_BASE!A:W, 17, FALSE), "GENERAL"))</f>
        <v>INVESTIGACIONES</v>
      </c>
    </row>
    <row r="21" spans="1:8" ht="20.100000000000001" customHeight="1" x14ac:dyDescent="0.25">
      <c r="A21" s="5" t="str">
        <f>IF(B21="","",IFERROR(VLOOKUP(B21, PLANTA_BASE!A:W, 2, FALSE), "NO ENCONTRADO EN PLANTA"))</f>
        <v>VIRTUAL</v>
      </c>
      <c r="B21" s="6" t="s">
        <v>46</v>
      </c>
      <c r="C21" s="7" t="s">
        <v>47</v>
      </c>
      <c r="D21" s="5" t="str">
        <f>IF(B21="","",IFERROR(VLOOKUP(B21, PLANTA_BASE!A:W, 5, FALSE), "NO ENCONTRADO EN PLANTA"))</f>
        <v>REGIONAL BOGOTA</v>
      </c>
      <c r="E21" s="5" t="str">
        <f>IF(B21="","",IFERROR(VLOOKUP(B21, PLANTA_BASE!A:W, 6, FALSE), "NO ENCONTRADO EN PLANTA"))</f>
        <v>BOGOTA CENTRO</v>
      </c>
      <c r="F21" s="7" t="str">
        <f>IF(B21="","",IFERROR(VLOOKUP(B21, PLANTA_BASE!A:W, 8, FALSE), "DOCENTE / FACILITADOR"))</f>
        <v>DOC ASIS/N/V/TC/ESP CIBERSEG/FUN.ACA</v>
      </c>
      <c r="G21" s="7" t="str">
        <f>IF(B21="","",IFERROR(VLOOKUP(B21, PLANTA_BASE!A:W, 9, FALSE), "GENERAL"))</f>
        <v>ESPECIALIZACION EN CIBERSEGURIDAD</v>
      </c>
      <c r="H21" s="5" t="str">
        <f>IF(B21="","",IFERROR(VLOOKUP(B21, PLANTA_BASE!A:W, 17, FALSE), "GENERAL"))</f>
        <v>ESPECIALIZACION EN CIBERSEGURIDAD</v>
      </c>
    </row>
    <row r="22" spans="1:8" ht="20.100000000000001" customHeight="1" x14ac:dyDescent="0.25">
      <c r="A22" s="2" t="str">
        <f>IF(B22="","",IFERROR(VLOOKUP(B22, PLANTA_BASE!A:W, 2, FALSE), "NO ENCONTRADO EN PLANTA"))</f>
        <v>PRESENCIAL</v>
      </c>
      <c r="B22" s="3" t="s">
        <v>48</v>
      </c>
      <c r="C22" s="4" t="s">
        <v>49</v>
      </c>
      <c r="D22" s="2" t="str">
        <f>IF(B22="","",IFERROR(VLOOKUP(B22, PLANTA_BASE!A:W, 5, FALSE), "NO ENCONTRADO EN PLANTA"))</f>
        <v>REGIONAL MAGDALENA</v>
      </c>
      <c r="E22" s="2" t="str">
        <f>IF(B22="","",IFERROR(VLOOKUP(B22, PLANTA_BASE!A:W, 6, FALSE), "NO ENCONTRADO EN PLANTA"))</f>
        <v>SANTA MARTA</v>
      </c>
      <c r="F22" s="4" t="str">
        <f>IF(B22="","",IFERROR(VLOOKUP(B22, PLANTA_BASE!A:W, 8, FALSE), "DOCENTE / FACILITADOR"))</f>
        <v>DOC AUX T&amp;T/N/TC/NEGO INTER/FUN.ACADE-ADMIN</v>
      </c>
      <c r="G22" s="4" t="str">
        <f>IF(B22="","",IFERROR(VLOOKUP(B22, PLANTA_BASE!A:W, 9, FALSE), "GENERAL"))</f>
        <v>NEGOCIOS INTERNACIONALES</v>
      </c>
      <c r="H22" s="2" t="str">
        <f>IF(B22="","",IFERROR(VLOOKUP(B22, PLANTA_BASE!A:W, 17, FALSE), "GENERAL"))</f>
        <v>NEGOCIOS INTERNACIONALES</v>
      </c>
    </row>
    <row r="23" spans="1:8" ht="20.100000000000001" customHeight="1" x14ac:dyDescent="0.25">
      <c r="A23" s="5" t="str">
        <f>IF(B23="","",IFERROR(VLOOKUP(B23, PLANTA_BASE!A:W, 2, FALSE), "NO ENCONTRADO EN PLANTA"))</f>
        <v>PRESENCIAL</v>
      </c>
      <c r="B23" s="6" t="s">
        <v>50</v>
      </c>
      <c r="C23" s="7" t="s">
        <v>51</v>
      </c>
      <c r="D23" s="5" t="str">
        <f>IF(B23="","",IFERROR(VLOOKUP(B23, PLANTA_BASE!A:W, 5, FALSE), "NO ENCONTRADO EN PLANTA"))</f>
        <v>REGIONAL SUCRE</v>
      </c>
      <c r="E23" s="5" t="str">
        <f>IF(B23="","",IFERROR(VLOOKUP(B23, PLANTA_BASE!A:W, 6, FALSE), "NO ENCONTRADO EN PLANTA"))</f>
        <v>SINCELEJO</v>
      </c>
      <c r="F23" s="7" t="str">
        <f>IF(B23="","",IFERROR(VLOOKUP(B23, PLANTA_BASE!A:W, 8, FALSE), "DOCENTE / FACILITADOR"))</f>
        <v>DOCENTE ASOC/N/TC/INVESTIGA/INVESTIGACIO</v>
      </c>
      <c r="G23" s="7" t="str">
        <f>IF(B23="","",IFERROR(VLOOKUP(B23, PLANTA_BASE!A:W, 9, FALSE), "GENERAL"))</f>
        <v>INVESTIGACIONES</v>
      </c>
      <c r="H23" s="5" t="str">
        <f>IF(B23="","",IFERROR(VLOOKUP(B23, PLANTA_BASE!A:W, 17, FALSE), "GENERAL"))</f>
        <v>INVESTIGACIONES</v>
      </c>
    </row>
    <row r="24" spans="1:8" ht="20.100000000000001" customHeight="1" x14ac:dyDescent="0.25">
      <c r="A24" s="2" t="str">
        <f>IF(B24="","",IFERROR(VLOOKUP(B24, PLANTA_BASE!A:W, 2, FALSE), "NO ENCONTRADO EN PLANTA"))</f>
        <v>VIRTUAL</v>
      </c>
      <c r="B24" s="3" t="s">
        <v>52</v>
      </c>
      <c r="C24" s="4" t="s">
        <v>53</v>
      </c>
      <c r="D24" s="2" t="str">
        <f>IF(B24="","",IFERROR(VLOOKUP(B24, PLANTA_BASE!A:W, 5, FALSE), "NO ENCONTRADO EN PLANTA"))</f>
        <v>REGIONAL CUNDINAMARCA</v>
      </c>
      <c r="E24" s="2" t="str">
        <f>IF(B24="","",IFERROR(VLOOKUP(B24, PLANTA_BASE!A:W, 6, FALSE), "NO ENCONTRADO EN PLANTA"))</f>
        <v>CHÍA</v>
      </c>
      <c r="F24" s="4" t="str">
        <f>IF(B24="","",IFERROR(VLOOKUP(B24, PLANTA_BASE!A:W, 8, FALSE), "DOCENTE / FACILITADOR"))</f>
        <v>DOC ASOC/N/V/TC/INVESTIGACIONES/INVESTIG</v>
      </c>
      <c r="G24" s="4" t="str">
        <f>IF(B24="","",IFERROR(VLOOKUP(B24, PLANTA_BASE!A:W, 9, FALSE), "GENERAL"))</f>
        <v>INVESTIGACIONES</v>
      </c>
      <c r="H24" s="2" t="str">
        <f>IF(B24="","",IFERROR(VLOOKUP(B24, PLANTA_BASE!A:W, 17, FALSE), "GENERAL"))</f>
        <v>INVESTIGACIONES</v>
      </c>
    </row>
    <row r="25" spans="1:8" ht="20.100000000000001" customHeight="1" x14ac:dyDescent="0.25">
      <c r="A25" s="5" t="str">
        <f>IF(B25="","",IFERROR(VLOOKUP(B25, PLANTA_BASE!A:W, 2, FALSE), "NO ENCONTRADO EN PLANTA"))</f>
        <v>PRESENCIAL</v>
      </c>
      <c r="B25" s="6" t="s">
        <v>54</v>
      </c>
      <c r="C25" s="7" t="s">
        <v>55</v>
      </c>
      <c r="D25" s="5" t="str">
        <f>IF(B25="","",IFERROR(VLOOKUP(B25, PLANTA_BASE!A:W, 5, FALSE), "NO ENCONTRADO EN PLANTA"))</f>
        <v>REGIONAL TOLIMA</v>
      </c>
      <c r="E25" s="5" t="str">
        <f>IF(B25="","",IFERROR(VLOOKUP(B25, PLANTA_BASE!A:W, 6, FALSE), "NO ENCONTRADO EN PLANTA"))</f>
        <v>IBAGUÉ</v>
      </c>
      <c r="F25" s="7" t="str">
        <f>IF(B25="","",IFERROR(VLOOKUP(B25, PLANTA_BASE!A:W, 8, FALSE), "DOCENTE / FACILITADOR"))</f>
        <v>DOC AUX T&amp;T/N/TC/INVESTIGA/INVESTIGACIO</v>
      </c>
      <c r="G25" s="7" t="str">
        <f>IF(B25="","",IFERROR(VLOOKUP(B25, PLANTA_BASE!A:W, 9, FALSE), "GENERAL"))</f>
        <v>INVESTIGACIONES</v>
      </c>
      <c r="H25" s="5" t="str">
        <f>IF(B25="","",IFERROR(VLOOKUP(B25, PLANTA_BASE!A:W, 17, FALSE), "GENERAL"))</f>
        <v>INVESTIGACIONES</v>
      </c>
    </row>
    <row r="26" spans="1:8" ht="20.100000000000001" customHeight="1" x14ac:dyDescent="0.25">
      <c r="A26" s="2" t="str">
        <f>IF(B26="","",IFERROR(VLOOKUP(B26, PLANTA_BASE!A:W, 2, FALSE), "NO ENCONTRADO EN PLANTA"))</f>
        <v>VIRTUAL</v>
      </c>
      <c r="B26" s="3" t="s">
        <v>56</v>
      </c>
      <c r="C26" s="4" t="s">
        <v>57</v>
      </c>
      <c r="D26" s="2" t="str">
        <f>IF(B26="","",IFERROR(VLOOKUP(B26, PLANTA_BASE!A:W, 5, FALSE), "NO ENCONTRADO EN PLANTA"))</f>
        <v>REGIONAL ANTIOQUIA</v>
      </c>
      <c r="E26" s="2" t="str">
        <f>IF(B26="","",IFERROR(VLOOKUP(B26, PLANTA_BASE!A:W, 6, FALSE), "NO ENCONTRADO EN PLANTA"))</f>
        <v>MEDELLIN</v>
      </c>
      <c r="F26" s="4" t="str">
        <f>IF(B26="","",IFERROR(VLOOKUP(B26, PLANTA_BASE!A:W, 8, FALSE), "DOCENTE / FACILITADOR"))</f>
        <v>DOC ASIS/N/V/TC/ESP GERE DE PROY/FUN.ACA</v>
      </c>
      <c r="G26" s="4" t="str">
        <f>IF(B26="","",IFERROR(VLOOKUP(B26, PLANTA_BASE!A:W, 9, FALSE), "GENERAL"))</f>
        <v>ESPECIALIZACION EN GERENCIA DE PROYECTOS</v>
      </c>
      <c r="H26" s="2" t="str">
        <f>IF(B26="","",IFERROR(VLOOKUP(B26, PLANTA_BASE!A:W, 17, FALSE), "GENERAL"))</f>
        <v>ESPECIALIZACION EN GERENCIA DE PROYECTOS</v>
      </c>
    </row>
    <row r="27" spans="1:8" ht="20.100000000000001" customHeight="1" x14ac:dyDescent="0.25">
      <c r="A27" s="5" t="str">
        <f>IF(B27="","",IFERROR(VLOOKUP(B27, PLANTA_BASE!A:W, 2, FALSE), "NO ENCONTRADO EN PLANTA"))</f>
        <v>VIRTUAL</v>
      </c>
      <c r="B27" s="6" t="s">
        <v>58</v>
      </c>
      <c r="C27" s="7" t="s">
        <v>59</v>
      </c>
      <c r="D27" s="5" t="str">
        <f>IF(B27="","",IFERROR(VLOOKUP(B27, PLANTA_BASE!A:W, 5, FALSE), "NO ENCONTRADO EN PLANTA"))</f>
        <v>REGIONAL VALLE DELCAUCA</v>
      </c>
      <c r="E27" s="5" t="str">
        <f>IF(B27="","",IFERROR(VLOOKUP(B27, PLANTA_BASE!A:W, 6, FALSE), "NO ENCONTRADO EN PLANTA"))</f>
        <v>CALI</v>
      </c>
      <c r="F27" s="7" t="str">
        <f>IF(B27="","",IFERROR(VLOOKUP(B27, PLANTA_BASE!A:W, 8, FALSE), "DOCENTE / FACILITADOR"))</f>
        <v>DOC ASOC/N/V/TC/INVESTIGACIONES/INVESTIGAC</v>
      </c>
      <c r="G27" s="7" t="str">
        <f>IF(B27="","",IFERROR(VLOOKUP(B27, PLANTA_BASE!A:W, 9, FALSE), "GENERAL"))</f>
        <v>INVESTIGACIONES</v>
      </c>
      <c r="H27" s="5" t="str">
        <f>IF(B27="","",IFERROR(VLOOKUP(B27, PLANTA_BASE!A:W, 17, FALSE), "GENERAL"))</f>
        <v>INVESTIGACIONES</v>
      </c>
    </row>
    <row r="28" spans="1:8" ht="20.100000000000001" customHeight="1" x14ac:dyDescent="0.25">
      <c r="A28" s="2" t="str">
        <f>IF(B28="","",IFERROR(VLOOKUP(B28, PLANTA_BASE!A:W, 2, FALSE), "NO ENCONTRADO EN PLANTA"))</f>
        <v>VIRTUAL</v>
      </c>
      <c r="B28" s="3" t="s">
        <v>60</v>
      </c>
      <c r="C28" s="4" t="s">
        <v>61</v>
      </c>
      <c r="D28" s="2" t="str">
        <f>IF(B28="","",IFERROR(VLOOKUP(B28, PLANTA_BASE!A:W, 5, FALSE), "NO ENCONTRADO EN PLANTA"))</f>
        <v>REGIONAL VALLE DELCAUCA</v>
      </c>
      <c r="E28" s="2" t="str">
        <f>IF(B28="","",IFERROR(VLOOKUP(B28, PLANTA_BASE!A:W, 6, FALSE), "NO ENCONTRADO EN PLANTA"))</f>
        <v>CALI</v>
      </c>
      <c r="F28" s="4" t="str">
        <f>IF(B28="","",IFERROR(VLOOKUP(B28, PLANTA_BASE!A:W, 8, FALSE), "DOCENTE / FACILITADOR"))</f>
        <v>DOC AUX/N/V/TC/INVESTIGACIONES/INVESTIGACI</v>
      </c>
      <c r="G28" s="4" t="str">
        <f>IF(B28="","",IFERROR(VLOOKUP(B28, PLANTA_BASE!A:W, 9, FALSE), "GENERAL"))</f>
        <v>INVESTIGACIONES</v>
      </c>
      <c r="H28" s="2" t="str">
        <f>IF(B28="","",IFERROR(VLOOKUP(B28, PLANTA_BASE!A:W, 17, FALSE), "GENERAL"))</f>
        <v>INVESTIGACIONES</v>
      </c>
    </row>
    <row r="29" spans="1:8" ht="20.100000000000001" customHeight="1" x14ac:dyDescent="0.25">
      <c r="A29" s="5" t="str">
        <f>IF(B29="","",IFERROR(VLOOKUP(B29, PLANTA_BASE!A:W, 2, FALSE), "NO ENCONTRADO EN PLANTA"))</f>
        <v>VIRTUAL</v>
      </c>
      <c r="B29" s="6" t="s">
        <v>62</v>
      </c>
      <c r="C29" s="7" t="s">
        <v>63</v>
      </c>
      <c r="D29" s="5" t="str">
        <f>IF(B29="","",IFERROR(VLOOKUP(B29, PLANTA_BASE!A:W, 5, FALSE), "NO ENCONTRADO EN PLANTA"))</f>
        <v>REGIONAL SANTANDER</v>
      </c>
      <c r="E29" s="5" t="str">
        <f>IF(B29="","",IFERROR(VLOOKUP(B29, PLANTA_BASE!A:W, 6, FALSE), "NO ENCONTRADO EN PLANTA"))</f>
        <v>BUCARAMANGA</v>
      </c>
      <c r="F29" s="7" t="str">
        <f>IF(B29="","",IFERROR(VLOOKUP(B29, PLANTA_BASE!A:W, 8, FALSE), "DOCENTE / FACILITADOR"))</f>
        <v>DOC ASIS/N/V/TC/PUB Y MERC/FUN.ACADE-ADMIN</v>
      </c>
      <c r="G29" s="7" t="str">
        <f>IF(B29="","",IFERROR(VLOOKUP(B29, PLANTA_BASE!A:W, 9, FALSE), "GENERAL"))</f>
        <v>PUBLICIDAD Y MERCADEO</v>
      </c>
      <c r="H29" s="5" t="str">
        <f>IF(B29="","",IFERROR(VLOOKUP(B29, PLANTA_BASE!A:W, 17, FALSE), "GENERAL"))</f>
        <v>PUBLICIDAD Y MERCADEO</v>
      </c>
    </row>
    <row r="30" spans="1:8" ht="20.100000000000001" customHeight="1" x14ac:dyDescent="0.25">
      <c r="A30" s="2" t="str">
        <f>IF(B30="","",IFERROR(VLOOKUP(B30, PLANTA_BASE!A:W, 2, FALSE), "NO ENCONTRADO EN PLANTA"))</f>
        <v>VIRTUAL</v>
      </c>
      <c r="B30" s="3" t="s">
        <v>64</v>
      </c>
      <c r="C30" s="4" t="s">
        <v>65</v>
      </c>
      <c r="D30" s="2" t="str">
        <f>IF(B30="","",IFERROR(VLOOKUP(B30, PLANTA_BASE!A:W, 5, FALSE), "NO ENCONTRADO EN PLANTA"))</f>
        <v>REGIONAL SANTANDER</v>
      </c>
      <c r="E30" s="2" t="str">
        <f>IF(B30="","",IFERROR(VLOOKUP(B30, PLANTA_BASE!A:W, 6, FALSE), "NO ENCONTRADO EN PLANTA"))</f>
        <v>BUCARAMANGA</v>
      </c>
      <c r="F30" s="4" t="str">
        <f>IF(B30="","",IFERROR(VLOOKUP(B30, PLANTA_BASE!A:W, 8, FALSE), "DOCENTE / FACILITADOR"))</f>
        <v>DOC ASIS/N/V/MT/PUB Y MERC</v>
      </c>
      <c r="G30" s="4" t="str">
        <f>IF(B30="","",IFERROR(VLOOKUP(B30, PLANTA_BASE!A:W, 9, FALSE), "GENERAL"))</f>
        <v>PUBLICIDAD Y MERCADEO</v>
      </c>
      <c r="H30" s="2" t="str">
        <f>IF(B30="","",IFERROR(VLOOKUP(B30, PLANTA_BASE!A:W, 17, FALSE), "GENERAL"))</f>
        <v>PUBLICIDAD Y MERCADEO</v>
      </c>
    </row>
    <row r="31" spans="1:8" ht="20.100000000000001" customHeight="1" x14ac:dyDescent="0.25">
      <c r="A31" s="5" t="str">
        <f>IF(B31="","",IFERROR(VLOOKUP(B31, PLANTA_BASE!A:W, 2, FALSE), "NO ENCONTRADO EN PLANTA"))</f>
        <v>VIRTUAL</v>
      </c>
      <c r="B31" s="6" t="s">
        <v>66</v>
      </c>
      <c r="C31" s="7" t="s">
        <v>67</v>
      </c>
      <c r="D31" s="5" t="str">
        <f>IF(B31="","",IFERROR(VLOOKUP(B31, PLANTA_BASE!A:W, 5, FALSE), "NO ENCONTRADO EN PLANTA"))</f>
        <v>REGIONAL BOGOTA</v>
      </c>
      <c r="E31" s="5" t="str">
        <f>IF(B31="","",IFERROR(VLOOKUP(B31, PLANTA_BASE!A:W, 6, FALSE), "NO ENCONTRADO EN PLANTA"))</f>
        <v>BOGOTA CENTRO</v>
      </c>
      <c r="F31" s="7" t="str">
        <f>IF(B31="","",IFERROR(VLOOKUP(B31, PLANTA_BASE!A:W, 8, FALSE), "DOCENTE / FACILITADOR"))</f>
        <v>DOC AUX/N/V/TC/ADM EMP AGROIN/FUN.ACADE-ADMIN</v>
      </c>
      <c r="G31" s="7" t="str">
        <f>IF(B31="","",IFERROR(VLOOKUP(B31, PLANTA_BASE!A:W, 9, FALSE), "GENERAL"))</f>
        <v>ADMINISTRACION DE EMPRESAS AGROINDUSTRIAL</v>
      </c>
      <c r="H31" s="5" t="str">
        <f>IF(B31="","",IFERROR(VLOOKUP(B31, PLANTA_BASE!A:W, 17, FALSE), "GENERAL"))</f>
        <v>ADMINISTRACION DE EMPRESAS AGROINDUSTRIAL</v>
      </c>
    </row>
    <row r="32" spans="1:8" ht="20.100000000000001" customHeight="1" x14ac:dyDescent="0.25">
      <c r="A32" s="2" t="str">
        <f>IF(B32="","",IFERROR(VLOOKUP(B32, PLANTA_BASE!A:W, 2, FALSE), "NO ENCONTRADO EN PLANTA"))</f>
        <v>PRESENCIAL</v>
      </c>
      <c r="B32" s="3" t="s">
        <v>68</v>
      </c>
      <c r="C32" s="4" t="s">
        <v>69</v>
      </c>
      <c r="D32" s="2" t="str">
        <f>IF(B32="","",IFERROR(VLOOKUP(B32, PLANTA_BASE!A:W, 5, FALSE), "NO ENCONTRADO EN PLANTA"))</f>
        <v>REGIONAL BOGOTA</v>
      </c>
      <c r="E32" s="2" t="str">
        <f>IF(B32="","",IFERROR(VLOOKUP(B32, PLANTA_BASE!A:W, 6, FALSE), "NO ENCONTRADO EN PLANTA"))</f>
        <v>BOGOTA CENTRO</v>
      </c>
      <c r="F32" s="4" t="str">
        <f>IF(B32="","",IFERROR(VLOOKUP(B32, PLANTA_BASE!A:W, 8, FALSE), "DOCENTE / FACILITADOR"))</f>
        <v>DOC AUX T&amp;T/N/TC/DIS GRAFICO/FUN.ACADE-ADMIN</v>
      </c>
      <c r="G32" s="4" t="str">
        <f>IF(B32="","",IFERROR(VLOOKUP(B32, PLANTA_BASE!A:W, 9, FALSE), "GENERAL"))</f>
        <v>DISEÑO GRAFICO</v>
      </c>
      <c r="H32" s="2" t="str">
        <f>IF(B32="","",IFERROR(VLOOKUP(B32, PLANTA_BASE!A:W, 17, FALSE), "GENERAL"))</f>
        <v>DISEÑO GRAFICO</v>
      </c>
    </row>
    <row r="33" spans="1:8" ht="20.100000000000001" customHeight="1" x14ac:dyDescent="0.25">
      <c r="A33" s="5" t="str">
        <f>IF(B33="","",IFERROR(VLOOKUP(B33, PLANTA_BASE!A:W, 2, FALSE), "NO ENCONTRADO EN PLANTA"))</f>
        <v>PRESENCIAL</v>
      </c>
      <c r="B33" s="6" t="s">
        <v>70</v>
      </c>
      <c r="C33" s="7" t="s">
        <v>71</v>
      </c>
      <c r="D33" s="5" t="str">
        <f>IF(B33="","",IFERROR(VLOOKUP(B33, PLANTA_BASE!A:W, 5, FALSE), "NO ENCONTRADO EN PLANTA"))</f>
        <v>REGIONAL BOGOTA</v>
      </c>
      <c r="E33" s="5" t="str">
        <f>IF(B33="","",IFERROR(VLOOKUP(B33, PLANTA_BASE!A:W, 6, FALSE), "NO ENCONTRADO EN PLANTA"))</f>
        <v>BOGOTA CENTRO</v>
      </c>
      <c r="F33" s="7" t="str">
        <f>IF(B33="","",IFERROR(VLOOKUP(B33, PLANTA_BASE!A:W, 8, FALSE), "DOCENTE / FACILITADOR"))</f>
        <v>DOCENTE ASOC/N/TC/DIS GRAFICO/PROYECCION</v>
      </c>
      <c r="G33" s="7" t="str">
        <f>IF(B33="","",IFERROR(VLOOKUP(B33, PLANTA_BASE!A:W, 9, FALSE), "GENERAL"))</f>
        <v>DISEÑO GRAFICO</v>
      </c>
      <c r="H33" s="5" t="str">
        <f>IF(B33="","",IFERROR(VLOOKUP(B33, PLANTA_BASE!A:W, 17, FALSE), "GENERAL"))</f>
        <v>DISEÑO GRAFICO</v>
      </c>
    </row>
    <row r="34" spans="1:8" ht="20.100000000000001" customHeight="1" x14ac:dyDescent="0.25">
      <c r="A34" s="2" t="str">
        <f>IF(B34="","",IFERROR(VLOOKUP(B34, PLANTA_BASE!A:W, 2, FALSE), "NO ENCONTRADO EN PLANTA"))</f>
        <v>VIRTUAL</v>
      </c>
      <c r="B34" s="3" t="s">
        <v>72</v>
      </c>
      <c r="C34" s="4" t="s">
        <v>73</v>
      </c>
      <c r="D34" s="2" t="str">
        <f>IF(B34="","",IFERROR(VLOOKUP(B34, PLANTA_BASE!A:W, 5, FALSE), "NO ENCONTRADO EN PLANTA"))</f>
        <v>REGIONAL BOGOTA</v>
      </c>
      <c r="E34" s="2" t="str">
        <f>IF(B34="","",IFERROR(VLOOKUP(B34, PLANTA_BASE!A:W, 6, FALSE), "NO ENCONTRADO EN PLANTA"))</f>
        <v>BOGOTA CENTRO</v>
      </c>
      <c r="F34" s="4" t="str">
        <f>IF(B34="","",IFERROR(VLOOKUP(B34, PLANTA_BASE!A:W, 8, FALSE), "DOCENTE / FACILITADOR"))</f>
        <v>DOC AUX/N/V/MT/DIS GRAFICO</v>
      </c>
      <c r="G34" s="4" t="str">
        <f>IF(B34="","",IFERROR(VLOOKUP(B34, PLANTA_BASE!A:W, 9, FALSE), "GENERAL"))</f>
        <v>DISEÑO GRAFICO</v>
      </c>
      <c r="H34" s="2" t="str">
        <f>IF(B34="","",IFERROR(VLOOKUP(B34, PLANTA_BASE!A:W, 17, FALSE), "GENERAL"))</f>
        <v>DISEÑO GRAFICO</v>
      </c>
    </row>
    <row r="35" spans="1:8" ht="20.100000000000001" customHeight="1" x14ac:dyDescent="0.25">
      <c r="A35" s="5" t="str">
        <f>IF(B35="","",IFERROR(VLOOKUP(B35, PLANTA_BASE!A:W, 2, FALSE), "NO ENCONTRADO EN PLANTA"))</f>
        <v>PRESENCIAL</v>
      </c>
      <c r="B35" s="6" t="s">
        <v>74</v>
      </c>
      <c r="C35" s="7" t="s">
        <v>75</v>
      </c>
      <c r="D35" s="5" t="str">
        <f>IF(B35="","",IFERROR(VLOOKUP(B35, PLANTA_BASE!A:W, 5, FALSE), "NO ENCONTRADO EN PLANTA"))</f>
        <v>REGIONAL MAGDALENA</v>
      </c>
      <c r="E35" s="5" t="str">
        <f>IF(B35="","",IFERROR(VLOOKUP(B35, PLANTA_BASE!A:W, 6, FALSE), "NO ENCONTRADO EN PLANTA"))</f>
        <v>SANTA MARTA</v>
      </c>
      <c r="F35" s="7" t="str">
        <f>IF(B35="","",IFERROR(VLOOKUP(B35, PLANTA_BASE!A:W, 8, FALSE), "DOCENTE / FACILITADOR"))</f>
        <v>DOCENTE TITU/N/TC/INVESTIGA/INVESTIGACIO</v>
      </c>
      <c r="G35" s="7" t="str">
        <f>IF(B35="","",IFERROR(VLOOKUP(B35, PLANTA_BASE!A:W, 9, FALSE), "GENERAL"))</f>
        <v>INVESTIGACIONES</v>
      </c>
      <c r="H35" s="5" t="str">
        <f>IF(B35="","",IFERROR(VLOOKUP(B35, PLANTA_BASE!A:W, 17, FALSE), "GENERAL"))</f>
        <v>INVESTIGACIONES</v>
      </c>
    </row>
    <row r="36" spans="1:8" ht="20.100000000000001" customHeight="1" x14ac:dyDescent="0.25">
      <c r="A36" s="2" t="str">
        <f>IF(B36="","",IFERROR(VLOOKUP(B36, PLANTA_BASE!A:W, 2, FALSE), "NO ENCONTRADO EN PLANTA"))</f>
        <v>PRESENCIAL</v>
      </c>
      <c r="B36" s="3" t="s">
        <v>76</v>
      </c>
      <c r="C36" s="4" t="s">
        <v>77</v>
      </c>
      <c r="D36" s="2" t="str">
        <f>IF(B36="","",IFERROR(VLOOKUP(B36, PLANTA_BASE!A:W, 5, FALSE), "NO ENCONTRADO EN PLANTA"))</f>
        <v>REGIONAL BOGOTA</v>
      </c>
      <c r="E36" s="2" t="str">
        <f>IF(B36="","",IFERROR(VLOOKUP(B36, PLANTA_BASE!A:W, 6, FALSE), "NO ENCONTRADO EN PLANTA"))</f>
        <v>BOGOTA CENTRO</v>
      </c>
      <c r="F36" s="4" t="str">
        <f>IF(B36="","",IFERROR(VLOOKUP(B36, PLANTA_BASE!A:W, 8, FALSE), "DOCENTE / FACILITADOR"))</f>
        <v>DOCENTE ASOC/N/TC/INVESTIGA/INVESTIGACIO</v>
      </c>
      <c r="G36" s="4" t="str">
        <f>IF(B36="","",IFERROR(VLOOKUP(B36, PLANTA_BASE!A:W, 9, FALSE), "GENERAL"))</f>
        <v>INVESTIGACIONES</v>
      </c>
      <c r="H36" s="2" t="str">
        <f>IF(B36="","",IFERROR(VLOOKUP(B36, PLANTA_BASE!A:W, 17, FALSE), "GENERAL"))</f>
        <v>INVESTIGACIONES</v>
      </c>
    </row>
    <row r="37" spans="1:8" ht="20.100000000000001" customHeight="1" x14ac:dyDescent="0.25">
      <c r="A37" s="5" t="str">
        <f>IF(B37="","",IFERROR(VLOOKUP(B37, PLANTA_BASE!A:W, 2, FALSE), "NO ENCONTRADO EN PLANTA"))</f>
        <v>PRESENCIAL</v>
      </c>
      <c r="B37" s="6" t="s">
        <v>78</v>
      </c>
      <c r="C37" s="7" t="s">
        <v>79</v>
      </c>
      <c r="D37" s="5" t="str">
        <f>IF(B37="","",IFERROR(VLOOKUP(B37, PLANTA_BASE!A:W, 5, FALSE), "NO ENCONTRADO EN PLANTA"))</f>
        <v>REGIONAL BOGOTA</v>
      </c>
      <c r="E37" s="5" t="str">
        <f>IF(B37="","",IFERROR(VLOOKUP(B37, PLANTA_BASE!A:W, 6, FALSE), "NO ENCONTRADO EN PLANTA"))</f>
        <v>BOGOTA CENTRO</v>
      </c>
      <c r="F37" s="7" t="str">
        <f>IF(B37="","",IFERROR(VLOOKUP(B37, PLANTA_BASE!A:W, 8, FALSE), "DOCENTE / FACILITADOR"))</f>
        <v>DOCENTE AUX/N/MT/ING SISTEM</v>
      </c>
      <c r="G37" s="7" t="str">
        <f>IF(B37="","",IFERROR(VLOOKUP(B37, PLANTA_BASE!A:W, 9, FALSE), "GENERAL"))</f>
        <v>INGENIERIA DE SISTEMAS</v>
      </c>
      <c r="H37" s="5" t="str">
        <f>IF(B37="","",IFERROR(VLOOKUP(B37, PLANTA_BASE!A:W, 17, FALSE), "GENERAL"))</f>
        <v>INGENIERIA DE SISTEMAS</v>
      </c>
    </row>
    <row r="38" spans="1:8" ht="20.100000000000001" customHeight="1" x14ac:dyDescent="0.25">
      <c r="A38" s="2" t="str">
        <f>IF(B38="","",IFERROR(VLOOKUP(B38, PLANTA_BASE!A:W, 2, FALSE), "NO ENCONTRADO EN PLANTA"))</f>
        <v>VIRTUAL</v>
      </c>
      <c r="B38" s="3" t="s">
        <v>80</v>
      </c>
      <c r="C38" s="4" t="s">
        <v>81</v>
      </c>
      <c r="D38" s="2" t="str">
        <f>IF(B38="","",IFERROR(VLOOKUP(B38, PLANTA_BASE!A:W, 5, FALSE), "NO ENCONTRADO EN PLANTA"))</f>
        <v>REGIONAL NARIñO</v>
      </c>
      <c r="E38" s="2" t="str">
        <f>IF(B38="","",IFERROR(VLOOKUP(B38, PLANTA_BASE!A:W, 6, FALSE), "NO ENCONTRADO EN PLANTA"))</f>
        <v>PASTO</v>
      </c>
      <c r="F38" s="4" t="str">
        <f>IF(B38="","",IFERROR(VLOOKUP(B38, PLANTA_BASE!A:W, 8, FALSE), "DOCENTE / FACILITADOR"))</f>
        <v>DOC AUX T&amp;T/N/V/TC/INVESTIGACIONES/INVESTI</v>
      </c>
      <c r="G38" s="4" t="str">
        <f>IF(B38="","",IFERROR(VLOOKUP(B38, PLANTA_BASE!A:W, 9, FALSE), "GENERAL"))</f>
        <v>INVESTIGACIONES</v>
      </c>
      <c r="H38" s="2" t="str">
        <f>IF(B38="","",IFERROR(VLOOKUP(B38, PLANTA_BASE!A:W, 17, FALSE), "GENERAL"))</f>
        <v>INVESTIGACIONES</v>
      </c>
    </row>
    <row r="39" spans="1:8" ht="20.100000000000001" customHeight="1" x14ac:dyDescent="0.25">
      <c r="A39" s="5" t="str">
        <f>IF(B39="","",IFERROR(VLOOKUP(B39, PLANTA_BASE!A:W, 2, FALSE), "NO ENCONTRADO EN PLANTA"))</f>
        <v>VIRTUAL</v>
      </c>
      <c r="B39" s="6" t="s">
        <v>82</v>
      </c>
      <c r="C39" s="7" t="s">
        <v>83</v>
      </c>
      <c r="D39" s="5" t="str">
        <f>IF(B39="","",IFERROR(VLOOKUP(B39, PLANTA_BASE!A:W, 5, FALSE), "NO ENCONTRADO EN PLANTA"))</f>
        <v>REGIONAL VALLE DELCAUCA</v>
      </c>
      <c r="E39" s="5" t="str">
        <f>IF(B39="","",IFERROR(VLOOKUP(B39, PLANTA_BASE!A:W, 6, FALSE), "NO ENCONTRADO EN PLANTA"))</f>
        <v>CALI</v>
      </c>
      <c r="F39" s="7" t="str">
        <f>IF(B39="","",IFERROR(VLOOKUP(B39, PLANTA_BASE!A:W, 8, FALSE), "DOCENTE / FACILITADOR"))</f>
        <v>DOC ASIS/N/V/TC/ESP GERE DE PROY/FUN.ACA</v>
      </c>
      <c r="G39" s="7" t="str">
        <f>IF(B39="","",IFERROR(VLOOKUP(B39, PLANTA_BASE!A:W, 9, FALSE), "GENERAL"))</f>
        <v>ESPECIALIZACION EN GERENCIA DE PROYECTOS</v>
      </c>
      <c r="H39" s="5" t="str">
        <f>IF(B39="","",IFERROR(VLOOKUP(B39, PLANTA_BASE!A:W, 17, FALSE), "GENERAL"))</f>
        <v>ESPECIALIZACION EN GERENCIA DE PROYECTOS</v>
      </c>
    </row>
    <row r="40" spans="1:8" ht="20.100000000000001" customHeight="1" x14ac:dyDescent="0.25">
      <c r="A40" s="2" t="str">
        <f>IF(B40="","",IFERROR(VLOOKUP(B40, PLANTA_BASE!A:W, 2, FALSE), "NO ENCONTRADO EN PLANTA"))</f>
        <v>VIRTUAL</v>
      </c>
      <c r="B40" s="3" t="s">
        <v>84</v>
      </c>
      <c r="C40" s="4" t="s">
        <v>85</v>
      </c>
      <c r="D40" s="2" t="str">
        <f>IF(B40="","",IFERROR(VLOOKUP(B40, PLANTA_BASE!A:W, 5, FALSE), "NO ENCONTRADO EN PLANTA"))</f>
        <v>REGIONAL CESAR</v>
      </c>
      <c r="E40" s="2" t="str">
        <f>IF(B40="","",IFERROR(VLOOKUP(B40, PLANTA_BASE!A:W, 6, FALSE), "NO ENCONTRADO EN PLANTA"))</f>
        <v>VALLEDUPAR</v>
      </c>
      <c r="F40" s="4" t="str">
        <f>IF(B40="","",IFERROR(VLOOKUP(B40, PLANTA_BASE!A:W, 8, FALSE), "DOCENTE / FACILITADOR"))</f>
        <v>DOC AUX T&amp;T/N/V/TC/COMU SOC Y PERI/FUN.ACADE-ADMIN</v>
      </c>
      <c r="G40" s="4" t="str">
        <f>IF(B40="","",IFERROR(VLOOKUP(B40, PLANTA_BASE!A:W, 9, FALSE), "GENERAL"))</f>
        <v>COMUNICACION SOCIAL Y PERIODISMO</v>
      </c>
      <c r="H40" s="2" t="str">
        <f>IF(B40="","",IFERROR(VLOOKUP(B40, PLANTA_BASE!A:W, 17, FALSE), "GENERAL"))</f>
        <v>COMUNICACION SOCIAL Y PERIODISMO</v>
      </c>
    </row>
    <row r="41" spans="1:8" ht="20.100000000000001" customHeight="1" x14ac:dyDescent="0.25">
      <c r="A41" s="5" t="str">
        <f>IF(B41="","",IFERROR(VLOOKUP(B41, PLANTA_BASE!A:W, 2, FALSE), "NO ENCONTRADO EN PLANTA"))</f>
        <v>VIRTUAL</v>
      </c>
      <c r="B41" s="6" t="s">
        <v>86</v>
      </c>
      <c r="C41" s="7" t="s">
        <v>87</v>
      </c>
      <c r="D41" s="5" t="str">
        <f>IF(B41="","",IFERROR(VLOOKUP(B41, PLANTA_BASE!A:W, 5, FALSE), "NO ENCONTRADO EN PLANTA"))</f>
        <v>REGIONAL ATLANTICO</v>
      </c>
      <c r="E41" s="5" t="str">
        <f>IF(B41="","",IFERROR(VLOOKUP(B41, PLANTA_BASE!A:W, 6, FALSE), "NO ENCONTRADO EN PLANTA"))</f>
        <v>BARRANQUILLA</v>
      </c>
      <c r="F41" s="7" t="str">
        <f>IF(B41="","",IFERROR(VLOOKUP(B41, PLANTA_BASE!A:W, 8, FALSE), "DOCENTE / FACILITADOR"))</f>
        <v>DOC TITU/N/V/TC/INVESTIGACIONES/INVESTIG</v>
      </c>
      <c r="G41" s="7" t="str">
        <f>IF(B41="","",IFERROR(VLOOKUP(B41, PLANTA_BASE!A:W, 9, FALSE), "GENERAL"))</f>
        <v>INVESTIGACIONES</v>
      </c>
      <c r="H41" s="5" t="str">
        <f>IF(B41="","",IFERROR(VLOOKUP(B41, PLANTA_BASE!A:W, 17, FALSE), "GENERAL"))</f>
        <v>INVESTIGACIONES</v>
      </c>
    </row>
    <row r="42" spans="1:8" ht="20.100000000000001" customHeight="1" x14ac:dyDescent="0.25">
      <c r="A42" s="2" t="str">
        <f>IF(B42="","",IFERROR(VLOOKUP(B42, PLANTA_BASE!A:W, 2, FALSE), "NO ENCONTRADO EN PLANTA"))</f>
        <v>PRESENCIAL</v>
      </c>
      <c r="B42" s="3" t="s">
        <v>88</v>
      </c>
      <c r="C42" s="4" t="s">
        <v>89</v>
      </c>
      <c r="D42" s="2" t="str">
        <f>IF(B42="","",IFERROR(VLOOKUP(B42, PLANTA_BASE!A:W, 5, FALSE), "NO ENCONTRADO EN PLANTA"))</f>
        <v>REGIONAL BOGOTA</v>
      </c>
      <c r="E42" s="2" t="str">
        <f>IF(B42="","",IFERROR(VLOOKUP(B42, PLANTA_BASE!A:W, 6, FALSE), "NO ENCONTRADO EN PLANTA"))</f>
        <v>BOGOTA CENTRO</v>
      </c>
      <c r="F42" s="4" t="str">
        <f>IF(B42="","",IFERROR(VLOOKUP(B42, PLANTA_BASE!A:W, 8, FALSE), "DOCENTE / FACILITADOR"))</f>
        <v>DOCENTE ASIS/N/TC/INVESTIGA/INVESTIGACIO</v>
      </c>
      <c r="G42" s="4" t="str">
        <f>IF(B42="","",IFERROR(VLOOKUP(B42, PLANTA_BASE!A:W, 9, FALSE), "GENERAL"))</f>
        <v>INVESTIGACIONES</v>
      </c>
      <c r="H42" s="2" t="str">
        <f>IF(B42="","",IFERROR(VLOOKUP(B42, PLANTA_BASE!A:W, 17, FALSE), "GENERAL"))</f>
        <v>INVESTIGACIONES</v>
      </c>
    </row>
    <row r="43" spans="1:8" ht="20.100000000000001" customHeight="1" x14ac:dyDescent="0.25">
      <c r="A43" s="5" t="str">
        <f>IF(B43="","",IFERROR(VLOOKUP(B43, PLANTA_BASE!A:W, 2, FALSE), "NO ENCONTRADO EN PLANTA"))</f>
        <v>VIRTUAL</v>
      </c>
      <c r="B43" s="6" t="s">
        <v>90</v>
      </c>
      <c r="C43" s="7" t="s">
        <v>91</v>
      </c>
      <c r="D43" s="5" t="str">
        <f>IF(B43="","",IFERROR(VLOOKUP(B43, PLANTA_BASE!A:W, 5, FALSE), "NO ENCONTRADO EN PLANTA"))</f>
        <v>REGIONAL BOGOTA</v>
      </c>
      <c r="E43" s="5" t="str">
        <f>IF(B43="","",IFERROR(VLOOKUP(B43, PLANTA_BASE!A:W, 6, FALSE), "NO ENCONTRADO EN PLANTA"))</f>
        <v>BOGOTA CENTRO</v>
      </c>
      <c r="F43" s="7" t="str">
        <f>IF(B43="","",IFERROR(VLOOKUP(B43, PLANTA_BASE!A:W, 8, FALSE), "DOCENTE / FACILITADOR"))</f>
        <v>DOC ASOC/N/V/TC/INVESTIGACIONES/INVESTIG</v>
      </c>
      <c r="G43" s="7" t="str">
        <f>IF(B43="","",IFERROR(VLOOKUP(B43, PLANTA_BASE!A:W, 9, FALSE), "GENERAL"))</f>
        <v>INVESTIGACIONES</v>
      </c>
      <c r="H43" s="5" t="str">
        <f>IF(B43="","",IFERROR(VLOOKUP(B43, PLANTA_BASE!A:W, 17, FALSE), "GENERAL"))</f>
        <v>INVESTIGACIONES</v>
      </c>
    </row>
    <row r="44" spans="1:8" ht="20.100000000000001" customHeight="1" x14ac:dyDescent="0.25">
      <c r="A44" s="2" t="str">
        <f>IF(B44="","",IFERROR(VLOOKUP(B44, PLANTA_BASE!A:W, 2, FALSE), "NO ENCONTRADO EN PLANTA"))</f>
        <v>PRESENCIAL</v>
      </c>
      <c r="B44" s="3" t="s">
        <v>92</v>
      </c>
      <c r="C44" s="4" t="s">
        <v>93</v>
      </c>
      <c r="D44" s="2" t="str">
        <f>IF(B44="","",IFERROR(VLOOKUP(B44, PLANTA_BASE!A:W, 5, FALSE), "NO ENCONTRADO EN PLANTA"))</f>
        <v>REGIONAL BOGOTA</v>
      </c>
      <c r="E44" s="2" t="str">
        <f>IF(B44="","",IFERROR(VLOOKUP(B44, PLANTA_BASE!A:W, 6, FALSE), "NO ENCONTRADO EN PLANTA"))</f>
        <v>BOGOTA CENTRO</v>
      </c>
      <c r="F44" s="4" t="str">
        <f>IF(B44="","",IFERROR(VLOOKUP(B44, PLANTA_BASE!A:W, 8, FALSE), "DOCENTE / FACILITADOR"))</f>
        <v>DOCENTE AUX/N/MT-ADM SER SALU</v>
      </c>
      <c r="G44" s="4" t="str">
        <f>IF(B44="","",IFERROR(VLOOKUP(B44, PLANTA_BASE!A:W, 9, FALSE), "GENERAL"))</f>
        <v>ADMINISTRACION EN SERVICIOS DE SALUD</v>
      </c>
      <c r="H44" s="2" t="str">
        <f>IF(B44="","",IFERROR(VLOOKUP(B44, PLANTA_BASE!A:W, 17, FALSE), "GENERAL"))</f>
        <v>ADMINISTRACION EN SERVICIOS DE SALUD</v>
      </c>
    </row>
    <row r="45" spans="1:8" ht="20.100000000000001" customHeight="1" x14ac:dyDescent="0.25">
      <c r="A45" s="5" t="str">
        <f>IF(B45="","",IFERROR(VLOOKUP(B45, PLANTA_BASE!A:W, 2, FALSE), "NO ENCONTRADO EN PLANTA"))</f>
        <v>VIRTUAL</v>
      </c>
      <c r="B45" s="6" t="s">
        <v>94</v>
      </c>
      <c r="C45" s="7" t="s">
        <v>95</v>
      </c>
      <c r="D45" s="5" t="str">
        <f>IF(B45="","",IFERROR(VLOOKUP(B45, PLANTA_BASE!A:W, 5, FALSE), "NO ENCONTRADO EN PLANTA"))</f>
        <v>REGIONAL VALLE DELCAUCA</v>
      </c>
      <c r="E45" s="5" t="str">
        <f>IF(B45="","",IFERROR(VLOOKUP(B45, PLANTA_BASE!A:W, 6, FALSE), "NO ENCONTRADO EN PLANTA"))</f>
        <v>BUENAVENTURA</v>
      </c>
      <c r="F45" s="7" t="str">
        <f>IF(B45="","",IFERROR(VLOOKUP(B45, PLANTA_BASE!A:W, 8, FALSE), "DOCENTE / FACILITADOR"))</f>
        <v>DOC ASOC/N/V/TC/INVESTIGACIONES/INVESTIG</v>
      </c>
      <c r="G45" s="7" t="str">
        <f>IF(B45="","",IFERROR(VLOOKUP(B45, PLANTA_BASE!A:W, 9, FALSE), "GENERAL"))</f>
        <v>INVESTIGACIONES</v>
      </c>
      <c r="H45" s="5" t="str">
        <f>IF(B45="","",IFERROR(VLOOKUP(B45, PLANTA_BASE!A:W, 17, FALSE), "GENERAL"))</f>
        <v>INVESTIGACIONES</v>
      </c>
    </row>
    <row r="46" spans="1:8" ht="20.100000000000001" customHeight="1" x14ac:dyDescent="0.25">
      <c r="A46" s="2" t="str">
        <f>IF(B46="","",IFERROR(VLOOKUP(B46, PLANTA_BASE!A:W, 2, FALSE), "NO ENCONTRADO EN PLANTA"))</f>
        <v>VIRTUAL</v>
      </c>
      <c r="B46" s="3" t="s">
        <v>96</v>
      </c>
      <c r="C46" s="4" t="s">
        <v>97</v>
      </c>
      <c r="D46" s="2" t="str">
        <f>IF(B46="","",IFERROR(VLOOKUP(B46, PLANTA_BASE!A:W, 5, FALSE), "NO ENCONTRADO EN PLANTA"))</f>
        <v>REGIONAL NORTE DE SANTANDER</v>
      </c>
      <c r="E46" s="2" t="str">
        <f>IF(B46="","",IFERROR(VLOOKUP(B46, PLANTA_BASE!A:W, 6, FALSE), "NO ENCONTRADO EN PLANTA"))</f>
        <v>CUCUTÁ</v>
      </c>
      <c r="F46" s="4" t="str">
        <f>IF(B46="","",IFERROR(VLOOKUP(B46, PLANTA_BASE!A:W, 8, FALSE), "DOCENTE / FACILITADOR"))</f>
        <v>DOC AUX/N/V/TC/ESP EN IA/FUN.ACAD</v>
      </c>
      <c r="G46" s="4" t="str">
        <f>IF(B46="","",IFERROR(VLOOKUP(B46, PLANTA_BASE!A:W, 9, FALSE), "GENERAL"))</f>
        <v>ESPECIALIZACION EN IA</v>
      </c>
      <c r="H46" s="2" t="str">
        <f>IF(B46="","",IFERROR(VLOOKUP(B46, PLANTA_BASE!A:W, 17, FALSE), "GENERAL"))</f>
        <v>ESPECIALIZACION EN IA</v>
      </c>
    </row>
    <row r="47" spans="1:8" ht="20.100000000000001" customHeight="1" x14ac:dyDescent="0.25">
      <c r="A47" s="5" t="str">
        <f>IF(B47="","",IFERROR(VLOOKUP(B47, PLANTA_BASE!A:W, 2, FALSE), "NO ENCONTRADO EN PLANTA"))</f>
        <v>VIRTUAL</v>
      </c>
      <c r="B47" s="6" t="s">
        <v>98</v>
      </c>
      <c r="C47" s="7" t="s">
        <v>99</v>
      </c>
      <c r="D47" s="5" t="str">
        <f>IF(B47="","",IFERROR(VLOOKUP(B47, PLANTA_BASE!A:W, 5, FALSE), "NO ENCONTRADO EN PLANTA"))</f>
        <v>REGIONAL BOGOTA</v>
      </c>
      <c r="E47" s="5" t="str">
        <f>IF(B47="","",IFERROR(VLOOKUP(B47, PLANTA_BASE!A:W, 6, FALSE), "NO ENCONTRADO EN PLANTA"))</f>
        <v>BOGOTA CENTRO</v>
      </c>
      <c r="F47" s="7" t="str">
        <f>IF(B47="","",IFERROR(VLOOKUP(B47, PLANTA_BASE!A:W, 8, FALSE), "DOCENTE / FACILITADOR"))</f>
        <v>DOC AUX/N/V/MT/DIS GRAFICO</v>
      </c>
      <c r="G47" s="7" t="str">
        <f>IF(B47="","",IFERROR(VLOOKUP(B47, PLANTA_BASE!A:W, 9, FALSE), "GENERAL"))</f>
        <v>DISEÑO GRAFICO</v>
      </c>
      <c r="H47" s="5" t="str">
        <f>IF(B47="","",IFERROR(VLOOKUP(B47, PLANTA_BASE!A:W, 17, FALSE), "GENERAL"))</f>
        <v>DISEÑO GRAFICO</v>
      </c>
    </row>
    <row r="48" spans="1:8" ht="20.100000000000001" customHeight="1" x14ac:dyDescent="0.25">
      <c r="A48" s="2" t="str">
        <f>IF(B48="","",IFERROR(VLOOKUP(B48, PLANTA_BASE!A:W, 2, FALSE), "NO ENCONTRADO EN PLANTA"))</f>
        <v>VIRTUAL</v>
      </c>
      <c r="B48" s="3" t="s">
        <v>100</v>
      </c>
      <c r="C48" s="4" t="s">
        <v>101</v>
      </c>
      <c r="D48" s="2" t="str">
        <f>IF(B48="","",IFERROR(VLOOKUP(B48, PLANTA_BASE!A:W, 5, FALSE), "NO ENCONTRADO EN PLANTA"))</f>
        <v>REGIONAL CESAR</v>
      </c>
      <c r="E48" s="2" t="str">
        <f>IF(B48="","",IFERROR(VLOOKUP(B48, PLANTA_BASE!A:W, 6, FALSE), "NO ENCONTRADO EN PLANTA"))</f>
        <v>VALLEDUPAR</v>
      </c>
      <c r="F48" s="4" t="str">
        <f>IF(B48="","",IFERROR(VLOOKUP(B48, PLANTA_BASE!A:W, 8, FALSE), "DOCENTE / FACILITADOR"))</f>
        <v>DOC AUX/N/V/MT/CONTADURIA</v>
      </c>
      <c r="G48" s="4" t="str">
        <f>IF(B48="","",IFERROR(VLOOKUP(B48, PLANTA_BASE!A:W, 9, FALSE), "GENERAL"))</f>
        <v>CONTADURIA PUBLICA</v>
      </c>
      <c r="H48" s="2" t="str">
        <f>IF(B48="","",IFERROR(VLOOKUP(B48, PLANTA_BASE!A:W, 17, FALSE), "GENERAL"))</f>
        <v>CONTADURIA PUBLICA</v>
      </c>
    </row>
    <row r="49" spans="1:8" ht="20.100000000000001" customHeight="1" x14ac:dyDescent="0.25">
      <c r="A49" s="5" t="str">
        <f>IF(B49="","",IFERROR(VLOOKUP(B49, PLANTA_BASE!A:W, 2, FALSE), "NO ENCONTRADO EN PLANTA"))</f>
        <v>PRESENCIAL</v>
      </c>
      <c r="B49" s="6" t="s">
        <v>102</v>
      </c>
      <c r="C49" s="7" t="s">
        <v>103</v>
      </c>
      <c r="D49" s="5" t="str">
        <f>IF(B49="","",IFERROR(VLOOKUP(B49, PLANTA_BASE!A:W, 5, FALSE), "NO ENCONTRADO EN PLANTA"))</f>
        <v>REGIONAL MAGDALENA</v>
      </c>
      <c r="E49" s="5" t="str">
        <f>IF(B49="","",IFERROR(VLOOKUP(B49, PLANTA_BASE!A:W, 6, FALSE), "NO ENCONTRADO EN PLANTA"))</f>
        <v>SANTA MARTA</v>
      </c>
      <c r="F49" s="7" t="str">
        <f>IF(B49="","",IFERROR(VLOOKUP(B49, PLANTA_BASE!A:W, 8, FALSE), "DOCENTE / FACILITADOR"))</f>
        <v>DOCENTE AUX/N/TC/DIS PROD MOD/FUN.ACADE-ADMIN</v>
      </c>
      <c r="G49" s="7" t="str">
        <f>IF(B49="","",IFERROR(VLOOKUP(B49, PLANTA_BASE!A:W, 9, FALSE), "GENERAL"))</f>
        <v>DISEÑO Y PRODUCCION DE MODAS</v>
      </c>
      <c r="H49" s="5" t="str">
        <f>IF(B49="","",IFERROR(VLOOKUP(B49, PLANTA_BASE!A:W, 17, FALSE), "GENERAL"))</f>
        <v>DISEÑO Y PRODUCCION DE MODAS</v>
      </c>
    </row>
    <row r="50" spans="1:8" ht="20.100000000000001" customHeight="1" x14ac:dyDescent="0.25">
      <c r="A50" s="2" t="str">
        <f>IF(B50="","",IFERROR(VLOOKUP(B50, PLANTA_BASE!A:W, 2, FALSE), "NO ENCONTRADO EN PLANTA"))</f>
        <v>VIRTUAL</v>
      </c>
      <c r="B50" s="3" t="s">
        <v>104</v>
      </c>
      <c r="C50" s="4" t="s">
        <v>105</v>
      </c>
      <c r="D50" s="2" t="str">
        <f>IF(B50="","",IFERROR(VLOOKUP(B50, PLANTA_BASE!A:W, 5, FALSE), "NO ENCONTRADO EN PLANTA"))</f>
        <v>REGIONAL BOYACA</v>
      </c>
      <c r="E50" s="2" t="str">
        <f>IF(B50="","",IFERROR(VLOOKUP(B50, PLANTA_BASE!A:W, 6, FALSE), "NO ENCONTRADO EN PLANTA"))</f>
        <v>TUNJA</v>
      </c>
      <c r="F50" s="4" t="str">
        <f>IF(B50="","",IFERROR(VLOOKUP(B50, PLANTA_BASE!A:W, 8, FALSE), "DOCENTE / FACILITADOR"))</f>
        <v>DOC AUX/N/V/TC/ESP CONTRA ESTATAL/FUN.AC</v>
      </c>
      <c r="G50" s="4" t="str">
        <f>IF(B50="","",IFERROR(VLOOKUP(B50, PLANTA_BASE!A:W, 9, FALSE), "GENERAL"))</f>
        <v>ESPECIALIZACION DE CONTRATACION ESTATAL</v>
      </c>
      <c r="H50" s="2" t="str">
        <f>IF(B50="","",IFERROR(VLOOKUP(B50, PLANTA_BASE!A:W, 17, FALSE), "GENERAL"))</f>
        <v>ESPECIALIZACION DE CONTRATACION ESTATAL</v>
      </c>
    </row>
    <row r="51" spans="1:8" ht="20.100000000000001" customHeight="1" x14ac:dyDescent="0.25">
      <c r="A51" s="5" t="str">
        <f>IF(B51="","",IFERROR(VLOOKUP(B51, PLANTA_BASE!A:W, 2, FALSE), "NO ENCONTRADO EN PLANTA"))</f>
        <v>VIRTUAL</v>
      </c>
      <c r="B51" s="6" t="s">
        <v>106</v>
      </c>
      <c r="C51" s="7" t="s">
        <v>107</v>
      </c>
      <c r="D51" s="5" t="str">
        <f>IF(B51="","",IFERROR(VLOOKUP(B51, PLANTA_BASE!A:W, 5, FALSE), "NO ENCONTRADO EN PLANTA"))</f>
        <v>REGIONAL BOGOTA</v>
      </c>
      <c r="E51" s="5" t="str">
        <f>IF(B51="","",IFERROR(VLOOKUP(B51, PLANTA_BASE!A:W, 6, FALSE), "NO ENCONTRADO EN PLANTA"))</f>
        <v>BOGOTA CENTRO</v>
      </c>
      <c r="F51" s="7" t="str">
        <f>IF(B51="","",IFERROR(VLOOKUP(B51, PLANTA_BASE!A:W, 8, FALSE), "DOCENTE / FACILITADOR"))</f>
        <v>DOC AUX/N/V/TC/ADM DE EMPRE/FUN.ACADE-ADMIN</v>
      </c>
      <c r="G51" s="7" t="str">
        <f>IF(B51="","",IFERROR(VLOOKUP(B51, PLANTA_BASE!A:W, 9, FALSE), "GENERAL"))</f>
        <v>ADMINISTRACION DE EMPRESAS</v>
      </c>
      <c r="H51" s="5" t="str">
        <f>IF(B51="","",IFERROR(VLOOKUP(B51, PLANTA_BASE!A:W, 17, FALSE), "GENERAL"))</f>
        <v>ADMINISTRACION DE EMPRESAS</v>
      </c>
    </row>
    <row r="52" spans="1:8" ht="20.100000000000001" customHeight="1" x14ac:dyDescent="0.25">
      <c r="A52" s="2" t="str">
        <f>IF(B52="","",IFERROR(VLOOKUP(B52, PLANTA_BASE!A:W, 2, FALSE), "NO ENCONTRADO EN PLANTA"))</f>
        <v>VIRTUAL</v>
      </c>
      <c r="B52" s="3" t="s">
        <v>108</v>
      </c>
      <c r="C52" s="4" t="s">
        <v>109</v>
      </c>
      <c r="D52" s="2" t="str">
        <f>IF(B52="","",IFERROR(VLOOKUP(B52, PLANTA_BASE!A:W, 5, FALSE), "NO ENCONTRADO EN PLANTA"))</f>
        <v>REGIONAL BOGOTA</v>
      </c>
      <c r="E52" s="2" t="str">
        <f>IF(B52="","",IFERROR(VLOOKUP(B52, PLANTA_BASE!A:W, 6, FALSE), "NO ENCONTRADO EN PLANTA"))</f>
        <v>BOGOTA CENTRO</v>
      </c>
      <c r="F52" s="4" t="str">
        <f>IF(B52="","",IFERROR(VLOOKUP(B52, PLANTA_BASE!A:W, 8, FALSE), "DOCENTE / FACILITADOR"))</f>
        <v>DOC ASOC/N/V/TC/ADM EMP AGROIN/PROYECCIO</v>
      </c>
      <c r="G52" s="4" t="str">
        <f>IF(B52="","",IFERROR(VLOOKUP(B52, PLANTA_BASE!A:W, 9, FALSE), "GENERAL"))</f>
        <v>ADMINISTRACION DE EMPRESAS AGROINDUSTRIAL</v>
      </c>
      <c r="H52" s="2" t="str">
        <f>IF(B52="","",IFERROR(VLOOKUP(B52, PLANTA_BASE!A:W, 17, FALSE), "GENERAL"))</f>
        <v>ADMINISTRACION DE EMPRESAS AGROINDUSTRIAL</v>
      </c>
    </row>
    <row r="53" spans="1:8" ht="20.100000000000001" customHeight="1" x14ac:dyDescent="0.25">
      <c r="A53" s="5" t="str">
        <f>IF(B53="","",IFERROR(VLOOKUP(B53, PLANTA_BASE!A:W, 2, FALSE), "NO ENCONTRADO EN PLANTA"))</f>
        <v>PRESENCIAL</v>
      </c>
      <c r="B53" s="6" t="s">
        <v>110</v>
      </c>
      <c r="C53" s="7" t="s">
        <v>111</v>
      </c>
      <c r="D53" s="5" t="str">
        <f>IF(B53="","",IFERROR(VLOOKUP(B53, PLANTA_BASE!A:W, 5, FALSE), "NO ENCONTRADO EN PLANTA"))</f>
        <v>REGIONAL MAGDALENA</v>
      </c>
      <c r="E53" s="5" t="str">
        <f>IF(B53="","",IFERROR(VLOOKUP(B53, PLANTA_BASE!A:W, 6, FALSE), "NO ENCONTRADO EN PLANTA"))</f>
        <v>SANTA MARTA</v>
      </c>
      <c r="F53" s="7" t="str">
        <f>IF(B53="","",IFERROR(VLOOKUP(B53, PLANTA_BASE!A:W, 8, FALSE), "DOCENTE / FACILITADOR"))</f>
        <v>DOCENTE AUX/N/TC/DIS GRAFICO/FUN.ACADE-ADMIN</v>
      </c>
      <c r="G53" s="7" t="str">
        <f>IF(B53="","",IFERROR(VLOOKUP(B53, PLANTA_BASE!A:W, 9, FALSE), "GENERAL"))</f>
        <v>DISEÑO GRAFICO</v>
      </c>
      <c r="H53" s="5" t="str">
        <f>IF(B53="","",IFERROR(VLOOKUP(B53, PLANTA_BASE!A:W, 17, FALSE), "GENERAL"))</f>
        <v>DISEÑO GRAFICO</v>
      </c>
    </row>
    <row r="54" spans="1:8" ht="20.100000000000001" customHeight="1" x14ac:dyDescent="0.25">
      <c r="A54" s="2" t="str">
        <f>IF(B54="","",IFERROR(VLOOKUP(B54, PLANTA_BASE!A:W, 2, FALSE), "NO ENCONTRADO EN PLANTA"))</f>
        <v>VIRTUAL</v>
      </c>
      <c r="B54" s="3" t="s">
        <v>112</v>
      </c>
      <c r="C54" s="4" t="s">
        <v>113</v>
      </c>
      <c r="D54" s="2" t="str">
        <f>IF(B54="","",IFERROR(VLOOKUP(B54, PLANTA_BASE!A:W, 5, FALSE), "NO ENCONTRADO EN PLANTA"))</f>
        <v>REGIONAL BOGOTA</v>
      </c>
      <c r="E54" s="2" t="str">
        <f>IF(B54="","",IFERROR(VLOOKUP(B54, PLANTA_BASE!A:W, 6, FALSE), "NO ENCONTRADO EN PLANTA"))</f>
        <v>BOGOTA CENTRO</v>
      </c>
      <c r="F54" s="4" t="str">
        <f>IF(B54="","",IFERROR(VLOOKUP(B54, PLANTA_BASE!A:W, 8, FALSE), "DOCENTE / FACILITADOR"))</f>
        <v>DOC AUX T&amp;T/N/V/MT/DIS GRAFICO</v>
      </c>
      <c r="G54" s="4" t="str">
        <f>IF(B54="","",IFERROR(VLOOKUP(B54, PLANTA_BASE!A:W, 9, FALSE), "GENERAL"))</f>
        <v>DISEÑO GRAFICO</v>
      </c>
      <c r="H54" s="2" t="str">
        <f>IF(B54="","",IFERROR(VLOOKUP(B54, PLANTA_BASE!A:W, 17, FALSE), "GENERAL"))</f>
        <v>DISEÑO GRAFICO</v>
      </c>
    </row>
    <row r="55" spans="1:8" ht="20.100000000000001" customHeight="1" x14ac:dyDescent="0.25">
      <c r="A55" s="5" t="str">
        <f>IF(B55="","",IFERROR(VLOOKUP(B55, PLANTA_BASE!A:W, 2, FALSE), "NO ENCONTRADO EN PLANTA"))</f>
        <v>VIRTUAL</v>
      </c>
      <c r="B55" s="6" t="s">
        <v>114</v>
      </c>
      <c r="C55" s="7" t="s">
        <v>115</v>
      </c>
      <c r="D55" s="5" t="str">
        <f>IF(B55="","",IFERROR(VLOOKUP(B55, PLANTA_BASE!A:W, 5, FALSE), "NO ENCONTRADO EN PLANTA"))</f>
        <v>REGIONAL BOGOTA</v>
      </c>
      <c r="E55" s="5" t="str">
        <f>IF(B55="","",IFERROR(VLOOKUP(B55, PLANTA_BASE!A:W, 6, FALSE), "NO ENCONTRADO EN PLANTA"))</f>
        <v>BOGOTA CENTRO</v>
      </c>
      <c r="F55" s="7" t="str">
        <f>IF(B55="","",IFERROR(VLOOKUP(B55, PLANTA_BASE!A:W, 8, FALSE), "DOCENTE / FACILITADOR"))</f>
        <v>DOC ASIS/N/V/MT/ADMIN PUBLICA</v>
      </c>
      <c r="G55" s="7" t="str">
        <f>IF(B55="","",IFERROR(VLOOKUP(B55, PLANTA_BASE!A:W, 9, FALSE), "GENERAL"))</f>
        <v>ADMINISTRACION PUBLICA</v>
      </c>
      <c r="H55" s="5" t="str">
        <f>IF(B55="","",IFERROR(VLOOKUP(B55, PLANTA_BASE!A:W, 17, FALSE), "GENERAL"))</f>
        <v>ADMINISTRACION PUBLICA</v>
      </c>
    </row>
    <row r="56" spans="1:8" ht="20.100000000000001" customHeight="1" x14ac:dyDescent="0.25">
      <c r="A56" s="2" t="str">
        <f>IF(B56="","",IFERROR(VLOOKUP(B56, PLANTA_BASE!A:W, 2, FALSE), "NO ENCONTRADO EN PLANTA"))</f>
        <v>VIRTUAL</v>
      </c>
      <c r="B56" s="3" t="s">
        <v>116</v>
      </c>
      <c r="C56" s="4" t="s">
        <v>117</v>
      </c>
      <c r="D56" s="2" t="str">
        <f>IF(B56="","",IFERROR(VLOOKUP(B56, PLANTA_BASE!A:W, 5, FALSE), "NO ENCONTRADO EN PLANTA"))</f>
        <v>REGIONAL BOYACA</v>
      </c>
      <c r="E56" s="2" t="str">
        <f>IF(B56="","",IFERROR(VLOOKUP(B56, PLANTA_BASE!A:W, 6, FALSE), "NO ENCONTRADO EN PLANTA"))</f>
        <v>TUNJA</v>
      </c>
      <c r="F56" s="4" t="str">
        <f>IF(B56="","",IFERROR(VLOOKUP(B56, PLANTA_BASE!A:W, 8, FALSE), "DOCENTE / FACILITADOR"))</f>
        <v>DOC ASIS/N/V/MT/CONTADURIA</v>
      </c>
      <c r="G56" s="4" t="str">
        <f>IF(B56="","",IFERROR(VLOOKUP(B56, PLANTA_BASE!A:W, 9, FALSE), "GENERAL"))</f>
        <v>CONTADURIA PUBLICA</v>
      </c>
      <c r="H56" s="2" t="str">
        <f>IF(B56="","",IFERROR(VLOOKUP(B56, PLANTA_BASE!A:W, 17, FALSE), "GENERAL"))</f>
        <v>CONTADURIA PUBLICA</v>
      </c>
    </row>
    <row r="57" spans="1:8" ht="20.100000000000001" customHeight="1" x14ac:dyDescent="0.25">
      <c r="A57" s="5" t="str">
        <f>IF(B57="","",IFERROR(VLOOKUP(B57, PLANTA_BASE!A:W, 2, FALSE), "NO ENCONTRADO EN PLANTA"))</f>
        <v>PRESENCIAL</v>
      </c>
      <c r="B57" s="6" t="s">
        <v>118</v>
      </c>
      <c r="C57" s="7" t="s">
        <v>119</v>
      </c>
      <c r="D57" s="5" t="str">
        <f>IF(B57="","",IFERROR(VLOOKUP(B57, PLANTA_BASE!A:W, 5, FALSE), "NO ENCONTRADO EN PLANTA"))</f>
        <v>REGIONAL MAGDALENA</v>
      </c>
      <c r="E57" s="5" t="str">
        <f>IF(B57="","",IFERROR(VLOOKUP(B57, PLANTA_BASE!A:W, 6, FALSE), "NO ENCONTRADO EN PLANTA"))</f>
        <v>SANTA MARTA</v>
      </c>
      <c r="F57" s="7" t="str">
        <f>IF(B57="","",IFERROR(VLOOKUP(B57, PLANTA_BASE!A:W, 8, FALSE), "DOCENTE / FACILITADOR"))</f>
        <v>DOC AUX T&amp;T/N/MT/DIS PROD MOD</v>
      </c>
      <c r="G57" s="7" t="str">
        <f>IF(B57="","",IFERROR(VLOOKUP(B57, PLANTA_BASE!A:W, 9, FALSE), "GENERAL"))</f>
        <v>DISEÑO Y PRODUCCION DE MODAS</v>
      </c>
      <c r="H57" s="5" t="str">
        <f>IF(B57="","",IFERROR(VLOOKUP(B57, PLANTA_BASE!A:W, 17, FALSE), "GENERAL"))</f>
        <v>DISEÑO Y PRODUCCION DE MODAS</v>
      </c>
    </row>
    <row r="58" spans="1:8" ht="20.100000000000001" customHeight="1" x14ac:dyDescent="0.25">
      <c r="A58" s="2" t="str">
        <f>IF(B58="","",IFERROR(VLOOKUP(B58, PLANTA_BASE!A:W, 2, FALSE), "NO ENCONTRADO EN PLANTA"))</f>
        <v>VIRTUAL</v>
      </c>
      <c r="B58" s="3" t="s">
        <v>120</v>
      </c>
      <c r="C58" s="4" t="s">
        <v>121</v>
      </c>
      <c r="D58" s="2" t="str">
        <f>IF(B58="","",IFERROR(VLOOKUP(B58, PLANTA_BASE!A:W, 5, FALSE), "NO ENCONTRADO EN PLANTA"))</f>
        <v>REGIONAL BOGOTA</v>
      </c>
      <c r="E58" s="2" t="str">
        <f>IF(B58="","",IFERROR(VLOOKUP(B58, PLANTA_BASE!A:W, 6, FALSE), "NO ENCONTRADO EN PLANTA"))</f>
        <v>BOGOTA CENTRO</v>
      </c>
      <c r="F58" s="4" t="str">
        <f>IF(B58="","",IFERROR(VLOOKUP(B58, PLANTA_BASE!A:W, 8, FALSE), "DOCENTE / FACILITADOR"))</f>
        <v>DOC ASIS/N/V/TC/ESP DES ORG TH/FUN.ACADE</v>
      </c>
      <c r="G58" s="4" t="str">
        <f>IF(B58="","",IFERROR(VLOOKUP(B58, PLANTA_BASE!A:W, 9, FALSE), "GENERAL"))</f>
        <v>ESPECIALIZACION EN DESARROLLO ORGANIZACIONAL Y GESTION DEL TALENTO HUMANO</v>
      </c>
      <c r="H58" s="2" t="str">
        <f>IF(B58="","",IFERROR(VLOOKUP(B58, PLANTA_BASE!A:W, 17, FALSE), "GENERAL"))</f>
        <v>ESPECIALIZACION EN DESARROLLO ORGANIZACIONAL Y GESTION DEL TALENTO HUMANO</v>
      </c>
    </row>
    <row r="59" spans="1:8" ht="20.100000000000001" customHeight="1" x14ac:dyDescent="0.25">
      <c r="A59" s="5" t="str">
        <f>IF(B59="","",IFERROR(VLOOKUP(B59, PLANTA_BASE!A:W, 2, FALSE), "NO ENCONTRADO EN PLANTA"))</f>
        <v>VIRTUAL</v>
      </c>
      <c r="B59" s="6" t="s">
        <v>122</v>
      </c>
      <c r="C59" s="7" t="s">
        <v>123</v>
      </c>
      <c r="D59" s="5" t="str">
        <f>IF(B59="","",IFERROR(VLOOKUP(B59, PLANTA_BASE!A:W, 5, FALSE), "NO ENCONTRADO EN PLANTA"))</f>
        <v>REGIONAL SANTANDER</v>
      </c>
      <c r="E59" s="5" t="str">
        <f>IF(B59="","",IFERROR(VLOOKUP(B59, PLANTA_BASE!A:W, 6, FALSE), "NO ENCONTRADO EN PLANTA"))</f>
        <v>BUCARAMANGA</v>
      </c>
      <c r="F59" s="7" t="str">
        <f>IF(B59="","",IFERROR(VLOOKUP(B59, PLANTA_BASE!A:W, 8, FALSE), "DOCENTE / FACILITADOR"))</f>
        <v>DOC AUX/N/V/TC/NEG INTER/FUN.ACADE-ADMIN</v>
      </c>
      <c r="G59" s="7" t="str">
        <f>IF(B59="","",IFERROR(VLOOKUP(B59, PLANTA_BASE!A:W, 9, FALSE), "GENERAL"))</f>
        <v>NEGOCIOS INTERNACIONALES</v>
      </c>
      <c r="H59" s="5" t="str">
        <f>IF(B59="","",IFERROR(VLOOKUP(B59, PLANTA_BASE!A:W, 17, FALSE), "GENERAL"))</f>
        <v>NEGOCIOS INTERNACIONALES</v>
      </c>
    </row>
    <row r="60" spans="1:8" ht="20.100000000000001" customHeight="1" x14ac:dyDescent="0.25">
      <c r="A60" s="2" t="str">
        <f>IF(B60="","",IFERROR(VLOOKUP(B60, PLANTA_BASE!A:W, 2, FALSE), "NO ENCONTRADO EN PLANTA"))</f>
        <v>VIRTUAL</v>
      </c>
      <c r="B60" s="3" t="s">
        <v>124</v>
      </c>
      <c r="C60" s="4" t="s">
        <v>125</v>
      </c>
      <c r="D60" s="2" t="str">
        <f>IF(B60="","",IFERROR(VLOOKUP(B60, PLANTA_BASE!A:W, 5, FALSE), "NO ENCONTRADO EN PLANTA"))</f>
        <v>REGIONAL ATLANTICO</v>
      </c>
      <c r="E60" s="2" t="str">
        <f>IF(B60="","",IFERROR(VLOOKUP(B60, PLANTA_BASE!A:W, 6, FALSE), "NO ENCONTRADO EN PLANTA"))</f>
        <v>BARRANQUILLA</v>
      </c>
      <c r="F60" s="4" t="str">
        <f>IF(B60="","",IFERROR(VLOOKUP(B60, PLANTA_BASE!A:W, 8, FALSE), "DOCENTE / FACILITADOR"))</f>
        <v>DOC AUX/N/V/TC/ADM DE EMPRE/FUN.ACADE-ADMIN</v>
      </c>
      <c r="G60" s="4" t="str">
        <f>IF(B60="","",IFERROR(VLOOKUP(B60, PLANTA_BASE!A:W, 9, FALSE), "GENERAL"))</f>
        <v>ADMINISTRACION DE EMPRESAS</v>
      </c>
      <c r="H60" s="2" t="str">
        <f>IF(B60="","",IFERROR(VLOOKUP(B60, PLANTA_BASE!A:W, 17, FALSE), "GENERAL"))</f>
        <v>ADMINISTRACION DE EMPRESAS</v>
      </c>
    </row>
    <row r="61" spans="1:8" ht="20.100000000000001" customHeight="1" x14ac:dyDescent="0.25">
      <c r="A61" s="5" t="str">
        <f>IF(B61="","",IFERROR(VLOOKUP(B61, PLANTA_BASE!A:W, 2, FALSE), "NO ENCONTRADO EN PLANTA"))</f>
        <v>PRESENCIAL</v>
      </c>
      <c r="B61" s="6" t="s">
        <v>126</v>
      </c>
      <c r="C61" s="7" t="s">
        <v>127</v>
      </c>
      <c r="D61" s="5" t="str">
        <f>IF(B61="","",IFERROR(VLOOKUP(B61, PLANTA_BASE!A:W, 5, FALSE), "NO ENCONTRADO EN PLANTA"))</f>
        <v>REGIONAL MAGDALENA</v>
      </c>
      <c r="E61" s="5" t="str">
        <f>IF(B61="","",IFERROR(VLOOKUP(B61, PLANTA_BASE!A:W, 6, FALSE), "NO ENCONTRADO EN PLANTA"))</f>
        <v>SANTA MARTA</v>
      </c>
      <c r="F61" s="7" t="str">
        <f>IF(B61="","",IFERROR(VLOOKUP(B61, PLANTA_BASE!A:W, 8, FALSE), "DOCENTE / FACILITADOR"))</f>
        <v>DOCENTE AUX/N/TC/COM SOC Y PER/FUN.ACADE-ADMIN</v>
      </c>
      <c r="G61" s="7" t="str">
        <f>IF(B61="","",IFERROR(VLOOKUP(B61, PLANTA_BASE!A:W, 9, FALSE), "GENERAL"))</f>
        <v>COMUNICACION SOCIAL Y PERIODISMO</v>
      </c>
      <c r="H61" s="5" t="str">
        <f>IF(B61="","",IFERROR(VLOOKUP(B61, PLANTA_BASE!A:W, 17, FALSE), "GENERAL"))</f>
        <v>COMUNICACION SOCIAL Y PERIODISMO</v>
      </c>
    </row>
    <row r="62" spans="1:8" ht="20.100000000000001" customHeight="1" x14ac:dyDescent="0.25">
      <c r="A62" s="2" t="str">
        <f>IF(B62="","",IFERROR(VLOOKUP(B62, PLANTA_BASE!A:W, 2, FALSE), "NO ENCONTRADO EN PLANTA"))</f>
        <v>VIRTUAL</v>
      </c>
      <c r="B62" s="3" t="s">
        <v>128</v>
      </c>
      <c r="C62" s="4" t="s">
        <v>129</v>
      </c>
      <c r="D62" s="2" t="str">
        <f>IF(B62="","",IFERROR(VLOOKUP(B62, PLANTA_BASE!A:W, 5, FALSE), "NO ENCONTRADO EN PLANTA"))</f>
        <v>REGIONAL BOGOTA</v>
      </c>
      <c r="E62" s="2" t="str">
        <f>IF(B62="","",IFERROR(VLOOKUP(B62, PLANTA_BASE!A:W, 6, FALSE), "NO ENCONTRADO EN PLANTA"))</f>
        <v>BOGOTA CENTRO</v>
      </c>
      <c r="F62" s="4" t="str">
        <f>IF(B62="","",IFERROR(VLOOKUP(B62, PLANTA_BASE!A:W, 8, FALSE), "DOCENTE / FACILITADOR"))</f>
        <v>DOC ASIS/N/V/TC/ADM DE EMPRE/FUN.ACADE-ADMIN</v>
      </c>
      <c r="G62" s="4" t="str">
        <f>IF(B62="","",IFERROR(VLOOKUP(B62, PLANTA_BASE!A:W, 9, FALSE), "GENERAL"))</f>
        <v>ADMINISTRACION DE EMPRESAS</v>
      </c>
      <c r="H62" s="2" t="str">
        <f>IF(B62="","",IFERROR(VLOOKUP(B62, PLANTA_BASE!A:W, 17, FALSE), "GENERAL"))</f>
        <v>ADMINISTRACION DE EMPRESAS</v>
      </c>
    </row>
    <row r="63" spans="1:8" ht="20.100000000000001" customHeight="1" x14ac:dyDescent="0.25">
      <c r="A63" s="5" t="str">
        <f>IF(B63="","",IFERROR(VLOOKUP(B63, PLANTA_BASE!A:W, 2, FALSE), "NO ENCONTRADO EN PLANTA"))</f>
        <v>VIRTUAL</v>
      </c>
      <c r="B63" s="6" t="s">
        <v>130</v>
      </c>
      <c r="C63" s="7" t="s">
        <v>131</v>
      </c>
      <c r="D63" s="5" t="str">
        <f>IF(B63="","",IFERROR(VLOOKUP(B63, PLANTA_BASE!A:W, 5, FALSE), "NO ENCONTRADO EN PLANTA"))</f>
        <v>REGIONAL SANTANDER</v>
      </c>
      <c r="E63" s="5" t="str">
        <f>IF(B63="","",IFERROR(VLOOKUP(B63, PLANTA_BASE!A:W, 6, FALSE), "NO ENCONTRADO EN PLANTA"))</f>
        <v>BUCARAMANGA</v>
      </c>
      <c r="F63" s="7" t="str">
        <f>IF(B63="","",IFERROR(VLOOKUP(B63, PLANTA_BASE!A:W, 8, FALSE), "DOCENTE / FACILITADOR"))</f>
        <v>DOC AUX/N/V/TC/IDIOMAS/FUN.ACADE-ADMIN</v>
      </c>
      <c r="G63" s="7" t="str">
        <f>IF(B63="","",IFERROR(VLOOKUP(B63, PLANTA_BASE!A:W, 9, FALSE), "GENERAL"))</f>
        <v>IDIOMAS</v>
      </c>
      <c r="H63" s="5" t="str">
        <f>IF(B63="","",IFERROR(VLOOKUP(B63, PLANTA_BASE!A:W, 17, FALSE), "GENERAL"))</f>
        <v>IDIOMAS</v>
      </c>
    </row>
    <row r="64" spans="1:8" ht="20.100000000000001" customHeight="1" x14ac:dyDescent="0.25">
      <c r="A64" s="2" t="str">
        <f>IF(B64="","",IFERROR(VLOOKUP(B64, PLANTA_BASE!A:W, 2, FALSE), "NO ENCONTRADO EN PLANTA"))</f>
        <v>VIRTUAL</v>
      </c>
      <c r="B64" s="3" t="s">
        <v>132</v>
      </c>
      <c r="C64" s="4" t="s">
        <v>133</v>
      </c>
      <c r="D64" s="2" t="str">
        <f>IF(B64="","",IFERROR(VLOOKUP(B64, PLANTA_BASE!A:W, 5, FALSE), "NO ENCONTRADO EN PLANTA"))</f>
        <v>REGIONAL SANTANDER</v>
      </c>
      <c r="E64" s="2" t="str">
        <f>IF(B64="","",IFERROR(VLOOKUP(B64, PLANTA_BASE!A:W, 6, FALSE), "NO ENCONTRADO EN PLANTA"))</f>
        <v>BUCARAMANGA</v>
      </c>
      <c r="F64" s="4" t="str">
        <f>IF(B64="","",IFERROR(VLOOKUP(B64, PLANTA_BASE!A:W, 8, FALSE), "DOCENTE / FACILITADOR"))</f>
        <v>DOC ASIS/N/V/MT/CONTADURIA</v>
      </c>
      <c r="G64" s="4" t="str">
        <f>IF(B64="","",IFERROR(VLOOKUP(B64, PLANTA_BASE!A:W, 9, FALSE), "GENERAL"))</f>
        <v>CONTADURIA PUBLICA</v>
      </c>
      <c r="H64" s="2" t="str">
        <f>IF(B64="","",IFERROR(VLOOKUP(B64, PLANTA_BASE!A:W, 17, FALSE), "GENERAL"))</f>
        <v>CONTADURIA PUBLICA</v>
      </c>
    </row>
    <row r="65" spans="1:8" ht="20.100000000000001" customHeight="1" x14ac:dyDescent="0.25">
      <c r="A65" s="5" t="str">
        <f>IF(B65="","",IFERROR(VLOOKUP(B65, PLANTA_BASE!A:W, 2, FALSE), "NO ENCONTRADO EN PLANTA"))</f>
        <v>VIRTUAL</v>
      </c>
      <c r="B65" s="6" t="s">
        <v>134</v>
      </c>
      <c r="C65" s="7" t="s">
        <v>135</v>
      </c>
      <c r="D65" s="5" t="str">
        <f>IF(B65="","",IFERROR(VLOOKUP(B65, PLANTA_BASE!A:W, 5, FALSE), "NO ENCONTRADO EN PLANTA"))</f>
        <v>REGIONAL BOGOTA</v>
      </c>
      <c r="E65" s="5" t="str">
        <f>IF(B65="","",IFERROR(VLOOKUP(B65, PLANTA_BASE!A:W, 6, FALSE), "NO ENCONTRADO EN PLANTA"))</f>
        <v>BOGOTA CENTRO</v>
      </c>
      <c r="F65" s="7" t="str">
        <f>IF(B65="","",IFERROR(VLOOKUP(B65, PLANTA_BASE!A:W, 8, FALSE), "DOCENTE / FACILITADOR"))</f>
        <v>DOC AUX T&amp;T/N/V/TC/ING DE SISTEMAS/FUN.ACADE-ADMIN</v>
      </c>
      <c r="G65" s="7" t="str">
        <f>IF(B65="","",IFERROR(VLOOKUP(B65, PLANTA_BASE!A:W, 9, FALSE), "GENERAL"))</f>
        <v>INGENIERIA DE SISTEMAS</v>
      </c>
      <c r="H65" s="5" t="str">
        <f>IF(B65="","",IFERROR(VLOOKUP(B65, PLANTA_BASE!A:W, 17, FALSE), "GENERAL"))</f>
        <v>INGENIERIA DE SISTEMAS</v>
      </c>
    </row>
    <row r="66" spans="1:8" ht="20.100000000000001" customHeight="1" x14ac:dyDescent="0.25">
      <c r="A66" s="2" t="str">
        <f>IF(B66="","",IFERROR(VLOOKUP(B66, PLANTA_BASE!A:W, 2, FALSE), "NO ENCONTRADO EN PLANTA"))</f>
        <v>VIRTUAL</v>
      </c>
      <c r="B66" s="3" t="s">
        <v>136</v>
      </c>
      <c r="C66" s="4" t="s">
        <v>137</v>
      </c>
      <c r="D66" s="2" t="str">
        <f>IF(B66="","",IFERROR(VLOOKUP(B66, PLANTA_BASE!A:W, 5, FALSE), "NO ENCONTRADO EN PLANTA"))</f>
        <v>REGIONAL SANTANDER</v>
      </c>
      <c r="E66" s="2" t="str">
        <f>IF(B66="","",IFERROR(VLOOKUP(B66, PLANTA_BASE!A:W, 6, FALSE), "NO ENCONTRADO EN PLANTA"))</f>
        <v>BUCARAMANGA</v>
      </c>
      <c r="F66" s="4" t="str">
        <f>IF(B66="","",IFERROR(VLOOKUP(B66, PLANTA_BASE!A:W, 8, FALSE), "DOCENTE / FACILITADOR"))</f>
        <v>DOC ASIS/N/V/TC/ESP ALTA GEREN/PROYECCIO</v>
      </c>
      <c r="G66" s="4" t="str">
        <f>IF(B66="","",IFERROR(VLOOKUP(B66, PLANTA_BASE!A:W, 9, FALSE), "GENERAL"))</f>
        <v>ESPECIALIZACION EN ALTA GERENCIA</v>
      </c>
      <c r="H66" s="2" t="str">
        <f>IF(B66="","",IFERROR(VLOOKUP(B66, PLANTA_BASE!A:W, 17, FALSE), "GENERAL"))</f>
        <v>ESPECIALIZACION EN ALTA GERENCIA</v>
      </c>
    </row>
    <row r="67" spans="1:8" ht="20.100000000000001" customHeight="1" x14ac:dyDescent="0.25">
      <c r="A67" s="5" t="str">
        <f>IF(B67="","",IFERROR(VLOOKUP(B67, PLANTA_BASE!A:W, 2, FALSE), "NO ENCONTRADO EN PLANTA"))</f>
        <v>VIRTUAL</v>
      </c>
      <c r="B67" s="6" t="s">
        <v>138</v>
      </c>
      <c r="C67" s="7" t="s">
        <v>139</v>
      </c>
      <c r="D67" s="5" t="str">
        <f>IF(B67="","",IFERROR(VLOOKUP(B67, PLANTA_BASE!A:W, 5, FALSE), "NO ENCONTRADO EN PLANTA"))</f>
        <v>REGIONAL SANTANDER</v>
      </c>
      <c r="E67" s="5" t="str">
        <f>IF(B67="","",IFERROR(VLOOKUP(B67, PLANTA_BASE!A:W, 6, FALSE), "NO ENCONTRADO EN PLANTA"))</f>
        <v>BUCARAMANGA</v>
      </c>
      <c r="F67" s="7" t="str">
        <f>IF(B67="","",IFERROR(VLOOKUP(B67, PLANTA_BASE!A:W, 8, FALSE), "DOCENTE / FACILITADOR"))</f>
        <v>DOC TIT/N/V/MT/ESP ALTA GEREN</v>
      </c>
      <c r="G67" s="7" t="str">
        <f>IF(B67="","",IFERROR(VLOOKUP(B67, PLANTA_BASE!A:W, 9, FALSE), "GENERAL"))</f>
        <v>ESPECIALIZACION EN ALTA GERENCIA</v>
      </c>
      <c r="H67" s="5" t="str">
        <f>IF(B67="","",IFERROR(VLOOKUP(B67, PLANTA_BASE!A:W, 17, FALSE), "GENERAL"))</f>
        <v>ESPECIALIZACION EN ALTA GERENCIA</v>
      </c>
    </row>
    <row r="68" spans="1:8" ht="20.100000000000001" customHeight="1" x14ac:dyDescent="0.25">
      <c r="A68" s="2" t="str">
        <f>IF(B68="","",IFERROR(VLOOKUP(B68, PLANTA_BASE!A:W, 2, FALSE), "NO ENCONTRADO EN PLANTA"))</f>
        <v>VIRTUAL</v>
      </c>
      <c r="B68" s="3" t="s">
        <v>140</v>
      </c>
      <c r="C68" s="4" t="s">
        <v>141</v>
      </c>
      <c r="D68" s="2" t="str">
        <f>IF(B68="","",IFERROR(VLOOKUP(B68, PLANTA_BASE!A:W, 5, FALSE), "NO ENCONTRADO EN PLANTA"))</f>
        <v>REGIONAL VALLE DELCAUCA</v>
      </c>
      <c r="E68" s="2" t="str">
        <f>IF(B68="","",IFERROR(VLOOKUP(B68, PLANTA_BASE!A:W, 6, FALSE), "NO ENCONTRADO EN PLANTA"))</f>
        <v>BUENAVENTURA</v>
      </c>
      <c r="F68" s="4" t="str">
        <f>IF(B68="","",IFERROR(VLOOKUP(B68, PLANTA_BASE!A:W, 8, FALSE), "DOCENTE / FACILITADOR"))</f>
        <v>DOC AUX/N/V/MT/ADM DE EMPRE</v>
      </c>
      <c r="G68" s="4" t="str">
        <f>IF(B68="","",IFERROR(VLOOKUP(B68, PLANTA_BASE!A:W, 9, FALSE), "GENERAL"))</f>
        <v>ADMINISTRACION DE EMPRESAS</v>
      </c>
      <c r="H68" s="2" t="str">
        <f>IF(B68="","",IFERROR(VLOOKUP(B68, PLANTA_BASE!A:W, 17, FALSE), "GENERAL"))</f>
        <v>ADMINISTRACION DE EMPRESAS</v>
      </c>
    </row>
    <row r="69" spans="1:8" ht="20.100000000000001" customHeight="1" x14ac:dyDescent="0.25">
      <c r="A69" s="5" t="str">
        <f>IF(B69="","",IFERROR(VLOOKUP(B69, PLANTA_BASE!A:W, 2, FALSE), "NO ENCONTRADO EN PLANTA"))</f>
        <v>VIRTUAL</v>
      </c>
      <c r="B69" s="6" t="s">
        <v>142</v>
      </c>
      <c r="C69" s="7" t="s">
        <v>143</v>
      </c>
      <c r="D69" s="5" t="str">
        <f>IF(B69="","",IFERROR(VLOOKUP(B69, PLANTA_BASE!A:W, 5, FALSE), "NO ENCONTRADO EN PLANTA"))</f>
        <v>REGIONAL ANTIOQUIA</v>
      </c>
      <c r="E69" s="5" t="str">
        <f>IF(B69="","",IFERROR(VLOOKUP(B69, PLANTA_BASE!A:W, 6, FALSE), "NO ENCONTRADO EN PLANTA"))</f>
        <v>MEDELLIN</v>
      </c>
      <c r="F69" s="7" t="str">
        <f>IF(B69="","",IFERROR(VLOOKUP(B69, PLANTA_BASE!A:W, 8, FALSE), "DOCENTE / FACILITADOR"))</f>
        <v>DOC AUX/N/V/TC/ESP. GERENCIA MARCA/FUN.ACADE-ADMIN</v>
      </c>
      <c r="G69" s="7" t="str">
        <f>IF(B69="","",IFERROR(VLOOKUP(B69, PLANTA_BASE!A:W, 9, FALSE), "GENERAL"))</f>
        <v>ESPECIALIZACION EN GERENCIA DE MARCA</v>
      </c>
      <c r="H69" s="5" t="str">
        <f>IF(B69="","",IFERROR(VLOOKUP(B69, PLANTA_BASE!A:W, 17, FALSE), "GENERAL"))</f>
        <v>ESPECIALIZACION EN GERENCIA DE MARCA</v>
      </c>
    </row>
    <row r="70" spans="1:8" ht="20.100000000000001" customHeight="1" x14ac:dyDescent="0.25">
      <c r="A70" s="2" t="str">
        <f>IF(B70="","",IFERROR(VLOOKUP(B70, PLANTA_BASE!A:W, 2, FALSE), "NO ENCONTRADO EN PLANTA"))</f>
        <v>VIRTUAL</v>
      </c>
      <c r="B70" s="3" t="s">
        <v>144</v>
      </c>
      <c r="C70" s="4" t="s">
        <v>145</v>
      </c>
      <c r="D70" s="2" t="str">
        <f>IF(B70="","",IFERROR(VLOOKUP(B70, PLANTA_BASE!A:W, 5, FALSE), "NO ENCONTRADO EN PLANTA"))</f>
        <v>REGIONAL BOYACA</v>
      </c>
      <c r="E70" s="2" t="str">
        <f>IF(B70="","",IFERROR(VLOOKUP(B70, PLANTA_BASE!A:W, 6, FALSE), "NO ENCONTRADO EN PLANTA"))</f>
        <v>TUNJA</v>
      </c>
      <c r="F70" s="4" t="str">
        <f>IF(B70="","",IFERROR(VLOOKUP(B70, PLANTA_BASE!A:W, 8, FALSE), "DOCENTE / FACILITADOR"))</f>
        <v>DOC AUX/N/V/TC/INVESTIGACIONES/INVESTIGACI</v>
      </c>
      <c r="G70" s="4" t="str">
        <f>IF(B70="","",IFERROR(VLOOKUP(B70, PLANTA_BASE!A:W, 9, FALSE), "GENERAL"))</f>
        <v>INVESTIGACIONES</v>
      </c>
      <c r="H70" s="2" t="str">
        <f>IF(B70="","",IFERROR(VLOOKUP(B70, PLANTA_BASE!A:W, 17, FALSE), "GENERAL"))</f>
        <v>INVESTIGACIONES</v>
      </c>
    </row>
    <row r="71" spans="1:8" ht="20.100000000000001" customHeight="1" x14ac:dyDescent="0.25">
      <c r="A71" s="5" t="str">
        <f>IF(B71="","",IFERROR(VLOOKUP(B71, PLANTA_BASE!A:W, 2, FALSE), "NO ENCONTRADO EN PLANTA"))</f>
        <v>VIRTUAL</v>
      </c>
      <c r="B71" s="6" t="s">
        <v>146</v>
      </c>
      <c r="C71" s="7" t="s">
        <v>147</v>
      </c>
      <c r="D71" s="5" t="str">
        <f>IF(B71="","",IFERROR(VLOOKUP(B71, PLANTA_BASE!A:W, 5, FALSE), "NO ENCONTRADO EN PLANTA"))</f>
        <v>REGIONAL BOGOTA</v>
      </c>
      <c r="E71" s="5" t="str">
        <f>IF(B71="","",IFERROR(VLOOKUP(B71, PLANTA_BASE!A:W, 6, FALSE), "NO ENCONTRADO EN PLANTA"))</f>
        <v>BOGOTA CENTRO</v>
      </c>
      <c r="F71" s="7" t="str">
        <f>IF(B71="","",IFERROR(VLOOKUP(B71, PLANTA_BASE!A:W, 8, FALSE), "DOCENTE / FACILITADOR"))</f>
        <v>DOC ASIS/N/V/TC/ESP PAZ Y DESARR/FUN.ACADE-ADMIN</v>
      </c>
      <c r="G71" s="7" t="str">
        <f>IF(B71="","",IFERROR(VLOOKUP(B71, PLANTA_BASE!A:W, 9, FALSE), "GENERAL"))</f>
        <v>ESPECIALIZACION DE PAZ Y DESARROLLO</v>
      </c>
      <c r="H71" s="5" t="str">
        <f>IF(B71="","",IFERROR(VLOOKUP(B71, PLANTA_BASE!A:W, 17, FALSE), "GENERAL"))</f>
        <v>ESPECIALIZACION DE PAZ Y DESARROLLO</v>
      </c>
    </row>
    <row r="72" spans="1:8" ht="20.100000000000001" customHeight="1" x14ac:dyDescent="0.25">
      <c r="A72" s="2" t="str">
        <f>IF(B72="","",IFERROR(VLOOKUP(B72, PLANTA_BASE!A:W, 2, FALSE), "NO ENCONTRADO EN PLANTA"))</f>
        <v>VIRTUAL</v>
      </c>
      <c r="B72" s="3" t="s">
        <v>148</v>
      </c>
      <c r="C72" s="4" t="s">
        <v>149</v>
      </c>
      <c r="D72" s="2" t="str">
        <f>IF(B72="","",IFERROR(VLOOKUP(B72, PLANTA_BASE!A:W, 5, FALSE), "NO ENCONTRADO EN PLANTA"))</f>
        <v>REGIONAL BOGOTA</v>
      </c>
      <c r="E72" s="2" t="str">
        <f>IF(B72="","",IFERROR(VLOOKUP(B72, PLANTA_BASE!A:W, 6, FALSE), "NO ENCONTRADO EN PLANTA"))</f>
        <v>BOGOTA CENTRO</v>
      </c>
      <c r="F72" s="4" t="str">
        <f>IF(B72="","",IFERROR(VLOOKUP(B72, PLANTA_BASE!A:W, 8, FALSE), "DOCENTE / FACILITADOR"))</f>
        <v>DOC AUX/N/V/TC/ADM DE EMPRE/FUN.ACADE-ADMIN</v>
      </c>
      <c r="G72" s="4" t="str">
        <f>IF(B72="","",IFERROR(VLOOKUP(B72, PLANTA_BASE!A:W, 9, FALSE), "GENERAL"))</f>
        <v>ADMINISTRACION DE EMPRESAS</v>
      </c>
      <c r="H72" s="2" t="str">
        <f>IF(B72="","",IFERROR(VLOOKUP(B72, PLANTA_BASE!A:W, 17, FALSE), "GENERAL"))</f>
        <v>ADMINISTRACION DE EMPRESAS</v>
      </c>
    </row>
    <row r="73" spans="1:8" ht="20.100000000000001" customHeight="1" x14ac:dyDescent="0.25">
      <c r="A73" s="5" t="str">
        <f>IF(B73="","",IFERROR(VLOOKUP(B73, PLANTA_BASE!A:W, 2, FALSE), "NO ENCONTRADO EN PLANTA"))</f>
        <v>VIRTUAL</v>
      </c>
      <c r="B73" s="6" t="s">
        <v>150</v>
      </c>
      <c r="C73" s="7" t="s">
        <v>151</v>
      </c>
      <c r="D73" s="5" t="str">
        <f>IF(B73="","",IFERROR(VLOOKUP(B73, PLANTA_BASE!A:W, 5, FALSE), "NO ENCONTRADO EN PLANTA"))</f>
        <v>REGIONAL BOGOTA</v>
      </c>
      <c r="E73" s="5" t="str">
        <f>IF(B73="","",IFERROR(VLOOKUP(B73, PLANTA_BASE!A:W, 6, FALSE), "NO ENCONTRADO EN PLANTA"))</f>
        <v>BOGOTA CENTRO</v>
      </c>
      <c r="F73" s="7" t="str">
        <f>IF(B73="","",IFERROR(VLOOKUP(B73, PLANTA_BASE!A:W, 8, FALSE), "DOCENTE / FACILITADOR"))</f>
        <v>DOC ASOC/N/V/TC/INVESTIGACIONES/INVESTIG</v>
      </c>
      <c r="G73" s="7" t="str">
        <f>IF(B73="","",IFERROR(VLOOKUP(B73, PLANTA_BASE!A:W, 9, FALSE), "GENERAL"))</f>
        <v>INVESTIGACIONES</v>
      </c>
      <c r="H73" s="5" t="str">
        <f>IF(B73="","",IFERROR(VLOOKUP(B73, PLANTA_BASE!A:W, 17, FALSE), "GENERAL"))</f>
        <v>INVESTIGACIONES</v>
      </c>
    </row>
    <row r="74" spans="1:8" ht="20.100000000000001" customHeight="1" x14ac:dyDescent="0.25">
      <c r="A74" s="2" t="str">
        <f>IF(B74="","",IFERROR(VLOOKUP(B74, PLANTA_BASE!A:W, 2, FALSE), "NO ENCONTRADO EN PLANTA"))</f>
        <v>PRESENCIAL</v>
      </c>
      <c r="B74" s="3" t="s">
        <v>152</v>
      </c>
      <c r="C74" s="4" t="s">
        <v>153</v>
      </c>
      <c r="D74" s="2" t="str">
        <f>IF(B74="","",IFERROR(VLOOKUP(B74, PLANTA_BASE!A:W, 5, FALSE), "NO ENCONTRADO EN PLANTA"))</f>
        <v>REGIONAL BOGOTA</v>
      </c>
      <c r="E74" s="2" t="str">
        <f>IF(B74="","",IFERROR(VLOOKUP(B74, PLANTA_BASE!A:W, 6, FALSE), "NO ENCONTRADO EN PLANTA"))</f>
        <v>BOGOTA CENTRO</v>
      </c>
      <c r="F74" s="4" t="str">
        <f>IF(B74="","",IFERROR(VLOOKUP(B74, PLANTA_BASE!A:W, 8, FALSE), "DOCENTE / FACILITADOR"))</f>
        <v>DOC AUX T&amp;T/N/TC/EMPRENDIMIE/FUN.ACADE-ADMIN</v>
      </c>
      <c r="G74" s="4" t="str">
        <f>IF(B74="","",IFERROR(VLOOKUP(B74, PLANTA_BASE!A:W, 9, FALSE), "GENERAL"))</f>
        <v>EMPRENDIMIENTO</v>
      </c>
      <c r="H74" s="2" t="str">
        <f>IF(B74="","",IFERROR(VLOOKUP(B74, PLANTA_BASE!A:W, 17, FALSE), "GENERAL"))</f>
        <v>EMPRENDIMIENTO</v>
      </c>
    </row>
    <row r="75" spans="1:8" ht="20.100000000000001" customHeight="1" x14ac:dyDescent="0.25">
      <c r="A75" s="5" t="str">
        <f>IF(B75="","",IFERROR(VLOOKUP(B75, PLANTA_BASE!A:W, 2, FALSE), "NO ENCONTRADO EN PLANTA"))</f>
        <v>PRESENCIAL</v>
      </c>
      <c r="B75" s="6" t="s">
        <v>154</v>
      </c>
      <c r="C75" s="7" t="s">
        <v>155</v>
      </c>
      <c r="D75" s="5" t="str">
        <f>IF(B75="","",IFERROR(VLOOKUP(B75, PLANTA_BASE!A:W, 5, FALSE), "NO ENCONTRADO EN PLANTA"))</f>
        <v>REGIONAL MAGDALENA</v>
      </c>
      <c r="E75" s="5" t="str">
        <f>IF(B75="","",IFERROR(VLOOKUP(B75, PLANTA_BASE!A:W, 6, FALSE), "NO ENCONTRADO EN PLANTA"))</f>
        <v>SANTA MARTA</v>
      </c>
      <c r="F75" s="7" t="str">
        <f>IF(B75="","",IFERROR(VLOOKUP(B75, PLANTA_BASE!A:W, 8, FALSE), "DOCENTE / FACILITADOR"))</f>
        <v>DOCENTE ASOC/N/TC/INVESTIGA/INVESTIGACIO</v>
      </c>
      <c r="G75" s="7" t="str">
        <f>IF(B75="","",IFERROR(VLOOKUP(B75, PLANTA_BASE!A:W, 9, FALSE), "GENERAL"))</f>
        <v>INVESTIGACIONES</v>
      </c>
      <c r="H75" s="5" t="str">
        <f>IF(B75="","",IFERROR(VLOOKUP(B75, PLANTA_BASE!A:W, 17, FALSE), "GENERAL"))</f>
        <v>INVESTIGACIONES</v>
      </c>
    </row>
    <row r="76" spans="1:8" ht="20.100000000000001" customHeight="1" x14ac:dyDescent="0.25">
      <c r="A76" s="2" t="str">
        <f>IF(B76="","",IFERROR(VLOOKUP(B76, PLANTA_BASE!A:W, 2, FALSE), "NO ENCONTRADO EN PLANTA"))</f>
        <v>PRESENCIAL</v>
      </c>
      <c r="B76" s="3" t="s">
        <v>156</v>
      </c>
      <c r="C76" s="4" t="s">
        <v>157</v>
      </c>
      <c r="D76" s="2" t="str">
        <f>IF(B76="","",IFERROR(VLOOKUP(B76, PLANTA_BASE!A:W, 5, FALSE), "NO ENCONTRADO EN PLANTA"))</f>
        <v>REGIONAL ATLANTICO</v>
      </c>
      <c r="E76" s="2" t="str">
        <f>IF(B76="","",IFERROR(VLOOKUP(B76, PLANTA_BASE!A:W, 6, FALSE), "NO ENCONTRADO EN PLANTA"))</f>
        <v>BARRANQUILLA</v>
      </c>
      <c r="F76" s="4" t="str">
        <f>IF(B76="","",IFERROR(VLOOKUP(B76, PLANTA_BASE!A:W, 8, FALSE), "DOCENTE / FACILITADOR"))</f>
        <v>DOCENTE TITU/N/TC/INVESTIGA/INVESTIGACIO</v>
      </c>
      <c r="G76" s="4" t="str">
        <f>IF(B76="","",IFERROR(VLOOKUP(B76, PLANTA_BASE!A:W, 9, FALSE), "GENERAL"))</f>
        <v>INVESTIGACIONES</v>
      </c>
      <c r="H76" s="2" t="str">
        <f>IF(B76="","",IFERROR(VLOOKUP(B76, PLANTA_BASE!A:W, 17, FALSE), "GENERAL"))</f>
        <v>INVESTIGACIONES</v>
      </c>
    </row>
    <row r="77" spans="1:8" ht="20.100000000000001" customHeight="1" x14ac:dyDescent="0.25">
      <c r="A77" s="5" t="str">
        <f>IF(B77="","",IFERROR(VLOOKUP(B77, PLANTA_BASE!A:W, 2, FALSE), "NO ENCONTRADO EN PLANTA"))</f>
        <v>VIRTUAL</v>
      </c>
      <c r="B77" s="6" t="s">
        <v>158</v>
      </c>
      <c r="C77" s="7" t="s">
        <v>159</v>
      </c>
      <c r="D77" s="5" t="str">
        <f>IF(B77="","",IFERROR(VLOOKUP(B77, PLANTA_BASE!A:W, 5, FALSE), "NO ENCONTRADO EN PLANTA"))</f>
        <v>REGIONAL BOGOTA</v>
      </c>
      <c r="E77" s="5" t="str">
        <f>IF(B77="","",IFERROR(VLOOKUP(B77, PLANTA_BASE!A:W, 6, FALSE), "NO ENCONTRADO EN PLANTA"))</f>
        <v>BOGOTA CENTRO</v>
      </c>
      <c r="F77" s="7" t="str">
        <f>IF(B77="","",IFERROR(VLOOKUP(B77, PLANTA_BASE!A:W, 8, FALSE), "DOCENTE / FACILITADOR"))</f>
        <v>DOC AUX/N/V/MT/SOCIOHUMANISTI</v>
      </c>
      <c r="G77" s="7" t="str">
        <f>IF(B77="","",IFERROR(VLOOKUP(B77, PLANTA_BASE!A:W, 9, FALSE), "GENERAL"))</f>
        <v>SOCIOHUMANISTICA</v>
      </c>
      <c r="H77" s="5" t="str">
        <f>IF(B77="","",IFERROR(VLOOKUP(B77, PLANTA_BASE!A:W, 17, FALSE), "GENERAL"))</f>
        <v>SOCIOHUMANISTICA</v>
      </c>
    </row>
    <row r="78" spans="1:8" ht="20.100000000000001" customHeight="1" x14ac:dyDescent="0.25">
      <c r="A78" s="2" t="str">
        <f>IF(B78="","",IFERROR(VLOOKUP(B78, PLANTA_BASE!A:W, 2, FALSE), "NO ENCONTRADO EN PLANTA"))</f>
        <v>PRESENCIAL</v>
      </c>
      <c r="B78" s="3" t="s">
        <v>160</v>
      </c>
      <c r="C78" s="4" t="s">
        <v>161</v>
      </c>
      <c r="D78" s="2" t="str">
        <f>IF(B78="","",IFERROR(VLOOKUP(B78, PLANTA_BASE!A:W, 5, FALSE), "NO ENCONTRADO EN PLANTA"))</f>
        <v>REGIONAL BOGOTA</v>
      </c>
      <c r="E78" s="2" t="str">
        <f>IF(B78="","",IFERROR(VLOOKUP(B78, PLANTA_BASE!A:W, 6, FALSE), "NO ENCONTRADO EN PLANTA"))</f>
        <v>BOGOTA CENTRO</v>
      </c>
      <c r="F78" s="4" t="str">
        <f>IF(B78="","",IFERROR(VLOOKUP(B78, PLANTA_BASE!A:W, 8, FALSE), "DOCENTE / FACILITADOR"))</f>
        <v>DOCENTE AUX/N/TC/EMPRENDIMIE/FUN.ACADE-ADMIN</v>
      </c>
      <c r="G78" s="4" t="str">
        <f>IF(B78="","",IFERROR(VLOOKUP(B78, PLANTA_BASE!A:W, 9, FALSE), "GENERAL"))</f>
        <v>EMPRENDIMIENTO</v>
      </c>
      <c r="H78" s="2" t="str">
        <f>IF(B78="","",IFERROR(VLOOKUP(B78, PLANTA_BASE!A:W, 17, FALSE), "GENERAL"))</f>
        <v>EMPRENDIMIENTO</v>
      </c>
    </row>
    <row r="79" spans="1:8" ht="20.100000000000001" customHeight="1" x14ac:dyDescent="0.25">
      <c r="A79" s="5" t="str">
        <f>IF(B79="","",IFERROR(VLOOKUP(B79, PLANTA_BASE!A:W, 2, FALSE), "NO ENCONTRADO EN PLANTA"))</f>
        <v>PRESENCIAL</v>
      </c>
      <c r="B79" s="6" t="s">
        <v>162</v>
      </c>
      <c r="C79" s="7" t="s">
        <v>163</v>
      </c>
      <c r="D79" s="5" t="str">
        <f>IF(B79="","",IFERROR(VLOOKUP(B79, PLANTA_BASE!A:W, 5, FALSE), "NO ENCONTRADO EN PLANTA"))</f>
        <v>REGIONAL BOGOTA</v>
      </c>
      <c r="E79" s="5" t="str">
        <f>IF(B79="","",IFERROR(VLOOKUP(B79, PLANTA_BASE!A:W, 6, FALSE), "NO ENCONTRADO EN PLANTA"))</f>
        <v>BOGOTA CENTRO</v>
      </c>
      <c r="F79" s="7" t="str">
        <f>IF(B79="","",IFERROR(VLOOKUP(B79, PLANTA_BASE!A:W, 8, FALSE), "DOCENTE / FACILITADOR"))</f>
        <v>DOCENTE AUX/N/TC/EMPRENDIMIE/FUN.ACADE-ADMIN</v>
      </c>
      <c r="G79" s="7" t="str">
        <f>IF(B79="","",IFERROR(VLOOKUP(B79, PLANTA_BASE!A:W, 9, FALSE), "GENERAL"))</f>
        <v>EMPRENDIMIENTO</v>
      </c>
      <c r="H79" s="5" t="str">
        <f>IF(B79="","",IFERROR(VLOOKUP(B79, PLANTA_BASE!A:W, 17, FALSE), "GENERAL"))</f>
        <v>EMPRENDIMIENTO</v>
      </c>
    </row>
    <row r="80" spans="1:8" ht="20.100000000000001" customHeight="1" x14ac:dyDescent="0.25">
      <c r="A80" s="2" t="str">
        <f>IF(B80="","",IFERROR(VLOOKUP(B80, PLANTA_BASE!A:W, 2, FALSE), "NO ENCONTRADO EN PLANTA"))</f>
        <v>PRESENCIAL</v>
      </c>
      <c r="B80" s="3" t="s">
        <v>164</v>
      </c>
      <c r="C80" s="4" t="s">
        <v>165</v>
      </c>
      <c r="D80" s="2" t="str">
        <f>IF(B80="","",IFERROR(VLOOKUP(B80, PLANTA_BASE!A:W, 5, FALSE), "NO ENCONTRADO EN PLANTA"))</f>
        <v>REGIONAL CUNDINAMARCA</v>
      </c>
      <c r="E80" s="2" t="str">
        <f>IF(B80="","",IFERROR(VLOOKUP(B80, PLANTA_BASE!A:W, 6, FALSE), "NO ENCONTRADO EN PLANTA"))</f>
        <v>MOSQUERA</v>
      </c>
      <c r="F80" s="4" t="str">
        <f>IF(B80="","",IFERROR(VLOOKUP(B80, PLANTA_BASE!A:W, 8, FALSE), "DOCENTE / FACILITADOR"))</f>
        <v>DOC AUX T&amp;T/N/TC/EMPRENDIMIE/FUN.ACADE-ADMIN</v>
      </c>
      <c r="G80" s="4" t="str">
        <f>IF(B80="","",IFERROR(VLOOKUP(B80, PLANTA_BASE!A:W, 9, FALSE), "GENERAL"))</f>
        <v>EMPRENDIMIENTO</v>
      </c>
      <c r="H80" s="2" t="str">
        <f>IF(B80="","",IFERROR(VLOOKUP(B80, PLANTA_BASE!A:W, 17, FALSE), "GENERAL"))</f>
        <v>EMPRENDIMIENTO</v>
      </c>
    </row>
    <row r="81" spans="1:8" ht="20.100000000000001" customHeight="1" x14ac:dyDescent="0.25">
      <c r="A81" s="5" t="str">
        <f>IF(B81="","",IFERROR(VLOOKUP(B81, PLANTA_BASE!A:W, 2, FALSE), "NO ENCONTRADO EN PLANTA"))</f>
        <v>PRESENCIAL</v>
      </c>
      <c r="B81" s="6" t="s">
        <v>166</v>
      </c>
      <c r="C81" s="7" t="s">
        <v>167</v>
      </c>
      <c r="D81" s="5" t="str">
        <f>IF(B81="","",IFERROR(VLOOKUP(B81, PLANTA_BASE!A:W, 5, FALSE), "NO ENCONTRADO EN PLANTA"))</f>
        <v>REGIONAL MAGDALENA</v>
      </c>
      <c r="E81" s="5" t="str">
        <f>IF(B81="","",IFERROR(VLOOKUP(B81, PLANTA_BASE!A:W, 6, FALSE), "NO ENCONTRADO EN PLANTA"))</f>
        <v>SANTA MARTA</v>
      </c>
      <c r="F81" s="7" t="str">
        <f>IF(B81="","",IFERROR(VLOOKUP(B81, PLANTA_BASE!A:W, 8, FALSE), "DOCENTE / FACILITADOR"))</f>
        <v>DOCENTE AUX/N/TC/COM SOC Y PER/FUN.ACADE-ADMIN</v>
      </c>
      <c r="G81" s="7" t="str">
        <f>IF(B81="","",IFERROR(VLOOKUP(B81, PLANTA_BASE!A:W, 9, FALSE), "GENERAL"))</f>
        <v>COMUNICACION SOCIAL Y PERIODISMO</v>
      </c>
      <c r="H81" s="5" t="str">
        <f>IF(B81="","",IFERROR(VLOOKUP(B81, PLANTA_BASE!A:W, 17, FALSE), "GENERAL"))</f>
        <v>COMUNICACION SOCIAL Y PERIODISMO</v>
      </c>
    </row>
    <row r="82" spans="1:8" ht="20.100000000000001" customHeight="1" x14ac:dyDescent="0.25">
      <c r="A82" s="2" t="str">
        <f>IF(B82="","",IFERROR(VLOOKUP(B82, PLANTA_BASE!A:W, 2, FALSE), "NO ENCONTRADO EN PLANTA"))</f>
        <v>PRESENCIAL</v>
      </c>
      <c r="B82" s="3" t="s">
        <v>168</v>
      </c>
      <c r="C82" s="4" t="s">
        <v>169</v>
      </c>
      <c r="D82" s="2" t="str">
        <f>IF(B82="","",IFERROR(VLOOKUP(B82, PLANTA_BASE!A:W, 5, FALSE), "NO ENCONTRADO EN PLANTA"))</f>
        <v>REGIONAL BOGOTA</v>
      </c>
      <c r="E82" s="2" t="str">
        <f>IF(B82="","",IFERROR(VLOOKUP(B82, PLANTA_BASE!A:W, 6, FALSE), "NO ENCONTRADO EN PLANTA"))</f>
        <v>BOGOTA CENTRO</v>
      </c>
      <c r="F82" s="4" t="str">
        <f>IF(B82="","",IFERROR(VLOOKUP(B82, PLANTA_BASE!A:W, 8, FALSE), "DOCENTE / FACILITADOR"))</f>
        <v>DOC ASIS/N/TC/EMPRENDIMIENTO/FUN.ACADE-ADMIN</v>
      </c>
      <c r="G82" s="4" t="str">
        <f>IF(B82="","",IFERROR(VLOOKUP(B82, PLANTA_BASE!A:W, 9, FALSE), "GENERAL"))</f>
        <v>EMPRENDIMIENTO</v>
      </c>
      <c r="H82" s="2" t="str">
        <f>IF(B82="","",IFERROR(VLOOKUP(B82, PLANTA_BASE!A:W, 17, FALSE), "GENERAL"))</f>
        <v>EMPRENDIMIENTO</v>
      </c>
    </row>
    <row r="83" spans="1:8" ht="20.100000000000001" customHeight="1" x14ac:dyDescent="0.25">
      <c r="A83" s="5" t="str">
        <f>IF(B83="","",IFERROR(VLOOKUP(B83, PLANTA_BASE!A:W, 2, FALSE), "NO ENCONTRADO EN PLANTA"))</f>
        <v>PRESENCIAL</v>
      </c>
      <c r="B83" s="6" t="s">
        <v>170</v>
      </c>
      <c r="C83" s="7" t="s">
        <v>171</v>
      </c>
      <c r="D83" s="5" t="str">
        <f>IF(B83="","",IFERROR(VLOOKUP(B83, PLANTA_BASE!A:W, 5, FALSE), "NO ENCONTRADO EN PLANTA"))</f>
        <v>REGIONAL BOGOTA</v>
      </c>
      <c r="E83" s="5" t="str">
        <f>IF(B83="","",IFERROR(VLOOKUP(B83, PLANTA_BASE!A:W, 6, FALSE), "NO ENCONTRADO EN PLANTA"))</f>
        <v>BOGOTA CENTRO</v>
      </c>
      <c r="F83" s="7" t="str">
        <f>IF(B83="","",IFERROR(VLOOKUP(B83, PLANTA_BASE!A:W, 8, FALSE), "DOCENTE / FACILITADOR"))</f>
        <v>DOC AUX T&amp;T/N/TC/EMPRENDIMIE/FUN.ACADE-ADMIN</v>
      </c>
      <c r="G83" s="7" t="str">
        <f>IF(B83="","",IFERROR(VLOOKUP(B83, PLANTA_BASE!A:W, 9, FALSE), "GENERAL"))</f>
        <v>EMPRENDIMIENTO</v>
      </c>
      <c r="H83" s="5" t="str">
        <f>IF(B83="","",IFERROR(VLOOKUP(B83, PLANTA_BASE!A:W, 17, FALSE), "GENERAL"))</f>
        <v>EMPRENDIMIENTO</v>
      </c>
    </row>
    <row r="84" spans="1:8" ht="20.100000000000001" customHeight="1" x14ac:dyDescent="0.25">
      <c r="A84" s="2" t="str">
        <f>IF(B84="","",IFERROR(VLOOKUP(B84, PLANTA_BASE!A:W, 2, FALSE), "NO ENCONTRADO EN PLANTA"))</f>
        <v>VIRTUAL</v>
      </c>
      <c r="B84" s="3" t="s">
        <v>172</v>
      </c>
      <c r="C84" s="4" t="s">
        <v>173</v>
      </c>
      <c r="D84" s="2" t="str">
        <f>IF(B84="","",IFERROR(VLOOKUP(B84, PLANTA_BASE!A:W, 5, FALSE), "NO ENCONTRADO EN PLANTA"))</f>
        <v>REGIONAL BOGOTA</v>
      </c>
      <c r="E84" s="2" t="str">
        <f>IF(B84="","",IFERROR(VLOOKUP(B84, PLANTA_BASE!A:W, 6, FALSE), "NO ENCONTRADO EN PLANTA"))</f>
        <v>BOGOTA CENTRO</v>
      </c>
      <c r="F84" s="4" t="str">
        <f>IF(B84="","",IFERROR(VLOOKUP(B84, PLANTA_BASE!A:W, 8, FALSE), "DOCENTE / FACILITADOR"))</f>
        <v>DOC AUX/N/V/TC/EMPRENDIMIE/FUN.ACADE-ADMIN</v>
      </c>
      <c r="G84" s="4" t="str">
        <f>IF(B84="","",IFERROR(VLOOKUP(B84, PLANTA_BASE!A:W, 9, FALSE), "GENERAL"))</f>
        <v>EMPRENDIMIENTO</v>
      </c>
      <c r="H84" s="2" t="str">
        <f>IF(B84="","",IFERROR(VLOOKUP(B84, PLANTA_BASE!A:W, 17, FALSE), "GENERAL"))</f>
        <v>EMPRENDIMIENTO</v>
      </c>
    </row>
    <row r="85" spans="1:8" ht="20.100000000000001" customHeight="1" x14ac:dyDescent="0.25">
      <c r="A85" s="5" t="str">
        <f>IF(B85="","",IFERROR(VLOOKUP(B85, PLANTA_BASE!A:W, 2, FALSE), "NO ENCONTRADO EN PLANTA"))</f>
        <v>VIRTUAL</v>
      </c>
      <c r="B85" s="6" t="s">
        <v>174</v>
      </c>
      <c r="C85" s="7" t="s">
        <v>175</v>
      </c>
      <c r="D85" s="5" t="str">
        <f>IF(B85="","",IFERROR(VLOOKUP(B85, PLANTA_BASE!A:W, 5, FALSE), "NO ENCONTRADO EN PLANTA"))</f>
        <v>REGIONAL BOGOTA</v>
      </c>
      <c r="E85" s="5" t="str">
        <f>IF(B85="","",IFERROR(VLOOKUP(B85, PLANTA_BASE!A:W, 6, FALSE), "NO ENCONTRADO EN PLANTA"))</f>
        <v>BOGOTA CENTRO</v>
      </c>
      <c r="F85" s="7" t="str">
        <f>IF(B85="","",IFERROR(VLOOKUP(B85, PLANTA_BASE!A:W, 8, FALSE), "DOCENTE / FACILITADOR"))</f>
        <v>DOC AUX T&amp;T/N/V/TC/EMPRENDIMIENTO/FUN.ACADE-ADMIN</v>
      </c>
      <c r="G85" s="7" t="str">
        <f>IF(B85="","",IFERROR(VLOOKUP(B85, PLANTA_BASE!A:W, 9, FALSE), "GENERAL"))</f>
        <v>EMPRENDIMIENTO</v>
      </c>
      <c r="H85" s="5" t="str">
        <f>IF(B85="","",IFERROR(VLOOKUP(B85, PLANTA_BASE!A:W, 17, FALSE), "GENERAL"))</f>
        <v>EMPRENDIMIENTO</v>
      </c>
    </row>
    <row r="86" spans="1:8" ht="20.100000000000001" customHeight="1" x14ac:dyDescent="0.25">
      <c r="A86" s="2" t="str">
        <f>IF(B86="","",IFERROR(VLOOKUP(B86, PLANTA_BASE!A:W, 2, FALSE), "NO ENCONTRADO EN PLANTA"))</f>
        <v>PRESENCIAL</v>
      </c>
      <c r="B86" s="3" t="s">
        <v>176</v>
      </c>
      <c r="C86" s="4" t="s">
        <v>177</v>
      </c>
      <c r="D86" s="2" t="str">
        <f>IF(B86="","",IFERROR(VLOOKUP(B86, PLANTA_BASE!A:W, 5, FALSE), "NO ENCONTRADO EN PLANTA"))</f>
        <v>REGIONAL TOLIMA</v>
      </c>
      <c r="E86" s="2" t="str">
        <f>IF(B86="","",IFERROR(VLOOKUP(B86, PLANTA_BASE!A:W, 6, FALSE), "NO ENCONTRADO EN PLANTA"))</f>
        <v>IBAGUÉ</v>
      </c>
      <c r="F86" s="4" t="str">
        <f>IF(B86="","",IFERROR(VLOOKUP(B86, PLANTA_BASE!A:W, 8, FALSE), "DOCENTE / FACILITADOR"))</f>
        <v>DOCENTE ASOC/N/TC/INVESTIGA/INVESTIGACIO</v>
      </c>
      <c r="G86" s="4" t="str">
        <f>IF(B86="","",IFERROR(VLOOKUP(B86, PLANTA_BASE!A:W, 9, FALSE), "GENERAL"))</f>
        <v>INVESTIGACIONES</v>
      </c>
      <c r="H86" s="2" t="str">
        <f>IF(B86="","",IFERROR(VLOOKUP(B86, PLANTA_BASE!A:W, 17, FALSE), "GENERAL"))</f>
        <v>INVESTIGACIONES</v>
      </c>
    </row>
    <row r="87" spans="1:8" ht="20.100000000000001" customHeight="1" x14ac:dyDescent="0.25">
      <c r="A87" s="5" t="str">
        <f>IF(B87="","",IFERROR(VLOOKUP(B87, PLANTA_BASE!A:W, 2, FALSE), "NO ENCONTRADO EN PLANTA"))</f>
        <v>VIRTUAL</v>
      </c>
      <c r="B87" s="6" t="s">
        <v>178</v>
      </c>
      <c r="C87" s="7" t="s">
        <v>179</v>
      </c>
      <c r="D87" s="5" t="str">
        <f>IF(B87="","",IFERROR(VLOOKUP(B87, PLANTA_BASE!A:W, 5, FALSE), "NO ENCONTRADO EN PLANTA"))</f>
        <v>REGIONAL BOLIVAR</v>
      </c>
      <c r="E87" s="5" t="str">
        <f>IF(B87="","",IFERROR(VLOOKUP(B87, PLANTA_BASE!A:W, 6, FALSE), "NO ENCONTRADO EN PLANTA"))</f>
        <v>CARTAGENA</v>
      </c>
      <c r="F87" s="7" t="str">
        <f>IF(B87="","",IFERROR(VLOOKUP(B87, PLANTA_BASE!A:W, 8, FALSE), "DOCENTE / FACILITADOR"))</f>
        <v>DOC TITU/N/V/TC/INVESTIGACIONES/INVESTIG</v>
      </c>
      <c r="G87" s="7" t="str">
        <f>IF(B87="","",IFERROR(VLOOKUP(B87, PLANTA_BASE!A:W, 9, FALSE), "GENERAL"))</f>
        <v>INVESTIGACIONES</v>
      </c>
      <c r="H87" s="5" t="str">
        <f>IF(B87="","",IFERROR(VLOOKUP(B87, PLANTA_BASE!A:W, 17, FALSE), "GENERAL"))</f>
        <v>INVESTIGACIONES</v>
      </c>
    </row>
    <row r="88" spans="1:8" ht="20.100000000000001" customHeight="1" x14ac:dyDescent="0.25">
      <c r="A88" s="2" t="str">
        <f>IF(B88="","",IFERROR(VLOOKUP(B88, PLANTA_BASE!A:W, 2, FALSE), "NO ENCONTRADO EN PLANTA"))</f>
        <v>PRESENCIAL</v>
      </c>
      <c r="B88" s="3" t="s">
        <v>180</v>
      </c>
      <c r="C88" s="4" t="s">
        <v>181</v>
      </c>
      <c r="D88" s="2" t="str">
        <f>IF(B88="","",IFERROR(VLOOKUP(B88, PLANTA_BASE!A:W, 5, FALSE), "NO ENCONTRADO EN PLANTA"))</f>
        <v>REGIONAL BOGOTA</v>
      </c>
      <c r="E88" s="2" t="str">
        <f>IF(B88="","",IFERROR(VLOOKUP(B88, PLANTA_BASE!A:W, 6, FALSE), "NO ENCONTRADO EN PLANTA"))</f>
        <v>BOGOTA CENTRO</v>
      </c>
      <c r="F88" s="4" t="str">
        <f>IF(B88="","",IFERROR(VLOOKUP(B88, PLANTA_BASE!A:W, 8, FALSE), "DOCENTE / FACILITADOR"))</f>
        <v>DOC AUX T&amp;T/N/MT/CIEN BASI</v>
      </c>
      <c r="G88" s="4" t="str">
        <f>IF(B88="","",IFERROR(VLOOKUP(B88, PLANTA_BASE!A:W, 9, FALSE), "GENERAL"))</f>
        <v>CIENCIAS BASICAS</v>
      </c>
      <c r="H88" s="2" t="str">
        <f>IF(B88="","",IFERROR(VLOOKUP(B88, PLANTA_BASE!A:W, 17, FALSE), "GENERAL"))</f>
        <v>CIENCIAS BASICAS</v>
      </c>
    </row>
    <row r="89" spans="1:8" ht="20.100000000000001" customHeight="1" x14ac:dyDescent="0.25">
      <c r="A89" s="5" t="str">
        <f>IF(B89="","",IFERROR(VLOOKUP(B89, PLANTA_BASE!A:W, 2, FALSE), "NO ENCONTRADO EN PLANTA"))</f>
        <v>VIRTUAL</v>
      </c>
      <c r="B89" s="6" t="s">
        <v>182</v>
      </c>
      <c r="C89" s="7" t="s">
        <v>183</v>
      </c>
      <c r="D89" s="5" t="str">
        <f>IF(B89="","",IFERROR(VLOOKUP(B89, PLANTA_BASE!A:W, 5, FALSE), "NO ENCONTRADO EN PLANTA"))</f>
        <v>REGIONAL BOGOTA</v>
      </c>
      <c r="E89" s="5" t="str">
        <f>IF(B89="","",IFERROR(VLOOKUP(B89, PLANTA_BASE!A:W, 6, FALSE), "NO ENCONTRADO EN PLANTA"))</f>
        <v>BOGOTA CENTRO</v>
      </c>
      <c r="F89" s="7" t="str">
        <f>IF(B89="","",IFERROR(VLOOKUP(B89, PLANTA_BASE!A:W, 8, FALSE), "DOCENTE / FACILITADOR"))</f>
        <v>DOC AUX/N/V/TC/CIENCIAS BASI/FUN.ACADE-ADMIN</v>
      </c>
      <c r="G89" s="7" t="str">
        <f>IF(B89="","",IFERROR(VLOOKUP(B89, PLANTA_BASE!A:W, 9, FALSE), "GENERAL"))</f>
        <v>CIENCIAS BASICAS</v>
      </c>
      <c r="H89" s="5" t="str">
        <f>IF(B89="","",IFERROR(VLOOKUP(B89, PLANTA_BASE!A:W, 17, FALSE), "GENERAL"))</f>
        <v>CIENCIAS BASICAS</v>
      </c>
    </row>
    <row r="90" spans="1:8" ht="20.100000000000001" customHeight="1" x14ac:dyDescent="0.25">
      <c r="A90" s="2" t="str">
        <f>IF(B90="","",IFERROR(VLOOKUP(B90, PLANTA_BASE!A:W, 2, FALSE), "NO ENCONTRADO EN PLANTA"))</f>
        <v>PRESENCIAL</v>
      </c>
      <c r="B90" s="3" t="s">
        <v>184</v>
      </c>
      <c r="C90" s="4" t="s">
        <v>185</v>
      </c>
      <c r="D90" s="2" t="str">
        <f>IF(B90="","",IFERROR(VLOOKUP(B90, PLANTA_BASE!A:W, 5, FALSE), "NO ENCONTRADO EN PLANTA"))</f>
        <v>REGIONAL BOGOTA</v>
      </c>
      <c r="E90" s="2" t="str">
        <f>IF(B90="","",IFERROR(VLOOKUP(B90, PLANTA_BASE!A:W, 6, FALSE), "NO ENCONTRADO EN PLANTA"))</f>
        <v>BOGOTA CENTRO</v>
      </c>
      <c r="F90" s="4" t="str">
        <f>IF(B90="","",IFERROR(VLOOKUP(B90, PLANTA_BASE!A:W, 8, FALSE), "DOCENTE / FACILITADOR"))</f>
        <v>DOCENTE ASIS/N/MT/CIEN BASI</v>
      </c>
      <c r="G90" s="4" t="str">
        <f>IF(B90="","",IFERROR(VLOOKUP(B90, PLANTA_BASE!A:W, 9, FALSE), "GENERAL"))</f>
        <v>CIENCIAS BASICAS</v>
      </c>
      <c r="H90" s="2" t="str">
        <f>IF(B90="","",IFERROR(VLOOKUP(B90, PLANTA_BASE!A:W, 17, FALSE), "GENERAL"))</f>
        <v>CIENCIAS BASICAS</v>
      </c>
    </row>
    <row r="91" spans="1:8" ht="20.100000000000001" customHeight="1" x14ac:dyDescent="0.25">
      <c r="A91" s="5" t="str">
        <f>IF(B91="","",IFERROR(VLOOKUP(B91, PLANTA_BASE!A:W, 2, FALSE), "NO ENCONTRADO EN PLANTA"))</f>
        <v>VIRTUAL</v>
      </c>
      <c r="B91" s="6" t="s">
        <v>186</v>
      </c>
      <c r="C91" s="7" t="s">
        <v>187</v>
      </c>
      <c r="D91" s="5" t="str">
        <f>IF(B91="","",IFERROR(VLOOKUP(B91, PLANTA_BASE!A:W, 5, FALSE), "NO ENCONTRADO EN PLANTA"))</f>
        <v>REGIONAL CORDOBA</v>
      </c>
      <c r="E91" s="5" t="str">
        <f>IF(B91="","",IFERROR(VLOOKUP(B91, PLANTA_BASE!A:W, 6, FALSE), "NO ENCONTRADO EN PLANTA"))</f>
        <v>MONTERIA</v>
      </c>
      <c r="F91" s="7" t="str">
        <f>IF(B91="","",IFERROR(VLOOKUP(B91, PLANTA_BASE!A:W, 8, FALSE), "DOCENTE / FACILITADOR"))</f>
        <v>DOC ASIS/N/V/TC/INVESTIGACIONES/INVESTIG</v>
      </c>
      <c r="G91" s="7" t="str">
        <f>IF(B91="","",IFERROR(VLOOKUP(B91, PLANTA_BASE!A:W, 9, FALSE), "GENERAL"))</f>
        <v>INVESTIGACIONES</v>
      </c>
      <c r="H91" s="5" t="str">
        <f>IF(B91="","",IFERROR(VLOOKUP(B91, PLANTA_BASE!A:W, 17, FALSE), "GENERAL"))</f>
        <v>INVESTIGACIONES</v>
      </c>
    </row>
    <row r="92" spans="1:8" ht="20.100000000000001" customHeight="1" x14ac:dyDescent="0.25">
      <c r="A92" s="2" t="str">
        <f>IF(B92="","",IFERROR(VLOOKUP(B92, PLANTA_BASE!A:W, 2, FALSE), "NO ENCONTRADO EN PLANTA"))</f>
        <v>PRESENCIAL</v>
      </c>
      <c r="B92" s="3" t="s">
        <v>188</v>
      </c>
      <c r="C92" s="4" t="s">
        <v>189</v>
      </c>
      <c r="D92" s="2" t="str">
        <f>IF(B92="","",IFERROR(VLOOKUP(B92, PLANTA_BASE!A:W, 5, FALSE), "NO ENCONTRADO EN PLANTA"))</f>
        <v>REGIONAL HUILA</v>
      </c>
      <c r="E92" s="2" t="str">
        <f>IF(B92="","",IFERROR(VLOOKUP(B92, PLANTA_BASE!A:W, 6, FALSE), "NO ENCONTRADO EN PLANTA"))</f>
        <v>NEIVA</v>
      </c>
      <c r="F92" s="4" t="str">
        <f>IF(B92="","",IFERROR(VLOOKUP(B92, PLANTA_BASE!A:W, 8, FALSE), "DOCENTE / FACILITADOR"))</f>
        <v>DOC AUX T&amp;T/N/TC/INVESTIGACIONES/INVESTI</v>
      </c>
      <c r="G92" s="4" t="str">
        <f>IF(B92="","",IFERROR(VLOOKUP(B92, PLANTA_BASE!A:W, 9, FALSE), "GENERAL"))</f>
        <v>INVESTIGACIONES</v>
      </c>
      <c r="H92" s="2" t="str">
        <f>IF(B92="","",IFERROR(VLOOKUP(B92, PLANTA_BASE!A:W, 17, FALSE), "GENERAL"))</f>
        <v>INVESTIGACIONES</v>
      </c>
    </row>
    <row r="93" spans="1:8" ht="20.100000000000001" customHeight="1" x14ac:dyDescent="0.25">
      <c r="A93" s="5" t="str">
        <f>IF(B93="","",IFERROR(VLOOKUP(B93, PLANTA_BASE!A:W, 2, FALSE), "NO ENCONTRADO EN PLANTA"))</f>
        <v>VIRTUAL</v>
      </c>
      <c r="B93" s="6" t="s">
        <v>190</v>
      </c>
      <c r="C93" s="7" t="s">
        <v>191</v>
      </c>
      <c r="D93" s="5" t="str">
        <f>IF(B93="","",IFERROR(VLOOKUP(B93, PLANTA_BASE!A:W, 5, FALSE), "NO ENCONTRADO EN PLANTA"))</f>
        <v>REGIONAL HUILA</v>
      </c>
      <c r="E93" s="5" t="str">
        <f>IF(B93="","",IFERROR(VLOOKUP(B93, PLANTA_BASE!A:W, 6, FALSE), "NO ENCONTRADO EN PLANTA"))</f>
        <v>NEIVA</v>
      </c>
      <c r="F93" s="7" t="str">
        <f>IF(B93="","",IFERROR(VLOOKUP(B93, PLANTA_BASE!A:W, 8, FALSE), "DOCENTE / FACILITADOR"))</f>
        <v>DOC ASIS/N/V/TC/INVESTIGACIONES/INVESTIG</v>
      </c>
      <c r="G93" s="7" t="str">
        <f>IF(B93="","",IFERROR(VLOOKUP(B93, PLANTA_BASE!A:W, 9, FALSE), "GENERAL"))</f>
        <v>INVESTIGACIONES</v>
      </c>
      <c r="H93" s="5" t="str">
        <f>IF(B93="","",IFERROR(VLOOKUP(B93, PLANTA_BASE!A:W, 17, FALSE), "GENERAL"))</f>
        <v>INVESTIGACIONES</v>
      </c>
    </row>
    <row r="94" spans="1:8" ht="20.100000000000001" customHeight="1" x14ac:dyDescent="0.25">
      <c r="A94" s="2" t="str">
        <f>IF(B94="","",IFERROR(VLOOKUP(B94, PLANTA_BASE!A:W, 2, FALSE), "NO ENCONTRADO EN PLANTA"))</f>
        <v>VIRTUAL</v>
      </c>
      <c r="B94" s="3" t="s">
        <v>192</v>
      </c>
      <c r="C94" s="4" t="s">
        <v>193</v>
      </c>
      <c r="D94" s="2" t="str">
        <f>IF(B94="","",IFERROR(VLOOKUP(B94, PLANTA_BASE!A:W, 5, FALSE), "NO ENCONTRADO EN PLANTA"))</f>
        <v>REGIONAL HUILA</v>
      </c>
      <c r="E94" s="2" t="str">
        <f>IF(B94="","",IFERROR(VLOOKUP(B94, PLANTA_BASE!A:W, 6, FALSE), "NO ENCONTRADO EN PLANTA"))</f>
        <v>NEIVA</v>
      </c>
      <c r="F94" s="4" t="str">
        <f>IF(B94="","",IFERROR(VLOOKUP(B94, PLANTA_BASE!A:W, 8, FALSE), "DOCENTE / FACILITADOR"))</f>
        <v>DOC ASOC/N/V/TC/INVESTIGACIONES/INVESTIG</v>
      </c>
      <c r="G94" s="4" t="str">
        <f>IF(B94="","",IFERROR(VLOOKUP(B94, PLANTA_BASE!A:W, 9, FALSE), "GENERAL"))</f>
        <v>INVESTIGACIONES</v>
      </c>
      <c r="H94" s="2" t="str">
        <f>IF(B94="","",IFERROR(VLOOKUP(B94, PLANTA_BASE!A:W, 17, FALSE), "GENERAL"))</f>
        <v>INVESTIGACIONES</v>
      </c>
    </row>
    <row r="95" spans="1:8" ht="20.100000000000001" customHeight="1" x14ac:dyDescent="0.25">
      <c r="A95" s="5" t="str">
        <f>IF(B95="","",IFERROR(VLOOKUP(B95, PLANTA_BASE!A:W, 2, FALSE), "NO ENCONTRADO EN PLANTA"))</f>
        <v>VIRTUAL</v>
      </c>
      <c r="B95" s="6" t="s">
        <v>194</v>
      </c>
      <c r="C95" s="7" t="s">
        <v>195</v>
      </c>
      <c r="D95" s="5" t="str">
        <f>IF(B95="","",IFERROR(VLOOKUP(B95, PLANTA_BASE!A:W, 5, FALSE), "NO ENCONTRADO EN PLANTA"))</f>
        <v>REGIONAL SUCRE</v>
      </c>
      <c r="E95" s="5" t="str">
        <f>IF(B95="","",IFERROR(VLOOKUP(B95, PLANTA_BASE!A:W, 6, FALSE), "NO ENCONTRADO EN PLANTA"))</f>
        <v>SINCELEJO</v>
      </c>
      <c r="F95" s="7" t="str">
        <f>IF(B95="","",IFERROR(VLOOKUP(B95, PLANTA_BASE!A:W, 8, FALSE), "DOCENTE / FACILITADOR"))</f>
        <v>DOC ASIS/N/V/TC/INVESTIGACIONES/INVESTIG</v>
      </c>
      <c r="G95" s="7" t="str">
        <f>IF(B95="","",IFERROR(VLOOKUP(B95, PLANTA_BASE!A:W, 9, FALSE), "GENERAL"))</f>
        <v>INVESTIGACIONES</v>
      </c>
      <c r="H95" s="5" t="str">
        <f>IF(B95="","",IFERROR(VLOOKUP(B95, PLANTA_BASE!A:W, 17, FALSE), "GENERAL"))</f>
        <v>INVESTIGACIONES</v>
      </c>
    </row>
    <row r="96" spans="1:8" ht="20.100000000000001" customHeight="1" x14ac:dyDescent="0.25">
      <c r="A96" s="2" t="str">
        <f>IF(B96="","",IFERROR(VLOOKUP(B96, PLANTA_BASE!A:W, 2, FALSE), "NO ENCONTRADO EN PLANTA"))</f>
        <v>VIRTUAL</v>
      </c>
      <c r="B96" s="3" t="s">
        <v>196</v>
      </c>
      <c r="C96" s="4" t="s">
        <v>197</v>
      </c>
      <c r="D96" s="2" t="str">
        <f>IF(B96="","",IFERROR(VLOOKUP(B96, PLANTA_BASE!A:W, 5, FALSE), "NO ENCONTRADO EN PLANTA"))</f>
        <v>REGIONAL SANTANDER</v>
      </c>
      <c r="E96" s="2" t="str">
        <f>IF(B96="","",IFERROR(VLOOKUP(B96, PLANTA_BASE!A:W, 6, FALSE), "NO ENCONTRADO EN PLANTA"))</f>
        <v>BUCARAMANGA</v>
      </c>
      <c r="F96" s="4" t="str">
        <f>IF(B96="","",IFERROR(VLOOKUP(B96, PLANTA_BASE!A:W, 8, FALSE), "DOCENTE / FACILITADOR"))</f>
        <v>DOC AUX T&amp;T/N/V/TC/DIR PROD ME AUD/FUN.ACADE-ADMIN</v>
      </c>
      <c r="G96" s="4" t="str">
        <f>IF(B96="","",IFERROR(VLOOKUP(B96, PLANTA_BASE!A:W, 9, FALSE), "GENERAL"))</f>
        <v>DIRECCION Y PRODUCCION DE MEDIOS AUDIOVISUALES</v>
      </c>
      <c r="H96" s="2" t="str">
        <f>IF(B96="","",IFERROR(VLOOKUP(B96, PLANTA_BASE!A:W, 17, FALSE), "GENERAL"))</f>
        <v>DIRECCION Y PRODUCCION DE MEDIOS AUDIOVISUALES</v>
      </c>
    </row>
    <row r="97" spans="1:8" ht="20.100000000000001" customHeight="1" x14ac:dyDescent="0.25">
      <c r="A97" s="5" t="str">
        <f>IF(B97="","",IFERROR(VLOOKUP(B97, PLANTA_BASE!A:W, 2, FALSE), "NO ENCONTRADO EN PLANTA"))</f>
        <v>VIRTUAL</v>
      </c>
      <c r="B97" s="6" t="s">
        <v>198</v>
      </c>
      <c r="C97" s="7" t="s">
        <v>199</v>
      </c>
      <c r="D97" s="5" t="str">
        <f>IF(B97="","",IFERROR(VLOOKUP(B97, PLANTA_BASE!A:W, 5, FALSE), "NO ENCONTRADO EN PLANTA"))</f>
        <v>REGIONAL BOGOTA</v>
      </c>
      <c r="E97" s="5" t="str">
        <f>IF(B97="","",IFERROR(VLOOKUP(B97, PLANTA_BASE!A:W, 6, FALSE), "NO ENCONTRADO EN PLANTA"))</f>
        <v>BOGOTA CENTRO</v>
      </c>
      <c r="F97" s="7" t="str">
        <f>IF(B97="","",IFERROR(VLOOKUP(B97, PLANTA_BASE!A:W, 8, FALSE), "DOCENTE / FACILITADOR"))</f>
        <v>DOC ASOC/N/V/TC/INVESTIGACIONES/INVESTIG</v>
      </c>
      <c r="G97" s="7" t="str">
        <f>IF(B97="","",IFERROR(VLOOKUP(B97, PLANTA_BASE!A:W, 9, FALSE), "GENERAL"))</f>
        <v>INVESTIGACIONES</v>
      </c>
      <c r="H97" s="5" t="str">
        <f>IF(B97="","",IFERROR(VLOOKUP(B97, PLANTA_BASE!A:W, 17, FALSE), "GENERAL"))</f>
        <v>INVESTIGACIONES</v>
      </c>
    </row>
    <row r="98" spans="1:8" ht="20.100000000000001" customHeight="1" x14ac:dyDescent="0.25">
      <c r="A98" s="2" t="str">
        <f>IF(B98="","",IFERROR(VLOOKUP(B98, PLANTA_BASE!A:W, 2, FALSE), "NO ENCONTRADO EN PLANTA"))</f>
        <v>VIRTUAL</v>
      </c>
      <c r="B98" s="3" t="s">
        <v>200</v>
      </c>
      <c r="C98" s="4" t="s">
        <v>201</v>
      </c>
      <c r="D98" s="2" t="str">
        <f>IF(B98="","",IFERROR(VLOOKUP(B98, PLANTA_BASE!A:W, 5, FALSE), "NO ENCONTRADO EN PLANTA"))</f>
        <v>REGIONAL BOGOTA</v>
      </c>
      <c r="E98" s="2" t="str">
        <f>IF(B98="","",IFERROR(VLOOKUP(B98, PLANTA_BASE!A:W, 6, FALSE), "NO ENCONTRADO EN PLANTA"))</f>
        <v>BOGOTA CENTRO</v>
      </c>
      <c r="F98" s="4" t="str">
        <f>IF(B98="","",IFERROR(VLOOKUP(B98, PLANTA_BASE!A:W, 8, FALSE), "DOCENTE / FACILITADOR"))</f>
        <v>DOC AUX/N/V/TC/INVESTIGACIONES/INVESTIGACI</v>
      </c>
      <c r="G98" s="4" t="str">
        <f>IF(B98="","",IFERROR(VLOOKUP(B98, PLANTA_BASE!A:W, 9, FALSE), "GENERAL"))</f>
        <v>INVESTIGACIONES</v>
      </c>
      <c r="H98" s="2" t="str">
        <f>IF(B98="","",IFERROR(VLOOKUP(B98, PLANTA_BASE!A:W, 17, FALSE), "GENERAL"))</f>
        <v>INVESTIGACIONES</v>
      </c>
    </row>
    <row r="99" spans="1:8" ht="20.100000000000001" customHeight="1" x14ac:dyDescent="0.25">
      <c r="A99" s="5" t="str">
        <f>IF(B99="","",IFERROR(VLOOKUP(B99, PLANTA_BASE!A:W, 2, FALSE), "NO ENCONTRADO EN PLANTA"))</f>
        <v>VIRTUAL</v>
      </c>
      <c r="B99" s="6" t="s">
        <v>202</v>
      </c>
      <c r="C99" s="7" t="s">
        <v>203</v>
      </c>
      <c r="D99" s="5" t="str">
        <f>IF(B99="","",IFERROR(VLOOKUP(B99, PLANTA_BASE!A:W, 5, FALSE), "NO ENCONTRADO EN PLANTA"))</f>
        <v>REGIONAL SANTANDER</v>
      </c>
      <c r="E99" s="5" t="str">
        <f>IF(B99="","",IFERROR(VLOOKUP(B99, PLANTA_BASE!A:W, 6, FALSE), "NO ENCONTRADO EN PLANTA"))</f>
        <v>BUCARAMANGA</v>
      </c>
      <c r="F99" s="7" t="str">
        <f>IF(B99="","",IFERROR(VLOOKUP(B99, PLANTA_BASE!A:W, 8, FALSE), "DOCENTE / FACILITADOR"))</f>
        <v>DOC TITULAR/N/V/TC/INVESTIGACIONES/INVESTI</v>
      </c>
      <c r="G99" s="7" t="str">
        <f>IF(B99="","",IFERROR(VLOOKUP(B99, PLANTA_BASE!A:W, 9, FALSE), "GENERAL"))</f>
        <v>INVESTIGACIONES</v>
      </c>
      <c r="H99" s="5" t="str">
        <f>IF(B99="","",IFERROR(VLOOKUP(B99, PLANTA_BASE!A:W, 17, FALSE), "GENERAL"))</f>
        <v>INVESTIGACIONES</v>
      </c>
    </row>
    <row r="100" spans="1:8" ht="20.100000000000001" customHeight="1" x14ac:dyDescent="0.25">
      <c r="A100" s="2" t="str">
        <f>IF(B100="","",IFERROR(VLOOKUP(B100, PLANTA_BASE!A:W, 2, FALSE), "NO ENCONTRADO EN PLANTA"))</f>
        <v>VIRTUAL</v>
      </c>
      <c r="B100" s="3" t="s">
        <v>204</v>
      </c>
      <c r="C100" s="4" t="s">
        <v>205</v>
      </c>
      <c r="D100" s="2" t="str">
        <f>IF(B100="","",IFERROR(VLOOKUP(B100, PLANTA_BASE!A:W, 5, FALSE), "NO ENCONTRADO EN PLANTA"))</f>
        <v>REGIONAL META</v>
      </c>
      <c r="E100" s="2" t="str">
        <f>IF(B100="","",IFERROR(VLOOKUP(B100, PLANTA_BASE!A:W, 6, FALSE), "NO ENCONTRADO EN PLANTA"))</f>
        <v>VILLAVICENCIO</v>
      </c>
      <c r="F100" s="4" t="str">
        <f>IF(B100="","",IFERROR(VLOOKUP(B100, PLANTA_BASE!A:W, 8, FALSE), "DOCENTE / FACILITADOR"))</f>
        <v>DOC ASIS/N/V/TC/INVESTIGACIONES/INVESTIG</v>
      </c>
      <c r="G100" s="4" t="str">
        <f>IF(B100="","",IFERROR(VLOOKUP(B100, PLANTA_BASE!A:W, 9, FALSE), "GENERAL"))</f>
        <v>INVESTIGACIONES</v>
      </c>
      <c r="H100" s="2" t="str">
        <f>IF(B100="","",IFERROR(VLOOKUP(B100, PLANTA_BASE!A:W, 17, FALSE), "GENERAL"))</f>
        <v>INVESTIGACIONES</v>
      </c>
    </row>
    <row r="101" spans="1:8" ht="20.100000000000001" customHeight="1" x14ac:dyDescent="0.25">
      <c r="A101" s="5" t="str">
        <f>IF(B101="","",IFERROR(VLOOKUP(B101, PLANTA_BASE!A:W, 2, FALSE), "NO ENCONTRADO EN PLANTA"))</f>
        <v>PRESENCIAL</v>
      </c>
      <c r="B101" s="6" t="s">
        <v>206</v>
      </c>
      <c r="C101" s="7" t="s">
        <v>207</v>
      </c>
      <c r="D101" s="5" t="str">
        <f>IF(B101="","",IFERROR(VLOOKUP(B101, PLANTA_BASE!A:W, 5, FALSE), "NO ENCONTRADO EN PLANTA"))</f>
        <v>REGIONAL MAGDALENA</v>
      </c>
      <c r="E101" s="5" t="str">
        <f>IF(B101="","",IFERROR(VLOOKUP(B101, PLANTA_BASE!A:W, 6, FALSE), "NO ENCONTRADO EN PLANTA"))</f>
        <v>SANTA MARTA</v>
      </c>
      <c r="F101" s="7" t="str">
        <f>IF(B101="","",IFERROR(VLOOKUP(B101, PLANTA_BASE!A:W, 8, FALSE), "DOCENTE / FACILITADOR"))</f>
        <v>DOC AUX T&amp;T/N/TC/INVESTIGA/INVESTIGACIO</v>
      </c>
      <c r="G101" s="7" t="str">
        <f>IF(B101="","",IFERROR(VLOOKUP(B101, PLANTA_BASE!A:W, 9, FALSE), "GENERAL"))</f>
        <v>INVESTIGACIONES</v>
      </c>
      <c r="H101" s="5" t="str">
        <f>IF(B101="","",IFERROR(VLOOKUP(B101, PLANTA_BASE!A:W, 17, FALSE), "GENERAL"))</f>
        <v>INVESTIGACIONES</v>
      </c>
    </row>
    <row r="102" spans="1:8" ht="20.100000000000001" customHeight="1" x14ac:dyDescent="0.25">
      <c r="A102" s="2" t="str">
        <f>IF(B102="","",IFERROR(VLOOKUP(B102, PLANTA_BASE!A:W, 2, FALSE), "NO ENCONTRADO EN PLANTA"))</f>
        <v>PRESENCIAL</v>
      </c>
      <c r="B102" s="3" t="s">
        <v>208</v>
      </c>
      <c r="C102" s="4" t="s">
        <v>209</v>
      </c>
      <c r="D102" s="2" t="str">
        <f>IF(B102="","",IFERROR(VLOOKUP(B102, PLANTA_BASE!A:W, 5, FALSE), "NO ENCONTRADO EN PLANTA"))</f>
        <v>REGIONAL BOGOTA</v>
      </c>
      <c r="E102" s="2" t="str">
        <f>IF(B102="","",IFERROR(VLOOKUP(B102, PLANTA_BASE!A:W, 6, FALSE), "NO ENCONTRADO EN PLANTA"))</f>
        <v>BOGOTA CENTRO</v>
      </c>
      <c r="F102" s="4" t="str">
        <f>IF(B102="","",IFERROR(VLOOKUP(B102, PLANTA_BASE!A:W, 8, FALSE), "DOCENTE / FACILITADOR"))</f>
        <v>DOCENTE ASOC/N/TC/INVESTIGACIONES/INVEST</v>
      </c>
      <c r="G102" s="4" t="str">
        <f>IF(B102="","",IFERROR(VLOOKUP(B102, PLANTA_BASE!A:W, 9, FALSE), "GENERAL"))</f>
        <v>INVESTIGACIONES</v>
      </c>
      <c r="H102" s="2" t="str">
        <f>IF(B102="","",IFERROR(VLOOKUP(B102, PLANTA_BASE!A:W, 17, FALSE), "GENERAL"))</f>
        <v>INVESTIGACIONES</v>
      </c>
    </row>
    <row r="103" spans="1:8" ht="20.100000000000001" customHeight="1" x14ac:dyDescent="0.25">
      <c r="A103" s="5" t="str">
        <f>IF(B103="","",IFERROR(VLOOKUP(B103, PLANTA_BASE!A:W, 2, FALSE), "NO ENCONTRADO EN PLANTA"))</f>
        <v>PRESENCIAL</v>
      </c>
      <c r="B103" s="6" t="s">
        <v>210</v>
      </c>
      <c r="C103" s="7" t="s">
        <v>211</v>
      </c>
      <c r="D103" s="5" t="str">
        <f>IF(B103="","",IFERROR(VLOOKUP(B103, PLANTA_BASE!A:W, 5, FALSE), "NO ENCONTRADO EN PLANTA"))</f>
        <v>REGIONAL BOGOTA</v>
      </c>
      <c r="E103" s="5" t="str">
        <f>IF(B103="","",IFERROR(VLOOKUP(B103, PLANTA_BASE!A:W, 6, FALSE), "NO ENCONTRADO EN PLANTA"))</f>
        <v>BOGOTA CENTRO</v>
      </c>
      <c r="F103" s="7" t="str">
        <f>IF(B103="","",IFERROR(VLOOKUP(B103, PLANTA_BASE!A:W, 8, FALSE), "DOCENTE / FACILITADOR"))</f>
        <v>DOC AUX T&amp;T/N/TC/ING SISTEM/FUN.ACADE-ADMIN</v>
      </c>
      <c r="G103" s="7" t="str">
        <f>IF(B103="","",IFERROR(VLOOKUP(B103, PLANTA_BASE!A:W, 9, FALSE), "GENERAL"))</f>
        <v>INGENIERIA DE SISTEMAS</v>
      </c>
      <c r="H103" s="5" t="str">
        <f>IF(B103="","",IFERROR(VLOOKUP(B103, PLANTA_BASE!A:W, 17, FALSE), "GENERAL"))</f>
        <v>INGENIERIA DE SISTEMAS</v>
      </c>
    </row>
    <row r="104" spans="1:8" ht="20.100000000000001" customHeight="1" x14ac:dyDescent="0.25">
      <c r="A104" s="2" t="str">
        <f>IF(B104="","",IFERROR(VLOOKUP(B104, PLANTA_BASE!A:W, 2, FALSE), "NO ENCONTRADO EN PLANTA"))</f>
        <v>PRESENCIAL</v>
      </c>
      <c r="B104" s="3" t="s">
        <v>212</v>
      </c>
      <c r="C104" s="4" t="s">
        <v>213</v>
      </c>
      <c r="D104" s="2" t="str">
        <f>IF(B104="","",IFERROR(VLOOKUP(B104, PLANTA_BASE!A:W, 5, FALSE), "NO ENCONTRADO EN PLANTA"))</f>
        <v>REGIONAL BOGOTA</v>
      </c>
      <c r="E104" s="2" t="str">
        <f>IF(B104="","",IFERROR(VLOOKUP(B104, PLANTA_BASE!A:W, 6, FALSE), "NO ENCONTRADO EN PLANTA"))</f>
        <v>BOGOTA CENTRO</v>
      </c>
      <c r="F104" s="4" t="str">
        <f>IF(B104="","",IFERROR(VLOOKUP(B104, PLANTA_BASE!A:W, 8, FALSE), "DOCENTE / FACILITADOR"))</f>
        <v>DOC AUX T&amp;T/N/TC/INVESTIGACIONES/INVESTI</v>
      </c>
      <c r="G104" s="4" t="str">
        <f>IF(B104="","",IFERROR(VLOOKUP(B104, PLANTA_BASE!A:W, 9, FALSE), "GENERAL"))</f>
        <v>INVESTIGACIONES</v>
      </c>
      <c r="H104" s="2" t="str">
        <f>IF(B104="","",IFERROR(VLOOKUP(B104, PLANTA_BASE!A:W, 17, FALSE), "GENERAL"))</f>
        <v>INVESTIGACIONES</v>
      </c>
    </row>
    <row r="105" spans="1:8" ht="20.100000000000001" customHeight="1" x14ac:dyDescent="0.25">
      <c r="A105" s="5" t="str">
        <f>IF(B105="","",IFERROR(VLOOKUP(B105, PLANTA_BASE!A:W, 2, FALSE), "NO ENCONTRADO EN PLANTA"))</f>
        <v>PRESENCIAL</v>
      </c>
      <c r="B105" s="6" t="s">
        <v>214</v>
      </c>
      <c r="C105" s="7" t="s">
        <v>215</v>
      </c>
      <c r="D105" s="5" t="str">
        <f>IF(B105="","",IFERROR(VLOOKUP(B105, PLANTA_BASE!A:W, 5, FALSE), "NO ENCONTRADO EN PLANTA"))</f>
        <v>REGIONAL BOGOTA</v>
      </c>
      <c r="E105" s="5" t="str">
        <f>IF(B105="","",IFERROR(VLOOKUP(B105, PLANTA_BASE!A:W, 6, FALSE), "NO ENCONTRADO EN PLANTA"))</f>
        <v>BOGOTA CENTRO</v>
      </c>
      <c r="F105" s="7" t="str">
        <f>IF(B105="","",IFERROR(VLOOKUP(B105, PLANTA_BASE!A:W, 8, FALSE), "DOCENTE / FACILITADOR"))</f>
        <v>DOCENTE ASOC/N/TC/INVESTIGACIONES/INVEST</v>
      </c>
      <c r="G105" s="7" t="str">
        <f>IF(B105="","",IFERROR(VLOOKUP(B105, PLANTA_BASE!A:W, 9, FALSE), "GENERAL"))</f>
        <v>INVESTIGACIONES</v>
      </c>
      <c r="H105" s="5" t="str">
        <f>IF(B105="","",IFERROR(VLOOKUP(B105, PLANTA_BASE!A:W, 17, FALSE), "GENERAL"))</f>
        <v>INVESTIGACIONES</v>
      </c>
    </row>
    <row r="106" spans="1:8" ht="20.100000000000001" customHeight="1" x14ac:dyDescent="0.25">
      <c r="A106" s="2" t="str">
        <f>IF(B106="","",IFERROR(VLOOKUP(B106, PLANTA_BASE!A:W, 2, FALSE), "NO ENCONTRADO EN PLANTA"))</f>
        <v>PRESENCIAL</v>
      </c>
      <c r="B106" s="3" t="s">
        <v>216</v>
      </c>
      <c r="C106" s="4" t="s">
        <v>217</v>
      </c>
      <c r="D106" s="2" t="str">
        <f>IF(B106="","",IFERROR(VLOOKUP(B106, PLANTA_BASE!A:W, 5, FALSE), "NO ENCONTRADO EN PLANTA"))</f>
        <v>REGIONAL BOGOTA</v>
      </c>
      <c r="E106" s="2" t="str">
        <f>IF(B106="","",IFERROR(VLOOKUP(B106, PLANTA_BASE!A:W, 6, FALSE), "NO ENCONTRADO EN PLANTA"))</f>
        <v>BOGOTA CENTRO</v>
      </c>
      <c r="F106" s="4" t="str">
        <f>IF(B106="","",IFERROR(VLOOKUP(B106, PLANTA_BASE!A:W, 8, FALSE), "DOCENTE / FACILITADOR"))</f>
        <v>DOC AUX/N/MT/MAR DIG</v>
      </c>
      <c r="G106" s="4" t="str">
        <f>IF(B106="","",IFERROR(VLOOKUP(B106, PLANTA_BASE!A:W, 9, FALSE), "GENERAL"))</f>
        <v>MARKETING DIGITAL</v>
      </c>
      <c r="H106" s="2" t="str">
        <f>IF(B106="","",IFERROR(VLOOKUP(B106, PLANTA_BASE!A:W, 17, FALSE), "GENERAL"))</f>
        <v>MARKETING DIGITAL</v>
      </c>
    </row>
    <row r="107" spans="1:8" ht="20.100000000000001" customHeight="1" x14ac:dyDescent="0.25">
      <c r="A107" s="5" t="str">
        <f>IF(B107="","",IFERROR(VLOOKUP(B107, PLANTA_BASE!A:W, 2, FALSE), "NO ENCONTRADO EN PLANTA"))</f>
        <v>PRESENCIAL</v>
      </c>
      <c r="B107" s="6" t="s">
        <v>218</v>
      </c>
      <c r="C107" s="7" t="s">
        <v>219</v>
      </c>
      <c r="D107" s="5" t="str">
        <f>IF(B107="","",IFERROR(VLOOKUP(B107, PLANTA_BASE!A:W, 5, FALSE), "NO ENCONTRADO EN PLANTA"))</f>
        <v>REGIONAL BOGOTA</v>
      </c>
      <c r="E107" s="5" t="str">
        <f>IF(B107="","",IFERROR(VLOOKUP(B107, PLANTA_BASE!A:W, 6, FALSE), "NO ENCONTRADO EN PLANTA"))</f>
        <v>BOGOTA CENTRO</v>
      </c>
      <c r="F107" s="7" t="str">
        <f>IF(B107="","",IFERROR(VLOOKUP(B107, PLANTA_BASE!A:W, 8, FALSE), "DOCENTE / FACILITADOR"))</f>
        <v>DOCENTE AUX/N/TC/INVESTIGA/INVESTIGACION</v>
      </c>
      <c r="G107" s="7" t="str">
        <f>IF(B107="","",IFERROR(VLOOKUP(B107, PLANTA_BASE!A:W, 9, FALSE), "GENERAL"))</f>
        <v>INVESTIGACIONES</v>
      </c>
      <c r="H107" s="5" t="str">
        <f>IF(B107="","",IFERROR(VLOOKUP(B107, PLANTA_BASE!A:W, 17, FALSE), "GENERAL"))</f>
        <v>INVESTIGACIONES</v>
      </c>
    </row>
    <row r="108" spans="1:8" ht="20.100000000000001" customHeight="1" x14ac:dyDescent="0.25">
      <c r="A108" s="2" t="str">
        <f>IF(B108="","",IFERROR(VLOOKUP(B108, PLANTA_BASE!A:W, 2, FALSE), "NO ENCONTRADO EN PLANTA"))</f>
        <v>PRESENCIAL</v>
      </c>
      <c r="B108" s="3" t="s">
        <v>220</v>
      </c>
      <c r="C108" s="4" t="s">
        <v>221</v>
      </c>
      <c r="D108" s="2" t="str">
        <f>IF(B108="","",IFERROR(VLOOKUP(B108, PLANTA_BASE!A:W, 5, FALSE), "NO ENCONTRADO EN PLANTA"))</f>
        <v>REGIONAL BOGOTA</v>
      </c>
      <c r="E108" s="2" t="str">
        <f>IF(B108="","",IFERROR(VLOOKUP(B108, PLANTA_BASE!A:W, 6, FALSE), "NO ENCONTRADO EN PLANTA"))</f>
        <v>BOGOTA CENTRO</v>
      </c>
      <c r="F108" s="4" t="str">
        <f>IF(B108="","",IFERROR(VLOOKUP(B108, PLANTA_BASE!A:W, 8, FALSE), "DOCENTE / FACILITADOR"))</f>
        <v>DOCENTE ASOC/N/TC/INVESTIGA/INVESTIGACIO</v>
      </c>
      <c r="G108" s="4" t="str">
        <f>IF(B108="","",IFERROR(VLOOKUP(B108, PLANTA_BASE!A:W, 9, FALSE), "GENERAL"))</f>
        <v>INVESTIGACIONES</v>
      </c>
      <c r="H108" s="2" t="str">
        <f>IF(B108="","",IFERROR(VLOOKUP(B108, PLANTA_BASE!A:W, 17, FALSE), "GENERAL"))</f>
        <v>INVESTIGACIONES</v>
      </c>
    </row>
    <row r="109" spans="1:8" ht="20.100000000000001" customHeight="1" x14ac:dyDescent="0.25">
      <c r="A109" s="5" t="str">
        <f>IF(B109="","",IFERROR(VLOOKUP(B109, PLANTA_BASE!A:W, 2, FALSE), "NO ENCONTRADO EN PLANTA"))</f>
        <v>PRESENCIAL</v>
      </c>
      <c r="B109" s="6" t="s">
        <v>222</v>
      </c>
      <c r="C109" s="7" t="s">
        <v>223</v>
      </c>
      <c r="D109" s="5" t="str">
        <f>IF(B109="","",IFERROR(VLOOKUP(B109, PLANTA_BASE!A:W, 5, FALSE), "NO ENCONTRADO EN PLANTA"))</f>
        <v>REGIONAL BOGOTA</v>
      </c>
      <c r="E109" s="5" t="str">
        <f>IF(B109="","",IFERROR(VLOOKUP(B109, PLANTA_BASE!A:W, 6, FALSE), "NO ENCONTRADO EN PLANTA"))</f>
        <v>BOGOTA SUR</v>
      </c>
      <c r="F109" s="7" t="str">
        <f>IF(B109="","",IFERROR(VLOOKUP(B109, PLANTA_BASE!A:W, 8, FALSE), "DOCENTE / FACILITADOR"))</f>
        <v>DOCENTE ASIS/N/MT/ING SISTEM</v>
      </c>
      <c r="G109" s="7" t="str">
        <f>IF(B109="","",IFERROR(VLOOKUP(B109, PLANTA_BASE!A:W, 9, FALSE), "GENERAL"))</f>
        <v>INGENIERIA DE SISTEMAS</v>
      </c>
      <c r="H109" s="5" t="str">
        <f>IF(B109="","",IFERROR(VLOOKUP(B109, PLANTA_BASE!A:W, 17, FALSE), "GENERAL"))</f>
        <v>INGENIERIA DE SISTEMAS</v>
      </c>
    </row>
    <row r="110" spans="1:8" ht="20.100000000000001" customHeight="1" x14ac:dyDescent="0.25">
      <c r="A110" s="2" t="str">
        <f>IF(B110="","",IFERROR(VLOOKUP(B110, PLANTA_BASE!A:W, 2, FALSE), "NO ENCONTRADO EN PLANTA"))</f>
        <v>VIRTUAL</v>
      </c>
      <c r="B110" s="3" t="s">
        <v>224</v>
      </c>
      <c r="C110" s="4" t="s">
        <v>225</v>
      </c>
      <c r="D110" s="2" t="str">
        <f>IF(B110="","",IFERROR(VLOOKUP(B110, PLANTA_BASE!A:W, 5, FALSE), "NO ENCONTRADO EN PLANTA"))</f>
        <v>REGIONAL SANTANDER</v>
      </c>
      <c r="E110" s="2" t="str">
        <f>IF(B110="","",IFERROR(VLOOKUP(B110, PLANTA_BASE!A:W, 6, FALSE), "NO ENCONTRADO EN PLANTA"))</f>
        <v>BUCARAMANGA</v>
      </c>
      <c r="F110" s="4" t="str">
        <f>IF(B110="","",IFERROR(VLOOKUP(B110, PLANTA_BASE!A:W, 8, FALSE), "DOCENTE / FACILITADOR"))</f>
        <v>DOC TITULAR/N/V/TC/INVESTIGACIONES/INVESTI</v>
      </c>
      <c r="G110" s="4" t="str">
        <f>IF(B110="","",IFERROR(VLOOKUP(B110, PLANTA_BASE!A:W, 9, FALSE), "GENERAL"))</f>
        <v>INVESTIGACIONES</v>
      </c>
      <c r="H110" s="2" t="str">
        <f>IF(B110="","",IFERROR(VLOOKUP(B110, PLANTA_BASE!A:W, 17, FALSE), "GENERAL"))</f>
        <v>INVESTIGACIONES</v>
      </c>
    </row>
    <row r="111" spans="1:8" ht="20.100000000000001" customHeight="1" x14ac:dyDescent="0.25">
      <c r="A111" s="5" t="str">
        <f>IF(B111="","",IFERROR(VLOOKUP(B111, PLANTA_BASE!A:W, 2, FALSE), "NO ENCONTRADO EN PLANTA"))</f>
        <v>VIRTUAL</v>
      </c>
      <c r="B111" s="6" t="s">
        <v>226</v>
      </c>
      <c r="C111" s="7" t="s">
        <v>227</v>
      </c>
      <c r="D111" s="5" t="str">
        <f>IF(B111="","",IFERROR(VLOOKUP(B111, PLANTA_BASE!A:W, 5, FALSE), "NO ENCONTRADO EN PLANTA"))</f>
        <v>REGIONAL SANTANDER</v>
      </c>
      <c r="E111" s="5" t="str">
        <f>IF(B111="","",IFERROR(VLOOKUP(B111, PLANTA_BASE!A:W, 6, FALSE), "NO ENCONTRADO EN PLANTA"))</f>
        <v>BUCARAMANGA</v>
      </c>
      <c r="F111" s="7" t="str">
        <f>IF(B111="","",IFERROR(VLOOKUP(B111, PLANTA_BASE!A:W, 8, FALSE), "DOCENTE / FACILITADOR"))</f>
        <v>DOC ASOC/N/V/TC/INVESTIGACIONES/INVESTIG</v>
      </c>
      <c r="G111" s="7" t="str">
        <f>IF(B111="","",IFERROR(VLOOKUP(B111, PLANTA_BASE!A:W, 9, FALSE), "GENERAL"))</f>
        <v>INVESTIGACIONES</v>
      </c>
      <c r="H111" s="5" t="str">
        <f>IF(B111="","",IFERROR(VLOOKUP(B111, PLANTA_BASE!A:W, 17, FALSE), "GENERAL"))</f>
        <v>INVESTIGACIONES</v>
      </c>
    </row>
    <row r="112" spans="1:8" ht="20.100000000000001" customHeight="1" x14ac:dyDescent="0.25">
      <c r="A112" s="2" t="str">
        <f>IF(B112="","",IFERROR(VLOOKUP(B112, PLANTA_BASE!A:W, 2, FALSE), "NO ENCONTRADO EN PLANTA"))</f>
        <v>VIRTUAL</v>
      </c>
      <c r="B112" s="3" t="s">
        <v>228</v>
      </c>
      <c r="C112" s="4" t="s">
        <v>229</v>
      </c>
      <c r="D112" s="2" t="str">
        <f>IF(B112="","",IFERROR(VLOOKUP(B112, PLANTA_BASE!A:W, 5, FALSE), "NO ENCONTRADO EN PLANTA"))</f>
        <v>REGIONAL CUNDINAMARCA</v>
      </c>
      <c r="E112" s="2" t="str">
        <f>IF(B112="","",IFERROR(VLOOKUP(B112, PLANTA_BASE!A:W, 6, FALSE), "NO ENCONTRADO EN PLANTA"))</f>
        <v>CHÍA</v>
      </c>
      <c r="F112" s="4" t="str">
        <f>IF(B112="","",IFERROR(VLOOKUP(B112, PLANTA_BASE!A:W, 8, FALSE), "DOCENTE / FACILITADOR"))</f>
        <v>DOC AUX/N/V/TC/ING DE SISTEMAS/FUN.ACADE-ADMIN</v>
      </c>
      <c r="G112" s="4" t="str">
        <f>IF(B112="","",IFERROR(VLOOKUP(B112, PLANTA_BASE!A:W, 9, FALSE), "GENERAL"))</f>
        <v>INGENIERIA DE SISTEMAS</v>
      </c>
      <c r="H112" s="2" t="str">
        <f>IF(B112="","",IFERROR(VLOOKUP(B112, PLANTA_BASE!A:W, 17, FALSE), "GENERAL"))</f>
        <v>INGENIERIA DE SISTEMAS</v>
      </c>
    </row>
    <row r="113" spans="1:8" ht="20.100000000000001" customHeight="1" x14ac:dyDescent="0.25">
      <c r="A113" s="5" t="str">
        <f>IF(B113="","",IFERROR(VLOOKUP(B113, PLANTA_BASE!A:W, 2, FALSE), "NO ENCONTRADO EN PLANTA"))</f>
        <v>VIRTUAL</v>
      </c>
      <c r="B113" s="6" t="s">
        <v>230</v>
      </c>
      <c r="C113" s="7" t="s">
        <v>231</v>
      </c>
      <c r="D113" s="5" t="str">
        <f>IF(B113="","",IFERROR(VLOOKUP(B113, PLANTA_BASE!A:W, 5, FALSE), "NO ENCONTRADO EN PLANTA"))</f>
        <v>REGIONAL CORDOBA</v>
      </c>
      <c r="E113" s="5" t="str">
        <f>IF(B113="","",IFERROR(VLOOKUP(B113, PLANTA_BASE!A:W, 6, FALSE), "NO ENCONTRADO EN PLANTA"))</f>
        <v>MONTERIA</v>
      </c>
      <c r="F113" s="7" t="str">
        <f>IF(B113="","",IFERROR(VLOOKUP(B113, PLANTA_BASE!A:W, 8, FALSE), "DOCENTE / FACILITADOR"))</f>
        <v>DOC ASOC/N/V/TC/INVESTIGACIONES/INVESTIG</v>
      </c>
      <c r="G113" s="7" t="str">
        <f>IF(B113="","",IFERROR(VLOOKUP(B113, PLANTA_BASE!A:W, 9, FALSE), "GENERAL"))</f>
        <v>INVESTIGACIONES</v>
      </c>
      <c r="H113" s="5" t="str">
        <f>IF(B113="","",IFERROR(VLOOKUP(B113, PLANTA_BASE!A:W, 17, FALSE), "GENERAL"))</f>
        <v>INVESTIGACIONES</v>
      </c>
    </row>
    <row r="114" spans="1:8" ht="20.100000000000001" customHeight="1" x14ac:dyDescent="0.25">
      <c r="A114" s="2" t="str">
        <f>IF(B114="","",IFERROR(VLOOKUP(B114, PLANTA_BASE!A:W, 2, FALSE), "NO ENCONTRADO EN PLANTA"))</f>
        <v>PRESENCIAL</v>
      </c>
      <c r="B114" s="3" t="s">
        <v>232</v>
      </c>
      <c r="C114" s="4" t="s">
        <v>233</v>
      </c>
      <c r="D114" s="2" t="str">
        <f>IF(B114="","",IFERROR(VLOOKUP(B114, PLANTA_BASE!A:W, 5, FALSE), "NO ENCONTRADO EN PLANTA"))</f>
        <v>REGIONAL ANTIOQUIA</v>
      </c>
      <c r="E114" s="2" t="str">
        <f>IF(B114="","",IFERROR(VLOOKUP(B114, PLANTA_BASE!A:W, 6, FALSE), "NO ENCONTRADO EN PLANTA"))</f>
        <v>MEDELLIN</v>
      </c>
      <c r="F114" s="4" t="str">
        <f>IF(B114="","",IFERROR(VLOOKUP(B114, PLANTA_BASE!A:W, 8, FALSE), "DOCENTE / FACILITADOR"))</f>
        <v>DOCENTE ASOC/N/TC/INVESTIGA/INVESTIGACIO</v>
      </c>
      <c r="G114" s="4" t="str">
        <f>IF(B114="","",IFERROR(VLOOKUP(B114, PLANTA_BASE!A:W, 9, FALSE), "GENERAL"))</f>
        <v>INVESTIGACIONES</v>
      </c>
      <c r="H114" s="2" t="str">
        <f>IF(B114="","",IFERROR(VLOOKUP(B114, PLANTA_BASE!A:W, 17, FALSE), "GENERAL"))</f>
        <v>INVESTIGACIONES</v>
      </c>
    </row>
    <row r="115" spans="1:8" ht="20.100000000000001" customHeight="1" x14ac:dyDescent="0.25">
      <c r="A115" s="5" t="str">
        <f>IF(B115="","",IFERROR(VLOOKUP(B115, PLANTA_BASE!A:W, 2, FALSE), "NO ENCONTRADO EN PLANTA"))</f>
        <v>PRESENCIAL</v>
      </c>
      <c r="B115" s="6" t="s">
        <v>234</v>
      </c>
      <c r="C115" s="7" t="s">
        <v>235</v>
      </c>
      <c r="D115" s="5" t="str">
        <f>IF(B115="","",IFERROR(VLOOKUP(B115, PLANTA_BASE!A:W, 5, FALSE), "NO ENCONTRADO EN PLANTA"))</f>
        <v>REGIONAL BOGOTA</v>
      </c>
      <c r="E115" s="5" t="str">
        <f>IF(B115="","",IFERROR(VLOOKUP(B115, PLANTA_BASE!A:W, 6, FALSE), "NO ENCONTRADO EN PLANTA"))</f>
        <v>BOGOTA CENTRO</v>
      </c>
      <c r="F115" s="7" t="str">
        <f>IF(B115="","",IFERROR(VLOOKUP(B115, PLANTA_BASE!A:W, 8, FALSE), "DOCENTE / FACILITADOR"))</f>
        <v>DOC AUX T&amp;T/N/TC/EMPRENDIMIE/FUN.ACADE-ADMIN</v>
      </c>
      <c r="G115" s="7" t="str">
        <f>IF(B115="","",IFERROR(VLOOKUP(B115, PLANTA_BASE!A:W, 9, FALSE), "GENERAL"))</f>
        <v>EMPRENDIMIENTO</v>
      </c>
      <c r="H115" s="5" t="str">
        <f>IF(B115="","",IFERROR(VLOOKUP(B115, PLANTA_BASE!A:W, 17, FALSE), "GENERAL"))</f>
        <v>EMPRENDIMIENTO</v>
      </c>
    </row>
    <row r="116" spans="1:8" ht="20.100000000000001" customHeight="1" x14ac:dyDescent="0.25">
      <c r="A116" s="2" t="str">
        <f>IF(B116="","",IFERROR(VLOOKUP(B116, PLANTA_BASE!A:W, 2, FALSE), "NO ENCONTRADO EN PLANTA"))</f>
        <v>VIRTUAL</v>
      </c>
      <c r="B116" s="3" t="s">
        <v>236</v>
      </c>
      <c r="C116" s="4" t="s">
        <v>237</v>
      </c>
      <c r="D116" s="2" t="str">
        <f>IF(B116="","",IFERROR(VLOOKUP(B116, PLANTA_BASE!A:W, 5, FALSE), "NO ENCONTRADO EN PLANTA"))</f>
        <v>REGIONAL VALLE DELCAUCA</v>
      </c>
      <c r="E116" s="2" t="str">
        <f>IF(B116="","",IFERROR(VLOOKUP(B116, PLANTA_BASE!A:W, 6, FALSE), "NO ENCONTRADO EN PLANTA"))</f>
        <v>CALI</v>
      </c>
      <c r="F116" s="4" t="str">
        <f>IF(B116="","",IFERROR(VLOOKUP(B116, PLANTA_BASE!A:W, 8, FALSE), "DOCENTE / FACILITADOR"))</f>
        <v>DOC TIT/N/V/TC/ESP EN IA/FUN.ACAD</v>
      </c>
      <c r="G116" s="4" t="str">
        <f>IF(B116="","",IFERROR(VLOOKUP(B116, PLANTA_BASE!A:W, 9, FALSE), "GENERAL"))</f>
        <v>ESPECIALIZACION EN IA</v>
      </c>
      <c r="H116" s="2" t="str">
        <f>IF(B116="","",IFERROR(VLOOKUP(B116, PLANTA_BASE!A:W, 17, FALSE), "GENERAL"))</f>
        <v>ESPECIALIZACION EN IA</v>
      </c>
    </row>
    <row r="117" spans="1:8" ht="20.100000000000001" customHeight="1" x14ac:dyDescent="0.25">
      <c r="A117" s="5" t="str">
        <f>IF(B117="","",IFERROR(VLOOKUP(B117, PLANTA_BASE!A:W, 2, FALSE), "NO ENCONTRADO EN PLANTA"))</f>
        <v>VIRTUAL</v>
      </c>
      <c r="B117" s="6" t="s">
        <v>238</v>
      </c>
      <c r="C117" s="7" t="s">
        <v>239</v>
      </c>
      <c r="D117" s="5" t="str">
        <f>IF(B117="","",IFERROR(VLOOKUP(B117, PLANTA_BASE!A:W, 5, FALSE), "NO ENCONTRADO EN PLANTA"))</f>
        <v>REGIONAL BOLIVAR</v>
      </c>
      <c r="E117" s="5" t="str">
        <f>IF(B117="","",IFERROR(VLOOKUP(B117, PLANTA_BASE!A:W, 6, FALSE), "NO ENCONTRADO EN PLANTA"))</f>
        <v>CARTAGENA</v>
      </c>
      <c r="F117" s="7" t="str">
        <f>IF(B117="","",IFERROR(VLOOKUP(B117, PLANTA_BASE!A:W, 8, FALSE), "DOCENTE / FACILITADOR"))</f>
        <v>DOC ASIS/N/V/TC/ING INDUS/FUN.ACADE-ADMIN</v>
      </c>
      <c r="G117" s="7" t="str">
        <f>IF(B117="","",IFERROR(VLOOKUP(B117, PLANTA_BASE!A:W, 9, FALSE), "GENERAL"))</f>
        <v>INGENIERIA INDUSTRIAL</v>
      </c>
      <c r="H117" s="5" t="str">
        <f>IF(B117="","",IFERROR(VLOOKUP(B117, PLANTA_BASE!A:W, 17, FALSE), "GENERAL"))</f>
        <v>INGENIERIA INDUSTRIAL</v>
      </c>
    </row>
    <row r="118" spans="1:8" ht="20.100000000000001" customHeight="1" x14ac:dyDescent="0.25">
      <c r="A118" s="2" t="str">
        <f>IF(B118="","",IFERROR(VLOOKUP(B118, PLANTA_BASE!A:W, 2, FALSE), "NO ENCONTRADO EN PLANTA"))</f>
        <v>VIRTUAL</v>
      </c>
      <c r="B118" s="3" t="s">
        <v>240</v>
      </c>
      <c r="C118" s="4" t="s">
        <v>241</v>
      </c>
      <c r="D118" s="2" t="str">
        <f>IF(B118="","",IFERROR(VLOOKUP(B118, PLANTA_BASE!A:W, 5, FALSE), "NO ENCONTRADO EN PLANTA"))</f>
        <v>REGIONAL BOGOTA</v>
      </c>
      <c r="E118" s="2" t="str">
        <f>IF(B118="","",IFERROR(VLOOKUP(B118, PLANTA_BASE!A:W, 6, FALSE), "NO ENCONTRADO EN PLANTA"))</f>
        <v>BOGOTA CENTRO</v>
      </c>
      <c r="F118" s="4" t="str">
        <f>IF(B118="","",IFERROR(VLOOKUP(B118, PLANTA_BASE!A:W, 8, FALSE), "DOCENTE / FACILITADOR"))</f>
        <v>DOC AUX/N/V/TC/ADMIN PUBLICA/FUN.ACADE-ADMIN</v>
      </c>
      <c r="G118" s="4" t="str">
        <f>IF(B118="","",IFERROR(VLOOKUP(B118, PLANTA_BASE!A:W, 9, FALSE), "GENERAL"))</f>
        <v>ADMINISTRACION PUBLICA</v>
      </c>
      <c r="H118" s="2" t="str">
        <f>IF(B118="","",IFERROR(VLOOKUP(B118, PLANTA_BASE!A:W, 17, FALSE), "GENERAL"))</f>
        <v>ADMINISTRACION PUBLICA</v>
      </c>
    </row>
    <row r="119" spans="1:8" ht="20.100000000000001" customHeight="1" x14ac:dyDescent="0.25">
      <c r="A119" s="5" t="str">
        <f>IF(B119="","",IFERROR(VLOOKUP(B119, PLANTA_BASE!A:W, 2, FALSE), "NO ENCONTRADO EN PLANTA"))</f>
        <v>VIRTUAL</v>
      </c>
      <c r="B119" s="6" t="s">
        <v>242</v>
      </c>
      <c r="C119" s="7" t="s">
        <v>243</v>
      </c>
      <c r="D119" s="5" t="str">
        <f>IF(B119="","",IFERROR(VLOOKUP(B119, PLANTA_BASE!A:W, 5, FALSE), "NO ENCONTRADO EN PLANTA"))</f>
        <v>REGIONAL TOLIMA</v>
      </c>
      <c r="E119" s="5" t="str">
        <f>IF(B119="","",IFERROR(VLOOKUP(B119, PLANTA_BASE!A:W, 6, FALSE), "NO ENCONTRADO EN PLANTA"))</f>
        <v>IBAGUÉ</v>
      </c>
      <c r="F119" s="7" t="str">
        <f>IF(B119="","",IFERROR(VLOOKUP(B119, PLANTA_BASE!A:W, 8, FALSE), "DOCENTE / FACILITADOR"))</f>
        <v>DOC AUX/N/V/TC/ING DE SISTEMAS/FUN.ACADE-ADMIN</v>
      </c>
      <c r="G119" s="7" t="str">
        <f>IF(B119="","",IFERROR(VLOOKUP(B119, PLANTA_BASE!A:W, 9, FALSE), "GENERAL"))</f>
        <v>INGENIERIA DE SISTEMAS</v>
      </c>
      <c r="H119" s="5" t="str">
        <f>IF(B119="","",IFERROR(VLOOKUP(B119, PLANTA_BASE!A:W, 17, FALSE), "GENERAL"))</f>
        <v>INGENIERIA DE SISTEMAS</v>
      </c>
    </row>
    <row r="120" spans="1:8" ht="20.100000000000001" customHeight="1" x14ac:dyDescent="0.25">
      <c r="A120" s="2" t="str">
        <f>IF(B120="","",IFERROR(VLOOKUP(B120, PLANTA_BASE!A:W, 2, FALSE), "NO ENCONTRADO EN PLANTA"))</f>
        <v>VIRTUAL</v>
      </c>
      <c r="B120" s="3" t="s">
        <v>244</v>
      </c>
      <c r="C120" s="4" t="s">
        <v>245</v>
      </c>
      <c r="D120" s="2" t="str">
        <f>IF(B120="","",IFERROR(VLOOKUP(B120, PLANTA_BASE!A:W, 5, FALSE), "NO ENCONTRADO EN PLANTA"))</f>
        <v>REGIONAL SANTANDER</v>
      </c>
      <c r="E120" s="2" t="str">
        <f>IF(B120="","",IFERROR(VLOOKUP(B120, PLANTA_BASE!A:W, 6, FALSE), "NO ENCONTRADO EN PLANTA"))</f>
        <v>BUCARAMANGA</v>
      </c>
      <c r="F120" s="4" t="str">
        <f>IF(B120="","",IFERROR(VLOOKUP(B120, PLANTA_BASE!A:W, 8, FALSE), "DOCENTE / FACILITADOR"))</f>
        <v>DOC ASIS/N/V/TC/IDIOMAS/FUN.ACADE-ADMIN</v>
      </c>
      <c r="G120" s="4" t="str">
        <f>IF(B120="","",IFERROR(VLOOKUP(B120, PLANTA_BASE!A:W, 9, FALSE), "GENERAL"))</f>
        <v>IDIOMAS</v>
      </c>
      <c r="H120" s="2" t="str">
        <f>IF(B120="","",IFERROR(VLOOKUP(B120, PLANTA_BASE!A:W, 17, FALSE), "GENERAL"))</f>
        <v>IDIOMAS</v>
      </c>
    </row>
    <row r="121" spans="1:8" ht="20.100000000000001" customHeight="1" x14ac:dyDescent="0.25">
      <c r="A121" s="5" t="str">
        <f>IF(B121="","",IFERROR(VLOOKUP(B121, PLANTA_BASE!A:W, 2, FALSE), "NO ENCONTRADO EN PLANTA"))</f>
        <v>PRESENCIAL</v>
      </c>
      <c r="B121" s="6" t="s">
        <v>246</v>
      </c>
      <c r="C121" s="7" t="s">
        <v>247</v>
      </c>
      <c r="D121" s="5" t="str">
        <f>IF(B121="","",IFERROR(VLOOKUP(B121, PLANTA_BASE!A:W, 5, FALSE), "NO ENCONTRADO EN PLANTA"))</f>
        <v>REGIONAL NARIñO</v>
      </c>
      <c r="E121" s="5" t="str">
        <f>IF(B121="","",IFERROR(VLOOKUP(B121, PLANTA_BASE!A:W, 6, FALSE), "NO ENCONTRADO EN PLANTA"))</f>
        <v>IPIALES</v>
      </c>
      <c r="F121" s="7" t="str">
        <f>IF(B121="","",IFERROR(VLOOKUP(B121, PLANTA_BASE!A:W, 8, FALSE), "DOCENTE / FACILITADOR"))</f>
        <v>DOCENTE ASIS/N/TC/INVESTIGA/INVESTIGACIO</v>
      </c>
      <c r="G121" s="7" t="str">
        <f>IF(B121="","",IFERROR(VLOOKUP(B121, PLANTA_BASE!A:W, 9, FALSE), "GENERAL"))</f>
        <v>INVESTIGACIONES</v>
      </c>
      <c r="H121" s="5" t="str">
        <f>IF(B121="","",IFERROR(VLOOKUP(B121, PLANTA_BASE!A:W, 17, FALSE), "GENERAL"))</f>
        <v>INVESTIGACIONES</v>
      </c>
    </row>
    <row r="122" spans="1:8" ht="20.100000000000001" customHeight="1" x14ac:dyDescent="0.25">
      <c r="A122" s="2" t="str">
        <f>IF(B122="","",IFERROR(VLOOKUP(B122, PLANTA_BASE!A:W, 2, FALSE), "NO ENCONTRADO EN PLANTA"))</f>
        <v>VIRTUAL</v>
      </c>
      <c r="B122" s="3" t="s">
        <v>248</v>
      </c>
      <c r="C122" s="4" t="s">
        <v>249</v>
      </c>
      <c r="D122" s="2" t="str">
        <f>IF(B122="","",IFERROR(VLOOKUP(B122, PLANTA_BASE!A:W, 5, FALSE), "NO ENCONTRADO EN PLANTA"))</f>
        <v>REGIONAL SUCRE</v>
      </c>
      <c r="E122" s="2" t="str">
        <f>IF(B122="","",IFERROR(VLOOKUP(B122, PLANTA_BASE!A:W, 6, FALSE), "NO ENCONTRADO EN PLANTA"))</f>
        <v>SINCELEJO</v>
      </c>
      <c r="F122" s="4" t="str">
        <f>IF(B122="","",IFERROR(VLOOKUP(B122, PLANTA_BASE!A:W, 8, FALSE), "DOCENTE / FACILITADOR"))</f>
        <v>DOC ASIS/N/V/TC/EMPRENDIMIENTO/PROYE. AC</v>
      </c>
      <c r="G122" s="4" t="str">
        <f>IF(B122="","",IFERROR(VLOOKUP(B122, PLANTA_BASE!A:W, 9, FALSE), "GENERAL"))</f>
        <v>EMPRENDIMIENTO</v>
      </c>
      <c r="H122" s="2" t="str">
        <f>IF(B122="","",IFERROR(VLOOKUP(B122, PLANTA_BASE!A:W, 17, FALSE), "GENERAL"))</f>
        <v>EMPRENDIMIENTO</v>
      </c>
    </row>
    <row r="123" spans="1:8" ht="20.100000000000001" customHeight="1" x14ac:dyDescent="0.25">
      <c r="A123" s="5" t="str">
        <f>IF(B123="","",IFERROR(VLOOKUP(B123, PLANTA_BASE!A:W, 2, FALSE), "NO ENCONTRADO EN PLANTA"))</f>
        <v>VIRTUAL</v>
      </c>
      <c r="B123" s="6" t="s">
        <v>250</v>
      </c>
      <c r="C123" s="7" t="s">
        <v>251</v>
      </c>
      <c r="D123" s="5" t="str">
        <f>IF(B123="","",IFERROR(VLOOKUP(B123, PLANTA_BASE!A:W, 5, FALSE), "NO ENCONTRADO EN PLANTA"))</f>
        <v>REGIONAL VALLE DELCAUCA</v>
      </c>
      <c r="E123" s="5" t="str">
        <f>IF(B123="","",IFERROR(VLOOKUP(B123, PLANTA_BASE!A:W, 6, FALSE), "NO ENCONTRADO EN PLANTA"))</f>
        <v>BUENAVENTURA</v>
      </c>
      <c r="F123" s="7" t="str">
        <f>IF(B123="","",IFERROR(VLOOKUP(B123, PLANTA_BASE!A:W, 8, FALSE), "DOCENTE / FACILITADOR"))</f>
        <v>DOC ASIS/N/V/TC/EMPRENDIMIENTO/PROYE. AC</v>
      </c>
      <c r="G123" s="7" t="str">
        <f>IF(B123="","",IFERROR(VLOOKUP(B123, PLANTA_BASE!A:W, 9, FALSE), "GENERAL"))</f>
        <v>EMPRENDIMIENTO</v>
      </c>
      <c r="H123" s="5" t="str">
        <f>IF(B123="","",IFERROR(VLOOKUP(B123, PLANTA_BASE!A:W, 17, FALSE), "GENERAL"))</f>
        <v>EMPRENDIMIENTO</v>
      </c>
    </row>
    <row r="124" spans="1:8" ht="20.100000000000001" customHeight="1" x14ac:dyDescent="0.25">
      <c r="A124" s="2" t="str">
        <f>IF(B124="","",IFERROR(VLOOKUP(B124, PLANTA_BASE!A:W, 2, FALSE), "NO ENCONTRADO EN PLANTA"))</f>
        <v>PRESENCIAL</v>
      </c>
      <c r="B124" s="3" t="s">
        <v>252</v>
      </c>
      <c r="C124" s="4" t="s">
        <v>253</v>
      </c>
      <c r="D124" s="2" t="str">
        <f>IF(B124="","",IFERROR(VLOOKUP(B124, PLANTA_BASE!A:W, 5, FALSE), "NO ENCONTRADO EN PLANTA"))</f>
        <v>REGIONAL MAGDALENA</v>
      </c>
      <c r="E124" s="2" t="str">
        <f>IF(B124="","",IFERROR(VLOOKUP(B124, PLANTA_BASE!A:W, 6, FALSE), "NO ENCONTRADO EN PLANTA"))</f>
        <v>SANTA MARTA</v>
      </c>
      <c r="F124" s="4" t="str">
        <f>IF(B124="","",IFERROR(VLOOKUP(B124, PLANTA_BASE!A:W, 8, FALSE), "DOCENTE / FACILITADOR"))</f>
        <v>DOCENTE AUX/N/MT/ADM EM</v>
      </c>
      <c r="G124" s="4" t="str">
        <f>IF(B124="","",IFERROR(VLOOKUP(B124, PLANTA_BASE!A:W, 9, FALSE), "GENERAL"))</f>
        <v>ADMINISTRACION DE EMPRESAS</v>
      </c>
      <c r="H124" s="2" t="str">
        <f>IF(B124="","",IFERROR(VLOOKUP(B124, PLANTA_BASE!A:W, 17, FALSE), "GENERAL"))</f>
        <v>ADMINISTRACION DE EMPRESAS</v>
      </c>
    </row>
    <row r="125" spans="1:8" ht="20.100000000000001" customHeight="1" x14ac:dyDescent="0.25">
      <c r="A125" s="5" t="str">
        <f>IF(B125="","",IFERROR(VLOOKUP(B125, PLANTA_BASE!A:W, 2, FALSE), "NO ENCONTRADO EN PLANTA"))</f>
        <v>VIRTUAL</v>
      </c>
      <c r="B125" s="6" t="s">
        <v>254</v>
      </c>
      <c r="C125" s="7" t="s">
        <v>255</v>
      </c>
      <c r="D125" s="5" t="str">
        <f>IF(B125="","",IFERROR(VLOOKUP(B125, PLANTA_BASE!A:W, 5, FALSE), "NO ENCONTRADO EN PLANTA"))</f>
        <v>REGIONAL BOGOTA</v>
      </c>
      <c r="E125" s="5" t="str">
        <f>IF(B125="","",IFERROR(VLOOKUP(B125, PLANTA_BASE!A:W, 6, FALSE), "NO ENCONTRADO EN PLANTA"))</f>
        <v>BOGOTA CENTRO</v>
      </c>
      <c r="F125" s="7" t="str">
        <f>IF(B125="","",IFERROR(VLOOKUP(B125, PLANTA_BASE!A:W, 8, FALSE), "DOCENTE / FACILITADOR"))</f>
        <v>DOC AUX T&amp;T/N/V/TC/DIS GRAFICO/FUN.ACADE</v>
      </c>
      <c r="G125" s="7" t="str">
        <f>IF(B125="","",IFERROR(VLOOKUP(B125, PLANTA_BASE!A:W, 9, FALSE), "GENERAL"))</f>
        <v>DISEÑO GRAFICO</v>
      </c>
      <c r="H125" s="5" t="str">
        <f>IF(B125="","",IFERROR(VLOOKUP(B125, PLANTA_BASE!A:W, 17, FALSE), "GENERAL"))</f>
        <v>DISEÑO GRAFICO</v>
      </c>
    </row>
    <row r="126" spans="1:8" ht="20.100000000000001" customHeight="1" x14ac:dyDescent="0.25">
      <c r="A126" s="2" t="str">
        <f>IF(B126="","",IFERROR(VLOOKUP(B126, PLANTA_BASE!A:W, 2, FALSE), "NO ENCONTRADO EN PLANTA"))</f>
        <v>VIRTUAL</v>
      </c>
      <c r="B126" s="3" t="s">
        <v>256</v>
      </c>
      <c r="C126" s="4" t="s">
        <v>257</v>
      </c>
      <c r="D126" s="2" t="str">
        <f>IF(B126="","",IFERROR(VLOOKUP(B126, PLANTA_BASE!A:W, 5, FALSE), "NO ENCONTRADO EN PLANTA"))</f>
        <v>REGIONAL NORTE DE SANTANDER</v>
      </c>
      <c r="E126" s="2" t="str">
        <f>IF(B126="","",IFERROR(VLOOKUP(B126, PLANTA_BASE!A:W, 6, FALSE), "NO ENCONTRADO EN PLANTA"))</f>
        <v>CUCUTÁ</v>
      </c>
      <c r="F126" s="4" t="str">
        <f>IF(B126="","",IFERROR(VLOOKUP(B126, PLANTA_BASE!A:W, 8, FALSE), "DOCENTE / FACILITADOR"))</f>
        <v>DOC AUX/N/V/TC/ING INDUS/FUN.ACADE-ADMIN</v>
      </c>
      <c r="G126" s="4" t="str">
        <f>IF(B126="","",IFERROR(VLOOKUP(B126, PLANTA_BASE!A:W, 9, FALSE), "GENERAL"))</f>
        <v>INGENIERIA INDUSTRIAL</v>
      </c>
      <c r="H126" s="2" t="str">
        <f>IF(B126="","",IFERROR(VLOOKUP(B126, PLANTA_BASE!A:W, 17, FALSE), "GENERAL"))</f>
        <v>INGENIERIA INDUSTRIAL</v>
      </c>
    </row>
    <row r="127" spans="1:8" ht="20.100000000000001" customHeight="1" x14ac:dyDescent="0.25">
      <c r="A127" s="5" t="str">
        <f>IF(B127="","",IFERROR(VLOOKUP(B127, PLANTA_BASE!A:W, 2, FALSE), "NO ENCONTRADO EN PLANTA"))</f>
        <v>VIRTUAL</v>
      </c>
      <c r="B127" s="6" t="s">
        <v>258</v>
      </c>
      <c r="C127" s="7" t="s">
        <v>259</v>
      </c>
      <c r="D127" s="5" t="str">
        <f>IF(B127="","",IFERROR(VLOOKUP(B127, PLANTA_BASE!A:W, 5, FALSE), "NO ENCONTRADO EN PLANTA"))</f>
        <v>REGIONAL TOLIMA</v>
      </c>
      <c r="E127" s="5" t="str">
        <f>IF(B127="","",IFERROR(VLOOKUP(B127, PLANTA_BASE!A:W, 6, FALSE), "NO ENCONTRADO EN PLANTA"))</f>
        <v>IBAGUÉ</v>
      </c>
      <c r="F127" s="7" t="str">
        <f>IF(B127="","",IFERROR(VLOOKUP(B127, PLANTA_BASE!A:W, 8, FALSE), "DOCENTE / FACILITADOR"))</f>
        <v>DOC ASIS/N/V/TC/ADM DE EMPRE/FUN.ACADE-ADMIN</v>
      </c>
      <c r="G127" s="7" t="str">
        <f>IF(B127="","",IFERROR(VLOOKUP(B127, PLANTA_BASE!A:W, 9, FALSE), "GENERAL"))</f>
        <v>ADMINISTRACION DE EMPRESAS</v>
      </c>
      <c r="H127" s="5" t="str">
        <f>IF(B127="","",IFERROR(VLOOKUP(B127, PLANTA_BASE!A:W, 17, FALSE), "GENERAL"))</f>
        <v>ADMINISTRACION DE EMPRESAS</v>
      </c>
    </row>
    <row r="128" spans="1:8" ht="20.100000000000001" customHeight="1" x14ac:dyDescent="0.25">
      <c r="A128" s="2" t="str">
        <f>IF(B128="","",IFERROR(VLOOKUP(B128, PLANTA_BASE!A:W, 2, FALSE), "NO ENCONTRADO EN PLANTA"))</f>
        <v>VIRTUAL</v>
      </c>
      <c r="B128" s="3" t="s">
        <v>260</v>
      </c>
      <c r="C128" s="4" t="s">
        <v>261</v>
      </c>
      <c r="D128" s="2" t="str">
        <f>IF(B128="","",IFERROR(VLOOKUP(B128, PLANTA_BASE!A:W, 5, FALSE), "NO ENCONTRADO EN PLANTA"))</f>
        <v>REGIONAL BOYACA</v>
      </c>
      <c r="E128" s="2" t="str">
        <f>IF(B128="","",IFERROR(VLOOKUP(B128, PLANTA_BASE!A:W, 6, FALSE), "NO ENCONTRADO EN PLANTA"))</f>
        <v>TUNJA</v>
      </c>
      <c r="F128" s="4" t="str">
        <f>IF(B128="","",IFERROR(VLOOKUP(B128, PLANTA_BASE!A:W, 8, FALSE), "DOCENTE / FACILITADOR"))</f>
        <v>DOC ASIS/N/V/TC/ESP CONTRA ESTATAL/FUN.A</v>
      </c>
      <c r="G128" s="4" t="str">
        <f>IF(B128="","",IFERROR(VLOOKUP(B128, PLANTA_BASE!A:W, 9, FALSE), "GENERAL"))</f>
        <v>ESPECIALIZACION DE CONTRATACION ESTATAL</v>
      </c>
      <c r="H128" s="2" t="str">
        <f>IF(B128="","",IFERROR(VLOOKUP(B128, PLANTA_BASE!A:W, 17, FALSE), "GENERAL"))</f>
        <v>ESPECIALIZACION DE CONTRATACION ESTATAL</v>
      </c>
    </row>
    <row r="129" spans="1:8" ht="20.100000000000001" customHeight="1" x14ac:dyDescent="0.25">
      <c r="A129" s="5" t="str">
        <f>IF(B129="","",IFERROR(VLOOKUP(B129, PLANTA_BASE!A:W, 2, FALSE), "NO ENCONTRADO EN PLANTA"))</f>
        <v>PRESENCIAL</v>
      </c>
      <c r="B129" s="6" t="s">
        <v>262</v>
      </c>
      <c r="C129" s="7" t="s">
        <v>263</v>
      </c>
      <c r="D129" s="5" t="str">
        <f>IF(B129="","",IFERROR(VLOOKUP(B129, PLANTA_BASE!A:W, 5, FALSE), "NO ENCONTRADO EN PLANTA"))</f>
        <v>REGIONAL MAGDALENA</v>
      </c>
      <c r="E129" s="5" t="str">
        <f>IF(B129="","",IFERROR(VLOOKUP(B129, PLANTA_BASE!A:W, 6, FALSE), "NO ENCONTRADO EN PLANTA"))</f>
        <v>SANTA MARTA</v>
      </c>
      <c r="F129" s="7" t="str">
        <f>IF(B129="","",IFERROR(VLOOKUP(B129, PLANTA_BASE!A:W, 8, FALSE), "DOCENTE / FACILITADOR"))</f>
        <v>DOCENTE AUX/N/TC/ADM EMP/FUN.ACADE-ADMIN</v>
      </c>
      <c r="G129" s="7" t="str">
        <f>IF(B129="","",IFERROR(VLOOKUP(B129, PLANTA_BASE!A:W, 9, FALSE), "GENERAL"))</f>
        <v>ADMINISTRACION DE EMPRESAS</v>
      </c>
      <c r="H129" s="5" t="str">
        <f>IF(B129="","",IFERROR(VLOOKUP(B129, PLANTA_BASE!A:W, 17, FALSE), "GENERAL"))</f>
        <v>ADMINISTRACION DE EMPRESAS</v>
      </c>
    </row>
    <row r="130" spans="1:8" ht="20.100000000000001" customHeight="1" x14ac:dyDescent="0.25">
      <c r="A130" s="2" t="str">
        <f>IF(B130="","",IFERROR(VLOOKUP(B130, PLANTA_BASE!A:W, 2, FALSE), "NO ENCONTRADO EN PLANTA"))</f>
        <v>VIRTUAL</v>
      </c>
      <c r="B130" s="3" t="s">
        <v>264</v>
      </c>
      <c r="C130" s="4" t="s">
        <v>265</v>
      </c>
      <c r="D130" s="2" t="str">
        <f>IF(B130="","",IFERROR(VLOOKUP(B130, PLANTA_BASE!A:W, 5, FALSE), "NO ENCONTRADO EN PLANTA"))</f>
        <v>REGIONAL SANTANDER</v>
      </c>
      <c r="E130" s="2" t="str">
        <f>IF(B130="","",IFERROR(VLOOKUP(B130, PLANTA_BASE!A:W, 6, FALSE), "NO ENCONTRADO EN PLANTA"))</f>
        <v>BUCARAMANGA</v>
      </c>
      <c r="F130" s="4" t="str">
        <f>IF(B130="","",IFERROR(VLOOKUP(B130, PLANTA_BASE!A:W, 8, FALSE), "DOCENTE / FACILITADOR"))</f>
        <v>DOC AUX/N/V/TC/ESP DES Y GEST TAL HUM/PR</v>
      </c>
      <c r="G130" s="4" t="str">
        <f>IF(B130="","",IFERROR(VLOOKUP(B130, PLANTA_BASE!A:W, 9, FALSE), "GENERAL"))</f>
        <v>ESPECIALIZACION EN DESARROLLO ORGANIZACIONAL Y GESTION DEL TALENTO HUMANO</v>
      </c>
      <c r="H130" s="2" t="str">
        <f>IF(B130="","",IFERROR(VLOOKUP(B130, PLANTA_BASE!A:W, 17, FALSE), "GENERAL"))</f>
        <v>ESPECIALIZACION EN DESARROLLO ORGANIZACIONAL Y GESTION DEL TALENTO HUMANO</v>
      </c>
    </row>
    <row r="131" spans="1:8" ht="20.100000000000001" customHeight="1" x14ac:dyDescent="0.25">
      <c r="A131" s="5" t="str">
        <f>IF(B131="","",IFERROR(VLOOKUP(B131, PLANTA_BASE!A:W, 2, FALSE), "NO ENCONTRADO EN PLANTA"))</f>
        <v>VIRTUAL</v>
      </c>
      <c r="B131" s="6" t="s">
        <v>266</v>
      </c>
      <c r="C131" s="7" t="s">
        <v>267</v>
      </c>
      <c r="D131" s="5" t="str">
        <f>IF(B131="","",IFERROR(VLOOKUP(B131, PLANTA_BASE!A:W, 5, FALSE), "NO ENCONTRADO EN PLANTA"))</f>
        <v>REGIONAL SANTANDER</v>
      </c>
      <c r="E131" s="5" t="str">
        <f>IF(B131="","",IFERROR(VLOOKUP(B131, PLANTA_BASE!A:W, 6, FALSE), "NO ENCONTRADO EN PLANTA"))</f>
        <v>BUCARAMANGA</v>
      </c>
      <c r="F131" s="7" t="str">
        <f>IF(B131="","",IFERROR(VLOOKUP(B131, PLANTA_BASE!A:W, 8, FALSE), "DOCENTE / FACILITADOR"))</f>
        <v>DOC ASOC/N/V/TC/INVESTIGACIONES/INVESTIG</v>
      </c>
      <c r="G131" s="7" t="str">
        <f>IF(B131="","",IFERROR(VLOOKUP(B131, PLANTA_BASE!A:W, 9, FALSE), "GENERAL"))</f>
        <v>INVESTIGACIONES</v>
      </c>
      <c r="H131" s="5" t="str">
        <f>IF(B131="","",IFERROR(VLOOKUP(B131, PLANTA_BASE!A:W, 17, FALSE), "GENERAL"))</f>
        <v>INVESTIGACIONES</v>
      </c>
    </row>
    <row r="132" spans="1:8" ht="20.100000000000001" customHeight="1" x14ac:dyDescent="0.25">
      <c r="A132" s="2" t="str">
        <f>IF(B132="","",IFERROR(VLOOKUP(B132, PLANTA_BASE!A:W, 2, FALSE), "NO ENCONTRADO EN PLANTA"))</f>
        <v>VIRTUAL</v>
      </c>
      <c r="B132" s="3" t="s">
        <v>268</v>
      </c>
      <c r="C132" s="4" t="s">
        <v>269</v>
      </c>
      <c r="D132" s="2" t="str">
        <f>IF(B132="","",IFERROR(VLOOKUP(B132, PLANTA_BASE!A:W, 5, FALSE), "NO ENCONTRADO EN PLANTA"))</f>
        <v>REGIONAL VALLE DELCAUCA</v>
      </c>
      <c r="E132" s="2" t="str">
        <f>IF(B132="","",IFERROR(VLOOKUP(B132, PLANTA_BASE!A:W, 6, FALSE), "NO ENCONTRADO EN PLANTA"))</f>
        <v>BUENAVENTURA</v>
      </c>
      <c r="F132" s="4" t="str">
        <f>IF(B132="","",IFERROR(VLOOKUP(B132, PLANTA_BASE!A:W, 8, FALSE), "DOCENTE / FACILITADOR"))</f>
        <v>DOC AUX T&amp;T/N/V/TC/EMPRENDIMIENTO/FUN.ACADE-ADMIN</v>
      </c>
      <c r="G132" s="4" t="str">
        <f>IF(B132="","",IFERROR(VLOOKUP(B132, PLANTA_BASE!A:W, 9, FALSE), "GENERAL"))</f>
        <v>EMPRENDIMIENTO</v>
      </c>
      <c r="H132" s="2" t="str">
        <f>IF(B132="","",IFERROR(VLOOKUP(B132, PLANTA_BASE!A:W, 17, FALSE), "GENERAL"))</f>
        <v>EMPRENDIMIENTO</v>
      </c>
    </row>
    <row r="133" spans="1:8" ht="20.100000000000001" customHeight="1" x14ac:dyDescent="0.25">
      <c r="A133" s="5" t="str">
        <f>IF(B133="","",IFERROR(VLOOKUP(B133, PLANTA_BASE!A:W, 2, FALSE), "NO ENCONTRADO EN PLANTA"))</f>
        <v>VIRTUAL</v>
      </c>
      <c r="B133" s="6" t="s">
        <v>270</v>
      </c>
      <c r="C133" s="7" t="s">
        <v>271</v>
      </c>
      <c r="D133" s="5" t="str">
        <f>IF(B133="","",IFERROR(VLOOKUP(B133, PLANTA_BASE!A:W, 5, FALSE), "NO ENCONTRADO EN PLANTA"))</f>
        <v>REGIONAL BOGOTA</v>
      </c>
      <c r="E133" s="5" t="str">
        <f>IF(B133="","",IFERROR(VLOOKUP(B133, PLANTA_BASE!A:W, 6, FALSE), "NO ENCONTRADO EN PLANTA"))</f>
        <v>BOGOTA CENTRO</v>
      </c>
      <c r="F133" s="7" t="str">
        <f>IF(B133="","",IFERROR(VLOOKUP(B133, PLANTA_BASE!A:W, 8, FALSE), "DOCENTE / FACILITADOR"))</f>
        <v>DOC ASIS/N/V/TC/INVESTIGACIONES/INVESTIG</v>
      </c>
      <c r="G133" s="7" t="str">
        <f>IF(B133="","",IFERROR(VLOOKUP(B133, PLANTA_BASE!A:W, 9, FALSE), "GENERAL"))</f>
        <v>INVESTIGACIONES</v>
      </c>
      <c r="H133" s="5" t="str">
        <f>IF(B133="","",IFERROR(VLOOKUP(B133, PLANTA_BASE!A:W, 17, FALSE), "GENERAL"))</f>
        <v>INVESTIGACIONES</v>
      </c>
    </row>
    <row r="134" spans="1:8" ht="20.100000000000001" customHeight="1" x14ac:dyDescent="0.25">
      <c r="A134" s="2" t="str">
        <f>IF(B134="","",IFERROR(VLOOKUP(B134, PLANTA_BASE!A:W, 2, FALSE), "NO ENCONTRADO EN PLANTA"))</f>
        <v>VIRTUAL</v>
      </c>
      <c r="B134" s="3" t="s">
        <v>272</v>
      </c>
      <c r="C134" s="4" t="s">
        <v>273</v>
      </c>
      <c r="D134" s="2" t="str">
        <f>IF(B134="","",IFERROR(VLOOKUP(B134, PLANTA_BASE!A:W, 5, FALSE), "NO ENCONTRADO EN PLANTA"))</f>
        <v>REGIONAL NORTE DE SANTANDER</v>
      </c>
      <c r="E134" s="2" t="str">
        <f>IF(B134="","",IFERROR(VLOOKUP(B134, PLANTA_BASE!A:W, 6, FALSE), "NO ENCONTRADO EN PLANTA"))</f>
        <v>CUCUTÁ</v>
      </c>
      <c r="F134" s="4" t="str">
        <f>IF(B134="","",IFERROR(VLOOKUP(B134, PLANTA_BASE!A:W, 8, FALSE), "DOCENTE / FACILITADOR"))</f>
        <v>DOC ASIS/N/V/TC/INVESTIGACIONES/INVESTIGAC</v>
      </c>
      <c r="G134" s="4" t="str">
        <f>IF(B134="","",IFERROR(VLOOKUP(B134, PLANTA_BASE!A:W, 9, FALSE), "GENERAL"))</f>
        <v>INVESTIGACIONES</v>
      </c>
      <c r="H134" s="2" t="str">
        <f>IF(B134="","",IFERROR(VLOOKUP(B134, PLANTA_BASE!A:W, 17, FALSE), "GENERAL"))</f>
        <v>INVESTIGACIONES</v>
      </c>
    </row>
    <row r="135" spans="1:8" ht="20.100000000000001" customHeight="1" x14ac:dyDescent="0.25">
      <c r="A135" s="5" t="str">
        <f>IF(B135="","",IFERROR(VLOOKUP(B135, PLANTA_BASE!A:W, 2, FALSE), "NO ENCONTRADO EN PLANTA"))</f>
        <v>VIRTUAL</v>
      </c>
      <c r="B135" s="6" t="s">
        <v>274</v>
      </c>
      <c r="C135" s="7" t="s">
        <v>275</v>
      </c>
      <c r="D135" s="5" t="str">
        <f>IF(B135="","",IFERROR(VLOOKUP(B135, PLANTA_BASE!A:W, 5, FALSE), "NO ENCONTRADO EN PLANTA"))</f>
        <v>REGIONAL BOYACA</v>
      </c>
      <c r="E135" s="5" t="str">
        <f>IF(B135="","",IFERROR(VLOOKUP(B135, PLANTA_BASE!A:W, 6, FALSE), "NO ENCONTRADO EN PLANTA"))</f>
        <v>TUNJA</v>
      </c>
      <c r="F135" s="7" t="str">
        <f>IF(B135="","",IFERROR(VLOOKUP(B135, PLANTA_BASE!A:W, 8, FALSE), "DOCENTE / FACILITADOR"))</f>
        <v>DOC ASOC/N/V/TC/INVESTIGACIONES/INVESTIG</v>
      </c>
      <c r="G135" s="7" t="str">
        <f>IF(B135="","",IFERROR(VLOOKUP(B135, PLANTA_BASE!A:W, 9, FALSE), "GENERAL"))</f>
        <v>INVESTIGACIONES</v>
      </c>
      <c r="H135" s="5" t="str">
        <f>IF(B135="","",IFERROR(VLOOKUP(B135, PLANTA_BASE!A:W, 17, FALSE), "GENERAL"))</f>
        <v>INVESTIGACIONES</v>
      </c>
    </row>
    <row r="136" spans="1:8" ht="20.100000000000001" customHeight="1" x14ac:dyDescent="0.25">
      <c r="A136" s="2" t="str">
        <f>IF(B136="","",IFERROR(VLOOKUP(B136, PLANTA_BASE!A:W, 2, FALSE), "NO ENCONTRADO EN PLANTA"))</f>
        <v>VIRTUAL</v>
      </c>
      <c r="B136" s="3" t="s">
        <v>276</v>
      </c>
      <c r="C136" s="4" t="s">
        <v>277</v>
      </c>
      <c r="D136" s="2" t="str">
        <f>IF(B136="","",IFERROR(VLOOKUP(B136, PLANTA_BASE!A:W, 5, FALSE), "NO ENCONTRADO EN PLANTA"))</f>
        <v>REGIONAL BOLIVAR</v>
      </c>
      <c r="E136" s="2" t="str">
        <f>IF(B136="","",IFERROR(VLOOKUP(B136, PLANTA_BASE!A:W, 6, FALSE), "NO ENCONTRADO EN PLANTA"))</f>
        <v>CARTAGENA</v>
      </c>
      <c r="F136" s="4" t="str">
        <f>IF(B136="","",IFERROR(VLOOKUP(B136, PLANTA_BASE!A:W, 8, FALSE), "DOCENTE / FACILITADOR"))</f>
        <v>DOC ASIS/N/V/TC/ESP CONTRA ESTATAL/FUN.A</v>
      </c>
      <c r="G136" s="4" t="str">
        <f>IF(B136="","",IFERROR(VLOOKUP(B136, PLANTA_BASE!A:W, 9, FALSE), "GENERAL"))</f>
        <v>ESPECIALIZACION DE CONTRATACION ESTATAL</v>
      </c>
      <c r="H136" s="2" t="str">
        <f>IF(B136="","",IFERROR(VLOOKUP(B136, PLANTA_BASE!A:W, 17, FALSE), "GENERAL"))</f>
        <v>ESPECIALIZACION DE CONTRATACION ESTATAL</v>
      </c>
    </row>
    <row r="137" spans="1:8" ht="20.100000000000001" customHeight="1" x14ac:dyDescent="0.25">
      <c r="A137" s="5" t="str">
        <f>IF(B137="","",IFERROR(VLOOKUP(B137, PLANTA_BASE!A:W, 2, FALSE), "NO ENCONTRADO EN PLANTA"))</f>
        <v>PRESENCIAL</v>
      </c>
      <c r="B137" s="6" t="s">
        <v>278</v>
      </c>
      <c r="C137" s="7" t="s">
        <v>279</v>
      </c>
      <c r="D137" s="5" t="str">
        <f>IF(B137="","",IFERROR(VLOOKUP(B137, PLANTA_BASE!A:W, 5, FALSE), "NO ENCONTRADO EN PLANTA"))</f>
        <v>REGIONAL MAGDALENA</v>
      </c>
      <c r="E137" s="5" t="str">
        <f>IF(B137="","",IFERROR(VLOOKUP(B137, PLANTA_BASE!A:W, 6, FALSE), "NO ENCONTRADO EN PLANTA"))</f>
        <v>SANTA MARTA</v>
      </c>
      <c r="F137" s="7" t="str">
        <f>IF(B137="","",IFERROR(VLOOKUP(B137, PLANTA_BASE!A:W, 8, FALSE), "DOCENTE / FACILITADOR"))</f>
        <v>DOCENTE ASOC/N/TC/NEGO INTER/PROYECCION</v>
      </c>
      <c r="G137" s="7" t="str">
        <f>IF(B137="","",IFERROR(VLOOKUP(B137, PLANTA_BASE!A:W, 9, FALSE), "GENERAL"))</f>
        <v>NEGOCIOS INTERNACIONALES</v>
      </c>
      <c r="H137" s="5" t="str">
        <f>IF(B137="","",IFERROR(VLOOKUP(B137, PLANTA_BASE!A:W, 17, FALSE), "GENERAL"))</f>
        <v>NEGOCIOS INTERNACIONALES</v>
      </c>
    </row>
    <row r="138" spans="1:8" ht="20.100000000000001" customHeight="1" x14ac:dyDescent="0.25">
      <c r="A138" s="2" t="str">
        <f>IF(B138="","",IFERROR(VLOOKUP(B138, PLANTA_BASE!A:W, 2, FALSE), "NO ENCONTRADO EN PLANTA"))</f>
        <v>VIRTUAL</v>
      </c>
      <c r="B138" s="3" t="s">
        <v>280</v>
      </c>
      <c r="C138" s="4" t="s">
        <v>281</v>
      </c>
      <c r="D138" s="2" t="str">
        <f>IF(B138="","",IFERROR(VLOOKUP(B138, PLANTA_BASE!A:W, 5, FALSE), "NO ENCONTRADO EN PLANTA"))</f>
        <v>REGIONAL SUCRE</v>
      </c>
      <c r="E138" s="2" t="str">
        <f>IF(B138="","",IFERROR(VLOOKUP(B138, PLANTA_BASE!A:W, 6, FALSE), "NO ENCONTRADO EN PLANTA"))</f>
        <v>SINCELEJO</v>
      </c>
      <c r="F138" s="4" t="str">
        <f>IF(B138="","",IFERROR(VLOOKUP(B138, PLANTA_BASE!A:W, 8, FALSE), "DOCENTE / FACILITADOR"))</f>
        <v>DOC ASOC/N/V/MT/ADM SER SALU</v>
      </c>
      <c r="G138" s="4" t="str">
        <f>IF(B138="","",IFERROR(VLOOKUP(B138, PLANTA_BASE!A:W, 9, FALSE), "GENERAL"))</f>
        <v>ADMINISTRACION DE LA SEGURIDAD SOCIAL</v>
      </c>
      <c r="H138" s="2" t="str">
        <f>IF(B138="","",IFERROR(VLOOKUP(B138, PLANTA_BASE!A:W, 17, FALSE), "GENERAL"))</f>
        <v>ADMINISTRACION DE LA SEGURIDAD SOCIAL</v>
      </c>
    </row>
    <row r="139" spans="1:8" ht="20.100000000000001" customHeight="1" x14ac:dyDescent="0.25">
      <c r="A139" s="5" t="str">
        <f>IF(B139="","",IFERROR(VLOOKUP(B139, PLANTA_BASE!A:W, 2, FALSE), "NO ENCONTRADO EN PLANTA"))</f>
        <v>VIRTUAL</v>
      </c>
      <c r="B139" s="6" t="s">
        <v>282</v>
      </c>
      <c r="C139" s="7" t="s">
        <v>283</v>
      </c>
      <c r="D139" s="5" t="str">
        <f>IF(B139="","",IFERROR(VLOOKUP(B139, PLANTA_BASE!A:W, 5, FALSE), "NO ENCONTRADO EN PLANTA"))</f>
        <v>REGIONAL BOGOTA</v>
      </c>
      <c r="E139" s="5" t="str">
        <f>IF(B139="","",IFERROR(VLOOKUP(B139, PLANTA_BASE!A:W, 6, FALSE), "NO ENCONTRADO EN PLANTA"))</f>
        <v>BOGOTA CENTRO</v>
      </c>
      <c r="F139" s="7" t="str">
        <f>IF(B139="","",IFERROR(VLOOKUP(B139, PLANTA_BASE!A:W, 8, FALSE), "DOCENTE / FACILITADOR"))</f>
        <v>DOC ASOC/N/V/TC/INVESTIGACIONES/INVESTIG</v>
      </c>
      <c r="G139" s="7" t="str">
        <f>IF(B139="","",IFERROR(VLOOKUP(B139, PLANTA_BASE!A:W, 9, FALSE), "GENERAL"))</f>
        <v>INVESTIGACIONES</v>
      </c>
      <c r="H139" s="5" t="str">
        <f>IF(B139="","",IFERROR(VLOOKUP(B139, PLANTA_BASE!A:W, 17, FALSE), "GENERAL"))</f>
        <v>INVESTIGACIONES</v>
      </c>
    </row>
    <row r="140" spans="1:8" ht="20.100000000000001" customHeight="1" x14ac:dyDescent="0.25">
      <c r="A140" s="2" t="str">
        <f>IF(B140="","",IFERROR(VLOOKUP(B140, PLANTA_BASE!A:W, 2, FALSE), "NO ENCONTRADO EN PLANTA"))</f>
        <v>PRESENCIAL</v>
      </c>
      <c r="B140" s="3" t="s">
        <v>284</v>
      </c>
      <c r="C140" s="4" t="s">
        <v>285</v>
      </c>
      <c r="D140" s="2" t="str">
        <f>IF(B140="","",IFERROR(VLOOKUP(B140, PLANTA_BASE!A:W, 5, FALSE), "NO ENCONTRADO EN PLANTA"))</f>
        <v>REGIONAL MAGDALENA</v>
      </c>
      <c r="E140" s="2" t="str">
        <f>IF(B140="","",IFERROR(VLOOKUP(B140, PLANTA_BASE!A:W, 6, FALSE), "NO ENCONTRADO EN PLANTA"))</f>
        <v>SANTA MARTA</v>
      </c>
      <c r="F140" s="4" t="str">
        <f>IF(B140="","",IFERROR(VLOOKUP(B140, PLANTA_BASE!A:W, 8, FALSE), "DOCENTE / FACILITADOR"))</f>
        <v>DOC AUX T&amp;T/N/TC/DIS GRAFICO/FUN.ACADE-ADMIN</v>
      </c>
      <c r="G140" s="4" t="str">
        <f>IF(B140="","",IFERROR(VLOOKUP(B140, PLANTA_BASE!A:W, 9, FALSE), "GENERAL"))</f>
        <v>DISEÑO GRAFICO</v>
      </c>
      <c r="H140" s="2" t="str">
        <f>IF(B140="","",IFERROR(VLOOKUP(B140, PLANTA_BASE!A:W, 17, FALSE), "GENERAL"))</f>
        <v>DISEÑO GRAFICO</v>
      </c>
    </row>
    <row r="141" spans="1:8" ht="20.100000000000001" customHeight="1" x14ac:dyDescent="0.25">
      <c r="A141" s="5" t="str">
        <f>IF(B141="","",IFERROR(VLOOKUP(B141, PLANTA_BASE!A:W, 2, FALSE), "NO ENCONTRADO EN PLANTA"))</f>
        <v>VIRTUAL</v>
      </c>
      <c r="B141" s="6" t="s">
        <v>286</v>
      </c>
      <c r="C141" s="7" t="s">
        <v>287</v>
      </c>
      <c r="D141" s="5" t="str">
        <f>IF(B141="","",IFERROR(VLOOKUP(B141, PLANTA_BASE!A:W, 5, FALSE), "NO ENCONTRADO EN PLANTA"))</f>
        <v>REGIONAL CUNDINAMARCA</v>
      </c>
      <c r="E141" s="5" t="str">
        <f>IF(B141="","",IFERROR(VLOOKUP(B141, PLANTA_BASE!A:W, 6, FALSE), "NO ENCONTRADO EN PLANTA"))</f>
        <v>MOSQUERA</v>
      </c>
      <c r="F141" s="7" t="str">
        <f>IF(B141="","",IFERROR(VLOOKUP(B141, PLANTA_BASE!A:W, 8, FALSE), "DOCENTE / FACILITADOR"))</f>
        <v>DOC ASOC/N/V/TC/INVESTIGACIONES/INVESTIG</v>
      </c>
      <c r="G141" s="7" t="str">
        <f>IF(B141="","",IFERROR(VLOOKUP(B141, PLANTA_BASE!A:W, 9, FALSE), "GENERAL"))</f>
        <v>INVESTIGACIONES</v>
      </c>
      <c r="H141" s="5" t="str">
        <f>IF(B141="","",IFERROR(VLOOKUP(B141, PLANTA_BASE!A:W, 17, FALSE), "GENERAL"))</f>
        <v>INVESTIGACIONES</v>
      </c>
    </row>
    <row r="142" spans="1:8" ht="20.100000000000001" customHeight="1" x14ac:dyDescent="0.25">
      <c r="A142" s="2" t="str">
        <f>IF(B142="","",IFERROR(VLOOKUP(B142, PLANTA_BASE!A:W, 2, FALSE), "NO ENCONTRADO EN PLANTA"))</f>
        <v>PRESENCIAL</v>
      </c>
      <c r="B142" s="3" t="s">
        <v>288</v>
      </c>
      <c r="C142" s="4" t="s">
        <v>289</v>
      </c>
      <c r="D142" s="2" t="str">
        <f>IF(B142="","",IFERROR(VLOOKUP(B142, PLANTA_BASE!A:W, 5, FALSE), "NO ENCONTRADO EN PLANTA"))</f>
        <v>REGIONAL BOGOTA</v>
      </c>
      <c r="E142" s="2" t="str">
        <f>IF(B142="","",IFERROR(VLOOKUP(B142, PLANTA_BASE!A:W, 6, FALSE), "NO ENCONTRADO EN PLANTA"))</f>
        <v>BOGOTA CENTRO</v>
      </c>
      <c r="F142" s="4" t="str">
        <f>IF(B142="","",IFERROR(VLOOKUP(B142, PLANTA_BASE!A:W, 8, FALSE), "DOCENTE / FACILITADOR"))</f>
        <v>DOCENTE AUX/N/TC/ADM EM AGRO/FUNC ADJET</v>
      </c>
      <c r="G142" s="4" t="str">
        <f>IF(B142="","",IFERROR(VLOOKUP(B142, PLANTA_BASE!A:W, 9, FALSE), "GENERAL"))</f>
        <v>ADMINISTRACION DE EMPRESAS AGROINDUSTRIAL</v>
      </c>
      <c r="H142" s="2" t="str">
        <f>IF(B142="","",IFERROR(VLOOKUP(B142, PLANTA_BASE!A:W, 17, FALSE), "GENERAL"))</f>
        <v>ADMINISTRACION DE EMPRESAS AGROINDUSTRIAL</v>
      </c>
    </row>
    <row r="143" spans="1:8" ht="20.100000000000001" customHeight="1" x14ac:dyDescent="0.25">
      <c r="A143" s="5" t="str">
        <f>IF(B143="","",IFERROR(VLOOKUP(B143, PLANTA_BASE!A:W, 2, FALSE), "NO ENCONTRADO EN PLANTA"))</f>
        <v>PRESENCIAL</v>
      </c>
      <c r="B143" s="6" t="s">
        <v>290</v>
      </c>
      <c r="C143" s="7" t="s">
        <v>291</v>
      </c>
      <c r="D143" s="5" t="str">
        <f>IF(B143="","",IFERROR(VLOOKUP(B143, PLANTA_BASE!A:W, 5, FALSE), "NO ENCONTRADO EN PLANTA"))</f>
        <v>REGIONAL SUCRE</v>
      </c>
      <c r="E143" s="5" t="str">
        <f>IF(B143="","",IFERROR(VLOOKUP(B143, PLANTA_BASE!A:W, 6, FALSE), "NO ENCONTRADO EN PLANTA"))</f>
        <v>SINCELEJO</v>
      </c>
      <c r="F143" s="7" t="str">
        <f>IF(B143="","",IFERROR(VLOOKUP(B143, PLANTA_BASE!A:W, 8, FALSE), "DOCENTE / FACILITADOR"))</f>
        <v>DOCENTE ASOC/N/TC/INVESTIGA/INVESTIGACIO</v>
      </c>
      <c r="G143" s="7" t="str">
        <f>IF(B143="","",IFERROR(VLOOKUP(B143, PLANTA_BASE!A:W, 9, FALSE), "GENERAL"))</f>
        <v>INVESTIGACIONES</v>
      </c>
      <c r="H143" s="5" t="str">
        <f>IF(B143="","",IFERROR(VLOOKUP(B143, PLANTA_BASE!A:W, 17, FALSE), "GENERAL"))</f>
        <v>INVESTIGACIONES</v>
      </c>
    </row>
    <row r="144" spans="1:8" ht="20.100000000000001" customHeight="1" x14ac:dyDescent="0.25">
      <c r="A144" s="2" t="str">
        <f>IF(B144="","",IFERROR(VLOOKUP(B144, PLANTA_BASE!A:W, 2, FALSE), "NO ENCONTRADO EN PLANTA"))</f>
        <v>PRESENCIAL</v>
      </c>
      <c r="B144" s="3" t="s">
        <v>292</v>
      </c>
      <c r="C144" s="4" t="s">
        <v>293</v>
      </c>
      <c r="D144" s="2" t="str">
        <f>IF(B144="","",IFERROR(VLOOKUP(B144, PLANTA_BASE!A:W, 5, FALSE), "NO ENCONTRADO EN PLANTA"))</f>
        <v>REGIONAL BOGOTA</v>
      </c>
      <c r="E144" s="2" t="str">
        <f>IF(B144="","",IFERROR(VLOOKUP(B144, PLANTA_BASE!A:W, 6, FALSE), "NO ENCONTRADO EN PLANTA"))</f>
        <v>BOGOTA CENTRO</v>
      </c>
      <c r="F144" s="4" t="str">
        <f>IF(B144="","",IFERROR(VLOOKUP(B144, PLANTA_BASE!A:W, 8, FALSE), "DOCENTE / FACILITADOR"))</f>
        <v>DOCENTE AUX/N/TC/NEGO INTER/FUN.ACADE-ADMIN</v>
      </c>
      <c r="G144" s="4" t="str">
        <f>IF(B144="","",IFERROR(VLOOKUP(B144, PLANTA_BASE!A:W, 9, FALSE), "GENERAL"))</f>
        <v>NEGOCIOS INTERNACIONALES</v>
      </c>
      <c r="H144" s="2" t="str">
        <f>IF(B144="","",IFERROR(VLOOKUP(B144, PLANTA_BASE!A:W, 17, FALSE), "GENERAL"))</f>
        <v>NEGOCIOS INTERNACIONALES</v>
      </c>
    </row>
    <row r="145" spans="1:8" ht="20.100000000000001" customHeight="1" x14ac:dyDescent="0.25">
      <c r="A145" s="5" t="str">
        <f>IF(B145="","",IFERROR(VLOOKUP(B145, PLANTA_BASE!A:W, 2, FALSE), "NO ENCONTRADO EN PLANTA"))</f>
        <v>VIRTUAL</v>
      </c>
      <c r="B145" s="6" t="s">
        <v>294</v>
      </c>
      <c r="C145" s="7" t="s">
        <v>295</v>
      </c>
      <c r="D145" s="5" t="str">
        <f>IF(B145="","",IFERROR(VLOOKUP(B145, PLANTA_BASE!A:W, 5, FALSE), "NO ENCONTRADO EN PLANTA"))</f>
        <v>REGIONAL BOGOTA</v>
      </c>
      <c r="E145" s="5" t="str">
        <f>IF(B145="","",IFERROR(VLOOKUP(B145, PLANTA_BASE!A:W, 6, FALSE), "NO ENCONTRADO EN PLANTA"))</f>
        <v>BOGOTA CENTRO</v>
      </c>
      <c r="F145" s="7" t="str">
        <f>IF(B145="","",IFERROR(VLOOKUP(B145, PLANTA_BASE!A:W, 8, FALSE), "DOCENTE / FACILITADOR"))</f>
        <v>DOC ASIS/N/V/TC/ING INDUS/FUN.ACADE-ADMIN</v>
      </c>
      <c r="G145" s="7" t="str">
        <f>IF(B145="","",IFERROR(VLOOKUP(B145, PLANTA_BASE!A:W, 9, FALSE), "GENERAL"))</f>
        <v>INGENIERIA INDUSTRIAL</v>
      </c>
      <c r="H145" s="5" t="str">
        <f>IF(B145="","",IFERROR(VLOOKUP(B145, PLANTA_BASE!A:W, 17, FALSE), "GENERAL"))</f>
        <v>INGENIERIA INDUSTRIAL</v>
      </c>
    </row>
    <row r="146" spans="1:8" ht="20.100000000000001" customHeight="1" x14ac:dyDescent="0.25">
      <c r="A146" s="2" t="str">
        <f>IF(B146="","",IFERROR(VLOOKUP(B146, PLANTA_BASE!A:W, 2, FALSE), "NO ENCONTRADO EN PLANTA"))</f>
        <v>VIRTUAL</v>
      </c>
      <c r="B146" s="3" t="s">
        <v>296</v>
      </c>
      <c r="C146" s="4" t="s">
        <v>297</v>
      </c>
      <c r="D146" s="2" t="str">
        <f>IF(B146="","",IFERROR(VLOOKUP(B146, PLANTA_BASE!A:W, 5, FALSE), "NO ENCONTRADO EN PLANTA"))</f>
        <v>REGIONAL BOYACA</v>
      </c>
      <c r="E146" s="2" t="str">
        <f>IF(B146="","",IFERROR(VLOOKUP(B146, PLANTA_BASE!A:W, 6, FALSE), "NO ENCONTRADO EN PLANTA"))</f>
        <v>TUNJA</v>
      </c>
      <c r="F146" s="4" t="str">
        <f>IF(B146="","",IFERROR(VLOOKUP(B146, PLANTA_BASE!A:W, 8, FALSE), "DOCENTE / FACILITADOR"))</f>
        <v>DOC ASIS/N/V/TC/CIENCIAS BASI/FUN.ACADE-ADMIN</v>
      </c>
      <c r="G146" s="4" t="str">
        <f>IF(B146="","",IFERROR(VLOOKUP(B146, PLANTA_BASE!A:W, 9, FALSE), "GENERAL"))</f>
        <v>CIENCIAS BASICAS</v>
      </c>
      <c r="H146" s="2" t="str">
        <f>IF(B146="","",IFERROR(VLOOKUP(B146, PLANTA_BASE!A:W, 17, FALSE), "GENERAL"))</f>
        <v>CIENCIAS BASICAS</v>
      </c>
    </row>
    <row r="147" spans="1:8" ht="20.100000000000001" customHeight="1" x14ac:dyDescent="0.25">
      <c r="A147" s="5" t="str">
        <f>IF(B147="","",IFERROR(VLOOKUP(B147, PLANTA_BASE!A:W, 2, FALSE), "NO ENCONTRADO EN PLANTA"))</f>
        <v>PRESENCIAL</v>
      </c>
      <c r="B147" s="6" t="s">
        <v>298</v>
      </c>
      <c r="C147" s="7" t="s">
        <v>299</v>
      </c>
      <c r="D147" s="5" t="str">
        <f>IF(B147="","",IFERROR(VLOOKUP(B147, PLANTA_BASE!A:W, 5, FALSE), "NO ENCONTRADO EN PLANTA"))</f>
        <v>REGIONAL MAGDALENA</v>
      </c>
      <c r="E147" s="5" t="str">
        <f>IF(B147="","",IFERROR(VLOOKUP(B147, PLANTA_BASE!A:W, 6, FALSE), "NO ENCONTRADO EN PLANTA"))</f>
        <v>SANTA MARTA</v>
      </c>
      <c r="F147" s="7" t="str">
        <f>IF(B147="","",IFERROR(VLOOKUP(B147, PLANTA_BASE!A:W, 8, FALSE), "DOCENTE / FACILITADOR"))</f>
        <v>DOC AUX T&amp;T/N/TC/DIS GRAFICO/FUN.ACADE-ADMIN</v>
      </c>
      <c r="G147" s="7" t="str">
        <f>IF(B147="","",IFERROR(VLOOKUP(B147, PLANTA_BASE!A:W, 9, FALSE), "GENERAL"))</f>
        <v>DISEÑO GRAFICO</v>
      </c>
      <c r="H147" s="5" t="str">
        <f>IF(B147="","",IFERROR(VLOOKUP(B147, PLANTA_BASE!A:W, 17, FALSE), "GENERAL"))</f>
        <v>DISEÑO GRAFICO</v>
      </c>
    </row>
    <row r="148" spans="1:8" ht="20.100000000000001" customHeight="1" x14ac:dyDescent="0.25">
      <c r="A148" s="2" t="str">
        <f>IF(B148="","",IFERROR(VLOOKUP(B148, PLANTA_BASE!A:W, 2, FALSE), "NO ENCONTRADO EN PLANTA"))</f>
        <v>VIRTUAL</v>
      </c>
      <c r="B148" s="3" t="s">
        <v>300</v>
      </c>
      <c r="C148" s="4" t="s">
        <v>301</v>
      </c>
      <c r="D148" s="2" t="str">
        <f>IF(B148="","",IFERROR(VLOOKUP(B148, PLANTA_BASE!A:W, 5, FALSE), "NO ENCONTRADO EN PLANTA"))</f>
        <v>REGIONAL BOGOTA</v>
      </c>
      <c r="E148" s="2" t="str">
        <f>IF(B148="","",IFERROR(VLOOKUP(B148, PLANTA_BASE!A:W, 6, FALSE), "NO ENCONTRADO EN PLANTA"))</f>
        <v>BOGOTA CENTRO</v>
      </c>
      <c r="F148" s="4" t="str">
        <f>IF(B148="","",IFERROR(VLOOKUP(B148, PLANTA_BASE!A:W, 8, FALSE), "DOCENTE / FACILITADOR"))</f>
        <v>DOC ASIS/N/V/MT/CONTADURIA</v>
      </c>
      <c r="G148" s="4" t="str">
        <f>IF(B148="","",IFERROR(VLOOKUP(B148, PLANTA_BASE!A:W, 9, FALSE), "GENERAL"))</f>
        <v>CONTADURIA PUBLICA</v>
      </c>
      <c r="H148" s="2" t="str">
        <f>IF(B148="","",IFERROR(VLOOKUP(B148, PLANTA_BASE!A:W, 17, FALSE), "GENERAL"))</f>
        <v>CONTADURIA PUBLICA</v>
      </c>
    </row>
    <row r="149" spans="1:8" ht="20.100000000000001" customHeight="1" x14ac:dyDescent="0.25">
      <c r="A149" s="5" t="str">
        <f>IF(B149="","",IFERROR(VLOOKUP(B149, PLANTA_BASE!A:W, 2, FALSE), "NO ENCONTRADO EN PLANTA"))</f>
        <v>PRESENCIAL</v>
      </c>
      <c r="B149" s="6" t="s">
        <v>302</v>
      </c>
      <c r="C149" s="7" t="s">
        <v>303</v>
      </c>
      <c r="D149" s="5" t="str">
        <f>IF(B149="","",IFERROR(VLOOKUP(B149, PLANTA_BASE!A:W, 5, FALSE), "NO ENCONTRADO EN PLANTA"))</f>
        <v>REGIONAL MAGDALENA</v>
      </c>
      <c r="E149" s="5" t="str">
        <f>IF(B149="","",IFERROR(VLOOKUP(B149, PLANTA_BASE!A:W, 6, FALSE), "NO ENCONTRADO EN PLANTA"))</f>
        <v>SANTA MARTA</v>
      </c>
      <c r="F149" s="7" t="str">
        <f>IF(B149="","",IFERROR(VLOOKUP(B149, PLANTA_BASE!A:W, 8, FALSE), "DOCENTE / FACILITADOR"))</f>
        <v>DOCENTE AUX/N/TC/DIS GRAFICO/FUN.ACADE-ADMIN</v>
      </c>
      <c r="G149" s="7" t="str">
        <f>IF(B149="","",IFERROR(VLOOKUP(B149, PLANTA_BASE!A:W, 9, FALSE), "GENERAL"))</f>
        <v>DISEÑO GRAFICO</v>
      </c>
      <c r="H149" s="5" t="str">
        <f>IF(B149="","",IFERROR(VLOOKUP(B149, PLANTA_BASE!A:W, 17, FALSE), "GENERAL"))</f>
        <v>DISEÑO GRAFICO</v>
      </c>
    </row>
    <row r="150" spans="1:8" ht="20.100000000000001" customHeight="1" x14ac:dyDescent="0.25">
      <c r="A150" s="2" t="str">
        <f>IF(B150="","",IFERROR(VLOOKUP(B150, PLANTA_BASE!A:W, 2, FALSE), "NO ENCONTRADO EN PLANTA"))</f>
        <v>PRESENCIAL</v>
      </c>
      <c r="B150" s="3" t="s">
        <v>304</v>
      </c>
      <c r="C150" s="4" t="s">
        <v>305</v>
      </c>
      <c r="D150" s="2" t="str">
        <f>IF(B150="","",IFERROR(VLOOKUP(B150, PLANTA_BASE!A:W, 5, FALSE), "NO ENCONTRADO EN PLANTA"))</f>
        <v>REGIONAL BOGOTA</v>
      </c>
      <c r="E150" s="2" t="str">
        <f>IF(B150="","",IFERROR(VLOOKUP(B150, PLANTA_BASE!A:W, 6, FALSE), "NO ENCONTRADO EN PLANTA"))</f>
        <v>BOGOTA SUR</v>
      </c>
      <c r="F150" s="4" t="str">
        <f>IF(B150="","",IFERROR(VLOOKUP(B150, PLANTA_BASE!A:W, 8, FALSE), "DOCENTE / FACILITADOR"))</f>
        <v>DOCENTE AUX/N/TC/ING SISTEM/FUN.ACADE-ADMIN</v>
      </c>
      <c r="G150" s="4" t="str">
        <f>IF(B150="","",IFERROR(VLOOKUP(B150, PLANTA_BASE!A:W, 9, FALSE), "GENERAL"))</f>
        <v>INGENIERIA DE SISTEMAS</v>
      </c>
      <c r="H150" s="2" t="str">
        <f>IF(B150="","",IFERROR(VLOOKUP(B150, PLANTA_BASE!A:W, 17, FALSE), "GENERAL"))</f>
        <v>INGENIERIA DE SISTEMAS</v>
      </c>
    </row>
    <row r="151" spans="1:8" ht="20.100000000000001" customHeight="1" x14ac:dyDescent="0.25">
      <c r="A151" s="5" t="str">
        <f>IF(B151="","",IFERROR(VLOOKUP(B151, PLANTA_BASE!A:W, 2, FALSE), "NO ENCONTRADO EN PLANTA"))</f>
        <v>VIRTUAL</v>
      </c>
      <c r="B151" s="6" t="s">
        <v>306</v>
      </c>
      <c r="C151" s="7" t="s">
        <v>307</v>
      </c>
      <c r="D151" s="5" t="str">
        <f>IF(B151="","",IFERROR(VLOOKUP(B151, PLANTA_BASE!A:W, 5, FALSE), "NO ENCONTRADO EN PLANTA"))</f>
        <v>REGIONAL BOGOTA</v>
      </c>
      <c r="E151" s="5" t="str">
        <f>IF(B151="","",IFERROR(VLOOKUP(B151, PLANTA_BASE!A:W, 6, FALSE), "NO ENCONTRADO EN PLANTA"))</f>
        <v>BOGOTA CENTRO</v>
      </c>
      <c r="F151" s="7" t="str">
        <f>IF(B151="","",IFERROR(VLOOKUP(B151, PLANTA_BASE!A:W, 8, FALSE), "DOCENTE / FACILITADOR"))</f>
        <v>DOC AUX T&amp;T/N/V/TC/ING DE SISTEMAS/FUN.ACADE-ADMIN</v>
      </c>
      <c r="G151" s="7" t="str">
        <f>IF(B151="","",IFERROR(VLOOKUP(B151, PLANTA_BASE!A:W, 9, FALSE), "GENERAL"))</f>
        <v>INGENIERIA DE SISTEMAS</v>
      </c>
      <c r="H151" s="5" t="str">
        <f>IF(B151="","",IFERROR(VLOOKUP(B151, PLANTA_BASE!A:W, 17, FALSE), "GENERAL"))</f>
        <v>INGENIERIA DE SISTEMAS</v>
      </c>
    </row>
    <row r="152" spans="1:8" ht="20.100000000000001" customHeight="1" x14ac:dyDescent="0.25">
      <c r="A152" s="2" t="str">
        <f>IF(B152="","",IFERROR(VLOOKUP(B152, PLANTA_BASE!A:W, 2, FALSE), "NO ENCONTRADO EN PLANTA"))</f>
        <v>VIRTUAL</v>
      </c>
      <c r="B152" s="3" t="s">
        <v>308</v>
      </c>
      <c r="C152" s="4" t="s">
        <v>309</v>
      </c>
      <c r="D152" s="2" t="str">
        <f>IF(B152="","",IFERROR(VLOOKUP(B152, PLANTA_BASE!A:W, 5, FALSE), "NO ENCONTRADO EN PLANTA"))</f>
        <v>REGIONAL BOYACA</v>
      </c>
      <c r="E152" s="2" t="str">
        <f>IF(B152="","",IFERROR(VLOOKUP(B152, PLANTA_BASE!A:W, 6, FALSE), "NO ENCONTRADO EN PLANTA"))</f>
        <v>TUNJA</v>
      </c>
      <c r="F152" s="4" t="str">
        <f>IF(B152="","",IFERROR(VLOOKUP(B152, PLANTA_BASE!A:W, 8, FALSE), "DOCENTE / FACILITADOR"))</f>
        <v>DOC ASIS/N/V/TC/ESP CONTRA ESTATAL/FUN.A</v>
      </c>
      <c r="G152" s="4" t="str">
        <f>IF(B152="","",IFERROR(VLOOKUP(B152, PLANTA_BASE!A:W, 9, FALSE), "GENERAL"))</f>
        <v>ESPECIALIZACION DE CONTRATACION ESTATAL</v>
      </c>
      <c r="H152" s="2" t="str">
        <f>IF(B152="","",IFERROR(VLOOKUP(B152, PLANTA_BASE!A:W, 17, FALSE), "GENERAL"))</f>
        <v>ESPECIALIZACION DE CONTRATACION ESTATAL</v>
      </c>
    </row>
    <row r="153" spans="1:8" ht="20.100000000000001" customHeight="1" x14ac:dyDescent="0.25">
      <c r="A153" s="5" t="str">
        <f>IF(B153="","",IFERROR(VLOOKUP(B153, PLANTA_BASE!A:W, 2, FALSE), "NO ENCONTRADO EN PLANTA"))</f>
        <v>VIRTUAL</v>
      </c>
      <c r="B153" s="6" t="s">
        <v>310</v>
      </c>
      <c r="C153" s="7" t="s">
        <v>311</v>
      </c>
      <c r="D153" s="5" t="str">
        <f>IF(B153="","",IFERROR(VLOOKUP(B153, PLANTA_BASE!A:W, 5, FALSE), "NO ENCONTRADO EN PLANTA"))</f>
        <v>REGIONAL BOYACA</v>
      </c>
      <c r="E153" s="5" t="str">
        <f>IF(B153="","",IFERROR(VLOOKUP(B153, PLANTA_BASE!A:W, 6, FALSE), "NO ENCONTRADO EN PLANTA"))</f>
        <v>TUNJA</v>
      </c>
      <c r="F153" s="7" t="str">
        <f>IF(B153="","",IFERROR(VLOOKUP(B153, PLANTA_BASE!A:W, 8, FALSE), "DOCENTE / FACILITADOR"))</f>
        <v>DOC ASOC/N/V/TC/INVESTIGACIONES/INVESTIGAC</v>
      </c>
      <c r="G153" s="7" t="str">
        <f>IF(B153="","",IFERROR(VLOOKUP(B153, PLANTA_BASE!A:W, 9, FALSE), "GENERAL"))</f>
        <v>INVESTIGACIONES</v>
      </c>
      <c r="H153" s="5" t="str">
        <f>IF(B153="","",IFERROR(VLOOKUP(B153, PLANTA_BASE!A:W, 17, FALSE), "GENERAL"))</f>
        <v>INVESTIGACIONES</v>
      </c>
    </row>
    <row r="154" spans="1:8" ht="20.100000000000001" customHeight="1" x14ac:dyDescent="0.25">
      <c r="A154" s="2" t="str">
        <f>IF(B154="","",IFERROR(VLOOKUP(B154, PLANTA_BASE!A:W, 2, FALSE), "NO ENCONTRADO EN PLANTA"))</f>
        <v>VIRTUAL</v>
      </c>
      <c r="B154" s="3" t="s">
        <v>312</v>
      </c>
      <c r="C154" s="4" t="s">
        <v>313</v>
      </c>
      <c r="D154" s="2" t="str">
        <f>IF(B154="","",IFERROR(VLOOKUP(B154, PLANTA_BASE!A:W, 5, FALSE), "NO ENCONTRADO EN PLANTA"))</f>
        <v>REGIONAL CUNDINAMARCA</v>
      </c>
      <c r="E154" s="2" t="str">
        <f>IF(B154="","",IFERROR(VLOOKUP(B154, PLANTA_BASE!A:W, 6, FALSE), "NO ENCONTRADO EN PLANTA"))</f>
        <v>CHÍA</v>
      </c>
      <c r="F154" s="4" t="str">
        <f>IF(B154="","",IFERROR(VLOOKUP(B154, PLANTA_BASE!A:W, 8, FALSE), "DOCENTE / FACILITADOR"))</f>
        <v>DOC AUX/N/V/MT/ADM DE EMPRE</v>
      </c>
      <c r="G154" s="4" t="str">
        <f>IF(B154="","",IFERROR(VLOOKUP(B154, PLANTA_BASE!A:W, 9, FALSE), "GENERAL"))</f>
        <v>ADMINISTRACION DE EMPRESAS</v>
      </c>
      <c r="H154" s="2" t="str">
        <f>IF(B154="","",IFERROR(VLOOKUP(B154, PLANTA_BASE!A:W, 17, FALSE), "GENERAL"))</f>
        <v>ADMINISTRACION DE EMPRESAS</v>
      </c>
    </row>
    <row r="155" spans="1:8" ht="20.100000000000001" customHeight="1" x14ac:dyDescent="0.25">
      <c r="A155" s="5" t="str">
        <f>IF(B155="","",IFERROR(VLOOKUP(B155, PLANTA_BASE!A:W, 2, FALSE), "NO ENCONTRADO EN PLANTA"))</f>
        <v>PRESENCIAL</v>
      </c>
      <c r="B155" s="6" t="s">
        <v>314</v>
      </c>
      <c r="C155" s="7" t="s">
        <v>315</v>
      </c>
      <c r="D155" s="5" t="str">
        <f>IF(B155="","",IFERROR(VLOOKUP(B155, PLANTA_BASE!A:W, 5, FALSE), "NO ENCONTRADO EN PLANTA"))</f>
        <v>REGIONAL QUINDIO</v>
      </c>
      <c r="E155" s="5" t="str">
        <f>IF(B155="","",IFERROR(VLOOKUP(B155, PLANTA_BASE!A:W, 6, FALSE), "NO ENCONTRADO EN PLANTA"))</f>
        <v>ARMENIA</v>
      </c>
      <c r="F155" s="7" t="str">
        <f>IF(B155="","",IFERROR(VLOOKUP(B155, PLANTA_BASE!A:W, 8, FALSE), "DOCENTE / FACILITADOR"))</f>
        <v>DOCENTE AUX/N/TC/EMPRENDIMIE/PROYECCION</v>
      </c>
      <c r="G155" s="7" t="str">
        <f>IF(B155="","",IFERROR(VLOOKUP(B155, PLANTA_BASE!A:W, 9, FALSE), "GENERAL"))</f>
        <v>EMPRENDIMIENTO</v>
      </c>
      <c r="H155" s="5" t="str">
        <f>IF(B155="","",IFERROR(VLOOKUP(B155, PLANTA_BASE!A:W, 17, FALSE), "GENERAL"))</f>
        <v>EMPRENDIMIENTO</v>
      </c>
    </row>
    <row r="156" spans="1:8" ht="20.100000000000001" customHeight="1" x14ac:dyDescent="0.25">
      <c r="A156" s="2" t="str">
        <f>IF(B156="","",IFERROR(VLOOKUP(B156, PLANTA_BASE!A:W, 2, FALSE), "NO ENCONTRADO EN PLANTA"))</f>
        <v>PRESENCIAL</v>
      </c>
      <c r="B156" s="3" t="s">
        <v>316</v>
      </c>
      <c r="C156" s="4" t="s">
        <v>317</v>
      </c>
      <c r="D156" s="2" t="str">
        <f>IF(B156="","",IFERROR(VLOOKUP(B156, PLANTA_BASE!A:W, 5, FALSE), "NO ENCONTRADO EN PLANTA"))</f>
        <v>REGIONAL MAGDALENA</v>
      </c>
      <c r="E156" s="2" t="str">
        <f>IF(B156="","",IFERROR(VLOOKUP(B156, PLANTA_BASE!A:W, 6, FALSE), "NO ENCONTRADO EN PLANTA"))</f>
        <v>SANTA MARTA</v>
      </c>
      <c r="F156" s="4" t="str">
        <f>IF(B156="","",IFERROR(VLOOKUP(B156, PLANTA_BASE!A:W, 8, FALSE), "DOCENTE / FACILITADOR"))</f>
        <v>DOC AUX T&amp;T/N/TC/DIS GRAFICO/FUN.ACADE-ADMIN</v>
      </c>
      <c r="G156" s="4" t="str">
        <f>IF(B156="","",IFERROR(VLOOKUP(B156, PLANTA_BASE!A:W, 9, FALSE), "GENERAL"))</f>
        <v>DISEÑO GRAFICO</v>
      </c>
      <c r="H156" s="2" t="str">
        <f>IF(B156="","",IFERROR(VLOOKUP(B156, PLANTA_BASE!A:W, 17, FALSE), "GENERAL"))</f>
        <v>DISEÑO GRAFICO</v>
      </c>
    </row>
    <row r="157" spans="1:8" ht="20.100000000000001" customHeight="1" x14ac:dyDescent="0.25">
      <c r="A157" s="5" t="str">
        <f>IF(B157="","",IFERROR(VLOOKUP(B157, PLANTA_BASE!A:W, 2, FALSE), "NO ENCONTRADO EN PLANTA"))</f>
        <v>PRESENCIAL</v>
      </c>
      <c r="B157" s="6" t="s">
        <v>318</v>
      </c>
      <c r="C157" s="7" t="s">
        <v>319</v>
      </c>
      <c r="D157" s="5" t="str">
        <f>IF(B157="","",IFERROR(VLOOKUP(B157, PLANTA_BASE!A:W, 5, FALSE), "NO ENCONTRADO EN PLANTA"))</f>
        <v>REGIONAL MAGDALENA</v>
      </c>
      <c r="E157" s="5" t="str">
        <f>IF(B157="","",IFERROR(VLOOKUP(B157, PLANTA_BASE!A:W, 6, FALSE), "NO ENCONTRADO EN PLANTA"))</f>
        <v>SANTA MARTA</v>
      </c>
      <c r="F157" s="7" t="str">
        <f>IF(B157="","",IFERROR(VLOOKUP(B157, PLANTA_BASE!A:W, 8, FALSE), "DOCENTE / FACILITADOR"))</f>
        <v>DOC AUX T&amp;T/N/MT/ING SOFTWARE</v>
      </c>
      <c r="G157" s="7" t="str">
        <f>IF(B157="","",IFERROR(VLOOKUP(B157, PLANTA_BASE!A:W, 9, FALSE), "GENERAL"))</f>
        <v>INGENIERIA DE SOFTWARE</v>
      </c>
      <c r="H157" s="5" t="str">
        <f>IF(B157="","",IFERROR(VLOOKUP(B157, PLANTA_BASE!A:W, 17, FALSE), "GENERAL"))</f>
        <v>INGENIERIA DE SOFTWARE</v>
      </c>
    </row>
    <row r="158" spans="1:8" ht="20.100000000000001" customHeight="1" x14ac:dyDescent="0.25">
      <c r="A158" s="2" t="str">
        <f>IF(B158="","",IFERROR(VLOOKUP(B158, PLANTA_BASE!A:W, 2, FALSE), "NO ENCONTRADO EN PLANTA"))</f>
        <v>PRESENCIAL</v>
      </c>
      <c r="B158" s="3" t="s">
        <v>320</v>
      </c>
      <c r="C158" s="4" t="s">
        <v>321</v>
      </c>
      <c r="D158" s="2" t="str">
        <f>IF(B158="","",IFERROR(VLOOKUP(B158, PLANTA_BASE!A:W, 5, FALSE), "NO ENCONTRADO EN PLANTA"))</f>
        <v>REGIONAL MAGDALENA</v>
      </c>
      <c r="E158" s="2" t="str">
        <f>IF(B158="","",IFERROR(VLOOKUP(B158, PLANTA_BASE!A:W, 6, FALSE), "NO ENCONTRADO EN PLANTA"))</f>
        <v>SANTA MARTA</v>
      </c>
      <c r="F158" s="4" t="str">
        <f>IF(B158="","",IFERROR(VLOOKUP(B158, PLANTA_BASE!A:W, 8, FALSE), "DOCENTE / FACILITADOR"))</f>
        <v>DOC AUX T&amp;T/N/TC/DIS GRAFICO/FUN.ACADE-ADMIN</v>
      </c>
      <c r="G158" s="4" t="str">
        <f>IF(B158="","",IFERROR(VLOOKUP(B158, PLANTA_BASE!A:W, 9, FALSE), "GENERAL"))</f>
        <v>DISEÑO GRAFICO</v>
      </c>
      <c r="H158" s="2" t="str">
        <f>IF(B158="","",IFERROR(VLOOKUP(B158, PLANTA_BASE!A:W, 17, FALSE), "GENERAL"))</f>
        <v>DISEÑO GRAFICO</v>
      </c>
    </row>
    <row r="159" spans="1:8" ht="20.100000000000001" customHeight="1" x14ac:dyDescent="0.25">
      <c r="A159" s="5" t="str">
        <f>IF(B159="","",IFERROR(VLOOKUP(B159, PLANTA_BASE!A:W, 2, FALSE), "NO ENCONTRADO EN PLANTA"))</f>
        <v>VIRTUAL</v>
      </c>
      <c r="B159" s="6" t="s">
        <v>322</v>
      </c>
      <c r="C159" s="7" t="s">
        <v>323</v>
      </c>
      <c r="D159" s="5" t="str">
        <f>IF(B159="","",IFERROR(VLOOKUP(B159, PLANTA_BASE!A:W, 5, FALSE), "NO ENCONTRADO EN PLANTA"))</f>
        <v>REGIONAL SANTANDER</v>
      </c>
      <c r="E159" s="5" t="str">
        <f>IF(B159="","",IFERROR(VLOOKUP(B159, PLANTA_BASE!A:W, 6, FALSE), "NO ENCONTRADO EN PLANTA"))</f>
        <v>BUCARAMANGA</v>
      </c>
      <c r="F159" s="7" t="str">
        <f>IF(B159="","",IFERROR(VLOOKUP(B159, PLANTA_BASE!A:W, 8, FALSE), "DOCENTE / FACILITADOR"))</f>
        <v>DOC ASIS/N/V/TC/ING DE SISTEMAS/FUN.ACADE-ADMIN</v>
      </c>
      <c r="G159" s="7" t="str">
        <f>IF(B159="","",IFERROR(VLOOKUP(B159, PLANTA_BASE!A:W, 9, FALSE), "GENERAL"))</f>
        <v>INGENIERIA DE SISTEMAS</v>
      </c>
      <c r="H159" s="5" t="str">
        <f>IF(B159="","",IFERROR(VLOOKUP(B159, PLANTA_BASE!A:W, 17, FALSE), "GENERAL"))</f>
        <v>INGENIERIA DE SISTEMAS</v>
      </c>
    </row>
    <row r="160" spans="1:8" ht="20.100000000000001" customHeight="1" x14ac:dyDescent="0.25">
      <c r="A160" s="2" t="str">
        <f>IF(B160="","",IFERROR(VLOOKUP(B160, PLANTA_BASE!A:W, 2, FALSE), "NO ENCONTRADO EN PLANTA"))</f>
        <v>PRESENCIAL</v>
      </c>
      <c r="B160" s="3" t="s">
        <v>324</v>
      </c>
      <c r="C160" s="4" t="s">
        <v>325</v>
      </c>
      <c r="D160" s="2" t="str">
        <f>IF(B160="","",IFERROR(VLOOKUP(B160, PLANTA_BASE!A:W, 5, FALSE), "NO ENCONTRADO EN PLANTA"))</f>
        <v>REGIONAL MAGDALENA</v>
      </c>
      <c r="E160" s="2" t="str">
        <f>IF(B160="","",IFERROR(VLOOKUP(B160, PLANTA_BASE!A:W, 6, FALSE), "NO ENCONTRADO EN PLANTA"))</f>
        <v>SANTA MARTA</v>
      </c>
      <c r="F160" s="4" t="str">
        <f>IF(B160="","",IFERROR(VLOOKUP(B160, PLANTA_BASE!A:W, 8, FALSE), "DOCENTE / FACILITADOR"))</f>
        <v>DOCENTE AUX/N/TC/EMPRENDIMIE/FUN.ACADE-ADMIN</v>
      </c>
      <c r="G160" s="4" t="str">
        <f>IF(B160="","",IFERROR(VLOOKUP(B160, PLANTA_BASE!A:W, 9, FALSE), "GENERAL"))</f>
        <v>EMPRENDIMIENTO</v>
      </c>
      <c r="H160" s="2" t="str">
        <f>IF(B160="","",IFERROR(VLOOKUP(B160, PLANTA_BASE!A:W, 17, FALSE), "GENERAL"))</f>
        <v>EMPRENDIMIENTO</v>
      </c>
    </row>
    <row r="161" spans="1:8" ht="20.100000000000001" customHeight="1" x14ac:dyDescent="0.25">
      <c r="A161" s="5" t="str">
        <f>IF(B161="","",IFERROR(VLOOKUP(B161, PLANTA_BASE!A:W, 2, FALSE), "NO ENCONTRADO EN PLANTA"))</f>
        <v>PRESENCIAL</v>
      </c>
      <c r="B161" s="6" t="s">
        <v>326</v>
      </c>
      <c r="C161" s="7" t="s">
        <v>327</v>
      </c>
      <c r="D161" s="5" t="str">
        <f>IF(B161="","",IFERROR(VLOOKUP(B161, PLANTA_BASE!A:W, 5, FALSE), "NO ENCONTRADO EN PLANTA"))</f>
        <v>REGIONAL MAGDALENA</v>
      </c>
      <c r="E161" s="5" t="str">
        <f>IF(B161="","",IFERROR(VLOOKUP(B161, PLANTA_BASE!A:W, 6, FALSE), "NO ENCONTRADO EN PLANTA"))</f>
        <v>SANTA MARTA</v>
      </c>
      <c r="F161" s="7" t="str">
        <f>IF(B161="","",IFERROR(VLOOKUP(B161, PLANTA_BASE!A:W, 8, FALSE), "DOCENTE / FACILITADOR"))</f>
        <v>DOC AUX T&amp;T/N/TC/DIS GRAFICO/FUN.ACADE-ADMIN</v>
      </c>
      <c r="G161" s="7" t="str">
        <f>IF(B161="","",IFERROR(VLOOKUP(B161, PLANTA_BASE!A:W, 9, FALSE), "GENERAL"))</f>
        <v>DISEÑO GRAFICO</v>
      </c>
      <c r="H161" s="5" t="str">
        <f>IF(B161="","",IFERROR(VLOOKUP(B161, PLANTA_BASE!A:W, 17, FALSE), "GENERAL"))</f>
        <v>DISEÑO GRAFICO</v>
      </c>
    </row>
    <row r="162" spans="1:8" ht="20.100000000000001" customHeight="1" x14ac:dyDescent="0.25">
      <c r="A162" s="2" t="str">
        <f>IF(B162="","",IFERROR(VLOOKUP(B162, PLANTA_BASE!A:W, 2, FALSE), "NO ENCONTRADO EN PLANTA"))</f>
        <v>VIRTUAL</v>
      </c>
      <c r="B162" s="3" t="s">
        <v>328</v>
      </c>
      <c r="C162" s="4" t="s">
        <v>329</v>
      </c>
      <c r="D162" s="2" t="str">
        <f>IF(B162="","",IFERROR(VLOOKUP(B162, PLANTA_BASE!A:W, 5, FALSE), "NO ENCONTRADO EN PLANTA"))</f>
        <v>REGIONAL BOGOTA</v>
      </c>
      <c r="E162" s="2" t="str">
        <f>IF(B162="","",IFERROR(VLOOKUP(B162, PLANTA_BASE!A:W, 6, FALSE), "NO ENCONTRADO EN PLANTA"))</f>
        <v>BOGOTA CENTRO</v>
      </c>
      <c r="F162" s="4" t="str">
        <f>IF(B162="","",IFERROR(VLOOKUP(B162, PLANTA_BASE!A:W, 8, FALSE), "DOCENTE / FACILITADOR"))</f>
        <v>DOC ASIS/N/V/TC/ESP GER TRAN ENER/FUN.AC</v>
      </c>
      <c r="G162" s="4" t="str">
        <f>IF(B162="","",IFERROR(VLOOKUP(B162, PLANTA_BASE!A:W, 9, FALSE), "GENERAL"))</f>
        <v>ESPECIALIZACION EN GERENCIA PARA LA TRANSICION ENERGETICA</v>
      </c>
      <c r="H162" s="2" t="str">
        <f>IF(B162="","",IFERROR(VLOOKUP(B162, PLANTA_BASE!A:W, 17, FALSE), "GENERAL"))</f>
        <v>ESPECIALIZACION EN GERENCIA PARA LA TRANSICION ENERGETICA</v>
      </c>
    </row>
    <row r="163" spans="1:8" ht="20.100000000000001" customHeight="1" x14ac:dyDescent="0.25">
      <c r="A163" s="5" t="str">
        <f>IF(B163="","",IFERROR(VLOOKUP(B163, PLANTA_BASE!A:W, 2, FALSE), "NO ENCONTRADO EN PLANTA"))</f>
        <v>VIRTUAL</v>
      </c>
      <c r="B163" s="6" t="s">
        <v>330</v>
      </c>
      <c r="C163" s="7" t="s">
        <v>331</v>
      </c>
      <c r="D163" s="5" t="str">
        <f>IF(B163="","",IFERROR(VLOOKUP(B163, PLANTA_BASE!A:W, 5, FALSE), "NO ENCONTRADO EN PLANTA"))</f>
        <v>REGIONAL META</v>
      </c>
      <c r="E163" s="5" t="str">
        <f>IF(B163="","",IFERROR(VLOOKUP(B163, PLANTA_BASE!A:W, 6, FALSE), "NO ENCONTRADO EN PLANTA"))</f>
        <v>VILLAVICENCIO</v>
      </c>
      <c r="F163" s="7" t="str">
        <f>IF(B163="","",IFERROR(VLOOKUP(B163, PLANTA_BASE!A:W, 8, FALSE), "DOCENTE / FACILITADOR"))</f>
        <v>DOC AUX/N/V/TC/ESP GER FINAN/FUN ACADE A</v>
      </c>
      <c r="G163" s="7" t="str">
        <f>IF(B163="","",IFERROR(VLOOKUP(B163, PLANTA_BASE!A:W, 9, FALSE), "GENERAL"))</f>
        <v>ESPECIALIZACION EN GERENCIA FINANCIERA</v>
      </c>
      <c r="H163" s="5" t="str">
        <f>IF(B163="","",IFERROR(VLOOKUP(B163, PLANTA_BASE!A:W, 17, FALSE), "GENERAL"))</f>
        <v>ESPECIALIZACION EN GERENCIA FINANCIERA</v>
      </c>
    </row>
    <row r="164" spans="1:8" ht="20.100000000000001" customHeight="1" x14ac:dyDescent="0.25">
      <c r="A164" s="2" t="str">
        <f>IF(B164="","",IFERROR(VLOOKUP(B164, PLANTA_BASE!A:W, 2, FALSE), "NO ENCONTRADO EN PLANTA"))</f>
        <v>VIRTUAL</v>
      </c>
      <c r="B164" s="3" t="s">
        <v>332</v>
      </c>
      <c r="C164" s="4" t="s">
        <v>333</v>
      </c>
      <c r="D164" s="2" t="str">
        <f>IF(B164="","",IFERROR(VLOOKUP(B164, PLANTA_BASE!A:W, 5, FALSE), "NO ENCONTRADO EN PLANTA"))</f>
        <v>REGIONAL BOGOTA</v>
      </c>
      <c r="E164" s="2" t="str">
        <f>IF(B164="","",IFERROR(VLOOKUP(B164, PLANTA_BASE!A:W, 6, FALSE), "NO ENCONTRADO EN PLANTA"))</f>
        <v>BOGOTA CENTRO</v>
      </c>
      <c r="F164" s="4" t="str">
        <f>IF(B164="","",IFERROR(VLOOKUP(B164, PLANTA_BASE!A:W, 8, FALSE), "DOCENTE / FACILITADOR"))</f>
        <v>DOC ASIS/N/V/TC/ING INDUS/FUN.ACADE-ADMIN</v>
      </c>
      <c r="G164" s="4" t="str">
        <f>IF(B164="","",IFERROR(VLOOKUP(B164, PLANTA_BASE!A:W, 9, FALSE), "GENERAL"))</f>
        <v>INGENIERIA INDUSTRIAL</v>
      </c>
      <c r="H164" s="2" t="str">
        <f>IF(B164="","",IFERROR(VLOOKUP(B164, PLANTA_BASE!A:W, 17, FALSE), "GENERAL"))</f>
        <v>INGENIERIA INDUSTRIAL</v>
      </c>
    </row>
    <row r="165" spans="1:8" ht="20.100000000000001" customHeight="1" x14ac:dyDescent="0.25">
      <c r="A165" s="5" t="str">
        <f>IF(B165="","",IFERROR(VLOOKUP(B165, PLANTA_BASE!A:W, 2, FALSE), "NO ENCONTRADO EN PLANTA"))</f>
        <v>VIRTUAL</v>
      </c>
      <c r="B165" s="6" t="s">
        <v>334</v>
      </c>
      <c r="C165" s="7" t="s">
        <v>335</v>
      </c>
      <c r="D165" s="5" t="str">
        <f>IF(B165="","",IFERROR(VLOOKUP(B165, PLANTA_BASE!A:W, 5, FALSE), "NO ENCONTRADO EN PLANTA"))</f>
        <v>REGIONAL BOGOTA</v>
      </c>
      <c r="E165" s="5" t="str">
        <f>IF(B165="","",IFERROR(VLOOKUP(B165, PLANTA_BASE!A:W, 6, FALSE), "NO ENCONTRADO EN PLANTA"))</f>
        <v>BOGOTA CENTRO</v>
      </c>
      <c r="F165" s="7" t="str">
        <f>IF(B165="","",IFERROR(VLOOKUP(B165, PLANTA_BASE!A:W, 8, FALSE), "DOCENTE / FACILITADOR"))</f>
        <v>DOC AUX T&amp;T/N/V/TC/DIS GRAFICO/FUN.ACADE</v>
      </c>
      <c r="G165" s="7" t="str">
        <f>IF(B165="","",IFERROR(VLOOKUP(B165, PLANTA_BASE!A:W, 9, FALSE), "GENERAL"))</f>
        <v>DISEÑO GRAFICO</v>
      </c>
      <c r="H165" s="5" t="str">
        <f>IF(B165="","",IFERROR(VLOOKUP(B165, PLANTA_BASE!A:W, 17, FALSE), "GENERAL"))</f>
        <v>DISEÑO GRAFICO</v>
      </c>
    </row>
    <row r="166" spans="1:8" ht="20.100000000000001" customHeight="1" x14ac:dyDescent="0.25">
      <c r="A166" s="2" t="str">
        <f>IF(B166="","",IFERROR(VLOOKUP(B166, PLANTA_BASE!A:W, 2, FALSE), "NO ENCONTRADO EN PLANTA"))</f>
        <v>PRESENCIAL</v>
      </c>
      <c r="B166" s="3" t="s">
        <v>336</v>
      </c>
      <c r="C166" s="4" t="s">
        <v>337</v>
      </c>
      <c r="D166" s="2" t="str">
        <f>IF(B166="","",IFERROR(VLOOKUP(B166, PLANTA_BASE!A:W, 5, FALSE), "NO ENCONTRADO EN PLANTA"))</f>
        <v>REGIONAL BOGOTA</v>
      </c>
      <c r="E166" s="2" t="str">
        <f>IF(B166="","",IFERROR(VLOOKUP(B166, PLANTA_BASE!A:W, 6, FALSE), "NO ENCONTRADO EN PLANTA"))</f>
        <v>BOGOTA CENTRO</v>
      </c>
      <c r="F166" s="4" t="str">
        <f>IF(B166="","",IFERROR(VLOOKUP(B166, PLANTA_BASE!A:W, 8, FALSE), "DOCENTE / FACILITADOR"))</f>
        <v>DOCENTE AUX/N/TC/CONT PUBL/FUN.ACADE-ADMIN</v>
      </c>
      <c r="G166" s="4" t="str">
        <f>IF(B166="","",IFERROR(VLOOKUP(B166, PLANTA_BASE!A:W, 9, FALSE), "GENERAL"))</f>
        <v>CONTADURIA PUBLICA</v>
      </c>
      <c r="H166" s="2" t="str">
        <f>IF(B166="","",IFERROR(VLOOKUP(B166, PLANTA_BASE!A:W, 17, FALSE), "GENERAL"))</f>
        <v>CONTADURIA PUBLICA</v>
      </c>
    </row>
    <row r="167" spans="1:8" ht="20.100000000000001" customHeight="1" x14ac:dyDescent="0.25">
      <c r="A167" s="5" t="str">
        <f>IF(B167="","",IFERROR(VLOOKUP(B167, PLANTA_BASE!A:W, 2, FALSE), "NO ENCONTRADO EN PLANTA"))</f>
        <v>VIRTUAL</v>
      </c>
      <c r="B167" s="6" t="s">
        <v>338</v>
      </c>
      <c r="C167" s="7" t="s">
        <v>339</v>
      </c>
      <c r="D167" s="5" t="str">
        <f>IF(B167="","",IFERROR(VLOOKUP(B167, PLANTA_BASE!A:W, 5, FALSE), "NO ENCONTRADO EN PLANTA"))</f>
        <v>REGIONAL META</v>
      </c>
      <c r="E167" s="5" t="str">
        <f>IF(B167="","",IFERROR(VLOOKUP(B167, PLANTA_BASE!A:W, 6, FALSE), "NO ENCONTRADO EN PLANTA"))</f>
        <v>VILLAVICENCIO</v>
      </c>
      <c r="F167" s="7" t="str">
        <f>IF(B167="","",IFERROR(VLOOKUP(B167, PLANTA_BASE!A:W, 8, FALSE), "DOCENTE / FACILITADOR"))</f>
        <v>DOC ASIS/N/V/MT/CONTADURIA</v>
      </c>
      <c r="G167" s="7" t="str">
        <f>IF(B167="","",IFERROR(VLOOKUP(B167, PLANTA_BASE!A:W, 9, FALSE), "GENERAL"))</f>
        <v>CONTADURIA PUBLICA</v>
      </c>
      <c r="H167" s="5" t="str">
        <f>IF(B167="","",IFERROR(VLOOKUP(B167, PLANTA_BASE!A:W, 17, FALSE), "GENERAL"))</f>
        <v>CONTADURIA PUBLICA</v>
      </c>
    </row>
    <row r="168" spans="1:8" ht="20.100000000000001" customHeight="1" x14ac:dyDescent="0.25">
      <c r="A168" s="2" t="str">
        <f>IF(B168="","",IFERROR(VLOOKUP(B168, PLANTA_BASE!A:W, 2, FALSE), "NO ENCONTRADO EN PLANTA"))</f>
        <v>VIRTUAL</v>
      </c>
      <c r="B168" s="3" t="s">
        <v>340</v>
      </c>
      <c r="C168" s="4" t="s">
        <v>341</v>
      </c>
      <c r="D168" s="2" t="str">
        <f>IF(B168="","",IFERROR(VLOOKUP(B168, PLANTA_BASE!A:W, 5, FALSE), "NO ENCONTRADO EN PLANTA"))</f>
        <v>REGIONAL VALLE DELCAUCA</v>
      </c>
      <c r="E168" s="2" t="str">
        <f>IF(B168="","",IFERROR(VLOOKUP(B168, PLANTA_BASE!A:W, 6, FALSE), "NO ENCONTRADO EN PLANTA"))</f>
        <v>BUENAVENTURA</v>
      </c>
      <c r="F168" s="4" t="str">
        <f>IF(B168="","",IFERROR(VLOOKUP(B168, PLANTA_BASE!A:W, 8, FALSE), "DOCENTE / FACILITADOR"))</f>
        <v>DOC ASOC/N/V/TC/ADMIN PUBLICA/FUN.ACADE-ADMIN</v>
      </c>
      <c r="G168" s="4" t="str">
        <f>IF(B168="","",IFERROR(VLOOKUP(B168, PLANTA_BASE!A:W, 9, FALSE), "GENERAL"))</f>
        <v>ADMINISTRACION PUBLICA</v>
      </c>
      <c r="H168" s="2" t="str">
        <f>IF(B168="","",IFERROR(VLOOKUP(B168, PLANTA_BASE!A:W, 17, FALSE), "GENERAL"))</f>
        <v>ADMINISTRACION PUBLICA</v>
      </c>
    </row>
    <row r="169" spans="1:8" ht="20.100000000000001" customHeight="1" x14ac:dyDescent="0.25">
      <c r="A169" s="5" t="str">
        <f>IF(B169="","",IFERROR(VLOOKUP(B169, PLANTA_BASE!A:W, 2, FALSE), "NO ENCONTRADO EN PLANTA"))</f>
        <v>VIRTUAL</v>
      </c>
      <c r="B169" s="6" t="s">
        <v>342</v>
      </c>
      <c r="C169" s="7" t="s">
        <v>343</v>
      </c>
      <c r="D169" s="5" t="str">
        <f>IF(B169="","",IFERROR(VLOOKUP(B169, PLANTA_BASE!A:W, 5, FALSE), "NO ENCONTRADO EN PLANTA"))</f>
        <v>REGIONAL CORDOBA</v>
      </c>
      <c r="E169" s="5" t="str">
        <f>IF(B169="","",IFERROR(VLOOKUP(B169, PLANTA_BASE!A:W, 6, FALSE), "NO ENCONTRADO EN PLANTA"))</f>
        <v>MONTERIA</v>
      </c>
      <c r="F169" s="7" t="str">
        <f>IF(B169="","",IFERROR(VLOOKUP(B169, PLANTA_BASE!A:W, 8, FALSE), "DOCENTE / FACILITADOR"))</f>
        <v>DOC TITU/N/V/TC/INVESTIGACIONES/INVESTIG</v>
      </c>
      <c r="G169" s="7" t="str">
        <f>IF(B169="","",IFERROR(VLOOKUP(B169, PLANTA_BASE!A:W, 9, FALSE), "GENERAL"))</f>
        <v>INVESTIGACIONES</v>
      </c>
      <c r="H169" s="5" t="str">
        <f>IF(B169="","",IFERROR(VLOOKUP(B169, PLANTA_BASE!A:W, 17, FALSE), "GENERAL"))</f>
        <v>INVESTIGACIONES</v>
      </c>
    </row>
    <row r="170" spans="1:8" ht="20.100000000000001" customHeight="1" x14ac:dyDescent="0.25">
      <c r="A170" s="2" t="str">
        <f>IF(B170="","",IFERROR(VLOOKUP(B170, PLANTA_BASE!A:W, 2, FALSE), "NO ENCONTRADO EN PLANTA"))</f>
        <v>VIRTUAL</v>
      </c>
      <c r="B170" s="3" t="s">
        <v>344</v>
      </c>
      <c r="C170" s="4" t="s">
        <v>345</v>
      </c>
      <c r="D170" s="2" t="str">
        <f>IF(B170="","",IFERROR(VLOOKUP(B170, PLANTA_BASE!A:W, 5, FALSE), "NO ENCONTRADO EN PLANTA"))</f>
        <v>REGIONAL BOGOTA</v>
      </c>
      <c r="E170" s="2" t="str">
        <f>IF(B170="","",IFERROR(VLOOKUP(B170, PLANTA_BASE!A:W, 6, FALSE), "NO ENCONTRADO EN PLANTA"))</f>
        <v>BOGOTA CENTRO</v>
      </c>
      <c r="F170" s="4" t="str">
        <f>IF(B170="","",IFERROR(VLOOKUP(B170, PLANTA_BASE!A:W, 8, FALSE), "DOCENTE / FACILITADOR"))</f>
        <v>DOC ASOC/N/V/TC/INVESTIGACIONES/INVESTIG</v>
      </c>
      <c r="G170" s="4" t="str">
        <f>IF(B170="","",IFERROR(VLOOKUP(B170, PLANTA_BASE!A:W, 9, FALSE), "GENERAL"))</f>
        <v>INVESTIGACIONES</v>
      </c>
      <c r="H170" s="2" t="str">
        <f>IF(B170="","",IFERROR(VLOOKUP(B170, PLANTA_BASE!A:W, 17, FALSE), "GENERAL"))</f>
        <v>INVESTIGACIONES</v>
      </c>
    </row>
    <row r="171" spans="1:8" ht="20.100000000000001" customHeight="1" x14ac:dyDescent="0.25">
      <c r="A171" s="5" t="str">
        <f>IF(B171="","",IFERROR(VLOOKUP(B171, PLANTA_BASE!A:W, 2, FALSE), "NO ENCONTRADO EN PLANTA"))</f>
        <v>VIRTUAL</v>
      </c>
      <c r="B171" s="6" t="s">
        <v>346</v>
      </c>
      <c r="C171" s="7" t="s">
        <v>347</v>
      </c>
      <c r="D171" s="5" t="str">
        <f>IF(B171="","",IFERROR(VLOOKUP(B171, PLANTA_BASE!A:W, 5, FALSE), "NO ENCONTRADO EN PLANTA"))</f>
        <v>REGIONAL CUNDINAMARCA</v>
      </c>
      <c r="E171" s="5" t="str">
        <f>IF(B171="","",IFERROR(VLOOKUP(B171, PLANTA_BASE!A:W, 6, FALSE), "NO ENCONTRADO EN PLANTA"))</f>
        <v>CHÍA</v>
      </c>
      <c r="F171" s="7" t="str">
        <f>IF(B171="","",IFERROR(VLOOKUP(B171, PLANTA_BASE!A:W, 8, FALSE), "DOCENTE / FACILITADOR"))</f>
        <v>DOC AUX/N/V/TC/ESP GER TRAN ENER/PROYEC</v>
      </c>
      <c r="G171" s="7" t="str">
        <f>IF(B171="","",IFERROR(VLOOKUP(B171, PLANTA_BASE!A:W, 9, FALSE), "GENERAL"))</f>
        <v>ESPECIALIZACION EN GERENCIA PARA LA TRANSICION ENERGETICA</v>
      </c>
      <c r="H171" s="5" t="str">
        <f>IF(B171="","",IFERROR(VLOOKUP(B171, PLANTA_BASE!A:W, 17, FALSE), "GENERAL"))</f>
        <v>ESPECIALIZACION EN GERENCIA PARA LA TRANSICION ENERGETICA</v>
      </c>
    </row>
    <row r="172" spans="1:8" ht="20.100000000000001" customHeight="1" x14ac:dyDescent="0.25">
      <c r="A172" s="2" t="str">
        <f>IF(B172="","",IFERROR(VLOOKUP(B172, PLANTA_BASE!A:W, 2, FALSE), "NO ENCONTRADO EN PLANTA"))</f>
        <v>VIRTUAL</v>
      </c>
      <c r="B172" s="3" t="s">
        <v>348</v>
      </c>
      <c r="C172" s="4" t="s">
        <v>349</v>
      </c>
      <c r="D172" s="2" t="str">
        <f>IF(B172="","",IFERROR(VLOOKUP(B172, PLANTA_BASE!A:W, 5, FALSE), "NO ENCONTRADO EN PLANTA"))</f>
        <v>REGIONAL BOGOTA</v>
      </c>
      <c r="E172" s="2" t="str">
        <f>IF(B172="","",IFERROR(VLOOKUP(B172, PLANTA_BASE!A:W, 6, FALSE), "NO ENCONTRADO EN PLANTA"))</f>
        <v>BOGOTA CENTRO</v>
      </c>
      <c r="F172" s="4" t="str">
        <f>IF(B172="","",IFERROR(VLOOKUP(B172, PLANTA_BASE!A:W, 8, FALSE), "DOCENTE / FACILITADOR"))</f>
        <v>DOC ASIS/N/V/TC/ING INDUS/FUN.ACADE-ADMIN</v>
      </c>
      <c r="G172" s="4" t="str">
        <f>IF(B172="","",IFERROR(VLOOKUP(B172, PLANTA_BASE!A:W, 9, FALSE), "GENERAL"))</f>
        <v>INGENIERIA INDUSTRIAL</v>
      </c>
      <c r="H172" s="2" t="str">
        <f>IF(B172="","",IFERROR(VLOOKUP(B172, PLANTA_BASE!A:W, 17, FALSE), "GENERAL"))</f>
        <v>INGENIERIA INDUSTRIAL</v>
      </c>
    </row>
    <row r="173" spans="1:8" ht="20.100000000000001" customHeight="1" x14ac:dyDescent="0.25">
      <c r="A173" s="5" t="str">
        <f>IF(B173="","",IFERROR(VLOOKUP(B173, PLANTA_BASE!A:W, 2, FALSE), "NO ENCONTRADO EN PLANTA"))</f>
        <v>VIRTUAL</v>
      </c>
      <c r="B173" s="6" t="s">
        <v>350</v>
      </c>
      <c r="C173" s="7" t="s">
        <v>351</v>
      </c>
      <c r="D173" s="5" t="str">
        <f>IF(B173="","",IFERROR(VLOOKUP(B173, PLANTA_BASE!A:W, 5, FALSE), "NO ENCONTRADO EN PLANTA"))</f>
        <v>REGIONAL BOYACA</v>
      </c>
      <c r="E173" s="5" t="str">
        <f>IF(B173="","",IFERROR(VLOOKUP(B173, PLANTA_BASE!A:W, 6, FALSE), "NO ENCONTRADO EN PLANTA"))</f>
        <v>TUNJA</v>
      </c>
      <c r="F173" s="7" t="str">
        <f>IF(B173="","",IFERROR(VLOOKUP(B173, PLANTA_BASE!A:W, 8, FALSE), "DOCENTE / FACILITADOR"))</f>
        <v>DOC TITULAR/N/V/MT/CONTADURIA</v>
      </c>
      <c r="G173" s="7" t="str">
        <f>IF(B173="","",IFERROR(VLOOKUP(B173, PLANTA_BASE!A:W, 9, FALSE), "GENERAL"))</f>
        <v>CONTADURIA PUBLICA</v>
      </c>
      <c r="H173" s="5" t="str">
        <f>IF(B173="","",IFERROR(VLOOKUP(B173, PLANTA_BASE!A:W, 17, FALSE), "GENERAL"))</f>
        <v>CONTADURIA PUBLICA</v>
      </c>
    </row>
    <row r="174" spans="1:8" ht="20.100000000000001" customHeight="1" x14ac:dyDescent="0.25">
      <c r="A174" s="2" t="str">
        <f>IF(B174="","",IFERROR(VLOOKUP(B174, PLANTA_BASE!A:W, 2, FALSE), "NO ENCONTRADO EN PLANTA"))</f>
        <v>VIRTUAL</v>
      </c>
      <c r="B174" s="3" t="s">
        <v>352</v>
      </c>
      <c r="C174" s="4" t="s">
        <v>353</v>
      </c>
      <c r="D174" s="2" t="str">
        <f>IF(B174="","",IFERROR(VLOOKUP(B174, PLANTA_BASE!A:W, 5, FALSE), "NO ENCONTRADO EN PLANTA"))</f>
        <v>REGIONAL NARIñO</v>
      </c>
      <c r="E174" s="2" t="str">
        <f>IF(B174="","",IFERROR(VLOOKUP(B174, PLANTA_BASE!A:W, 6, FALSE), "NO ENCONTRADO EN PLANTA"))</f>
        <v>PASTO</v>
      </c>
      <c r="F174" s="4" t="str">
        <f>IF(B174="","",IFERROR(VLOOKUP(B174, PLANTA_BASE!A:W, 8, FALSE), "DOCENTE / FACILITADOR"))</f>
        <v>DOC AUX/N/V/TC/ING DE SISTEMAS/FUN.ACADE-ADMIN</v>
      </c>
      <c r="G174" s="4" t="str">
        <f>IF(B174="","",IFERROR(VLOOKUP(B174, PLANTA_BASE!A:W, 9, FALSE), "GENERAL"))</f>
        <v>INGENIERIA DE SISTEMAS</v>
      </c>
      <c r="H174" s="2" t="str">
        <f>IF(B174="","",IFERROR(VLOOKUP(B174, PLANTA_BASE!A:W, 17, FALSE), "GENERAL"))</f>
        <v>INGENIERIA DE SISTEMAS</v>
      </c>
    </row>
    <row r="175" spans="1:8" ht="20.100000000000001" customHeight="1" x14ac:dyDescent="0.25">
      <c r="A175" s="5" t="str">
        <f>IF(B175="","",IFERROR(VLOOKUP(B175, PLANTA_BASE!A:W, 2, FALSE), "NO ENCONTRADO EN PLANTA"))</f>
        <v>PRESENCIAL</v>
      </c>
      <c r="B175" s="6" t="s">
        <v>354</v>
      </c>
      <c r="C175" s="7" t="s">
        <v>355</v>
      </c>
      <c r="D175" s="5" t="str">
        <f>IF(B175="","",IFERROR(VLOOKUP(B175, PLANTA_BASE!A:W, 5, FALSE), "NO ENCONTRADO EN PLANTA"))</f>
        <v>REGIONAL BOGOTA</v>
      </c>
      <c r="E175" s="5" t="str">
        <f>IF(B175="","",IFERROR(VLOOKUP(B175, PLANTA_BASE!A:W, 6, FALSE), "NO ENCONTRADO EN PLANTA"))</f>
        <v>BOGOTA CENTRO</v>
      </c>
      <c r="F175" s="7" t="str">
        <f>IF(B175="","",IFERROR(VLOOKUP(B175, PLANTA_BASE!A:W, 8, FALSE), "DOCENTE / FACILITADOR"))</f>
        <v>DOCENTE ASOC/N/TC/INVESTIGA/INVESTIGACIO</v>
      </c>
      <c r="G175" s="7" t="str">
        <f>IF(B175="","",IFERROR(VLOOKUP(B175, PLANTA_BASE!A:W, 9, FALSE), "GENERAL"))</f>
        <v>INVESTIGACIONES</v>
      </c>
      <c r="H175" s="5" t="str">
        <f>IF(B175="","",IFERROR(VLOOKUP(B175, PLANTA_BASE!A:W, 17, FALSE), "GENERAL"))</f>
        <v>INVESTIGACIONES</v>
      </c>
    </row>
    <row r="176" spans="1:8" ht="20.100000000000001" customHeight="1" x14ac:dyDescent="0.25">
      <c r="A176" s="2" t="str">
        <f>IF(B176="","",IFERROR(VLOOKUP(B176, PLANTA_BASE!A:W, 2, FALSE), "NO ENCONTRADO EN PLANTA"))</f>
        <v>VIRTUAL</v>
      </c>
      <c r="B176" s="3" t="s">
        <v>356</v>
      </c>
      <c r="C176" s="4" t="s">
        <v>357</v>
      </c>
      <c r="D176" s="2" t="str">
        <f>IF(B176="","",IFERROR(VLOOKUP(B176, PLANTA_BASE!A:W, 5, FALSE), "NO ENCONTRADO EN PLANTA"))</f>
        <v>REGIONAL RISARALDA</v>
      </c>
      <c r="E176" s="2" t="str">
        <f>IF(B176="","",IFERROR(VLOOKUP(B176, PLANTA_BASE!A:W, 6, FALSE), "NO ENCONTRADO EN PLANTA"))</f>
        <v>PEREIRA</v>
      </c>
      <c r="F176" s="4" t="str">
        <f>IF(B176="","",IFERROR(VLOOKUP(B176, PLANTA_BASE!A:W, 8, FALSE), "DOCENTE / FACILITADOR"))</f>
        <v>DOC AUX T&amp;T/N/V/MT/DIS GRAFICO</v>
      </c>
      <c r="G176" s="4" t="str">
        <f>IF(B176="","",IFERROR(VLOOKUP(B176, PLANTA_BASE!A:W, 9, FALSE), "GENERAL"))</f>
        <v>DISEÑO GRAFICO</v>
      </c>
      <c r="H176" s="2" t="str">
        <f>IF(B176="","",IFERROR(VLOOKUP(B176, PLANTA_BASE!A:W, 17, FALSE), "GENERAL"))</f>
        <v>DISEÑO GRAFICO</v>
      </c>
    </row>
    <row r="177" spans="1:8" ht="20.100000000000001" customHeight="1" x14ac:dyDescent="0.25">
      <c r="A177" s="5" t="str">
        <f>IF(B177="","",IFERROR(VLOOKUP(B177, PLANTA_BASE!A:W, 2, FALSE), "NO ENCONTRADO EN PLANTA"))</f>
        <v>VIRTUAL</v>
      </c>
      <c r="B177" s="6" t="s">
        <v>358</v>
      </c>
      <c r="C177" s="7" t="s">
        <v>359</v>
      </c>
      <c r="D177" s="5" t="str">
        <f>IF(B177="","",IFERROR(VLOOKUP(B177, PLANTA_BASE!A:W, 5, FALSE), "NO ENCONTRADO EN PLANTA"))</f>
        <v>REGIONAL NARIñO</v>
      </c>
      <c r="E177" s="5" t="str">
        <f>IF(B177="","",IFERROR(VLOOKUP(B177, PLANTA_BASE!A:W, 6, FALSE), "NO ENCONTRADO EN PLANTA"))</f>
        <v>IPIALES</v>
      </c>
      <c r="F177" s="7" t="str">
        <f>IF(B177="","",IFERROR(VLOOKUP(B177, PLANTA_BASE!A:W, 8, FALSE), "DOCENTE / FACILITADOR"))</f>
        <v>DOC AUX T&amp;T/N/V/TC/CIENCIAS BASI/FUN.ACADE-ADMIN</v>
      </c>
      <c r="G177" s="7" t="str">
        <f>IF(B177="","",IFERROR(VLOOKUP(B177, PLANTA_BASE!A:W, 9, FALSE), "GENERAL"))</f>
        <v>CIENCIAS BASICAS</v>
      </c>
      <c r="H177" s="5" t="str">
        <f>IF(B177="","",IFERROR(VLOOKUP(B177, PLANTA_BASE!A:W, 17, FALSE), "GENERAL"))</f>
        <v>CIENCIAS BASICAS</v>
      </c>
    </row>
    <row r="178" spans="1:8" ht="20.100000000000001" customHeight="1" x14ac:dyDescent="0.25">
      <c r="A178" s="2" t="str">
        <f>IF(B178="","",IFERROR(VLOOKUP(B178, PLANTA_BASE!A:W, 2, FALSE), "NO ENCONTRADO EN PLANTA"))</f>
        <v>VIRTUAL</v>
      </c>
      <c r="B178" s="3" t="s">
        <v>360</v>
      </c>
      <c r="C178" s="4" t="s">
        <v>361</v>
      </c>
      <c r="D178" s="2" t="str">
        <f>IF(B178="","",IFERROR(VLOOKUP(B178, PLANTA_BASE!A:W, 5, FALSE), "NO ENCONTRADO EN PLANTA"))</f>
        <v>REGIONAL SANTANDER</v>
      </c>
      <c r="E178" s="2" t="str">
        <f>IF(B178="","",IFERROR(VLOOKUP(B178, PLANTA_BASE!A:W, 6, FALSE), "NO ENCONTRADO EN PLANTA"))</f>
        <v>BUCARAMANGA</v>
      </c>
      <c r="F178" s="4" t="str">
        <f>IF(B178="","",IFERROR(VLOOKUP(B178, PLANTA_BASE!A:W, 8, FALSE), "DOCENTE / FACILITADOR"))</f>
        <v>DOC AUX T&amp;T/N/V/TC/IDIOMAS/FUN.ACADE-ADMIN</v>
      </c>
      <c r="G178" s="4" t="str">
        <f>IF(B178="","",IFERROR(VLOOKUP(B178, PLANTA_BASE!A:W, 9, FALSE), "GENERAL"))</f>
        <v>IDIOMAS</v>
      </c>
      <c r="H178" s="2" t="str">
        <f>IF(B178="","",IFERROR(VLOOKUP(B178, PLANTA_BASE!A:W, 17, FALSE), "GENERAL"))</f>
        <v>IDIOMAS</v>
      </c>
    </row>
    <row r="179" spans="1:8" ht="20.100000000000001" customHeight="1" x14ac:dyDescent="0.25">
      <c r="A179" s="5" t="str">
        <f>IF(B179="","",IFERROR(VLOOKUP(B179, PLANTA_BASE!A:W, 2, FALSE), "NO ENCONTRADO EN PLANTA"))</f>
        <v>VIRTUAL</v>
      </c>
      <c r="B179" s="6" t="s">
        <v>362</v>
      </c>
      <c r="C179" s="7" t="s">
        <v>363</v>
      </c>
      <c r="D179" s="5" t="str">
        <f>IF(B179="","",IFERROR(VLOOKUP(B179, PLANTA_BASE!A:W, 5, FALSE), "NO ENCONTRADO EN PLANTA"))</f>
        <v>REGIONAL BOGOTA</v>
      </c>
      <c r="E179" s="5" t="str">
        <f>IF(B179="","",IFERROR(VLOOKUP(B179, PLANTA_BASE!A:W, 6, FALSE), "NO ENCONTRADO EN PLANTA"))</f>
        <v>BOGOTA CENTRO</v>
      </c>
      <c r="F179" s="7" t="str">
        <f>IF(B179="","",IFERROR(VLOOKUP(B179, PLANTA_BASE!A:W, 8, FALSE), "DOCENTE / FACILITADOR"))</f>
        <v>DOC ASIS/N/V/TC/ING DE SISTEMAS/FUN.ACADE-ADMIN</v>
      </c>
      <c r="G179" s="7" t="str">
        <f>IF(B179="","",IFERROR(VLOOKUP(B179, PLANTA_BASE!A:W, 9, FALSE), "GENERAL"))</f>
        <v>INGENIERIA DE SISTEMAS</v>
      </c>
      <c r="H179" s="5" t="str">
        <f>IF(B179="","",IFERROR(VLOOKUP(B179, PLANTA_BASE!A:W, 17, FALSE), "GENERAL"))</f>
        <v>INGENIERIA DE SISTEMAS</v>
      </c>
    </row>
    <row r="180" spans="1:8" ht="20.100000000000001" customHeight="1" x14ac:dyDescent="0.25">
      <c r="A180" s="2" t="str">
        <f>IF(B180="","",IFERROR(VLOOKUP(B180, PLANTA_BASE!A:W, 2, FALSE), "NO ENCONTRADO EN PLANTA"))</f>
        <v>PRESENCIAL</v>
      </c>
      <c r="B180" s="3" t="s">
        <v>364</v>
      </c>
      <c r="C180" s="4" t="s">
        <v>365</v>
      </c>
      <c r="D180" s="2" t="str">
        <f>IF(B180="","",IFERROR(VLOOKUP(B180, PLANTA_BASE!A:W, 5, FALSE), "NO ENCONTRADO EN PLANTA"))</f>
        <v>REGIONAL CORDOBA</v>
      </c>
      <c r="E180" s="2" t="str">
        <f>IF(B180="","",IFERROR(VLOOKUP(B180, PLANTA_BASE!A:W, 6, FALSE), "NO ENCONTRADO EN PLANTA"))</f>
        <v>MONTERIA</v>
      </c>
      <c r="F180" s="4" t="str">
        <f>IF(B180="","",IFERROR(VLOOKUP(B180, PLANTA_BASE!A:W, 8, FALSE), "DOCENTE / FACILITADOR"))</f>
        <v>DOCENTE TITU/N/TC/INVESTIGA/INVESTIGACIO</v>
      </c>
      <c r="G180" s="4" t="str">
        <f>IF(B180="","",IFERROR(VLOOKUP(B180, PLANTA_BASE!A:W, 9, FALSE), "GENERAL"))</f>
        <v>INVESTIGACIONES</v>
      </c>
      <c r="H180" s="2" t="str">
        <f>IF(B180="","",IFERROR(VLOOKUP(B180, PLANTA_BASE!A:W, 17, FALSE), "GENERAL"))</f>
        <v>INVESTIGACIONES</v>
      </c>
    </row>
    <row r="181" spans="1:8" ht="20.100000000000001" customHeight="1" x14ac:dyDescent="0.25">
      <c r="A181" s="5" t="str">
        <f>IF(B181="","",IFERROR(VLOOKUP(B181, PLANTA_BASE!A:W, 2, FALSE), "NO ENCONTRADO EN PLANTA"))</f>
        <v>VIRTUAL</v>
      </c>
      <c r="B181" s="6" t="s">
        <v>366</v>
      </c>
      <c r="C181" s="7" t="s">
        <v>367</v>
      </c>
      <c r="D181" s="5" t="str">
        <f>IF(B181="","",IFERROR(VLOOKUP(B181, PLANTA_BASE!A:W, 5, FALSE), "NO ENCONTRADO EN PLANTA"))</f>
        <v>REGIONAL BOGOTA</v>
      </c>
      <c r="E181" s="5" t="str">
        <f>IF(B181="","",IFERROR(VLOOKUP(B181, PLANTA_BASE!A:W, 6, FALSE), "NO ENCONTRADO EN PLANTA"))</f>
        <v>BOGOTA CENTRO</v>
      </c>
      <c r="F181" s="7" t="str">
        <f>IF(B181="","",IFERROR(VLOOKUP(B181, PLANTA_BASE!A:W, 8, FALSE), "DOCENTE / FACILITADOR"))</f>
        <v>DOC ASIS/N/V/TC/ING INDUS/FUN.ACADE-ADMIN</v>
      </c>
      <c r="G181" s="7" t="str">
        <f>IF(B181="","",IFERROR(VLOOKUP(B181, PLANTA_BASE!A:W, 9, FALSE), "GENERAL"))</f>
        <v>INGENIERIA INDUSTRIAL</v>
      </c>
      <c r="H181" s="5" t="str">
        <f>IF(B181="","",IFERROR(VLOOKUP(B181, PLANTA_BASE!A:W, 17, FALSE), "GENERAL"))</f>
        <v>INGENIERIA INDUSTRIAL</v>
      </c>
    </row>
    <row r="182" spans="1:8" ht="20.100000000000001" customHeight="1" x14ac:dyDescent="0.25">
      <c r="A182" s="2" t="str">
        <f>IF(B182="","",IFERROR(VLOOKUP(B182, PLANTA_BASE!A:W, 2, FALSE), "NO ENCONTRADO EN PLANTA"))</f>
        <v>VIRTUAL</v>
      </c>
      <c r="B182" s="3" t="s">
        <v>368</v>
      </c>
      <c r="C182" s="4" t="s">
        <v>369</v>
      </c>
      <c r="D182" s="2" t="str">
        <f>IF(B182="","",IFERROR(VLOOKUP(B182, PLANTA_BASE!A:W, 5, FALSE), "NO ENCONTRADO EN PLANTA"))</f>
        <v>REGIONAL BOGOTA</v>
      </c>
      <c r="E182" s="2" t="str">
        <f>IF(B182="","",IFERROR(VLOOKUP(B182, PLANTA_BASE!A:W, 6, FALSE), "NO ENCONTRADO EN PLANTA"))</f>
        <v>BOGOTA CENTRO</v>
      </c>
      <c r="F182" s="4" t="str">
        <f>IF(B182="","",IFERROR(VLOOKUP(B182, PLANTA_BASE!A:W, 8, FALSE), "DOCENTE / FACILITADOR"))</f>
        <v>DOC AUX T&amp;T/N/V/TC/INVESTIGACIONES/INVESTI</v>
      </c>
      <c r="G182" s="4" t="str">
        <f>IF(B182="","",IFERROR(VLOOKUP(B182, PLANTA_BASE!A:W, 9, FALSE), "GENERAL"))</f>
        <v>INVESTIGACIONES</v>
      </c>
      <c r="H182" s="2" t="str">
        <f>IF(B182="","",IFERROR(VLOOKUP(B182, PLANTA_BASE!A:W, 17, FALSE), "GENERAL"))</f>
        <v>INVESTIGACIONES</v>
      </c>
    </row>
    <row r="183" spans="1:8" ht="20.100000000000001" customHeight="1" x14ac:dyDescent="0.25">
      <c r="A183" s="5" t="str">
        <f>IF(B183="","",IFERROR(VLOOKUP(B183, PLANTA_BASE!A:W, 2, FALSE), "NO ENCONTRADO EN PLANTA"))</f>
        <v>VIRTUAL</v>
      </c>
      <c r="B183" s="6" t="s">
        <v>370</v>
      </c>
      <c r="C183" s="7" t="s">
        <v>371</v>
      </c>
      <c r="D183" s="5" t="str">
        <f>IF(B183="","",IFERROR(VLOOKUP(B183, PLANTA_BASE!A:W, 5, FALSE), "NO ENCONTRADO EN PLANTA"))</f>
        <v>REGIONAL BOGOTA</v>
      </c>
      <c r="E183" s="5" t="str">
        <f>IF(B183="","",IFERROR(VLOOKUP(B183, PLANTA_BASE!A:W, 6, FALSE), "NO ENCONTRADO EN PLANTA"))</f>
        <v>BOGOTA CENTRO</v>
      </c>
      <c r="F183" s="7" t="str">
        <f>IF(B183="","",IFERROR(VLOOKUP(B183, PLANTA_BASE!A:W, 8, FALSE), "DOCENTE / FACILITADOR"))</f>
        <v>DOC ASIS/N/V/MT/ESP GER FINANC</v>
      </c>
      <c r="G183" s="7" t="str">
        <f>IF(B183="","",IFERROR(VLOOKUP(B183, PLANTA_BASE!A:W, 9, FALSE), "GENERAL"))</f>
        <v>ESPECIALIZACION EN GERENCIA FINANCIERA</v>
      </c>
      <c r="H183" s="5" t="str">
        <f>IF(B183="","",IFERROR(VLOOKUP(B183, PLANTA_BASE!A:W, 17, FALSE), "GENERAL"))</f>
        <v>ESPECIALIZACION EN GERENCIA FINANCIERA</v>
      </c>
    </row>
    <row r="184" spans="1:8" ht="20.100000000000001" customHeight="1" x14ac:dyDescent="0.25">
      <c r="A184" s="2" t="str">
        <f>IF(B184="","",IFERROR(VLOOKUP(B184, PLANTA_BASE!A:W, 2, FALSE), "NO ENCONTRADO EN PLANTA"))</f>
        <v>VIRTUAL</v>
      </c>
      <c r="B184" s="3" t="s">
        <v>372</v>
      </c>
      <c r="C184" s="4" t="s">
        <v>373</v>
      </c>
      <c r="D184" s="2" t="str">
        <f>IF(B184="","",IFERROR(VLOOKUP(B184, PLANTA_BASE!A:W, 5, FALSE), "NO ENCONTRADO EN PLANTA"))</f>
        <v>REGIONAL VALLE DELCAUCA</v>
      </c>
      <c r="E184" s="2" t="str">
        <f>IF(B184="","",IFERROR(VLOOKUP(B184, PLANTA_BASE!A:W, 6, FALSE), "NO ENCONTRADO EN PLANTA"))</f>
        <v>CALI</v>
      </c>
      <c r="F184" s="4" t="str">
        <f>IF(B184="","",IFERROR(VLOOKUP(B184, PLANTA_BASE!A:W, 8, FALSE), "DOCENTE / FACILITADOR"))</f>
        <v>DOC AUX/N/V/TC/ADMIN PUBLICA/PROYECCION SO</v>
      </c>
      <c r="G184" s="4" t="str">
        <f>IF(B184="","",IFERROR(VLOOKUP(B184, PLANTA_BASE!A:W, 9, FALSE), "GENERAL"))</f>
        <v>ADMINISTRACION PUBLICA</v>
      </c>
      <c r="H184" s="2" t="str">
        <f>IF(B184="","",IFERROR(VLOOKUP(B184, PLANTA_BASE!A:W, 17, FALSE), "GENERAL"))</f>
        <v>ADMINISTRACION PUBLICA</v>
      </c>
    </row>
    <row r="185" spans="1:8" ht="20.100000000000001" customHeight="1" x14ac:dyDescent="0.25">
      <c r="A185" s="5" t="str">
        <f>IF(B185="","",IFERROR(VLOOKUP(B185, PLANTA_BASE!A:W, 2, FALSE), "NO ENCONTRADO EN PLANTA"))</f>
        <v>PRESENCIAL</v>
      </c>
      <c r="B185" s="6" t="s">
        <v>374</v>
      </c>
      <c r="C185" s="7" t="s">
        <v>375</v>
      </c>
      <c r="D185" s="5" t="str">
        <f>IF(B185="","",IFERROR(VLOOKUP(B185, PLANTA_BASE!A:W, 5, FALSE), "NO ENCONTRADO EN PLANTA"))</f>
        <v>REGIONAL BOGOTA</v>
      </c>
      <c r="E185" s="5" t="str">
        <f>IF(B185="","",IFERROR(VLOOKUP(B185, PLANTA_BASE!A:W, 6, FALSE), "NO ENCONTRADO EN PLANTA"))</f>
        <v>BOGOTA CENTRO</v>
      </c>
      <c r="F185" s="7" t="str">
        <f>IF(B185="","",IFERROR(VLOOKUP(B185, PLANTA_BASE!A:W, 8, FALSE), "DOCENTE / FACILITADOR"))</f>
        <v>DOCENTE ASIS/N/TC/ING ELECTRO/FUN.ACADE-ADMIN</v>
      </c>
      <c r="G185" s="7" t="str">
        <f>IF(B185="","",IFERROR(VLOOKUP(B185, PLANTA_BASE!A:W, 9, FALSE), "GENERAL"))</f>
        <v>INGENIERIA ELECTRONICA</v>
      </c>
      <c r="H185" s="5" t="str">
        <f>IF(B185="","",IFERROR(VLOOKUP(B185, PLANTA_BASE!A:W, 17, FALSE), "GENERAL"))</f>
        <v>INGENIERIA ELECTRONICA</v>
      </c>
    </row>
    <row r="186" spans="1:8" ht="20.100000000000001" customHeight="1" x14ac:dyDescent="0.25">
      <c r="A186" s="2" t="str">
        <f>IF(B186="","",IFERROR(VLOOKUP(B186, PLANTA_BASE!A:W, 2, FALSE), "NO ENCONTRADO EN PLANTA"))</f>
        <v>PRESENCIAL</v>
      </c>
      <c r="B186" s="3" t="s">
        <v>376</v>
      </c>
      <c r="C186" s="4" t="s">
        <v>377</v>
      </c>
      <c r="D186" s="2" t="str">
        <f>IF(B186="","",IFERROR(VLOOKUP(B186, PLANTA_BASE!A:W, 5, FALSE), "NO ENCONTRADO EN PLANTA"))</f>
        <v>REGIONAL MAGDALENA</v>
      </c>
      <c r="E186" s="2" t="str">
        <f>IF(B186="","",IFERROR(VLOOKUP(B186, PLANTA_BASE!A:W, 6, FALSE), "NO ENCONTRADO EN PLANTA"))</f>
        <v>SANTA MARTA</v>
      </c>
      <c r="F186" s="4" t="str">
        <f>IF(B186="","",IFERROR(VLOOKUP(B186, PLANTA_BASE!A:W, 8, FALSE), "DOCENTE / FACILITADOR"))</f>
        <v>DOCENTE AUX/N/TC/COM SOC Y PER/FUN.ACADE-ADMIN</v>
      </c>
      <c r="G186" s="4" t="str">
        <f>IF(B186="","",IFERROR(VLOOKUP(B186, PLANTA_BASE!A:W, 9, FALSE), "GENERAL"))</f>
        <v>COMUNICACION SOCIAL Y PERIODISMO</v>
      </c>
      <c r="H186" s="2" t="str">
        <f>IF(B186="","",IFERROR(VLOOKUP(B186, PLANTA_BASE!A:W, 17, FALSE), "GENERAL"))</f>
        <v>COMUNICACION SOCIAL Y PERIODISMO</v>
      </c>
    </row>
    <row r="187" spans="1:8" ht="20.100000000000001" customHeight="1" x14ac:dyDescent="0.25">
      <c r="A187" s="5" t="str">
        <f>IF(B187="","",IFERROR(VLOOKUP(B187, PLANTA_BASE!A:W, 2, FALSE), "NO ENCONTRADO EN PLANTA"))</f>
        <v>VIRTUAL</v>
      </c>
      <c r="B187" s="6" t="s">
        <v>378</v>
      </c>
      <c r="C187" s="7" t="s">
        <v>379</v>
      </c>
      <c r="D187" s="5" t="str">
        <f>IF(B187="","",IFERROR(VLOOKUP(B187, PLANTA_BASE!A:W, 5, FALSE), "NO ENCONTRADO EN PLANTA"))</f>
        <v>REGIONAL CUNDINAMARCA</v>
      </c>
      <c r="E187" s="5" t="str">
        <f>IF(B187="","",IFERROR(VLOOKUP(B187, PLANTA_BASE!A:W, 6, FALSE), "NO ENCONTRADO EN PLANTA"))</f>
        <v>CHÍA</v>
      </c>
      <c r="F187" s="7" t="str">
        <f>IF(B187="","",IFERROR(VLOOKUP(B187, PLANTA_BASE!A:W, 8, FALSE), "DOCENTE / FACILITADOR"))</f>
        <v>DOC AUX/N/V/MT/ADM DE EMPRE</v>
      </c>
      <c r="G187" s="7" t="str">
        <f>IF(B187="","",IFERROR(VLOOKUP(B187, PLANTA_BASE!A:W, 9, FALSE), "GENERAL"))</f>
        <v>ADMINISTRACION DE EMPRESAS</v>
      </c>
      <c r="H187" s="5" t="str">
        <f>IF(B187="","",IFERROR(VLOOKUP(B187, PLANTA_BASE!A:W, 17, FALSE), "GENERAL"))</f>
        <v>ADMINISTRACION DE EMPRESAS</v>
      </c>
    </row>
    <row r="188" spans="1:8" ht="20.100000000000001" customHeight="1" x14ac:dyDescent="0.25">
      <c r="A188" s="2" t="str">
        <f>IF(B188="","",IFERROR(VLOOKUP(B188, PLANTA_BASE!A:W, 2, FALSE), "NO ENCONTRADO EN PLANTA"))</f>
        <v>VIRTUAL</v>
      </c>
      <c r="B188" s="3" t="s">
        <v>380</v>
      </c>
      <c r="C188" s="4" t="s">
        <v>381</v>
      </c>
      <c r="D188" s="2" t="str">
        <f>IF(B188="","",IFERROR(VLOOKUP(B188, PLANTA_BASE!A:W, 5, FALSE), "NO ENCONTRADO EN PLANTA"))</f>
        <v>REGIONAL BOGOTA</v>
      </c>
      <c r="E188" s="2" t="str">
        <f>IF(B188="","",IFERROR(VLOOKUP(B188, PLANTA_BASE!A:W, 6, FALSE), "NO ENCONTRADO EN PLANTA"))</f>
        <v>BOGOTA CENTRO</v>
      </c>
      <c r="F188" s="4" t="str">
        <f>IF(B188="","",IFERROR(VLOOKUP(B188, PLANTA_BASE!A:W, 8, FALSE), "DOCENTE / FACILITADOR"))</f>
        <v>DOC ASIS/N/V/TC/ESP GER TRAN ENER/PROYEC</v>
      </c>
      <c r="G188" s="4" t="str">
        <f>IF(B188="","",IFERROR(VLOOKUP(B188, PLANTA_BASE!A:W, 9, FALSE), "GENERAL"))</f>
        <v>ESPECIALIZACION EN GERENCIA PARA LA TRANSICION ENERGETICA</v>
      </c>
      <c r="H188" s="2" t="str">
        <f>IF(B188="","",IFERROR(VLOOKUP(B188, PLANTA_BASE!A:W, 17, FALSE), "GENERAL"))</f>
        <v>ESPECIALIZACION EN GERENCIA PARA LA TRANSICION ENERGETICA</v>
      </c>
    </row>
    <row r="189" spans="1:8" ht="20.100000000000001" customHeight="1" x14ac:dyDescent="0.25">
      <c r="A189" s="5" t="str">
        <f>IF(B189="","",IFERROR(VLOOKUP(B189, PLANTA_BASE!A:W, 2, FALSE), "NO ENCONTRADO EN PLANTA"))</f>
        <v>VIRTUAL</v>
      </c>
      <c r="B189" s="6" t="s">
        <v>382</v>
      </c>
      <c r="C189" s="7" t="s">
        <v>383</v>
      </c>
      <c r="D189" s="5" t="str">
        <f>IF(B189="","",IFERROR(VLOOKUP(B189, PLANTA_BASE!A:W, 5, FALSE), "NO ENCONTRADO EN PLANTA"))</f>
        <v>REGIONAL CUNDINAMARCA</v>
      </c>
      <c r="E189" s="5" t="str">
        <f>IF(B189="","",IFERROR(VLOOKUP(B189, PLANTA_BASE!A:W, 6, FALSE), "NO ENCONTRADO EN PLANTA"))</f>
        <v>CHÍA</v>
      </c>
      <c r="F189" s="7" t="str">
        <f>IF(B189="","",IFERROR(VLOOKUP(B189, PLANTA_BASE!A:W, 8, FALSE), "DOCENTE / FACILITADOR"))</f>
        <v>DOC ASIS/N/V/TC/ADM DE EMPRE/FUN.ACADE-ADMIN</v>
      </c>
      <c r="G189" s="7" t="str">
        <f>IF(B189="","",IFERROR(VLOOKUP(B189, PLANTA_BASE!A:W, 9, FALSE), "GENERAL"))</f>
        <v>ADMINISTRACION DE EMPRESAS</v>
      </c>
      <c r="H189" s="5" t="str">
        <f>IF(B189="","",IFERROR(VLOOKUP(B189, PLANTA_BASE!A:W, 17, FALSE), "GENERAL"))</f>
        <v>ADMINISTRACION DE EMPRESAS</v>
      </c>
    </row>
    <row r="190" spans="1:8" ht="20.100000000000001" customHeight="1" x14ac:dyDescent="0.25">
      <c r="A190" s="2" t="str">
        <f>IF(B190="","",IFERROR(VLOOKUP(B190, PLANTA_BASE!A:W, 2, FALSE), "NO ENCONTRADO EN PLANTA"))</f>
        <v>VIRTUAL</v>
      </c>
      <c r="B190" s="3" t="s">
        <v>384</v>
      </c>
      <c r="C190" s="4" t="s">
        <v>385</v>
      </c>
      <c r="D190" s="2" t="str">
        <f>IF(B190="","",IFERROR(VLOOKUP(B190, PLANTA_BASE!A:W, 5, FALSE), "NO ENCONTRADO EN PLANTA"))</f>
        <v>REGIONAL BOGOTA</v>
      </c>
      <c r="E190" s="2" t="str">
        <f>IF(B190="","",IFERROR(VLOOKUP(B190, PLANTA_BASE!A:W, 6, FALSE), "NO ENCONTRADO EN PLANTA"))</f>
        <v>BOGOTA CENTRO</v>
      </c>
      <c r="F190" s="4" t="str">
        <f>IF(B190="","",IFERROR(VLOOKUP(B190, PLANTA_BASE!A:W, 8, FALSE), "DOCENTE / FACILITADOR"))</f>
        <v>DOC ASIS/N/V/TC/ADM EMP AGROIN/FUN.ACADE-ADMIN</v>
      </c>
      <c r="G190" s="4" t="str">
        <f>IF(B190="","",IFERROR(VLOOKUP(B190, PLANTA_BASE!A:W, 9, FALSE), "GENERAL"))</f>
        <v>ADMINISTRACION DE EMPRESAS AGROINDUSTRIAL</v>
      </c>
      <c r="H190" s="2" t="str">
        <f>IF(B190="","",IFERROR(VLOOKUP(B190, PLANTA_BASE!A:W, 17, FALSE), "GENERAL"))</f>
        <v>ADMINISTRACION DE EMPRESAS AGROINDUSTRIAL</v>
      </c>
    </row>
    <row r="191" spans="1:8" ht="20.100000000000001" customHeight="1" x14ac:dyDescent="0.25">
      <c r="A191" s="5" t="str">
        <f>IF(B191="","",IFERROR(VLOOKUP(B191, PLANTA_BASE!A:W, 2, FALSE), "NO ENCONTRADO EN PLANTA"))</f>
        <v>PRESENCIAL</v>
      </c>
      <c r="B191" s="6" t="s">
        <v>386</v>
      </c>
      <c r="C191" s="7" t="s">
        <v>387</v>
      </c>
      <c r="D191" s="5" t="str">
        <f>IF(B191="","",IFERROR(VLOOKUP(B191, PLANTA_BASE!A:W, 5, FALSE), "NO ENCONTRADO EN PLANTA"))</f>
        <v>REGIONAL BOGOTA</v>
      </c>
      <c r="E191" s="5" t="str">
        <f>IF(B191="","",IFERROR(VLOOKUP(B191, PLANTA_BASE!A:W, 6, FALSE), "NO ENCONTRADO EN PLANTA"))</f>
        <v>BOGOTA CENTRO</v>
      </c>
      <c r="F191" s="7" t="str">
        <f>IF(B191="","",IFERROR(VLOOKUP(B191, PLANTA_BASE!A:W, 8, FALSE), "DOCENTE / FACILITADOR"))</f>
        <v>DOCENTE ASIS/N/MT-ADM SER SALU</v>
      </c>
      <c r="G191" s="7" t="str">
        <f>IF(B191="","",IFERROR(VLOOKUP(B191, PLANTA_BASE!A:W, 9, FALSE), "GENERAL"))</f>
        <v>ADMINISTRACION EN SERVICIOS DE SALUD</v>
      </c>
      <c r="H191" s="5" t="str">
        <f>IF(B191="","",IFERROR(VLOOKUP(B191, PLANTA_BASE!A:W, 17, FALSE), "GENERAL"))</f>
        <v>ADMINISTRACION EN SERVICIOS DE SALUD</v>
      </c>
    </row>
    <row r="192" spans="1:8" ht="20.100000000000001" customHeight="1" x14ac:dyDescent="0.25">
      <c r="A192" s="2" t="str">
        <f>IF(B192="","",IFERROR(VLOOKUP(B192, PLANTA_BASE!A:W, 2, FALSE), "NO ENCONTRADO EN PLANTA"))</f>
        <v>PRESENCIAL</v>
      </c>
      <c r="B192" s="3" t="s">
        <v>388</v>
      </c>
      <c r="C192" s="4" t="s">
        <v>389</v>
      </c>
      <c r="D192" s="2" t="str">
        <f>IF(B192="","",IFERROR(VLOOKUP(B192, PLANTA_BASE!A:W, 5, FALSE), "NO ENCONTRADO EN PLANTA"))</f>
        <v>REGIONAL NARIñO</v>
      </c>
      <c r="E192" s="2" t="str">
        <f>IF(B192="","",IFERROR(VLOOKUP(B192, PLANTA_BASE!A:W, 6, FALSE), "NO ENCONTRADO EN PLANTA"))</f>
        <v>IPIALES</v>
      </c>
      <c r="F192" s="4" t="str">
        <f>IF(B192="","",IFERROR(VLOOKUP(B192, PLANTA_BASE!A:W, 8, FALSE), "DOCENTE / FACILITADOR"))</f>
        <v>DOCENTE ASIS/N/MT-ADM EM</v>
      </c>
      <c r="G192" s="4" t="str">
        <f>IF(B192="","",IFERROR(VLOOKUP(B192, PLANTA_BASE!A:W, 9, FALSE), "GENERAL"))</f>
        <v>ADMINISTRACION DE EMPRESAS</v>
      </c>
      <c r="H192" s="2" t="str">
        <f>IF(B192="","",IFERROR(VLOOKUP(B192, PLANTA_BASE!A:W, 17, FALSE), "GENERAL"))</f>
        <v>ADMINISTRACION DE EMPRESAS</v>
      </c>
    </row>
    <row r="193" spans="1:8" ht="20.100000000000001" customHeight="1" x14ac:dyDescent="0.25">
      <c r="A193" s="5" t="str">
        <f>IF(B193="","",IFERROR(VLOOKUP(B193, PLANTA_BASE!A:W, 2, FALSE), "NO ENCONTRADO EN PLANTA"))</f>
        <v>PRESENCIAL</v>
      </c>
      <c r="B193" s="6" t="s">
        <v>390</v>
      </c>
      <c r="C193" s="7" t="s">
        <v>391</v>
      </c>
      <c r="D193" s="5" t="str">
        <f>IF(B193="","",IFERROR(VLOOKUP(B193, PLANTA_BASE!A:W, 5, FALSE), "NO ENCONTRADO EN PLANTA"))</f>
        <v>REGIONAL BOGOTA</v>
      </c>
      <c r="E193" s="5" t="str">
        <f>IF(B193="","",IFERROR(VLOOKUP(B193, PLANTA_BASE!A:W, 6, FALSE), "NO ENCONTRADO EN PLANTA"))</f>
        <v>BOGOTA CENTRO</v>
      </c>
      <c r="F193" s="7" t="str">
        <f>IF(B193="","",IFERROR(VLOOKUP(B193, PLANTA_BASE!A:W, 8, FALSE), "DOCENTE / FACILITADOR"))</f>
        <v>DOCENTE AUX/N/MT/DERECHO</v>
      </c>
      <c r="G193" s="7" t="str">
        <f>IF(B193="","",IFERROR(VLOOKUP(B193, PLANTA_BASE!A:W, 9, FALSE), "GENERAL"))</f>
        <v>DERECHO</v>
      </c>
      <c r="H193" s="5" t="str">
        <f>IF(B193="","",IFERROR(VLOOKUP(B193, PLANTA_BASE!A:W, 17, FALSE), "GENERAL"))</f>
        <v>DERECHO</v>
      </c>
    </row>
    <row r="194" spans="1:8" ht="20.100000000000001" customHeight="1" x14ac:dyDescent="0.25">
      <c r="A194" s="2" t="str">
        <f>IF(B194="","",IFERROR(VLOOKUP(B194, PLANTA_BASE!A:W, 2, FALSE), "NO ENCONTRADO EN PLANTA"))</f>
        <v>VIRTUAL</v>
      </c>
      <c r="B194" s="3" t="s">
        <v>392</v>
      </c>
      <c r="C194" s="4" t="s">
        <v>393</v>
      </c>
      <c r="D194" s="2" t="str">
        <f>IF(B194="","",IFERROR(VLOOKUP(B194, PLANTA_BASE!A:W, 5, FALSE), "NO ENCONTRADO EN PLANTA"))</f>
        <v>REGIONAL BOGOTA</v>
      </c>
      <c r="E194" s="2" t="str">
        <f>IF(B194="","",IFERROR(VLOOKUP(B194, PLANTA_BASE!A:W, 6, FALSE), "NO ENCONTRADO EN PLANTA"))</f>
        <v>BOGOTA CENTRO</v>
      </c>
      <c r="F194" s="4" t="str">
        <f>IF(B194="","",IFERROR(VLOOKUP(B194, PLANTA_BASE!A:W, 8, FALSE), "DOCENTE / FACILITADOR"))</f>
        <v>DOC AUX/N/V/TC/INVESTIGACIONES/INVESTIGACI</v>
      </c>
      <c r="G194" s="4" t="str">
        <f>IF(B194="","",IFERROR(VLOOKUP(B194, PLANTA_BASE!A:W, 9, FALSE), "GENERAL"))</f>
        <v>INVESTIGACIONES</v>
      </c>
      <c r="H194" s="2" t="str">
        <f>IF(B194="","",IFERROR(VLOOKUP(B194, PLANTA_BASE!A:W, 17, FALSE), "GENERAL"))</f>
        <v>INVESTIGACIONES</v>
      </c>
    </row>
    <row r="195" spans="1:8" ht="20.100000000000001" customHeight="1" x14ac:dyDescent="0.25">
      <c r="A195" s="5" t="str">
        <f>IF(B195="","",IFERROR(VLOOKUP(B195, PLANTA_BASE!A:W, 2, FALSE), "NO ENCONTRADO EN PLANTA"))</f>
        <v>VIRTUAL</v>
      </c>
      <c r="B195" s="6" t="s">
        <v>394</v>
      </c>
      <c r="C195" s="7" t="s">
        <v>395</v>
      </c>
      <c r="D195" s="5" t="str">
        <f>IF(B195="","",IFERROR(VLOOKUP(B195, PLANTA_BASE!A:W, 5, FALSE), "NO ENCONTRADO EN PLANTA"))</f>
        <v>REGIONAL BOGOTA</v>
      </c>
      <c r="E195" s="5" t="str">
        <f>IF(B195="","",IFERROR(VLOOKUP(B195, PLANTA_BASE!A:W, 6, FALSE), "NO ENCONTRADO EN PLANTA"))</f>
        <v>BOGOTA CENTRO</v>
      </c>
      <c r="F195" s="7" t="str">
        <f>IF(B195="","",IFERROR(VLOOKUP(B195, PLANTA_BASE!A:W, 8, FALSE), "DOCENTE / FACILITADOR"))</f>
        <v>DOC ASIS/N/V/TC/ADM DE EMPRE/FUN.ACADE-ADMIN</v>
      </c>
      <c r="G195" s="7" t="str">
        <f>IF(B195="","",IFERROR(VLOOKUP(B195, PLANTA_BASE!A:W, 9, FALSE), "GENERAL"))</f>
        <v>ADMINISTRACION DE EMPRESAS</v>
      </c>
      <c r="H195" s="5" t="str">
        <f>IF(B195="","",IFERROR(VLOOKUP(B195, PLANTA_BASE!A:W, 17, FALSE), "GENERAL"))</f>
        <v>ADMINISTRACION DE EMPRESAS</v>
      </c>
    </row>
    <row r="196" spans="1:8" ht="20.100000000000001" customHeight="1" x14ac:dyDescent="0.25">
      <c r="A196" s="2" t="str">
        <f>IF(B196="","",IFERROR(VLOOKUP(B196, PLANTA_BASE!A:W, 2, FALSE), "NO ENCONTRADO EN PLANTA"))</f>
        <v>PRESENCIAL</v>
      </c>
      <c r="B196" s="3" t="s">
        <v>396</v>
      </c>
      <c r="C196" s="4" t="s">
        <v>397</v>
      </c>
      <c r="D196" s="2" t="str">
        <f>IF(B196="","",IFERROR(VLOOKUP(B196, PLANTA_BASE!A:W, 5, FALSE), "NO ENCONTRADO EN PLANTA"))</f>
        <v>REGIONAL BOGOTA</v>
      </c>
      <c r="E196" s="2" t="str">
        <f>IF(B196="","",IFERROR(VLOOKUP(B196, PLANTA_BASE!A:W, 6, FALSE), "NO ENCONTRADO EN PLANTA"))</f>
        <v>BOGOTA CENTRO</v>
      </c>
      <c r="F196" s="4" t="str">
        <f>IF(B196="","",IFERROR(VLOOKUP(B196, PLANTA_BASE!A:W, 8, FALSE), "DOCENTE / FACILITADOR"))</f>
        <v>DOCENTE ASOC/N/TC/INVESTIGA/INVESTIGACIO</v>
      </c>
      <c r="G196" s="4" t="str">
        <f>IF(B196="","",IFERROR(VLOOKUP(B196, PLANTA_BASE!A:W, 9, FALSE), "GENERAL"))</f>
        <v>INVESTIGACIONES</v>
      </c>
      <c r="H196" s="2" t="str">
        <f>IF(B196="","",IFERROR(VLOOKUP(B196, PLANTA_BASE!A:W, 17, FALSE), "GENERAL"))</f>
        <v>INVESTIGACIONES</v>
      </c>
    </row>
    <row r="197" spans="1:8" ht="20.100000000000001" customHeight="1" x14ac:dyDescent="0.25">
      <c r="A197" s="5" t="str">
        <f>IF(B197="","",IFERROR(VLOOKUP(B197, PLANTA_BASE!A:W, 2, FALSE), "NO ENCONTRADO EN PLANTA"))</f>
        <v>PRESENCIAL</v>
      </c>
      <c r="B197" s="6" t="s">
        <v>398</v>
      </c>
      <c r="C197" s="7" t="s">
        <v>399</v>
      </c>
      <c r="D197" s="5" t="str">
        <f>IF(B197="","",IFERROR(VLOOKUP(B197, PLANTA_BASE!A:W, 5, FALSE), "NO ENCONTRADO EN PLANTA"))</f>
        <v>REGIONAL BOGOTA</v>
      </c>
      <c r="E197" s="5" t="str">
        <f>IF(B197="","",IFERROR(VLOOKUP(B197, PLANTA_BASE!A:W, 6, FALSE), "NO ENCONTRADO EN PLANTA"))</f>
        <v>BOGOTA CENTRO</v>
      </c>
      <c r="F197" s="7" t="str">
        <f>IF(B197="","",IFERROR(VLOOKUP(B197, PLANTA_BASE!A:W, 8, FALSE), "DOCENTE / FACILITADOR"))</f>
        <v>DOCENTE AUX/N/MT/ADM EM</v>
      </c>
      <c r="G197" s="7" t="str">
        <f>IF(B197="","",IFERROR(VLOOKUP(B197, PLANTA_BASE!A:W, 9, FALSE), "GENERAL"))</f>
        <v>ADMINISTRACION DE EMPRESAS</v>
      </c>
      <c r="H197" s="5" t="str">
        <f>IF(B197="","",IFERROR(VLOOKUP(B197, PLANTA_BASE!A:W, 17, FALSE), "GENERAL"))</f>
        <v>ADMINISTRACION DE EMPRESAS</v>
      </c>
    </row>
    <row r="198" spans="1:8" ht="20.100000000000001" customHeight="1" x14ac:dyDescent="0.25">
      <c r="A198" s="2" t="str">
        <f>IF(B198="","",IFERROR(VLOOKUP(B198, PLANTA_BASE!A:W, 2, FALSE), "NO ENCONTRADO EN PLANTA"))</f>
        <v>VIRTUAL</v>
      </c>
      <c r="B198" s="3" t="s">
        <v>400</v>
      </c>
      <c r="C198" s="4" t="s">
        <v>401</v>
      </c>
      <c r="D198" s="2" t="str">
        <f>IF(B198="","",IFERROR(VLOOKUP(B198, PLANTA_BASE!A:W, 5, FALSE), "NO ENCONTRADO EN PLANTA"))</f>
        <v>REGIONAL BOGOTA</v>
      </c>
      <c r="E198" s="2" t="str">
        <f>IF(B198="","",IFERROR(VLOOKUP(B198, PLANTA_BASE!A:W, 6, FALSE), "NO ENCONTRADO EN PLANTA"))</f>
        <v>BOGOTA CENTRO</v>
      </c>
      <c r="F198" s="4" t="str">
        <f>IF(B198="","",IFERROR(VLOOKUP(B198, PLANTA_BASE!A:W, 8, FALSE), "DOCENTE / FACILITADOR"))</f>
        <v>DOC AUX/N/V/TC/ING DE SISTEMAS/FUN.ACADE-ADMIN</v>
      </c>
      <c r="G198" s="4" t="str">
        <f>IF(B198="","",IFERROR(VLOOKUP(B198, PLANTA_BASE!A:W, 9, FALSE), "GENERAL"))</f>
        <v>INGENIERIA DE SISTEMAS</v>
      </c>
      <c r="H198" s="2" t="str">
        <f>IF(B198="","",IFERROR(VLOOKUP(B198, PLANTA_BASE!A:W, 17, FALSE), "GENERAL"))</f>
        <v>INGENIERIA DE SISTEMAS</v>
      </c>
    </row>
    <row r="199" spans="1:8" ht="20.100000000000001" customHeight="1" x14ac:dyDescent="0.25">
      <c r="A199" s="5" t="str">
        <f>IF(B199="","",IFERROR(VLOOKUP(B199, PLANTA_BASE!A:W, 2, FALSE), "NO ENCONTRADO EN PLANTA"))</f>
        <v>VIRTUAL</v>
      </c>
      <c r="B199" s="6" t="s">
        <v>402</v>
      </c>
      <c r="C199" s="7" t="s">
        <v>403</v>
      </c>
      <c r="D199" s="5" t="str">
        <f>IF(B199="","",IFERROR(VLOOKUP(B199, PLANTA_BASE!A:W, 5, FALSE), "NO ENCONTRADO EN PLANTA"))</f>
        <v>REGIONAL MAGDALENA</v>
      </c>
      <c r="E199" s="5" t="str">
        <f>IF(B199="","",IFERROR(VLOOKUP(B199, PLANTA_BASE!A:W, 6, FALSE), "NO ENCONTRADO EN PLANTA"))</f>
        <v>SANTA MARTA</v>
      </c>
      <c r="F199" s="7" t="str">
        <f>IF(B199="","",IFERROR(VLOOKUP(B199, PLANTA_BASE!A:W, 8, FALSE), "DOCENTE / FACILITADOR"))</f>
        <v>DOC AUX T&amp;T/N/V/MT/ADM EMP AGROIN</v>
      </c>
      <c r="G199" s="7" t="str">
        <f>IF(B199="","",IFERROR(VLOOKUP(B199, PLANTA_BASE!A:W, 9, FALSE), "GENERAL"))</f>
        <v>ADMINISTRACION DE EMPRESAS AGROINDUSTRIAL</v>
      </c>
      <c r="H199" s="5" t="str">
        <f>IF(B199="","",IFERROR(VLOOKUP(B199, PLANTA_BASE!A:W, 17, FALSE), "GENERAL"))</f>
        <v>ADMINISTRACION DE EMPRESAS AGROINDUSTRIAL</v>
      </c>
    </row>
    <row r="200" spans="1:8" ht="20.100000000000001" customHeight="1" x14ac:dyDescent="0.25">
      <c r="A200" s="2" t="str">
        <f>IF(B200="","",IFERROR(VLOOKUP(B200, PLANTA_BASE!A:W, 2, FALSE), "NO ENCONTRADO EN PLANTA"))</f>
        <v>VIRTUAL</v>
      </c>
      <c r="B200" s="3" t="s">
        <v>404</v>
      </c>
      <c r="C200" s="4" t="s">
        <v>405</v>
      </c>
      <c r="D200" s="2" t="str">
        <f>IF(B200="","",IFERROR(VLOOKUP(B200, PLANTA_BASE!A:W, 5, FALSE), "NO ENCONTRADO EN PLANTA"))</f>
        <v>REGIONAL AMAZONAS</v>
      </c>
      <c r="E200" s="2" t="str">
        <f>IF(B200="","",IFERROR(VLOOKUP(B200, PLANTA_BASE!A:W, 6, FALSE), "NO ENCONTRADO EN PLANTA"))</f>
        <v>LETICIA</v>
      </c>
      <c r="F200" s="4" t="str">
        <f>IF(B200="","",IFERROR(VLOOKUP(B200, PLANTA_BASE!A:W, 8, FALSE), "DOCENTE / FACILITADOR"))</f>
        <v>DOC TITULAR/N/V/TC/ING DE SISTEMAS/FUN.ACADE-ADMIN</v>
      </c>
      <c r="G200" s="4" t="str">
        <f>IF(B200="","",IFERROR(VLOOKUP(B200, PLANTA_BASE!A:W, 9, FALSE), "GENERAL"))</f>
        <v>INGENIERIA DE SISTEMAS</v>
      </c>
      <c r="H200" s="2" t="str">
        <f>IF(B200="","",IFERROR(VLOOKUP(B200, PLANTA_BASE!A:W, 17, FALSE), "GENERAL"))</f>
        <v>INGENIERIA DE SISTEMAS</v>
      </c>
    </row>
    <row r="201" spans="1:8" ht="20.100000000000001" customHeight="1" x14ac:dyDescent="0.25">
      <c r="A201" s="5" t="str">
        <f>IF(B201="","",IFERROR(VLOOKUP(B201, PLANTA_BASE!A:W, 2, FALSE), "NO ENCONTRADO EN PLANTA"))</f>
        <v>VIRTUAL</v>
      </c>
      <c r="B201" s="6" t="s">
        <v>406</v>
      </c>
      <c r="C201" s="7" t="s">
        <v>407</v>
      </c>
      <c r="D201" s="5" t="str">
        <f>IF(B201="","",IFERROR(VLOOKUP(B201, PLANTA_BASE!A:W, 5, FALSE), "NO ENCONTRADO EN PLANTA"))</f>
        <v>REGIONAL VALLE DELCAUCA</v>
      </c>
      <c r="E201" s="5" t="str">
        <f>IF(B201="","",IFERROR(VLOOKUP(B201, PLANTA_BASE!A:W, 6, FALSE), "NO ENCONTRADO EN PLANTA"))</f>
        <v>CALI</v>
      </c>
      <c r="F201" s="7" t="str">
        <f>IF(B201="","",IFERROR(VLOOKUP(B201, PLANTA_BASE!A:W, 8, FALSE), "DOCENTE / FACILITADOR"))</f>
        <v>DOC AUX T&amp;T/N/V/TC/INVESTIGACIONES/PROYECC</v>
      </c>
      <c r="G201" s="7" t="str">
        <f>IF(B201="","",IFERROR(VLOOKUP(B201, PLANTA_BASE!A:W, 9, FALSE), "GENERAL"))</f>
        <v>INVESTIGACIONES</v>
      </c>
      <c r="H201" s="5" t="str">
        <f>IF(B201="","",IFERROR(VLOOKUP(B201, PLANTA_BASE!A:W, 17, FALSE), "GENERAL"))</f>
        <v>INVESTIGACIONES</v>
      </c>
    </row>
    <row r="202" spans="1:8" ht="20.100000000000001" customHeight="1" x14ac:dyDescent="0.25">
      <c r="A202" s="2" t="str">
        <f>IF(B202="","",IFERROR(VLOOKUP(B202, PLANTA_BASE!A:W, 2, FALSE), "NO ENCONTRADO EN PLANTA"))</f>
        <v>VIRTUAL</v>
      </c>
      <c r="B202" s="3" t="s">
        <v>408</v>
      </c>
      <c r="C202" s="4" t="s">
        <v>409</v>
      </c>
      <c r="D202" s="2" t="str">
        <f>IF(B202="","",IFERROR(VLOOKUP(B202, PLANTA_BASE!A:W, 5, FALSE), "NO ENCONTRADO EN PLANTA"))</f>
        <v>REGIONAL BOGOTA</v>
      </c>
      <c r="E202" s="2" t="str">
        <f>IF(B202="","",IFERROR(VLOOKUP(B202, PLANTA_BASE!A:W, 6, FALSE), "NO ENCONTRADO EN PLANTA"))</f>
        <v>BOGOTA CENTRO</v>
      </c>
      <c r="F202" s="4" t="str">
        <f>IF(B202="","",IFERROR(VLOOKUP(B202, PLANTA_BASE!A:W, 8, FALSE), "DOCENTE / FACILITADOR"))</f>
        <v>DOC ASIS/N/V/TC/INVESTIGACIONES/INVESTIG</v>
      </c>
      <c r="G202" s="4" t="str">
        <f>IF(B202="","",IFERROR(VLOOKUP(B202, PLANTA_BASE!A:W, 9, FALSE), "GENERAL"))</f>
        <v>INVESTIGACIONES</v>
      </c>
      <c r="H202" s="2" t="str">
        <f>IF(B202="","",IFERROR(VLOOKUP(B202, PLANTA_BASE!A:W, 17, FALSE), "GENERAL"))</f>
        <v>INVESTIGACIONES</v>
      </c>
    </row>
    <row r="203" spans="1:8" ht="20.100000000000001" customHeight="1" x14ac:dyDescent="0.25">
      <c r="A203" s="5" t="str">
        <f>IF(B203="","",IFERROR(VLOOKUP(B203, PLANTA_BASE!A:W, 2, FALSE), "NO ENCONTRADO EN PLANTA"))</f>
        <v>PRESENCIAL</v>
      </c>
      <c r="B203" s="6" t="s">
        <v>410</v>
      </c>
      <c r="C203" s="7" t="s">
        <v>411</v>
      </c>
      <c r="D203" s="5" t="str">
        <f>IF(B203="","",IFERROR(VLOOKUP(B203, PLANTA_BASE!A:W, 5, FALSE), "NO ENCONTRADO EN PLANTA"))</f>
        <v>REGIONAL BOGOTA</v>
      </c>
      <c r="E203" s="5" t="str">
        <f>IF(B203="","",IFERROR(VLOOKUP(B203, PLANTA_BASE!A:W, 6, FALSE), "NO ENCONTRADO EN PLANTA"))</f>
        <v>BOGOTA NORTE</v>
      </c>
      <c r="F203" s="7" t="str">
        <f>IF(B203="","",IFERROR(VLOOKUP(B203, PLANTA_BASE!A:W, 8, FALSE), "DOCENTE / FACILITADOR"))</f>
        <v>DOCENTE ASOC/N/MT-ADM EM</v>
      </c>
      <c r="G203" s="7" t="str">
        <f>IF(B203="","",IFERROR(VLOOKUP(B203, PLANTA_BASE!A:W, 9, FALSE), "GENERAL"))</f>
        <v>ADMINISTRACION DE EMPRESAS</v>
      </c>
      <c r="H203" s="5" t="str">
        <f>IF(B203="","",IFERROR(VLOOKUP(B203, PLANTA_BASE!A:W, 17, FALSE), "GENERAL"))</f>
        <v>ADMINISTRACION DE EMPRESAS</v>
      </c>
    </row>
    <row r="204" spans="1:8" ht="20.100000000000001" customHeight="1" x14ac:dyDescent="0.25">
      <c r="A204" s="2" t="str">
        <f>IF(B204="","",IFERROR(VLOOKUP(B204, PLANTA_BASE!A:W, 2, FALSE), "NO ENCONTRADO EN PLANTA"))</f>
        <v>VIRTUAL</v>
      </c>
      <c r="B204" s="3" t="s">
        <v>412</v>
      </c>
      <c r="C204" s="4" t="s">
        <v>413</v>
      </c>
      <c r="D204" s="2" t="str">
        <f>IF(B204="","",IFERROR(VLOOKUP(B204, PLANTA_BASE!A:W, 5, FALSE), "NO ENCONTRADO EN PLANTA"))</f>
        <v>REGIONAL BOGOTA</v>
      </c>
      <c r="E204" s="2" t="str">
        <f>IF(B204="","",IFERROR(VLOOKUP(B204, PLANTA_BASE!A:W, 6, FALSE), "NO ENCONTRADO EN PLANTA"))</f>
        <v>BOGOTA CENTRO</v>
      </c>
      <c r="F204" s="4" t="str">
        <f>IF(B204="","",IFERROR(VLOOKUP(B204, PLANTA_BASE!A:W, 8, FALSE), "DOCENTE / FACILITADOR"))</f>
        <v>DOC ASIS/N/V/TC/INVESTIGACIONES/INVESTIG</v>
      </c>
      <c r="G204" s="4" t="str">
        <f>IF(B204="","",IFERROR(VLOOKUP(B204, PLANTA_BASE!A:W, 9, FALSE), "GENERAL"))</f>
        <v>INVESTIGACIONES</v>
      </c>
      <c r="H204" s="2" t="str">
        <f>IF(B204="","",IFERROR(VLOOKUP(B204, PLANTA_BASE!A:W, 17, FALSE), "GENERAL"))</f>
        <v>INVESTIGACIONES</v>
      </c>
    </row>
    <row r="205" spans="1:8" ht="20.100000000000001" customHeight="1" x14ac:dyDescent="0.25">
      <c r="A205" s="5" t="str">
        <f>IF(B205="","",IFERROR(VLOOKUP(B205, PLANTA_BASE!A:W, 2, FALSE), "NO ENCONTRADO EN PLANTA"))</f>
        <v>PRESENCIAL</v>
      </c>
      <c r="B205" s="6" t="s">
        <v>414</v>
      </c>
      <c r="C205" s="7" t="s">
        <v>415</v>
      </c>
      <c r="D205" s="5" t="str">
        <f>IF(B205="","",IFERROR(VLOOKUP(B205, PLANTA_BASE!A:W, 5, FALSE), "NO ENCONTRADO EN PLANTA"))</f>
        <v>REGIONAL MAGDALENA</v>
      </c>
      <c r="E205" s="5" t="str">
        <f>IF(B205="","",IFERROR(VLOOKUP(B205, PLANTA_BASE!A:W, 6, FALSE), "NO ENCONTRADO EN PLANTA"))</f>
        <v>SANTA MARTA</v>
      </c>
      <c r="F205" s="7" t="str">
        <f>IF(B205="","",IFERROR(VLOOKUP(B205, PLANTA_BASE!A:W, 8, FALSE), "DOCENTE / FACILITADOR"))</f>
        <v>DOCENTE AUX/N/TC/ADM EMP/FUN.ACADE-ADMIN</v>
      </c>
      <c r="G205" s="7" t="str">
        <f>IF(B205="","",IFERROR(VLOOKUP(B205, PLANTA_BASE!A:W, 9, FALSE), "GENERAL"))</f>
        <v>ADMINISTRACION DE EMPRESAS</v>
      </c>
      <c r="H205" s="5" t="str">
        <f>IF(B205="","",IFERROR(VLOOKUP(B205, PLANTA_BASE!A:W, 17, FALSE), "GENERAL"))</f>
        <v>ADMINISTRACION DE EMPRESAS</v>
      </c>
    </row>
    <row r="206" spans="1:8" ht="20.100000000000001" customHeight="1" x14ac:dyDescent="0.25">
      <c r="A206" s="2" t="str">
        <f>IF(B206="","",IFERROR(VLOOKUP(B206, PLANTA_BASE!A:W, 2, FALSE), "NO ENCONTRADO EN PLANTA"))</f>
        <v>PRESENCIAL</v>
      </c>
      <c r="B206" s="3" t="s">
        <v>416</v>
      </c>
      <c r="C206" s="4" t="s">
        <v>417</v>
      </c>
      <c r="D206" s="2" t="str">
        <f>IF(B206="","",IFERROR(VLOOKUP(B206, PLANTA_BASE!A:W, 5, FALSE), "NO ENCONTRADO EN PLANTA"))</f>
        <v>REGIONAL BOGOTA</v>
      </c>
      <c r="E206" s="2" t="str">
        <f>IF(B206="","",IFERROR(VLOOKUP(B206, PLANTA_BASE!A:W, 6, FALSE), "NO ENCONTRADO EN PLANTA"))</f>
        <v>BOGOTA CENTRO</v>
      </c>
      <c r="F206" s="4" t="str">
        <f>IF(B206="","",IFERROR(VLOOKUP(B206, PLANTA_BASE!A:W, 8, FALSE), "DOCENTE / FACILITADOR"))</f>
        <v>DOC AUX T&amp;T/N/TC/DIS GRAFICO/FUN.ACADE-ADMIN</v>
      </c>
      <c r="G206" s="4" t="str">
        <f>IF(B206="","",IFERROR(VLOOKUP(B206, PLANTA_BASE!A:W, 9, FALSE), "GENERAL"))</f>
        <v>DISEÑO GRAFICO</v>
      </c>
      <c r="H206" s="2" t="str">
        <f>IF(B206="","",IFERROR(VLOOKUP(B206, PLANTA_BASE!A:W, 17, FALSE), "GENERAL"))</f>
        <v>DISEÑO GRAFICO</v>
      </c>
    </row>
    <row r="207" spans="1:8" ht="20.100000000000001" customHeight="1" x14ac:dyDescent="0.25">
      <c r="A207" s="5" t="str">
        <f>IF(B207="","",IFERROR(VLOOKUP(B207, PLANTA_BASE!A:W, 2, FALSE), "NO ENCONTRADO EN PLANTA"))</f>
        <v>PRESENCIAL</v>
      </c>
      <c r="B207" s="6" t="s">
        <v>418</v>
      </c>
      <c r="C207" s="7" t="s">
        <v>419</v>
      </c>
      <c r="D207" s="5" t="str">
        <f>IF(B207="","",IFERROR(VLOOKUP(B207, PLANTA_BASE!A:W, 5, FALSE), "NO ENCONTRADO EN PLANTA"))</f>
        <v>REGIONAL BOGOTA</v>
      </c>
      <c r="E207" s="5" t="str">
        <f>IF(B207="","",IFERROR(VLOOKUP(B207, PLANTA_BASE!A:W, 6, FALSE), "NO ENCONTRADO EN PLANTA"))</f>
        <v>BOGOTA CENTRO</v>
      </c>
      <c r="F207" s="7" t="str">
        <f>IF(B207="","",IFERROR(VLOOKUP(B207, PLANTA_BASE!A:W, 8, FALSE), "DOCENTE / FACILITADOR"))</f>
        <v>DOCENTE ASOC/N/TC/INVESTIGACIONES/INVEST</v>
      </c>
      <c r="G207" s="7" t="str">
        <f>IF(B207="","",IFERROR(VLOOKUP(B207, PLANTA_BASE!A:W, 9, FALSE), "GENERAL"))</f>
        <v>INVESTIGACIONES</v>
      </c>
      <c r="H207" s="5" t="str">
        <f>IF(B207="","",IFERROR(VLOOKUP(B207, PLANTA_BASE!A:W, 17, FALSE), "GENERAL"))</f>
        <v>INVESTIGACIONES</v>
      </c>
    </row>
    <row r="208" spans="1:8" ht="20.100000000000001" customHeight="1" x14ac:dyDescent="0.25">
      <c r="A208" s="2" t="str">
        <f>IF(B208="","",IFERROR(VLOOKUP(B208, PLANTA_BASE!A:W, 2, FALSE), "NO ENCONTRADO EN PLANTA"))</f>
        <v>VIRTUAL</v>
      </c>
      <c r="B208" s="3" t="s">
        <v>420</v>
      </c>
      <c r="C208" s="4" t="s">
        <v>421</v>
      </c>
      <c r="D208" s="2" t="str">
        <f>IF(B208="","",IFERROR(VLOOKUP(B208, PLANTA_BASE!A:W, 5, FALSE), "NO ENCONTRADO EN PLANTA"))</f>
        <v>REGIONAL ATLANTICO</v>
      </c>
      <c r="E208" s="2" t="str">
        <f>IF(B208="","",IFERROR(VLOOKUP(B208, PLANTA_BASE!A:W, 6, FALSE), "NO ENCONTRADO EN PLANTA"))</f>
        <v>BARRANQUILLA</v>
      </c>
      <c r="F208" s="4" t="str">
        <f>IF(B208="","",IFERROR(VLOOKUP(B208, PLANTA_BASE!A:W, 8, FALSE), "DOCENTE / FACILITADOR"))</f>
        <v>DOC ASIS/N/V/TC/CONTADURIA/FUN.ACADE-ADMIN</v>
      </c>
      <c r="G208" s="4" t="str">
        <f>IF(B208="","",IFERROR(VLOOKUP(B208, PLANTA_BASE!A:W, 9, FALSE), "GENERAL"))</f>
        <v>CONTADURIA PUBLICA</v>
      </c>
      <c r="H208" s="2" t="str">
        <f>IF(B208="","",IFERROR(VLOOKUP(B208, PLANTA_BASE!A:W, 17, FALSE), "GENERAL"))</f>
        <v>CONTADURIA PUBLICA</v>
      </c>
    </row>
    <row r="209" spans="1:8" ht="20.100000000000001" customHeight="1" x14ac:dyDescent="0.25">
      <c r="A209" s="5" t="str">
        <f>IF(B209="","",IFERROR(VLOOKUP(B209, PLANTA_BASE!A:W, 2, FALSE), "NO ENCONTRADO EN PLANTA"))</f>
        <v>VIRTUAL</v>
      </c>
      <c r="B209" s="6" t="s">
        <v>422</v>
      </c>
      <c r="C209" s="7" t="s">
        <v>423</v>
      </c>
      <c r="D209" s="5" t="str">
        <f>IF(B209="","",IFERROR(VLOOKUP(B209, PLANTA_BASE!A:W, 5, FALSE), "NO ENCONTRADO EN PLANTA"))</f>
        <v>REGIONAL BOGOTA</v>
      </c>
      <c r="E209" s="5" t="str">
        <f>IF(B209="","",IFERROR(VLOOKUP(B209, PLANTA_BASE!A:W, 6, FALSE), "NO ENCONTRADO EN PLANTA"))</f>
        <v>BOGOTA CENTRO</v>
      </c>
      <c r="F209" s="7" t="str">
        <f>IF(B209="","",IFERROR(VLOOKUP(B209, PLANTA_BASE!A:W, 8, FALSE), "DOCENTE / FACILITADOR"))</f>
        <v>DOC ASOC/N/V/TC/INVESTIGACIONES/INVESTIG</v>
      </c>
      <c r="G209" s="7" t="str">
        <f>IF(B209="","",IFERROR(VLOOKUP(B209, PLANTA_BASE!A:W, 9, FALSE), "GENERAL"))</f>
        <v>INVESTIGACIONES</v>
      </c>
      <c r="H209" s="5" t="str">
        <f>IF(B209="","",IFERROR(VLOOKUP(B209, PLANTA_BASE!A:W, 17, FALSE), "GENERAL"))</f>
        <v>INVESTIGACIONES</v>
      </c>
    </row>
    <row r="210" spans="1:8" ht="20.100000000000001" customHeight="1" x14ac:dyDescent="0.25">
      <c r="A210" s="2" t="str">
        <f>IF(B210="","",IFERROR(VLOOKUP(B210, PLANTA_BASE!A:W, 2, FALSE), "NO ENCONTRADO EN PLANTA"))</f>
        <v>VIRTUAL</v>
      </c>
      <c r="B210" s="3" t="s">
        <v>424</v>
      </c>
      <c r="C210" s="4" t="s">
        <v>425</v>
      </c>
      <c r="D210" s="2" t="str">
        <f>IF(B210="","",IFERROR(VLOOKUP(B210, PLANTA_BASE!A:W, 5, FALSE), "NO ENCONTRADO EN PLANTA"))</f>
        <v>REGIONAL CAUCA</v>
      </c>
      <c r="E210" s="2" t="str">
        <f>IF(B210="","",IFERROR(VLOOKUP(B210, PLANTA_BASE!A:W, 6, FALSE), "NO ENCONTRADO EN PLANTA"))</f>
        <v>POPAYAN</v>
      </c>
      <c r="F210" s="4" t="str">
        <f>IF(B210="","",IFERROR(VLOOKUP(B210, PLANTA_BASE!A:W, 8, FALSE), "DOCENTE / FACILITADOR"))</f>
        <v>DOC ASIS/N/V/TC/EMPRENDIMIENTO/FUN.ACADE-ADMIN</v>
      </c>
      <c r="G210" s="4" t="str">
        <f>IF(B210="","",IFERROR(VLOOKUP(B210, PLANTA_BASE!A:W, 9, FALSE), "GENERAL"))</f>
        <v>EMPRENDIMIENTO</v>
      </c>
      <c r="H210" s="2" t="str">
        <f>IF(B210="","",IFERROR(VLOOKUP(B210, PLANTA_BASE!A:W, 17, FALSE), "GENERAL"))</f>
        <v>EMPRENDIMIENTO</v>
      </c>
    </row>
    <row r="211" spans="1:8" ht="20.100000000000001" customHeight="1" x14ac:dyDescent="0.25">
      <c r="A211" s="5" t="str">
        <f>IF(B211="","",IFERROR(VLOOKUP(B211, PLANTA_BASE!A:W, 2, FALSE), "NO ENCONTRADO EN PLANTA"))</f>
        <v>VIRTUAL</v>
      </c>
      <c r="B211" s="6" t="s">
        <v>426</v>
      </c>
      <c r="C211" s="7" t="s">
        <v>427</v>
      </c>
      <c r="D211" s="5" t="str">
        <f>IF(B211="","",IFERROR(VLOOKUP(B211, PLANTA_BASE!A:W, 5, FALSE), "NO ENCONTRADO EN PLANTA"))</f>
        <v>REGIONAL NORTE DE SANTANDER</v>
      </c>
      <c r="E211" s="5" t="str">
        <f>IF(B211="","",IFERROR(VLOOKUP(B211, PLANTA_BASE!A:W, 6, FALSE), "NO ENCONTRADO EN PLANTA"))</f>
        <v>CUCUTÁ</v>
      </c>
      <c r="F211" s="7" t="str">
        <f>IF(B211="","",IFERROR(VLOOKUP(B211, PLANTA_BASE!A:W, 8, FALSE), "DOCENTE / FACILITADOR"))</f>
        <v>DOC AUX/N/V/TC/INVESTIGACIONES/INVESTIGACI</v>
      </c>
      <c r="G211" s="7" t="str">
        <f>IF(B211="","",IFERROR(VLOOKUP(B211, PLANTA_BASE!A:W, 9, FALSE), "GENERAL"))</f>
        <v>INVESTIGACIONES</v>
      </c>
      <c r="H211" s="5" t="str">
        <f>IF(B211="","",IFERROR(VLOOKUP(B211, PLANTA_BASE!A:W, 17, FALSE), "GENERAL"))</f>
        <v>INVESTIGACIONES</v>
      </c>
    </row>
    <row r="212" spans="1:8" ht="20.100000000000001" customHeight="1" x14ac:dyDescent="0.25">
      <c r="A212" s="2" t="str">
        <f>IF(B212="","",IFERROR(VLOOKUP(B212, PLANTA_BASE!A:W, 2, FALSE), "NO ENCONTRADO EN PLANTA"))</f>
        <v>VIRTUAL</v>
      </c>
      <c r="B212" s="3" t="s">
        <v>428</v>
      </c>
      <c r="C212" s="4" t="s">
        <v>429</v>
      </c>
      <c r="D212" s="2" t="str">
        <f>IF(B212="","",IFERROR(VLOOKUP(B212, PLANTA_BASE!A:W, 5, FALSE), "NO ENCONTRADO EN PLANTA"))</f>
        <v>REGIONAL BOGOTA</v>
      </c>
      <c r="E212" s="2" t="str">
        <f>IF(B212="","",IFERROR(VLOOKUP(B212, PLANTA_BASE!A:W, 6, FALSE), "NO ENCONTRADO EN PLANTA"))</f>
        <v>BOGOTA CENTRO</v>
      </c>
      <c r="F212" s="4" t="str">
        <f>IF(B212="","",IFERROR(VLOOKUP(B212, PLANTA_BASE!A:W, 8, FALSE), "DOCENTE / FACILITADOR"))</f>
        <v>DOC AUX/N/V/TC/CONTADURIA/FUN.ACADE-ADMIN</v>
      </c>
      <c r="G212" s="4" t="str">
        <f>IF(B212="","",IFERROR(VLOOKUP(B212, PLANTA_BASE!A:W, 9, FALSE), "GENERAL"))</f>
        <v>CONTADURIA PUBLICA</v>
      </c>
      <c r="H212" s="2" t="str">
        <f>IF(B212="","",IFERROR(VLOOKUP(B212, PLANTA_BASE!A:W, 17, FALSE), "GENERAL"))</f>
        <v>CONTADURIA PUBLICA</v>
      </c>
    </row>
    <row r="213" spans="1:8" ht="20.100000000000001" customHeight="1" x14ac:dyDescent="0.25">
      <c r="A213" s="5" t="str">
        <f>IF(B213="","",IFERROR(VLOOKUP(B213, PLANTA_BASE!A:W, 2, FALSE), "NO ENCONTRADO EN PLANTA"))</f>
        <v>PRESENCIAL</v>
      </c>
      <c r="B213" s="6" t="s">
        <v>430</v>
      </c>
      <c r="C213" s="7" t="s">
        <v>431</v>
      </c>
      <c r="D213" s="5" t="str">
        <f>IF(B213="","",IFERROR(VLOOKUP(B213, PLANTA_BASE!A:W, 5, FALSE), "NO ENCONTRADO EN PLANTA"))</f>
        <v>REGIONAL BOGOTA</v>
      </c>
      <c r="E213" s="5" t="str">
        <f>IF(B213="","",IFERROR(VLOOKUP(B213, PLANTA_BASE!A:W, 6, FALSE), "NO ENCONTRADO EN PLANTA"))</f>
        <v>BOGOTA FONTIBON</v>
      </c>
      <c r="F213" s="7" t="str">
        <f>IF(B213="","",IFERROR(VLOOKUP(B213, PLANTA_BASE!A:W, 8, FALSE), "DOCENTE / FACILITADOR"))</f>
        <v>DOC AUX T&amp;T/N/MT/ING SISTEM</v>
      </c>
      <c r="G213" s="7" t="str">
        <f>IF(B213="","",IFERROR(VLOOKUP(B213, PLANTA_BASE!A:W, 9, FALSE), "GENERAL"))</f>
        <v>INGENIERIA DE SISTEMAS</v>
      </c>
      <c r="H213" s="5" t="str">
        <f>IF(B213="","",IFERROR(VLOOKUP(B213, PLANTA_BASE!A:W, 17, FALSE), "GENERAL"))</f>
        <v>INGENIERIA DE SISTEMAS</v>
      </c>
    </row>
    <row r="214" spans="1:8" ht="20.100000000000001" customHeight="1" x14ac:dyDescent="0.25">
      <c r="A214" s="2" t="str">
        <f>IF(B214="","",IFERROR(VLOOKUP(B214, PLANTA_BASE!A:W, 2, FALSE), "NO ENCONTRADO EN PLANTA"))</f>
        <v>PRESENCIAL</v>
      </c>
      <c r="B214" s="3" t="s">
        <v>432</v>
      </c>
      <c r="C214" s="4" t="s">
        <v>433</v>
      </c>
      <c r="D214" s="2" t="str">
        <f>IF(B214="","",IFERROR(VLOOKUP(B214, PLANTA_BASE!A:W, 5, FALSE), "NO ENCONTRADO EN PLANTA"))</f>
        <v>REGIONAL TOLIMA</v>
      </c>
      <c r="E214" s="2" t="str">
        <f>IF(B214="","",IFERROR(VLOOKUP(B214, PLANTA_BASE!A:W, 6, FALSE), "NO ENCONTRADO EN PLANTA"))</f>
        <v>IBAGUÉ</v>
      </c>
      <c r="F214" s="4" t="str">
        <f>IF(B214="","",IFERROR(VLOOKUP(B214, PLANTA_BASE!A:W, 8, FALSE), "DOCENTE / FACILITADOR"))</f>
        <v>DOC AUX T&amp;T/N/TC/ADM EMP/FUN.ACADE-ADMIN</v>
      </c>
      <c r="G214" s="4" t="str">
        <f>IF(B214="","",IFERROR(VLOOKUP(B214, PLANTA_BASE!A:W, 9, FALSE), "GENERAL"))</f>
        <v>ADMINISTRACION DE EMPRESAS</v>
      </c>
      <c r="H214" s="2" t="str">
        <f>IF(B214="","",IFERROR(VLOOKUP(B214, PLANTA_BASE!A:W, 17, FALSE), "GENERAL"))</f>
        <v>ADMINISTRACION DE EMPRESAS</v>
      </c>
    </row>
    <row r="215" spans="1:8" ht="20.100000000000001" customHeight="1" x14ac:dyDescent="0.25">
      <c r="A215" s="5" t="str">
        <f>IF(B215="","",IFERROR(VLOOKUP(B215, PLANTA_BASE!A:W, 2, FALSE), "NO ENCONTRADO EN PLANTA"))</f>
        <v>VIRTUAL</v>
      </c>
      <c r="B215" s="6" t="s">
        <v>434</v>
      </c>
      <c r="C215" s="7" t="s">
        <v>435</v>
      </c>
      <c r="D215" s="5" t="str">
        <f>IF(B215="","",IFERROR(VLOOKUP(B215, PLANTA_BASE!A:W, 5, FALSE), "NO ENCONTRADO EN PLANTA"))</f>
        <v>REGIONAL NARIñO</v>
      </c>
      <c r="E215" s="5" t="str">
        <f>IF(B215="","",IFERROR(VLOOKUP(B215, PLANTA_BASE!A:W, 6, FALSE), "NO ENCONTRADO EN PLANTA"))</f>
        <v>IPIALES</v>
      </c>
      <c r="F215" s="7" t="str">
        <f>IF(B215="","",IFERROR(VLOOKUP(B215, PLANTA_BASE!A:W, 8, FALSE), "DOCENTE / FACILITADOR"))</f>
        <v>DOC AUX/N/V/MT/CONTADURIA</v>
      </c>
      <c r="G215" s="7" t="str">
        <f>IF(B215="","",IFERROR(VLOOKUP(B215, PLANTA_BASE!A:W, 9, FALSE), "GENERAL"))</f>
        <v>CONTADURIA PUBLICA</v>
      </c>
      <c r="H215" s="5" t="str">
        <f>IF(B215="","",IFERROR(VLOOKUP(B215, PLANTA_BASE!A:W, 17, FALSE), "GENERAL"))</f>
        <v>CONTADURIA PUBLICA</v>
      </c>
    </row>
    <row r="216" spans="1:8" ht="20.100000000000001" customHeight="1" x14ac:dyDescent="0.25">
      <c r="A216" s="2" t="str">
        <f>IF(B216="","",IFERROR(VLOOKUP(B216, PLANTA_BASE!A:W, 2, FALSE), "NO ENCONTRADO EN PLANTA"))</f>
        <v>VIRTUAL</v>
      </c>
      <c r="B216" s="3" t="s">
        <v>436</v>
      </c>
      <c r="C216" s="4" t="s">
        <v>437</v>
      </c>
      <c r="D216" s="2" t="str">
        <f>IF(B216="","",IFERROR(VLOOKUP(B216, PLANTA_BASE!A:W, 5, FALSE), "NO ENCONTRADO EN PLANTA"))</f>
        <v>REGIONAL CUNDINAMARCA</v>
      </c>
      <c r="E216" s="2" t="str">
        <f>IF(B216="","",IFERROR(VLOOKUP(B216, PLANTA_BASE!A:W, 6, FALSE), "NO ENCONTRADO EN PLANTA"))</f>
        <v>FUSAGASUGÁ</v>
      </c>
      <c r="F216" s="4" t="str">
        <f>IF(B216="","",IFERROR(VLOOKUP(B216, PLANTA_BASE!A:W, 8, FALSE), "DOCENTE / FACILITADOR"))</f>
        <v>DOC AUX/N/V/TC/ESP CONTRA ESTATAL/FUN.AC</v>
      </c>
      <c r="G216" s="4" t="str">
        <f>IF(B216="","",IFERROR(VLOOKUP(B216, PLANTA_BASE!A:W, 9, FALSE), "GENERAL"))</f>
        <v>ESPECIALIZACION DE CONTRATACION ESTATAL</v>
      </c>
      <c r="H216" s="2" t="str">
        <f>IF(B216="","",IFERROR(VLOOKUP(B216, PLANTA_BASE!A:W, 17, FALSE), "GENERAL"))</f>
        <v>ESPECIALIZACION DE CONTRATACION ESTATAL</v>
      </c>
    </row>
    <row r="217" spans="1:8" ht="20.100000000000001" customHeight="1" x14ac:dyDescent="0.25">
      <c r="A217" s="5" t="str">
        <f>IF(B217="","",IFERROR(VLOOKUP(B217, PLANTA_BASE!A:W, 2, FALSE), "NO ENCONTRADO EN PLANTA"))</f>
        <v>VIRTUAL</v>
      </c>
      <c r="B217" s="6" t="s">
        <v>438</v>
      </c>
      <c r="C217" s="7" t="s">
        <v>439</v>
      </c>
      <c r="D217" s="5" t="str">
        <f>IF(B217="","",IFERROR(VLOOKUP(B217, PLANTA_BASE!A:W, 5, FALSE), "NO ENCONTRADO EN PLANTA"))</f>
        <v>REGIONAL SUCRE</v>
      </c>
      <c r="E217" s="5" t="str">
        <f>IF(B217="","",IFERROR(VLOOKUP(B217, PLANTA_BASE!A:W, 6, FALSE), "NO ENCONTRADO EN PLANTA"))</f>
        <v>SINCELEJO</v>
      </c>
      <c r="F217" s="7" t="str">
        <f>IF(B217="","",IFERROR(VLOOKUP(B217, PLANTA_BASE!A:W, 8, FALSE), "DOCENTE / FACILITADOR"))</f>
        <v>DOC ASIS/N/V/TC/DIR PROD ME AUD/FUN.ACA</v>
      </c>
      <c r="G217" s="7" t="str">
        <f>IF(B217="","",IFERROR(VLOOKUP(B217, PLANTA_BASE!A:W, 9, FALSE), "GENERAL"))</f>
        <v>DIRECCION Y PRODUCCION DE MEDIOS AUDIOVISUALES</v>
      </c>
      <c r="H217" s="5" t="str">
        <f>IF(B217="","",IFERROR(VLOOKUP(B217, PLANTA_BASE!A:W, 17, FALSE), "GENERAL"))</f>
        <v>DIRECCION Y PRODUCCION DE MEDIOS AUDIOVISUALES</v>
      </c>
    </row>
    <row r="218" spans="1:8" ht="20.100000000000001" customHeight="1" x14ac:dyDescent="0.25">
      <c r="A218" s="2" t="str">
        <f>IF(B218="","",IFERROR(VLOOKUP(B218, PLANTA_BASE!A:W, 2, FALSE), "NO ENCONTRADO EN PLANTA"))</f>
        <v>VIRTUAL</v>
      </c>
      <c r="B218" s="3" t="s">
        <v>440</v>
      </c>
      <c r="C218" s="4" t="s">
        <v>441</v>
      </c>
      <c r="D218" s="2" t="str">
        <f>IF(B218="","",IFERROR(VLOOKUP(B218, PLANTA_BASE!A:W, 5, FALSE), "NO ENCONTRADO EN PLANTA"))</f>
        <v>REGIONAL VALLE DELCAUCA</v>
      </c>
      <c r="E218" s="2" t="str">
        <f>IF(B218="","",IFERROR(VLOOKUP(B218, PLANTA_BASE!A:W, 6, FALSE), "NO ENCONTRADO EN PLANTA"))</f>
        <v>CALI</v>
      </c>
      <c r="F218" s="4" t="str">
        <f>IF(B218="","",IFERROR(VLOOKUP(B218, PLANTA_BASE!A:W, 8, FALSE), "DOCENTE / FACILITADOR"))</f>
        <v>DOC ASIS/N/V/TC/ESP GERE DE PROY/FUN.ACA</v>
      </c>
      <c r="G218" s="4" t="str">
        <f>IF(B218="","",IFERROR(VLOOKUP(B218, PLANTA_BASE!A:W, 9, FALSE), "GENERAL"))</f>
        <v>ESPECIALIZACION EN GERENCIA DE PROYECTOS</v>
      </c>
      <c r="H218" s="2" t="str">
        <f>IF(B218="","",IFERROR(VLOOKUP(B218, PLANTA_BASE!A:W, 17, FALSE), "GENERAL"))</f>
        <v>ESPECIALIZACION EN GERENCIA DE PROYECTOS</v>
      </c>
    </row>
    <row r="219" spans="1:8" ht="20.100000000000001" customHeight="1" x14ac:dyDescent="0.25">
      <c r="A219" s="5" t="str">
        <f>IF(B219="","",IFERROR(VLOOKUP(B219, PLANTA_BASE!A:W, 2, FALSE), "NO ENCONTRADO EN PLANTA"))</f>
        <v>VIRTUAL</v>
      </c>
      <c r="B219" s="6" t="s">
        <v>442</v>
      </c>
      <c r="C219" s="7" t="s">
        <v>443</v>
      </c>
      <c r="D219" s="5" t="str">
        <f>IF(B219="","",IFERROR(VLOOKUP(B219, PLANTA_BASE!A:W, 5, FALSE), "NO ENCONTRADO EN PLANTA"))</f>
        <v>REGIONAL BOGOTA</v>
      </c>
      <c r="E219" s="5" t="str">
        <f>IF(B219="","",IFERROR(VLOOKUP(B219, PLANTA_BASE!A:W, 6, FALSE), "NO ENCONTRADO EN PLANTA"))</f>
        <v>BOGOTA CENTRO</v>
      </c>
      <c r="F219" s="7" t="str">
        <f>IF(B219="","",IFERROR(VLOOKUP(B219, PLANTA_BASE!A:W, 8, FALSE), "DOCENTE / FACILITADOR"))</f>
        <v>DOC ASOC/N/V/TC/ESP GEST INN MODA/FUN.AC</v>
      </c>
      <c r="G219" s="7" t="str">
        <f>IF(B219="","",IFERROR(VLOOKUP(B219, PLANTA_BASE!A:W, 9, FALSE), "GENERAL"))</f>
        <v>ESPECIALIZACION EN GESTION DE LA INNOVACION DEL SISTEMA MODA</v>
      </c>
      <c r="H219" s="5" t="str">
        <f>IF(B219="","",IFERROR(VLOOKUP(B219, PLANTA_BASE!A:W, 17, FALSE), "GENERAL"))</f>
        <v>ESPECIALIZACION EN GESTION DE LA INNOVACION DEL SISTEMA MODA</v>
      </c>
    </row>
    <row r="220" spans="1:8" ht="20.100000000000001" customHeight="1" x14ac:dyDescent="0.25">
      <c r="A220" s="2" t="str">
        <f>IF(B220="","",IFERROR(VLOOKUP(B220, PLANTA_BASE!A:W, 2, FALSE), "NO ENCONTRADO EN PLANTA"))</f>
        <v>VIRTUAL</v>
      </c>
      <c r="B220" s="3" t="s">
        <v>444</v>
      </c>
      <c r="C220" s="4" t="s">
        <v>445</v>
      </c>
      <c r="D220" s="2" t="str">
        <f>IF(B220="","",IFERROR(VLOOKUP(B220, PLANTA_BASE!A:W, 5, FALSE), "NO ENCONTRADO EN PLANTA"))</f>
        <v>REGIONAL META</v>
      </c>
      <c r="E220" s="2" t="str">
        <f>IF(B220="","",IFERROR(VLOOKUP(B220, PLANTA_BASE!A:W, 6, FALSE), "NO ENCONTRADO EN PLANTA"))</f>
        <v>VILLAVICENCIO</v>
      </c>
      <c r="F220" s="4" t="str">
        <f>IF(B220="","",IFERROR(VLOOKUP(B220, PLANTA_BASE!A:W, 8, FALSE), "DOCENTE / FACILITADOR"))</f>
        <v>DOC ASIS/N/V/TC/ING INDUS/FUN.ACADE-ADMIN</v>
      </c>
      <c r="G220" s="4" t="str">
        <f>IF(B220="","",IFERROR(VLOOKUP(B220, PLANTA_BASE!A:W, 9, FALSE), "GENERAL"))</f>
        <v>INGENIERIA INDUSTRIAL</v>
      </c>
      <c r="H220" s="2" t="str">
        <f>IF(B220="","",IFERROR(VLOOKUP(B220, PLANTA_BASE!A:W, 17, FALSE), "GENERAL"))</f>
        <v>INGENIERIA INDUSTRIAL</v>
      </c>
    </row>
    <row r="221" spans="1:8" ht="20.100000000000001" customHeight="1" x14ac:dyDescent="0.25">
      <c r="A221" s="5" t="str">
        <f>IF(B221="","",IFERROR(VLOOKUP(B221, PLANTA_BASE!A:W, 2, FALSE), "NO ENCONTRADO EN PLANTA"))</f>
        <v>VIRTUAL</v>
      </c>
      <c r="B221" s="6" t="s">
        <v>446</v>
      </c>
      <c r="C221" s="7" t="s">
        <v>447</v>
      </c>
      <c r="D221" s="5" t="str">
        <f>IF(B221="","",IFERROR(VLOOKUP(B221, PLANTA_BASE!A:W, 5, FALSE), "NO ENCONTRADO EN PLANTA"))</f>
        <v>REGIONAL SANTANDER</v>
      </c>
      <c r="E221" s="5" t="str">
        <f>IF(B221="","",IFERROR(VLOOKUP(B221, PLANTA_BASE!A:W, 6, FALSE), "NO ENCONTRADO EN PLANTA"))</f>
        <v>BUCARAMANGA</v>
      </c>
      <c r="F221" s="7" t="str">
        <f>IF(B221="","",IFERROR(VLOOKUP(B221, PLANTA_BASE!A:W, 8, FALSE), "DOCENTE / FACILITADOR"))</f>
        <v>DOC ASIS/N/V/TC/ESP SEG SALUD TRAB/FUN.A</v>
      </c>
      <c r="G221" s="7" t="str">
        <f>IF(B221="","",IFERROR(VLOOKUP(B221, PLANTA_BASE!A:W, 9, FALSE), "GENERAL"))</f>
        <v>ESPECIALIZACION EN SEGURIDAD Y SALUD EN EL TRABAJO</v>
      </c>
      <c r="H221" s="5" t="str">
        <f>IF(B221="","",IFERROR(VLOOKUP(B221, PLANTA_BASE!A:W, 17, FALSE), "GENERAL"))</f>
        <v>ESPECIALIZACION EN SEGURIDAD Y SALUD EN EL TRABAJO</v>
      </c>
    </row>
    <row r="222" spans="1:8" ht="20.100000000000001" customHeight="1" x14ac:dyDescent="0.25">
      <c r="A222" s="2" t="str">
        <f>IF(B222="","",IFERROR(VLOOKUP(B222, PLANTA_BASE!A:W, 2, FALSE), "NO ENCONTRADO EN PLANTA"))</f>
        <v>VIRTUAL</v>
      </c>
      <c r="B222" s="3" t="s">
        <v>448</v>
      </c>
      <c r="C222" s="4" t="s">
        <v>449</v>
      </c>
      <c r="D222" s="2" t="str">
        <f>IF(B222="","",IFERROR(VLOOKUP(B222, PLANTA_BASE!A:W, 5, FALSE), "NO ENCONTRADO EN PLANTA"))</f>
        <v>REGIONAL BOGOTA</v>
      </c>
      <c r="E222" s="2" t="str">
        <f>IF(B222="","",IFERROR(VLOOKUP(B222, PLANTA_BASE!A:W, 6, FALSE), "NO ENCONTRADO EN PLANTA"))</f>
        <v>BOGOTA CENTRO</v>
      </c>
      <c r="F222" s="4" t="str">
        <f>IF(B222="","",IFERROR(VLOOKUP(B222, PLANTA_BASE!A:W, 8, FALSE), "DOCENTE / FACILITADOR"))</f>
        <v>DOC ASIS/N/V/TC/ESP DES Y GEST TAL HUM/F</v>
      </c>
      <c r="G222" s="4" t="str">
        <f>IF(B222="","",IFERROR(VLOOKUP(B222, PLANTA_BASE!A:W, 9, FALSE), "GENERAL"))</f>
        <v>ESPECIALIZACION EN DESARROLLO ORGANIZACIONAL Y GESTION DEL TALENTO HUMANO</v>
      </c>
      <c r="H222" s="2" t="str">
        <f>IF(B222="","",IFERROR(VLOOKUP(B222, PLANTA_BASE!A:W, 17, FALSE), "GENERAL"))</f>
        <v>ESPECIALIZACION EN DESARROLLO ORGANIZACIONAL Y GESTION DEL TALENTO HUMANO</v>
      </c>
    </row>
    <row r="223" spans="1:8" ht="20.100000000000001" customHeight="1" x14ac:dyDescent="0.25">
      <c r="A223" s="5" t="str">
        <f>IF(B223="","",IFERROR(VLOOKUP(B223, PLANTA_BASE!A:W, 2, FALSE), "NO ENCONTRADO EN PLANTA"))</f>
        <v>PRESENCIAL</v>
      </c>
      <c r="B223" s="6" t="s">
        <v>450</v>
      </c>
      <c r="C223" s="7" t="s">
        <v>451</v>
      </c>
      <c r="D223" s="5" t="str">
        <f>IF(B223="","",IFERROR(VLOOKUP(B223, PLANTA_BASE!A:W, 5, FALSE), "NO ENCONTRADO EN PLANTA"))</f>
        <v>REGIONAL SUCRE</v>
      </c>
      <c r="E223" s="5" t="str">
        <f>IF(B223="","",IFERROR(VLOOKUP(B223, PLANTA_BASE!A:W, 6, FALSE), "NO ENCONTRADO EN PLANTA"))</f>
        <v>SINCELEJO</v>
      </c>
      <c r="F223" s="7" t="str">
        <f>IF(B223="","",IFERROR(VLOOKUP(B223, PLANTA_BASE!A:W, 8, FALSE), "DOCENTE / FACILITADOR"))</f>
        <v>DOCENTE ASIS/N/MT-ADM SER SALU</v>
      </c>
      <c r="G223" s="7" t="str">
        <f>IF(B223="","",IFERROR(VLOOKUP(B223, PLANTA_BASE!A:W, 9, FALSE), "GENERAL"))</f>
        <v>ADMINISTRACION DE LA SEGURIDAD SOCIAL</v>
      </c>
      <c r="H223" s="5" t="str">
        <f>IF(B223="","",IFERROR(VLOOKUP(B223, PLANTA_BASE!A:W, 17, FALSE), "GENERAL"))</f>
        <v>ADMINISTRACION DE LA SEGURIDAD SOCIAL</v>
      </c>
    </row>
    <row r="224" spans="1:8" ht="20.100000000000001" customHeight="1" x14ac:dyDescent="0.25">
      <c r="A224" s="2" t="str">
        <f>IF(B224="","",IFERROR(VLOOKUP(B224, PLANTA_BASE!A:W, 2, FALSE), "NO ENCONTRADO EN PLANTA"))</f>
        <v>VIRTUAL</v>
      </c>
      <c r="B224" s="3" t="s">
        <v>452</v>
      </c>
      <c r="C224" s="4" t="s">
        <v>453</v>
      </c>
      <c r="D224" s="2" t="str">
        <f>IF(B224="","",IFERROR(VLOOKUP(B224, PLANTA_BASE!A:W, 5, FALSE), "NO ENCONTRADO EN PLANTA"))</f>
        <v>REGIONAL NORTE DE SANTANDER</v>
      </c>
      <c r="E224" s="2" t="str">
        <f>IF(B224="","",IFERROR(VLOOKUP(B224, PLANTA_BASE!A:W, 6, FALSE), "NO ENCONTRADO EN PLANTA"))</f>
        <v>CUCUTÁ</v>
      </c>
      <c r="F224" s="4" t="str">
        <f>IF(B224="","",IFERROR(VLOOKUP(B224, PLANTA_BASE!A:W, 8, FALSE), "DOCENTE / FACILITADOR"))</f>
        <v>DOC ASIS/N/V/TC/ING INDUS/PROYECCION SO</v>
      </c>
      <c r="G224" s="4" t="str">
        <f>IF(B224="","",IFERROR(VLOOKUP(B224, PLANTA_BASE!A:W, 9, FALSE), "GENERAL"))</f>
        <v>INGENIERIA INDUSTRIAL</v>
      </c>
      <c r="H224" s="2" t="str">
        <f>IF(B224="","",IFERROR(VLOOKUP(B224, PLANTA_BASE!A:W, 17, FALSE), "GENERAL"))</f>
        <v>INGENIERIA INDUSTRIAL</v>
      </c>
    </row>
    <row r="225" spans="1:8" ht="20.100000000000001" customHeight="1" x14ac:dyDescent="0.25">
      <c r="A225" s="5" t="str">
        <f>IF(B225="","",IFERROR(VLOOKUP(B225, PLANTA_BASE!A:W, 2, FALSE), "NO ENCONTRADO EN PLANTA"))</f>
        <v>PRESENCIAL</v>
      </c>
      <c r="B225" s="6" t="s">
        <v>454</v>
      </c>
      <c r="C225" s="7" t="s">
        <v>455</v>
      </c>
      <c r="D225" s="5" t="str">
        <f>IF(B225="","",IFERROR(VLOOKUP(B225, PLANTA_BASE!A:W, 5, FALSE), "NO ENCONTRADO EN PLANTA"))</f>
        <v>REGIONAL SUCRE</v>
      </c>
      <c r="E225" s="5" t="str">
        <f>IF(B225="","",IFERROR(VLOOKUP(B225, PLANTA_BASE!A:W, 6, FALSE), "NO ENCONTRADO EN PLANTA"))</f>
        <v>SINCELEJO</v>
      </c>
      <c r="F225" s="7" t="str">
        <f>IF(B225="","",IFERROR(VLOOKUP(B225, PLANTA_BASE!A:W, 8, FALSE), "DOCENTE / FACILITADOR"))</f>
        <v>DOCENTE AUX/N/TC/ING SISTEM/FUN.ACADE-ADMIN</v>
      </c>
      <c r="G225" s="7" t="str">
        <f>IF(B225="","",IFERROR(VLOOKUP(B225, PLANTA_BASE!A:W, 9, FALSE), "GENERAL"))</f>
        <v>INGENIERIA DE SISTEMAS</v>
      </c>
      <c r="H225" s="5" t="str">
        <f>IF(B225="","",IFERROR(VLOOKUP(B225, PLANTA_BASE!A:W, 17, FALSE), "GENERAL"))</f>
        <v>INGENIERIA DE SISTEMAS</v>
      </c>
    </row>
    <row r="226" spans="1:8" ht="20.100000000000001" customHeight="1" x14ac:dyDescent="0.25">
      <c r="A226" s="2" t="str">
        <f>IF(B226="","",IFERROR(VLOOKUP(B226, PLANTA_BASE!A:W, 2, FALSE), "NO ENCONTRADO EN PLANTA"))</f>
        <v>VIRTUAL</v>
      </c>
      <c r="B226" s="3" t="s">
        <v>456</v>
      </c>
      <c r="C226" s="4" t="s">
        <v>457</v>
      </c>
      <c r="D226" s="2" t="str">
        <f>IF(B226="","",IFERROR(VLOOKUP(B226, PLANTA_BASE!A:W, 5, FALSE), "NO ENCONTRADO EN PLANTA"))</f>
        <v>REGIONAL BOGOTA</v>
      </c>
      <c r="E226" s="2" t="str">
        <f>IF(B226="","",IFERROR(VLOOKUP(B226, PLANTA_BASE!A:W, 6, FALSE), "NO ENCONTRADO EN PLANTA"))</f>
        <v>BOGOTA CENTRO</v>
      </c>
      <c r="F226" s="4" t="str">
        <f>IF(B226="","",IFERROR(VLOOKUP(B226, PLANTA_BASE!A:W, 8, FALSE), "DOCENTE / FACILITADOR"))</f>
        <v>DOC ASIS/N/V/TC/INVESTIGACIONES/INVESTIG</v>
      </c>
      <c r="G226" s="4" t="str">
        <f>IF(B226="","",IFERROR(VLOOKUP(B226, PLANTA_BASE!A:W, 9, FALSE), "GENERAL"))</f>
        <v>INVESTIGACIONES</v>
      </c>
      <c r="H226" s="2" t="str">
        <f>IF(B226="","",IFERROR(VLOOKUP(B226, PLANTA_BASE!A:W, 17, FALSE), "GENERAL"))</f>
        <v>INVESTIGACIONES</v>
      </c>
    </row>
    <row r="227" spans="1:8" ht="20.100000000000001" customHeight="1" x14ac:dyDescent="0.25">
      <c r="A227" s="5" t="str">
        <f>IF(B227="","",IFERROR(VLOOKUP(B227, PLANTA_BASE!A:W, 2, FALSE), "NO ENCONTRADO EN PLANTA"))</f>
        <v>VIRTUAL</v>
      </c>
      <c r="B227" s="6" t="s">
        <v>458</v>
      </c>
      <c r="C227" s="7" t="s">
        <v>459</v>
      </c>
      <c r="D227" s="5" t="str">
        <f>IF(B227="","",IFERROR(VLOOKUP(B227, PLANTA_BASE!A:W, 5, FALSE), "NO ENCONTRADO EN PLANTA"))</f>
        <v>REGIONAL HUILA</v>
      </c>
      <c r="E227" s="5" t="str">
        <f>IF(B227="","",IFERROR(VLOOKUP(B227, PLANTA_BASE!A:W, 6, FALSE), "NO ENCONTRADO EN PLANTA"))</f>
        <v>NEIVA</v>
      </c>
      <c r="F227" s="7" t="str">
        <f>IF(B227="","",IFERROR(VLOOKUP(B227, PLANTA_BASE!A:W, 8, FALSE), "DOCENTE / FACILITADOR"))</f>
        <v>DOC AUX/N/V/TC/ESP SEG SALUD TRAB/FUN.A</v>
      </c>
      <c r="G227" s="7" t="str">
        <f>IF(B227="","",IFERROR(VLOOKUP(B227, PLANTA_BASE!A:W, 9, FALSE), "GENERAL"))</f>
        <v>ESPECIALIZACION EN SEGURIDAD Y SALUD EN EL TRABAJO</v>
      </c>
      <c r="H227" s="5" t="str">
        <f>IF(B227="","",IFERROR(VLOOKUP(B227, PLANTA_BASE!A:W, 17, FALSE), "GENERAL"))</f>
        <v>ESPECIALIZACION EN SEGURIDAD Y SALUD EN EL TRABAJO</v>
      </c>
    </row>
    <row r="228" spans="1:8" ht="20.100000000000001" customHeight="1" x14ac:dyDescent="0.25">
      <c r="A228" s="2" t="str">
        <f>IF(B228="","",IFERROR(VLOOKUP(B228, PLANTA_BASE!A:W, 2, FALSE), "NO ENCONTRADO EN PLANTA"))</f>
        <v>VIRTUAL</v>
      </c>
      <c r="B228" s="3" t="s">
        <v>460</v>
      </c>
      <c r="C228" s="4" t="s">
        <v>461</v>
      </c>
      <c r="D228" s="2" t="str">
        <f>IF(B228="","",IFERROR(VLOOKUP(B228, PLANTA_BASE!A:W, 5, FALSE), "NO ENCONTRADO EN PLANTA"))</f>
        <v>REGIONAL TOLIMA</v>
      </c>
      <c r="E228" s="2" t="str">
        <f>IF(B228="","",IFERROR(VLOOKUP(B228, PLANTA_BASE!A:W, 6, FALSE), "NO ENCONTRADO EN PLANTA"))</f>
        <v>IBAGUÉ</v>
      </c>
      <c r="F228" s="4" t="str">
        <f>IF(B228="","",IFERROR(VLOOKUP(B228, PLANTA_BASE!A:W, 8, FALSE), "DOCENTE / FACILITADOR"))</f>
        <v>DOC AUX/N/V/MT/ING DE SISTEMAS</v>
      </c>
      <c r="G228" s="4" t="str">
        <f>IF(B228="","",IFERROR(VLOOKUP(B228, PLANTA_BASE!A:W, 9, FALSE), "GENERAL"))</f>
        <v>INGENIERIA DE SISTEMAS</v>
      </c>
      <c r="H228" s="2" t="str">
        <f>IF(B228="","",IFERROR(VLOOKUP(B228, PLANTA_BASE!A:W, 17, FALSE), "GENERAL"))</f>
        <v>INGENIERIA DE SISTEMAS</v>
      </c>
    </row>
    <row r="229" spans="1:8" ht="20.100000000000001" customHeight="1" x14ac:dyDescent="0.25">
      <c r="A229" s="5" t="str">
        <f>IF(B229="","",IFERROR(VLOOKUP(B229, PLANTA_BASE!A:W, 2, FALSE), "NO ENCONTRADO EN PLANTA"))</f>
        <v>PRESENCIAL</v>
      </c>
      <c r="B229" s="6" t="s">
        <v>462</v>
      </c>
      <c r="C229" s="7" t="s">
        <v>463</v>
      </c>
      <c r="D229" s="5" t="str">
        <f>IF(B229="","",IFERROR(VLOOKUP(B229, PLANTA_BASE!A:W, 5, FALSE), "NO ENCONTRADO EN PLANTA"))</f>
        <v>REGIONAL BOGOTA</v>
      </c>
      <c r="E229" s="5" t="str">
        <f>IF(B229="","",IFERROR(VLOOKUP(B229, PLANTA_BASE!A:W, 6, FALSE), "NO ENCONTRADO EN PLANTA"))</f>
        <v>BOGOTA SUR</v>
      </c>
      <c r="F229" s="7" t="str">
        <f>IF(B229="","",IFERROR(VLOOKUP(B229, PLANTA_BASE!A:W, 8, FALSE), "DOCENTE / FACILITADOR"))</f>
        <v>DOCENTE ASIS/N/MT-ADM SER SALU</v>
      </c>
      <c r="G229" s="7" t="str">
        <f>IF(B229="","",IFERROR(VLOOKUP(B229, PLANTA_BASE!A:W, 9, FALSE), "GENERAL"))</f>
        <v>ADMINISTRACION EN SERVICIOS DE SALUD</v>
      </c>
      <c r="H229" s="5" t="str">
        <f>IF(B229="","",IFERROR(VLOOKUP(B229, PLANTA_BASE!A:W, 17, FALSE), "GENERAL"))</f>
        <v>ADMINISTRACION EN SERVICIOS DE SALUD</v>
      </c>
    </row>
    <row r="230" spans="1:8" ht="20.100000000000001" customHeight="1" x14ac:dyDescent="0.25">
      <c r="A230" s="2" t="str">
        <f>IF(B230="","",IFERROR(VLOOKUP(B230, PLANTA_BASE!A:W, 2, FALSE), "NO ENCONTRADO EN PLANTA"))</f>
        <v>PRESENCIAL</v>
      </c>
      <c r="B230" s="3" t="s">
        <v>464</v>
      </c>
      <c r="C230" s="4" t="s">
        <v>465</v>
      </c>
      <c r="D230" s="2" t="str">
        <f>IF(B230="","",IFERROR(VLOOKUP(B230, PLANTA_BASE!A:W, 5, FALSE), "NO ENCONTRADO EN PLANTA"))</f>
        <v>REGIONAL SUCRE</v>
      </c>
      <c r="E230" s="2" t="str">
        <f>IF(B230="","",IFERROR(VLOOKUP(B230, PLANTA_BASE!A:W, 6, FALSE), "NO ENCONTRADO EN PLANTA"))</f>
        <v>SINCELEJO</v>
      </c>
      <c r="F230" s="4" t="str">
        <f>IF(B230="","",IFERROR(VLOOKUP(B230, PLANTA_BASE!A:W, 8, FALSE), "DOCENTE / FACILITADOR"))</f>
        <v>DOC AUX T&amp;T/N/TC/ING SISTEM/PROYECCION</v>
      </c>
      <c r="G230" s="4" t="str">
        <f>IF(B230="","",IFERROR(VLOOKUP(B230, PLANTA_BASE!A:W, 9, FALSE), "GENERAL"))</f>
        <v>INGENIERIA DE SISTEMAS</v>
      </c>
      <c r="H230" s="2" t="str">
        <f>IF(B230="","",IFERROR(VLOOKUP(B230, PLANTA_BASE!A:W, 17, FALSE), "GENERAL"))</f>
        <v>INGENIERIA DE SISTEMAS</v>
      </c>
    </row>
    <row r="231" spans="1:8" ht="20.100000000000001" customHeight="1" x14ac:dyDescent="0.25">
      <c r="A231" s="5" t="str">
        <f>IF(B231="","",IFERROR(VLOOKUP(B231, PLANTA_BASE!A:W, 2, FALSE), "NO ENCONTRADO EN PLANTA"))</f>
        <v>PRESENCIAL</v>
      </c>
      <c r="B231" s="6" t="s">
        <v>466</v>
      </c>
      <c r="C231" s="7" t="s">
        <v>467</v>
      </c>
      <c r="D231" s="5" t="str">
        <f>IF(B231="","",IFERROR(VLOOKUP(B231, PLANTA_BASE!A:W, 5, FALSE), "NO ENCONTRADO EN PLANTA"))</f>
        <v>REGIONAL SUCRE</v>
      </c>
      <c r="E231" s="5" t="str">
        <f>IF(B231="","",IFERROR(VLOOKUP(B231, PLANTA_BASE!A:W, 6, FALSE), "NO ENCONTRADO EN PLANTA"))</f>
        <v>SINCELEJO</v>
      </c>
      <c r="F231" s="7" t="str">
        <f>IF(B231="","",IFERROR(VLOOKUP(B231, PLANTA_BASE!A:W, 8, FALSE), "DOCENTE / FACILITADOR"))</f>
        <v>DOCENTE AUX/N/TC/ADM EMP/PROYECCION SOCI</v>
      </c>
      <c r="G231" s="7" t="str">
        <f>IF(B231="","",IFERROR(VLOOKUP(B231, PLANTA_BASE!A:W, 9, FALSE), "GENERAL"))</f>
        <v>ADMINISTRACION DE EMPRESAS</v>
      </c>
      <c r="H231" s="5" t="str">
        <f>IF(B231="","",IFERROR(VLOOKUP(B231, PLANTA_BASE!A:W, 17, FALSE), "GENERAL"))</f>
        <v>ADMINISTRACION DE EMPRESAS</v>
      </c>
    </row>
    <row r="232" spans="1:8" ht="20.100000000000001" customHeight="1" x14ac:dyDescent="0.25">
      <c r="A232" s="2" t="str">
        <f>IF(B232="","",IFERROR(VLOOKUP(B232, PLANTA_BASE!A:W, 2, FALSE), "NO ENCONTRADO EN PLANTA"))</f>
        <v>PRESENCIAL</v>
      </c>
      <c r="B232" s="3" t="s">
        <v>468</v>
      </c>
      <c r="C232" s="4" t="s">
        <v>469</v>
      </c>
      <c r="D232" s="2" t="str">
        <f>IF(B232="","",IFERROR(VLOOKUP(B232, PLANTA_BASE!A:W, 5, FALSE), "NO ENCONTRADO EN PLANTA"))</f>
        <v>REGIONAL SUCRE</v>
      </c>
      <c r="E232" s="2" t="str">
        <f>IF(B232="","",IFERROR(VLOOKUP(B232, PLANTA_BASE!A:W, 6, FALSE), "NO ENCONTRADO EN PLANTA"))</f>
        <v>SINCELEJO</v>
      </c>
      <c r="F232" s="4" t="str">
        <f>IF(B232="","",IFERROR(VLOOKUP(B232, PLANTA_BASE!A:W, 8, FALSE), "DOCENTE / FACILITADOR"))</f>
        <v>DOCENTE ASOC/N/TC/ADM EMP/PRACTICAS</v>
      </c>
      <c r="G232" s="4" t="str">
        <f>IF(B232="","",IFERROR(VLOOKUP(B232, PLANTA_BASE!A:W, 9, FALSE), "GENERAL"))</f>
        <v>ADMINISTRACION DE EMPRESAS</v>
      </c>
      <c r="H232" s="2" t="str">
        <f>IF(B232="","",IFERROR(VLOOKUP(B232, PLANTA_BASE!A:W, 17, FALSE), "GENERAL"))</f>
        <v>ADMINISTRACION DE EMPRESAS</v>
      </c>
    </row>
    <row r="233" spans="1:8" ht="20.100000000000001" customHeight="1" x14ac:dyDescent="0.25">
      <c r="A233" s="5" t="str">
        <f>IF(B233="","",IFERROR(VLOOKUP(B233, PLANTA_BASE!A:W, 2, FALSE), "NO ENCONTRADO EN PLANTA"))</f>
        <v>PRESENCIAL</v>
      </c>
      <c r="B233" s="6" t="s">
        <v>470</v>
      </c>
      <c r="C233" s="7" t="s">
        <v>471</v>
      </c>
      <c r="D233" s="5" t="str">
        <f>IF(B233="","",IFERROR(VLOOKUP(B233, PLANTA_BASE!A:W, 5, FALSE), "NO ENCONTRADO EN PLANTA"))</f>
        <v>REGIONAL SUCRE</v>
      </c>
      <c r="E233" s="5" t="str">
        <f>IF(B233="","",IFERROR(VLOOKUP(B233, PLANTA_BASE!A:W, 6, FALSE), "NO ENCONTRADO EN PLANTA"))</f>
        <v>SINCELEJO</v>
      </c>
      <c r="F233" s="7" t="str">
        <f>IF(B233="","",IFERROR(VLOOKUP(B233, PLANTA_BASE!A:W, 8, FALSE), "DOCENTE / FACILITADOR"))</f>
        <v>DOCENTE AUX/N/MT/ING SISTEM</v>
      </c>
      <c r="G233" s="7" t="str">
        <f>IF(B233="","",IFERROR(VLOOKUP(B233, PLANTA_BASE!A:W, 9, FALSE), "GENERAL"))</f>
        <v>INGENIERIA DE SISTEMAS</v>
      </c>
      <c r="H233" s="5" t="str">
        <f>IF(B233="","",IFERROR(VLOOKUP(B233, PLANTA_BASE!A:W, 17, FALSE), "GENERAL"))</f>
        <v>INGENIERIA DE SISTEMAS</v>
      </c>
    </row>
    <row r="234" spans="1:8" ht="20.100000000000001" customHeight="1" x14ac:dyDescent="0.25">
      <c r="A234" s="2" t="str">
        <f>IF(B234="","",IFERROR(VLOOKUP(B234, PLANTA_BASE!A:W, 2, FALSE), "NO ENCONTRADO EN PLANTA"))</f>
        <v>PRESENCIAL</v>
      </c>
      <c r="B234" s="3" t="s">
        <v>472</v>
      </c>
      <c r="C234" s="4" t="s">
        <v>473</v>
      </c>
      <c r="D234" s="2" t="str">
        <f>IF(B234="","",IFERROR(VLOOKUP(B234, PLANTA_BASE!A:W, 5, FALSE), "NO ENCONTRADO EN PLANTA"))</f>
        <v>REGIONAL SUCRE</v>
      </c>
      <c r="E234" s="2" t="str">
        <f>IF(B234="","",IFERROR(VLOOKUP(B234, PLANTA_BASE!A:W, 6, FALSE), "NO ENCONTRADO EN PLANTA"))</f>
        <v>SINCELEJO</v>
      </c>
      <c r="F234" s="4" t="str">
        <f>IF(B234="","",IFERROR(VLOOKUP(B234, PLANTA_BASE!A:W, 8, FALSE), "DOCENTE / FACILITADOR"))</f>
        <v>DOCENTE AUX/N/MT/CIEN BASI</v>
      </c>
      <c r="G234" s="4" t="str">
        <f>IF(B234="","",IFERROR(VLOOKUP(B234, PLANTA_BASE!A:W, 9, FALSE), "GENERAL"))</f>
        <v>CIENCIAS BASICAS</v>
      </c>
      <c r="H234" s="2" t="str">
        <f>IF(B234="","",IFERROR(VLOOKUP(B234, PLANTA_BASE!A:W, 17, FALSE), "GENERAL"))</f>
        <v>CIENCIAS BASICAS</v>
      </c>
    </row>
    <row r="235" spans="1:8" ht="20.100000000000001" customHeight="1" x14ac:dyDescent="0.25">
      <c r="A235" s="5" t="str">
        <f>IF(B235="","",IFERROR(VLOOKUP(B235, PLANTA_BASE!A:W, 2, FALSE), "NO ENCONTRADO EN PLANTA"))</f>
        <v>VIRTUAL</v>
      </c>
      <c r="B235" s="6" t="s">
        <v>474</v>
      </c>
      <c r="C235" s="7" t="s">
        <v>475</v>
      </c>
      <c r="D235" s="5" t="str">
        <f>IF(B235="","",IFERROR(VLOOKUP(B235, PLANTA_BASE!A:W, 5, FALSE), "NO ENCONTRADO EN PLANTA"))</f>
        <v>REGIONAL SANTANDER</v>
      </c>
      <c r="E235" s="5" t="str">
        <f>IF(B235="","",IFERROR(VLOOKUP(B235, PLANTA_BASE!A:W, 6, FALSE), "NO ENCONTRADO EN PLANTA"))</f>
        <v>BUCARAMANGA</v>
      </c>
      <c r="F235" s="7" t="str">
        <f>IF(B235="","",IFERROR(VLOOKUP(B235, PLANTA_BASE!A:W, 8, FALSE), "DOCENTE / FACILITADOR"))</f>
        <v>DOC AUX T&amp;T/N/V/TC/EMPRENDIMIENTO/PROYECTO</v>
      </c>
      <c r="G235" s="7" t="str">
        <f>IF(B235="","",IFERROR(VLOOKUP(B235, PLANTA_BASE!A:W, 9, FALSE), "GENERAL"))</f>
        <v>EMPRENDIMIENTO</v>
      </c>
      <c r="H235" s="5" t="str">
        <f>IF(B235="","",IFERROR(VLOOKUP(B235, PLANTA_BASE!A:W, 17, FALSE), "GENERAL"))</f>
        <v>EMPRENDIMIENTO</v>
      </c>
    </row>
    <row r="236" spans="1:8" ht="20.100000000000001" customHeight="1" x14ac:dyDescent="0.25">
      <c r="A236" s="2" t="str">
        <f>IF(B236="","",IFERROR(VLOOKUP(B236, PLANTA_BASE!A:W, 2, FALSE), "NO ENCONTRADO EN PLANTA"))</f>
        <v>PRESENCIAL</v>
      </c>
      <c r="B236" s="3" t="s">
        <v>476</v>
      </c>
      <c r="C236" s="4" t="s">
        <v>477</v>
      </c>
      <c r="D236" s="2" t="str">
        <f>IF(B236="","",IFERROR(VLOOKUP(B236, PLANTA_BASE!A:W, 5, FALSE), "NO ENCONTRADO EN PLANTA"))</f>
        <v>REGIONAL SUCRE</v>
      </c>
      <c r="E236" s="2" t="str">
        <f>IF(B236="","",IFERROR(VLOOKUP(B236, PLANTA_BASE!A:W, 6, FALSE), "NO ENCONTRADO EN PLANTA"))</f>
        <v>SINCELEJO</v>
      </c>
      <c r="F236" s="4" t="str">
        <f>IF(B236="","",IFERROR(VLOOKUP(B236, PLANTA_BASE!A:W, 8, FALSE), "DOCENTE / FACILITADOR"))</f>
        <v>DOCENTE AUX/N/TC/ADM EMP/FUN.ACADE-ADMIN</v>
      </c>
      <c r="G236" s="4" t="str">
        <f>IF(B236="","",IFERROR(VLOOKUP(B236, PLANTA_BASE!A:W, 9, FALSE), "GENERAL"))</f>
        <v>ADMINISTRACION DE EMPRESAS</v>
      </c>
      <c r="H236" s="2" t="str">
        <f>IF(B236="","",IFERROR(VLOOKUP(B236, PLANTA_BASE!A:W, 17, FALSE), "GENERAL"))</f>
        <v>ADMINISTRACION DE EMPRESAS</v>
      </c>
    </row>
    <row r="237" spans="1:8" ht="20.100000000000001" customHeight="1" x14ac:dyDescent="0.25">
      <c r="A237" s="5" t="str">
        <f>IF(B237="","",IFERROR(VLOOKUP(B237, PLANTA_BASE!A:W, 2, FALSE), "NO ENCONTRADO EN PLANTA"))</f>
        <v>VIRTUAL</v>
      </c>
      <c r="B237" s="6" t="s">
        <v>478</v>
      </c>
      <c r="C237" s="7" t="s">
        <v>479</v>
      </c>
      <c r="D237" s="5" t="str">
        <f>IF(B237="","",IFERROR(VLOOKUP(B237, PLANTA_BASE!A:W, 5, FALSE), "NO ENCONTRADO EN PLANTA"))</f>
        <v>REGIONAL BOGOTA</v>
      </c>
      <c r="E237" s="5" t="str">
        <f>IF(B237="","",IFERROR(VLOOKUP(B237, PLANTA_BASE!A:W, 6, FALSE), "NO ENCONTRADO EN PLANTA"))</f>
        <v>BOGOTA CENTRO</v>
      </c>
      <c r="F237" s="7" t="str">
        <f>IF(B237="","",IFERROR(VLOOKUP(B237, PLANTA_BASE!A:W, 8, FALSE), "DOCENTE / FACILITADOR"))</f>
        <v>DOC ASIS/N/V/TC/ESP TRANSF DIGITAL/FUN.ACADE-ADMIN</v>
      </c>
      <c r="G237" s="7" t="str">
        <f>IF(B237="","",IFERROR(VLOOKUP(B237, PLANTA_BASE!A:W, 9, FALSE), "GENERAL"))</f>
        <v>ESPECIALIZACION DE TRANSFORMACION DIGITAL</v>
      </c>
      <c r="H237" s="5" t="str">
        <f>IF(B237="","",IFERROR(VLOOKUP(B237, PLANTA_BASE!A:W, 17, FALSE), "GENERAL"))</f>
        <v>ESPECIALIZACION DE TRANSFORMACION DIGITAL</v>
      </c>
    </row>
    <row r="238" spans="1:8" ht="20.100000000000001" customHeight="1" x14ac:dyDescent="0.25">
      <c r="A238" s="2" t="str">
        <f>IF(B238="","",IFERROR(VLOOKUP(B238, PLANTA_BASE!A:W, 2, FALSE), "NO ENCONTRADO EN PLANTA"))</f>
        <v>PRESENCIAL</v>
      </c>
      <c r="B238" s="3" t="s">
        <v>480</v>
      </c>
      <c r="C238" s="4" t="s">
        <v>481</v>
      </c>
      <c r="D238" s="2" t="str">
        <f>IF(B238="","",IFERROR(VLOOKUP(B238, PLANTA_BASE!A:W, 5, FALSE), "NO ENCONTRADO EN PLANTA"))</f>
        <v>REGIONAL SUCRE</v>
      </c>
      <c r="E238" s="2" t="str">
        <f>IF(B238="","",IFERROR(VLOOKUP(B238, PLANTA_BASE!A:W, 6, FALSE), "NO ENCONTRADO EN PLANTA"))</f>
        <v>SINCELEJO</v>
      </c>
      <c r="F238" s="4" t="str">
        <f>IF(B238="","",IFERROR(VLOOKUP(B238, PLANTA_BASE!A:W, 8, FALSE), "DOCENTE / FACILITADOR"))</f>
        <v>DOCENTE ASIS/N/TC/ADM SER SALU/FUN.ACADE-ADMIN</v>
      </c>
      <c r="G238" s="4" t="str">
        <f>IF(B238="","",IFERROR(VLOOKUP(B238, PLANTA_BASE!A:W, 9, FALSE), "GENERAL"))</f>
        <v>ADMINISTRACION DE LA SEGURIDAD SOCIAL</v>
      </c>
      <c r="H238" s="2" t="str">
        <f>IF(B238="","",IFERROR(VLOOKUP(B238, PLANTA_BASE!A:W, 17, FALSE), "GENERAL"))</f>
        <v>ADMINISTRACION DE LA SEGURIDAD SOCIAL</v>
      </c>
    </row>
    <row r="239" spans="1:8" ht="20.100000000000001" customHeight="1" x14ac:dyDescent="0.25">
      <c r="A239" s="5" t="str">
        <f>IF(B239="","",IFERROR(VLOOKUP(B239, PLANTA_BASE!A:W, 2, FALSE), "NO ENCONTRADO EN PLANTA"))</f>
        <v>PRESENCIAL</v>
      </c>
      <c r="B239" s="6" t="s">
        <v>482</v>
      </c>
      <c r="C239" s="7" t="s">
        <v>483</v>
      </c>
      <c r="D239" s="5" t="str">
        <f>IF(B239="","",IFERROR(VLOOKUP(B239, PLANTA_BASE!A:W, 5, FALSE), "NO ENCONTRADO EN PLANTA"))</f>
        <v>REGIONAL SUCRE</v>
      </c>
      <c r="E239" s="5" t="str">
        <f>IF(B239="","",IFERROR(VLOOKUP(B239, PLANTA_BASE!A:W, 6, FALSE), "NO ENCONTRADO EN PLANTA"))</f>
        <v>SINCELEJO</v>
      </c>
      <c r="F239" s="7" t="str">
        <f>IF(B239="","",IFERROR(VLOOKUP(B239, PLANTA_BASE!A:W, 8, FALSE), "DOCENTE / FACILITADOR"))</f>
        <v>DOC AUX T&amp;T/N/MT/ING SISTEM</v>
      </c>
      <c r="G239" s="7" t="str">
        <f>IF(B239="","",IFERROR(VLOOKUP(B239, PLANTA_BASE!A:W, 9, FALSE), "GENERAL"))</f>
        <v>INGENIERIA DE SISTEMAS</v>
      </c>
      <c r="H239" s="5" t="str">
        <f>IF(B239="","",IFERROR(VLOOKUP(B239, PLANTA_BASE!A:W, 17, FALSE), "GENERAL"))</f>
        <v>INGENIERIA DE SISTEMAS</v>
      </c>
    </row>
    <row r="240" spans="1:8" ht="20.100000000000001" customHeight="1" x14ac:dyDescent="0.25">
      <c r="A240" s="2" t="str">
        <f>IF(B240="","",IFERROR(VLOOKUP(B240, PLANTA_BASE!A:W, 2, FALSE), "NO ENCONTRADO EN PLANTA"))</f>
        <v>PRESENCIAL</v>
      </c>
      <c r="B240" s="3" t="s">
        <v>484</v>
      </c>
      <c r="C240" s="4" t="s">
        <v>485</v>
      </c>
      <c r="D240" s="2" t="str">
        <f>IF(B240="","",IFERROR(VLOOKUP(B240, PLANTA_BASE!A:W, 5, FALSE), "NO ENCONTRADO EN PLANTA"))</f>
        <v>REGIONAL SUCRE</v>
      </c>
      <c r="E240" s="2" t="str">
        <f>IF(B240="","",IFERROR(VLOOKUP(B240, PLANTA_BASE!A:W, 6, FALSE), "NO ENCONTRADO EN PLANTA"))</f>
        <v>SINCELEJO</v>
      </c>
      <c r="F240" s="4" t="str">
        <f>IF(B240="","",IFERROR(VLOOKUP(B240, PLANTA_BASE!A:W, 8, FALSE), "DOCENTE / FACILITADOR"))</f>
        <v>DOCENTE ASIS/N/MT/ING SISTEM</v>
      </c>
      <c r="G240" s="4" t="str">
        <f>IF(B240="","",IFERROR(VLOOKUP(B240, PLANTA_BASE!A:W, 9, FALSE), "GENERAL"))</f>
        <v>INGENIERIA DE SISTEMAS</v>
      </c>
      <c r="H240" s="2" t="str">
        <f>IF(B240="","",IFERROR(VLOOKUP(B240, PLANTA_BASE!A:W, 17, FALSE), "GENERAL"))</f>
        <v>INGENIERIA DE SISTEMAS</v>
      </c>
    </row>
    <row r="241" spans="1:8" ht="20.100000000000001" customHeight="1" x14ac:dyDescent="0.25">
      <c r="A241" s="5" t="str">
        <f>IF(B241="","",IFERROR(VLOOKUP(B241, PLANTA_BASE!A:W, 2, FALSE), "NO ENCONTRADO EN PLANTA"))</f>
        <v>VIRTUAL</v>
      </c>
      <c r="B241" s="6" t="s">
        <v>486</v>
      </c>
      <c r="C241" s="7" t="s">
        <v>487</v>
      </c>
      <c r="D241" s="5" t="str">
        <f>IF(B241="","",IFERROR(VLOOKUP(B241, PLANTA_BASE!A:W, 5, FALSE), "NO ENCONTRADO EN PLANTA"))</f>
        <v>REGIONAL BOGOTA</v>
      </c>
      <c r="E241" s="5" t="str">
        <f>IF(B241="","",IFERROR(VLOOKUP(B241, PLANTA_BASE!A:W, 6, FALSE), "NO ENCONTRADO EN PLANTA"))</f>
        <v>BOGOTA CENTRO</v>
      </c>
      <c r="F241" s="7" t="str">
        <f>IF(B241="","",IFERROR(VLOOKUP(B241, PLANTA_BASE!A:W, 8, FALSE), "DOCENTE / FACILITADOR"))</f>
        <v>DOC ASOC/N/V/TC/INVESTIGACIONES/INVESTIGAC</v>
      </c>
      <c r="G241" s="7" t="str">
        <f>IF(B241="","",IFERROR(VLOOKUP(B241, PLANTA_BASE!A:W, 9, FALSE), "GENERAL"))</f>
        <v>INVESTIGACIONES</v>
      </c>
      <c r="H241" s="5" t="str">
        <f>IF(B241="","",IFERROR(VLOOKUP(B241, PLANTA_BASE!A:W, 17, FALSE), "GENERAL"))</f>
        <v>INVESTIGACIONES</v>
      </c>
    </row>
    <row r="242" spans="1:8" ht="20.100000000000001" customHeight="1" x14ac:dyDescent="0.25">
      <c r="A242" s="2" t="str">
        <f>IF(B242="","",IFERROR(VLOOKUP(B242, PLANTA_BASE!A:W, 2, FALSE), "NO ENCONTRADO EN PLANTA"))</f>
        <v>PRESENCIAL</v>
      </c>
      <c r="B242" s="3" t="s">
        <v>488</v>
      </c>
      <c r="C242" s="4" t="s">
        <v>489</v>
      </c>
      <c r="D242" s="2" t="str">
        <f>IF(B242="","",IFERROR(VLOOKUP(B242, PLANTA_BASE!A:W, 5, FALSE), "NO ENCONTRADO EN PLANTA"))</f>
        <v>REGIONAL SUCRE</v>
      </c>
      <c r="E242" s="2" t="str">
        <f>IF(B242="","",IFERROR(VLOOKUP(B242, PLANTA_BASE!A:W, 6, FALSE), "NO ENCONTRADO EN PLANTA"))</f>
        <v>SINCELEJO</v>
      </c>
      <c r="F242" s="4" t="str">
        <f>IF(B242="","",IFERROR(VLOOKUP(B242, PLANTA_BASE!A:W, 8, FALSE), "DOCENTE / FACILITADOR"))</f>
        <v>DOCENTE ASIS/N/MT/CONT PUBL</v>
      </c>
      <c r="G242" s="4" t="str">
        <f>IF(B242="","",IFERROR(VLOOKUP(B242, PLANTA_BASE!A:W, 9, FALSE), "GENERAL"))</f>
        <v>CONTADURIA PUBLICA</v>
      </c>
      <c r="H242" s="2" t="str">
        <f>IF(B242="","",IFERROR(VLOOKUP(B242, PLANTA_BASE!A:W, 17, FALSE), "GENERAL"))</f>
        <v>CONTADURIA PUBLICA</v>
      </c>
    </row>
    <row r="243" spans="1:8" ht="20.100000000000001" customHeight="1" x14ac:dyDescent="0.25">
      <c r="A243" s="5" t="str">
        <f>IF(B243="","",IFERROR(VLOOKUP(B243, PLANTA_BASE!A:W, 2, FALSE), "NO ENCONTRADO EN PLANTA"))</f>
        <v>VIRTUAL</v>
      </c>
      <c r="B243" s="6" t="s">
        <v>490</v>
      </c>
      <c r="C243" s="7" t="s">
        <v>491</v>
      </c>
      <c r="D243" s="5" t="str">
        <f>IF(B243="","",IFERROR(VLOOKUP(B243, PLANTA_BASE!A:W, 5, FALSE), "NO ENCONTRADO EN PLANTA"))</f>
        <v>REGIONAL BOGOTA</v>
      </c>
      <c r="E243" s="5" t="str">
        <f>IF(B243="","",IFERROR(VLOOKUP(B243, PLANTA_BASE!A:W, 6, FALSE), "NO ENCONTRADO EN PLANTA"))</f>
        <v>BOGOTA CENTRO</v>
      </c>
      <c r="F243" s="7" t="str">
        <f>IF(B243="","",IFERROR(VLOOKUP(B243, PLANTA_BASE!A:W, 8, FALSE), "DOCENTE / FACILITADOR"))</f>
        <v>DOC ASIS/N/V/TC/ADM DE EMPRE/FUN.ACADE-ADMIN</v>
      </c>
      <c r="G243" s="7" t="str">
        <f>IF(B243="","",IFERROR(VLOOKUP(B243, PLANTA_BASE!A:W, 9, FALSE), "GENERAL"))</f>
        <v>ADMINISTRACION DE EMPRESAS</v>
      </c>
      <c r="H243" s="5" t="str">
        <f>IF(B243="","",IFERROR(VLOOKUP(B243, PLANTA_BASE!A:W, 17, FALSE), "GENERAL"))</f>
        <v>ADMINISTRACION DE EMPRESAS</v>
      </c>
    </row>
    <row r="244" spans="1:8" ht="20.100000000000001" customHeight="1" x14ac:dyDescent="0.25">
      <c r="A244" s="2" t="str">
        <f>IF(B244="","",IFERROR(VLOOKUP(B244, PLANTA_BASE!A:W, 2, FALSE), "NO ENCONTRADO EN PLANTA"))</f>
        <v>PRESENCIAL</v>
      </c>
      <c r="B244" s="3" t="s">
        <v>492</v>
      </c>
      <c r="C244" s="4" t="s">
        <v>493</v>
      </c>
      <c r="D244" s="2" t="str">
        <f>IF(B244="","",IFERROR(VLOOKUP(B244, PLANTA_BASE!A:W, 5, FALSE), "NO ENCONTRADO EN PLANTA"))</f>
        <v>REGIONAL CALDAS</v>
      </c>
      <c r="E244" s="2" t="str">
        <f>IF(B244="","",IFERROR(VLOOKUP(B244, PLANTA_BASE!A:W, 6, FALSE), "NO ENCONTRADO EN PLANTA"))</f>
        <v>MANIZALES</v>
      </c>
      <c r="F244" s="4" t="str">
        <f>IF(B244="","",IFERROR(VLOOKUP(B244, PLANTA_BASE!A:W, 8, FALSE), "DOCENTE / FACILITADOR"))</f>
        <v>DOC AUX T&amp;T/N/TC/EMPRENDIMIE/FUN.ACADE-ADMIN</v>
      </c>
      <c r="G244" s="4" t="str">
        <f>IF(B244="","",IFERROR(VLOOKUP(B244, PLANTA_BASE!A:W, 9, FALSE), "GENERAL"))</f>
        <v>EMPRENDIMIENTO</v>
      </c>
      <c r="H244" s="2" t="str">
        <f>IF(B244="","",IFERROR(VLOOKUP(B244, PLANTA_BASE!A:W, 17, FALSE), "GENERAL"))</f>
        <v>EMPRENDIMIENTO</v>
      </c>
    </row>
    <row r="245" spans="1:8" ht="20.100000000000001" customHeight="1" x14ac:dyDescent="0.25">
      <c r="A245" s="5" t="str">
        <f>IF(B245="","",IFERROR(VLOOKUP(B245, PLANTA_BASE!A:W, 2, FALSE), "NO ENCONTRADO EN PLANTA"))</f>
        <v>PRESENCIAL</v>
      </c>
      <c r="B245" s="6" t="s">
        <v>494</v>
      </c>
      <c r="C245" s="7" t="s">
        <v>495</v>
      </c>
      <c r="D245" s="5" t="str">
        <f>IF(B245="","",IFERROR(VLOOKUP(B245, PLANTA_BASE!A:W, 5, FALSE), "NO ENCONTRADO EN PLANTA"))</f>
        <v>REGIONAL MAGDALENA</v>
      </c>
      <c r="E245" s="5" t="str">
        <f>IF(B245="","",IFERROR(VLOOKUP(B245, PLANTA_BASE!A:W, 6, FALSE), "NO ENCONTRADO EN PLANTA"))</f>
        <v>SANTA MARTA</v>
      </c>
      <c r="F245" s="7" t="str">
        <f>IF(B245="","",IFERROR(VLOOKUP(B245, PLANTA_BASE!A:W, 8, FALSE), "DOCENTE / FACILITADOR"))</f>
        <v>DOCENTE AUX/N/TC/DIS GRAFICO/FUN.ACADE-ADMIN</v>
      </c>
      <c r="G245" s="7" t="str">
        <f>IF(B245="","",IFERROR(VLOOKUP(B245, PLANTA_BASE!A:W, 9, FALSE), "GENERAL"))</f>
        <v>DISEÑO GRAFICO</v>
      </c>
      <c r="H245" s="5" t="str">
        <f>IF(B245="","",IFERROR(VLOOKUP(B245, PLANTA_BASE!A:W, 17, FALSE), "GENERAL"))</f>
        <v>DISEÑO GRAFICO</v>
      </c>
    </row>
    <row r="246" spans="1:8" ht="20.100000000000001" customHeight="1" x14ac:dyDescent="0.25">
      <c r="A246" s="2" t="str">
        <f>IF(B246="","",IFERROR(VLOOKUP(B246, PLANTA_BASE!A:W, 2, FALSE), "NO ENCONTRADO EN PLANTA"))</f>
        <v>PRESENCIAL</v>
      </c>
      <c r="B246" s="3" t="s">
        <v>496</v>
      </c>
      <c r="C246" s="4" t="s">
        <v>497</v>
      </c>
      <c r="D246" s="2" t="str">
        <f>IF(B246="","",IFERROR(VLOOKUP(B246, PLANTA_BASE!A:W, 5, FALSE), "NO ENCONTRADO EN PLANTA"))</f>
        <v>REGIONAL SUCRE</v>
      </c>
      <c r="E246" s="2" t="str">
        <f>IF(B246="","",IFERROR(VLOOKUP(B246, PLANTA_BASE!A:W, 6, FALSE), "NO ENCONTRADO EN PLANTA"))</f>
        <v>SINCELEJO</v>
      </c>
      <c r="F246" s="4" t="str">
        <f>IF(B246="","",IFERROR(VLOOKUP(B246, PLANTA_BASE!A:W, 8, FALSE), "DOCENTE / FACILITADOR"))</f>
        <v>DOCENTE AUX/N/TC/ADM SER SALU/FUN.ACADE-ADMIN</v>
      </c>
      <c r="G246" s="4" t="str">
        <f>IF(B246="","",IFERROR(VLOOKUP(B246, PLANTA_BASE!A:W, 9, FALSE), "GENERAL"))</f>
        <v>ADMINISTRACION DE LA SEGURIDAD SOCIAL</v>
      </c>
      <c r="H246" s="2" t="str">
        <f>IF(B246="","",IFERROR(VLOOKUP(B246, PLANTA_BASE!A:W, 17, FALSE), "GENERAL"))</f>
        <v>ADMINISTRACION DE LA SEGURIDAD SOCIAL</v>
      </c>
    </row>
    <row r="247" spans="1:8" ht="20.100000000000001" customHeight="1" x14ac:dyDescent="0.25">
      <c r="A247" s="5" t="str">
        <f>IF(B247="","",IFERROR(VLOOKUP(B247, PLANTA_BASE!A:W, 2, FALSE), "NO ENCONTRADO EN PLANTA"))</f>
        <v>VIRTUAL</v>
      </c>
      <c r="B247" s="6" t="s">
        <v>498</v>
      </c>
      <c r="C247" s="7" t="s">
        <v>499</v>
      </c>
      <c r="D247" s="5" t="str">
        <f>IF(B247="","",IFERROR(VLOOKUP(B247, PLANTA_BASE!A:W, 5, FALSE), "NO ENCONTRADO EN PLANTA"))</f>
        <v>REGIONAL SANTANDER</v>
      </c>
      <c r="E247" s="5" t="str">
        <f>IF(B247="","",IFERROR(VLOOKUP(B247, PLANTA_BASE!A:W, 6, FALSE), "NO ENCONTRADO EN PLANTA"))</f>
        <v>BUCARAMANGA</v>
      </c>
      <c r="F247" s="7" t="str">
        <f>IF(B247="","",IFERROR(VLOOKUP(B247, PLANTA_BASE!A:W, 8, FALSE), "DOCENTE / FACILITADOR"))</f>
        <v>DOC ASIS/N/V/TC/INVESTIGACIONES/INVESTIG</v>
      </c>
      <c r="G247" s="7" t="str">
        <f>IF(B247="","",IFERROR(VLOOKUP(B247, PLANTA_BASE!A:W, 9, FALSE), "GENERAL"))</f>
        <v>INVESTIGACIONES</v>
      </c>
      <c r="H247" s="5" t="str">
        <f>IF(B247="","",IFERROR(VLOOKUP(B247, PLANTA_BASE!A:W, 17, FALSE), "GENERAL"))</f>
        <v>INVESTIGACIONES</v>
      </c>
    </row>
    <row r="248" spans="1:8" ht="20.100000000000001" customHeight="1" x14ac:dyDescent="0.25">
      <c r="A248" s="2" t="str">
        <f>IF(B248="","",IFERROR(VLOOKUP(B248, PLANTA_BASE!A:W, 2, FALSE), "NO ENCONTRADO EN PLANTA"))</f>
        <v>PRESENCIAL</v>
      </c>
      <c r="B248" s="3" t="s">
        <v>500</v>
      </c>
      <c r="C248" s="4" t="s">
        <v>501</v>
      </c>
      <c r="D248" s="2" t="str">
        <f>IF(B248="","",IFERROR(VLOOKUP(B248, PLANTA_BASE!A:W, 5, FALSE), "NO ENCONTRADO EN PLANTA"))</f>
        <v>REGIONAL SUCRE</v>
      </c>
      <c r="E248" s="2" t="str">
        <f>IF(B248="","",IFERROR(VLOOKUP(B248, PLANTA_BASE!A:W, 6, FALSE), "NO ENCONTRADO EN PLANTA"))</f>
        <v>SINCELEJO</v>
      </c>
      <c r="F248" s="4" t="str">
        <f>IF(B248="","",IFERROR(VLOOKUP(B248, PLANTA_BASE!A:W, 8, FALSE), "DOCENTE / FACILITADOR"))</f>
        <v>DOCENTE AUX/N/MT-ADM SER SALU</v>
      </c>
      <c r="G248" s="4" t="str">
        <f>IF(B248="","",IFERROR(VLOOKUP(B248, PLANTA_BASE!A:W, 9, FALSE), "GENERAL"))</f>
        <v>ADMINISTRACION DE LA SEGURIDAD SOCIAL</v>
      </c>
      <c r="H248" s="2" t="str">
        <f>IF(B248="","",IFERROR(VLOOKUP(B248, PLANTA_BASE!A:W, 17, FALSE), "GENERAL"))</f>
        <v>ADMINISTRACION DE LA SEGURIDAD SOCIAL</v>
      </c>
    </row>
    <row r="249" spans="1:8" ht="20.100000000000001" customHeight="1" x14ac:dyDescent="0.25">
      <c r="A249" s="5" t="str">
        <f>IF(B249="","",IFERROR(VLOOKUP(B249, PLANTA_BASE!A:W, 2, FALSE), "NO ENCONTRADO EN PLANTA"))</f>
        <v>PRESENCIAL</v>
      </c>
      <c r="B249" s="6" t="s">
        <v>502</v>
      </c>
      <c r="C249" s="7" t="s">
        <v>503</v>
      </c>
      <c r="D249" s="5" t="str">
        <f>IF(B249="","",IFERROR(VLOOKUP(B249, PLANTA_BASE!A:W, 5, FALSE), "NO ENCONTRADO EN PLANTA"))</f>
        <v>REGIONAL SUCRE</v>
      </c>
      <c r="E249" s="5" t="str">
        <f>IF(B249="","",IFERROR(VLOOKUP(B249, PLANTA_BASE!A:W, 6, FALSE), "NO ENCONTRADO EN PLANTA"))</f>
        <v>SINCELEJO</v>
      </c>
      <c r="F249" s="7" t="str">
        <f>IF(B249="","",IFERROR(VLOOKUP(B249, PLANTA_BASE!A:W, 8, FALSE), "DOCENTE / FACILITADOR"))</f>
        <v>DOC AUX T&amp;T/N/MT/MAR DIG</v>
      </c>
      <c r="G249" s="7" t="str">
        <f>IF(B249="","",IFERROR(VLOOKUP(B249, PLANTA_BASE!A:W, 9, FALSE), "GENERAL"))</f>
        <v>MARKETING DIGITAL</v>
      </c>
      <c r="H249" s="5" t="str">
        <f>IF(B249="","",IFERROR(VLOOKUP(B249, PLANTA_BASE!A:W, 17, FALSE), "GENERAL"))</f>
        <v>MARKETING DIGITAL</v>
      </c>
    </row>
    <row r="250" spans="1:8" ht="20.100000000000001" customHeight="1" x14ac:dyDescent="0.25">
      <c r="A250" s="2" t="str">
        <f>IF(B250="","",IFERROR(VLOOKUP(B250, PLANTA_BASE!A:W, 2, FALSE), "NO ENCONTRADO EN PLANTA"))</f>
        <v>VIRTUAL</v>
      </c>
      <c r="B250" s="3" t="s">
        <v>504</v>
      </c>
      <c r="C250" s="4" t="s">
        <v>505</v>
      </c>
      <c r="D250" s="2" t="str">
        <f>IF(B250="","",IFERROR(VLOOKUP(B250, PLANTA_BASE!A:W, 5, FALSE), "NO ENCONTRADO EN PLANTA"))</f>
        <v>REGIONAL SUCRE</v>
      </c>
      <c r="E250" s="2" t="str">
        <f>IF(B250="","",IFERROR(VLOOKUP(B250, PLANTA_BASE!A:W, 6, FALSE), "NO ENCONTRADO EN PLANTA"))</f>
        <v>SINCELEJO</v>
      </c>
      <c r="F250" s="4" t="str">
        <f>IF(B250="","",IFERROR(VLOOKUP(B250, PLANTA_BASE!A:W, 8, FALSE), "DOCENTE / FACILITADOR"))</f>
        <v>DOC ASIS/N/V/TC/EMPRENDIMIENTO/FUN.ACADE-ADMIN</v>
      </c>
      <c r="G250" s="4" t="str">
        <f>IF(B250="","",IFERROR(VLOOKUP(B250, PLANTA_BASE!A:W, 9, FALSE), "GENERAL"))</f>
        <v>EMPRENDIMIENTO</v>
      </c>
      <c r="H250" s="2" t="str">
        <f>IF(B250="","",IFERROR(VLOOKUP(B250, PLANTA_BASE!A:W, 17, FALSE), "GENERAL"))</f>
        <v>EMPRENDIMIENTO</v>
      </c>
    </row>
    <row r="251" spans="1:8" ht="20.100000000000001" customHeight="1" x14ac:dyDescent="0.25">
      <c r="A251" s="5" t="str">
        <f>IF(B251="","",IFERROR(VLOOKUP(B251, PLANTA_BASE!A:W, 2, FALSE), "NO ENCONTRADO EN PLANTA"))</f>
        <v>PRESENCIAL</v>
      </c>
      <c r="B251" s="6" t="s">
        <v>506</v>
      </c>
      <c r="C251" s="7" t="s">
        <v>507</v>
      </c>
      <c r="D251" s="5" t="str">
        <f>IF(B251="","",IFERROR(VLOOKUP(B251, PLANTA_BASE!A:W, 5, FALSE), "NO ENCONTRADO EN PLANTA"))</f>
        <v>REGIONAL SUCRE</v>
      </c>
      <c r="E251" s="5" t="str">
        <f>IF(B251="","",IFERROR(VLOOKUP(B251, PLANTA_BASE!A:W, 6, FALSE), "NO ENCONTRADO EN PLANTA"))</f>
        <v>SINCELEJO</v>
      </c>
      <c r="F251" s="7" t="str">
        <f>IF(B251="","",IFERROR(VLOOKUP(B251, PLANTA_BASE!A:W, 8, FALSE), "DOCENTE / FACILITADOR"))</f>
        <v>DOC AUX T&amp;T/N/TC/ING SISTEM/FUN.ACADE-ADMIN</v>
      </c>
      <c r="G251" s="7" t="str">
        <f>IF(B251="","",IFERROR(VLOOKUP(B251, PLANTA_BASE!A:W, 9, FALSE), "GENERAL"))</f>
        <v>INGENIERIA DE SISTEMAS</v>
      </c>
      <c r="H251" s="5" t="str">
        <f>IF(B251="","",IFERROR(VLOOKUP(B251, PLANTA_BASE!A:W, 17, FALSE), "GENERAL"))</f>
        <v>INGENIERIA DE SISTEMAS</v>
      </c>
    </row>
    <row r="252" spans="1:8" ht="20.100000000000001" customHeight="1" x14ac:dyDescent="0.25">
      <c r="A252" s="2" t="str">
        <f>IF(B252="","",IFERROR(VLOOKUP(B252, PLANTA_BASE!A:W, 2, FALSE), "NO ENCONTRADO EN PLANTA"))</f>
        <v>PRESENCIAL</v>
      </c>
      <c r="B252" s="3" t="s">
        <v>508</v>
      </c>
      <c r="C252" s="4" t="s">
        <v>509</v>
      </c>
      <c r="D252" s="2" t="str">
        <f>IF(B252="","",IFERROR(VLOOKUP(B252, PLANTA_BASE!A:W, 5, FALSE), "NO ENCONTRADO EN PLANTA"))</f>
        <v>REGIONAL SUCRE</v>
      </c>
      <c r="E252" s="2" t="str">
        <f>IF(B252="","",IFERROR(VLOOKUP(B252, PLANTA_BASE!A:W, 6, FALSE), "NO ENCONTRADO EN PLANTA"))</f>
        <v>SINCELEJO</v>
      </c>
      <c r="F252" s="4" t="str">
        <f>IF(B252="","",IFERROR(VLOOKUP(B252, PLANTA_BASE!A:W, 8, FALSE), "DOCENTE / FACILITADOR"))</f>
        <v>DOCENTE ASOC/N/TC/ADM EMP/INVESTIGACIONE</v>
      </c>
      <c r="G252" s="4" t="str">
        <f>IF(B252="","",IFERROR(VLOOKUP(B252, PLANTA_BASE!A:W, 9, FALSE), "GENERAL"))</f>
        <v>ADMINISTRACION DE EMPRESAS</v>
      </c>
      <c r="H252" s="2" t="str">
        <f>IF(B252="","",IFERROR(VLOOKUP(B252, PLANTA_BASE!A:W, 17, FALSE), "GENERAL"))</f>
        <v>ADMINISTRACION DE EMPRESAS</v>
      </c>
    </row>
    <row r="253" spans="1:8" ht="20.100000000000001" customHeight="1" x14ac:dyDescent="0.25">
      <c r="A253" s="5" t="str">
        <f>IF(B253="","",IFERROR(VLOOKUP(B253, PLANTA_BASE!A:W, 2, FALSE), "NO ENCONTRADO EN PLANTA"))</f>
        <v>PRESENCIAL</v>
      </c>
      <c r="B253" s="6" t="s">
        <v>510</v>
      </c>
      <c r="C253" s="7" t="s">
        <v>511</v>
      </c>
      <c r="D253" s="5" t="str">
        <f>IF(B253="","",IFERROR(VLOOKUP(B253, PLANTA_BASE!A:W, 5, FALSE), "NO ENCONTRADO EN PLANTA"))</f>
        <v>REGIONAL SUCRE</v>
      </c>
      <c r="E253" s="5" t="str">
        <f>IF(B253="","",IFERROR(VLOOKUP(B253, PLANTA_BASE!A:W, 6, FALSE), "NO ENCONTRADO EN PLANTA"))</f>
        <v>SINCELEJO</v>
      </c>
      <c r="F253" s="7" t="str">
        <f>IF(B253="","",IFERROR(VLOOKUP(B253, PLANTA_BASE!A:W, 8, FALSE), "DOCENTE / FACILITADOR"))</f>
        <v>DOC AUX T&amp;T/N/MT/ING SISTEM</v>
      </c>
      <c r="G253" s="7" t="str">
        <f>IF(B253="","",IFERROR(VLOOKUP(B253, PLANTA_BASE!A:W, 9, FALSE), "GENERAL"))</f>
        <v>INGENIERIA DE SISTEMAS</v>
      </c>
      <c r="H253" s="5" t="str">
        <f>IF(B253="","",IFERROR(VLOOKUP(B253, PLANTA_BASE!A:W, 17, FALSE), "GENERAL"))</f>
        <v>INGENIERIA DE SISTEMAS</v>
      </c>
    </row>
    <row r="254" spans="1:8" ht="20.100000000000001" customHeight="1" x14ac:dyDescent="0.25">
      <c r="A254" s="2" t="str">
        <f>IF(B254="","",IFERROR(VLOOKUP(B254, PLANTA_BASE!A:W, 2, FALSE), "NO ENCONTRADO EN PLANTA"))</f>
        <v>PRESENCIAL</v>
      </c>
      <c r="B254" s="3" t="s">
        <v>512</v>
      </c>
      <c r="C254" s="4" t="s">
        <v>513</v>
      </c>
      <c r="D254" s="2" t="str">
        <f>IF(B254="","",IFERROR(VLOOKUP(B254, PLANTA_BASE!A:W, 5, FALSE), "NO ENCONTRADO EN PLANTA"))</f>
        <v>REGIONAL TOLIMA</v>
      </c>
      <c r="E254" s="2" t="str">
        <f>IF(B254="","",IFERROR(VLOOKUP(B254, PLANTA_BASE!A:W, 6, FALSE), "NO ENCONTRADO EN PLANTA"))</f>
        <v>IBAGUÉ</v>
      </c>
      <c r="F254" s="4" t="str">
        <f>IF(B254="","",IFERROR(VLOOKUP(B254, PLANTA_BASE!A:W, 8, FALSE), "DOCENTE / FACILITADOR"))</f>
        <v>DOCENTE AUX/N/TC/INVESTIGA/INVESTIGACION</v>
      </c>
      <c r="G254" s="4" t="str">
        <f>IF(B254="","",IFERROR(VLOOKUP(B254, PLANTA_BASE!A:W, 9, FALSE), "GENERAL"))</f>
        <v>INVESTIGACIONES</v>
      </c>
      <c r="H254" s="2" t="str">
        <f>IF(B254="","",IFERROR(VLOOKUP(B254, PLANTA_BASE!A:W, 17, FALSE), "GENERAL"))</f>
        <v>INVESTIGACIONES</v>
      </c>
    </row>
    <row r="255" spans="1:8" ht="20.100000000000001" customHeight="1" x14ac:dyDescent="0.25">
      <c r="A255" s="5" t="str">
        <f>IF(B255="","",IFERROR(VLOOKUP(B255, PLANTA_BASE!A:W, 2, FALSE), "NO ENCONTRADO EN PLANTA"))</f>
        <v>PRESENCIAL</v>
      </c>
      <c r="B255" s="6" t="s">
        <v>514</v>
      </c>
      <c r="C255" s="7" t="s">
        <v>515</v>
      </c>
      <c r="D255" s="5" t="str">
        <f>IF(B255="","",IFERROR(VLOOKUP(B255, PLANTA_BASE!A:W, 5, FALSE), "NO ENCONTRADO EN PLANTA"))</f>
        <v>REGIONAL MAGDALENA</v>
      </c>
      <c r="E255" s="5" t="str">
        <f>IF(B255="","",IFERROR(VLOOKUP(B255, PLANTA_BASE!A:W, 6, FALSE), "NO ENCONTRADO EN PLANTA"))</f>
        <v>SANTA MARTA</v>
      </c>
      <c r="F255" s="7" t="str">
        <f>IF(B255="","",IFERROR(VLOOKUP(B255, PLANTA_BASE!A:W, 8, FALSE), "DOCENTE / FACILITADOR"))</f>
        <v>DOC AUX T&amp;T/N/TC/DIS PROD MOD/FUN.ACADE-ADMIN</v>
      </c>
      <c r="G255" s="7" t="str">
        <f>IF(B255="","",IFERROR(VLOOKUP(B255, PLANTA_BASE!A:W, 9, FALSE), "GENERAL"))</f>
        <v>DISEÑO Y PRODUCCION DE MODAS</v>
      </c>
      <c r="H255" s="5" t="str">
        <f>IF(B255="","",IFERROR(VLOOKUP(B255, PLANTA_BASE!A:W, 17, FALSE), "GENERAL"))</f>
        <v>DISEÑO Y PRODUCCION DE MODAS</v>
      </c>
    </row>
    <row r="256" spans="1:8" ht="20.100000000000001" customHeight="1" x14ac:dyDescent="0.25">
      <c r="A256" s="2" t="str">
        <f>IF(B256="","",IFERROR(VLOOKUP(B256, PLANTA_BASE!A:W, 2, FALSE), "NO ENCONTRADO EN PLANTA"))</f>
        <v>VIRTUAL</v>
      </c>
      <c r="B256" s="3" t="s">
        <v>516</v>
      </c>
      <c r="C256" s="4" t="s">
        <v>517</v>
      </c>
      <c r="D256" s="2" t="str">
        <f>IF(B256="","",IFERROR(VLOOKUP(B256, PLANTA_BASE!A:W, 5, FALSE), "NO ENCONTRADO EN PLANTA"))</f>
        <v>REGIONAL VALLE DELCAUCA</v>
      </c>
      <c r="E256" s="2" t="str">
        <f>IF(B256="","",IFERROR(VLOOKUP(B256, PLANTA_BASE!A:W, 6, FALSE), "NO ENCONTRADO EN PLANTA"))</f>
        <v>CALI</v>
      </c>
      <c r="F256" s="4" t="str">
        <f>IF(B256="","",IFERROR(VLOOKUP(B256, PLANTA_BASE!A:W, 8, FALSE), "DOCENTE / FACILITADOR"))</f>
        <v>DOC AUX T&amp;T/N/V/TC/COMU SOC Y PERI/FUN.ACADE-ADMIN</v>
      </c>
      <c r="G256" s="4" t="str">
        <f>IF(B256="","",IFERROR(VLOOKUP(B256, PLANTA_BASE!A:W, 9, FALSE), "GENERAL"))</f>
        <v>COMUNICACION SOCIAL Y PERIODISMO</v>
      </c>
      <c r="H256" s="2" t="str">
        <f>IF(B256="","",IFERROR(VLOOKUP(B256, PLANTA_BASE!A:W, 17, FALSE), "GENERAL"))</f>
        <v>COMUNICACION SOCIAL Y PERIODISMO</v>
      </c>
    </row>
    <row r="257" spans="1:8" ht="20.100000000000001" customHeight="1" x14ac:dyDescent="0.25">
      <c r="A257" s="5" t="str">
        <f>IF(B257="","",IFERROR(VLOOKUP(B257, PLANTA_BASE!A:W, 2, FALSE), "NO ENCONTRADO EN PLANTA"))</f>
        <v>PRESENCIAL</v>
      </c>
      <c r="B257" s="6" t="s">
        <v>518</v>
      </c>
      <c r="C257" s="7" t="s">
        <v>519</v>
      </c>
      <c r="D257" s="5" t="str">
        <f>IF(B257="","",IFERROR(VLOOKUP(B257, PLANTA_BASE!A:W, 5, FALSE), "NO ENCONTRADO EN PLANTA"))</f>
        <v>REGIONAL MAGDALENA</v>
      </c>
      <c r="E257" s="5" t="str">
        <f>IF(B257="","",IFERROR(VLOOKUP(B257, PLANTA_BASE!A:W, 6, FALSE), "NO ENCONTRADO EN PLANTA"))</f>
        <v>SANTA MARTA</v>
      </c>
      <c r="F257" s="7" t="str">
        <f>IF(B257="","",IFERROR(VLOOKUP(B257, PLANTA_BASE!A:W, 8, FALSE), "DOCENTE / FACILITADOR"))</f>
        <v>DOC AUX/N/MT/MAR DIG</v>
      </c>
      <c r="G257" s="7" t="str">
        <f>IF(B257="","",IFERROR(VLOOKUP(B257, PLANTA_BASE!A:W, 9, FALSE), "GENERAL"))</f>
        <v>MARKETING DIGITAL</v>
      </c>
      <c r="H257" s="5" t="str">
        <f>IF(B257="","",IFERROR(VLOOKUP(B257, PLANTA_BASE!A:W, 17, FALSE), "GENERAL"))</f>
        <v>MARKETING DIGITAL</v>
      </c>
    </row>
    <row r="258" spans="1:8" ht="20.100000000000001" customHeight="1" x14ac:dyDescent="0.25">
      <c r="A258" s="2" t="str">
        <f>IF(B258="","",IFERROR(VLOOKUP(B258, PLANTA_BASE!A:W, 2, FALSE), "NO ENCONTRADO EN PLANTA"))</f>
        <v>PRESENCIAL</v>
      </c>
      <c r="B258" s="3" t="s">
        <v>520</v>
      </c>
      <c r="C258" s="4" t="s">
        <v>521</v>
      </c>
      <c r="D258" s="2" t="str">
        <f>IF(B258="","",IFERROR(VLOOKUP(B258, PLANTA_BASE!A:W, 5, FALSE), "NO ENCONTRADO EN PLANTA"))</f>
        <v>REGIONAL SUCRE</v>
      </c>
      <c r="E258" s="2" t="str">
        <f>IF(B258="","",IFERROR(VLOOKUP(B258, PLANTA_BASE!A:W, 6, FALSE), "NO ENCONTRADO EN PLANTA"))</f>
        <v>SINCELEJO</v>
      </c>
      <c r="F258" s="4" t="str">
        <f>IF(B258="","",IFERROR(VLOOKUP(B258, PLANTA_BASE!A:W, 8, FALSE), "DOCENTE / FACILITADOR"))</f>
        <v>DOCENTE ASOC/N/TC/INVESTIGA/INVESTIGACIO</v>
      </c>
      <c r="G258" s="4" t="str">
        <f>IF(B258="","",IFERROR(VLOOKUP(B258, PLANTA_BASE!A:W, 9, FALSE), "GENERAL"))</f>
        <v>INVESTIGACIONES</v>
      </c>
      <c r="H258" s="2" t="str">
        <f>IF(B258="","",IFERROR(VLOOKUP(B258, PLANTA_BASE!A:W, 17, FALSE), "GENERAL"))</f>
        <v>INVESTIGACIONES</v>
      </c>
    </row>
    <row r="259" spans="1:8" ht="20.100000000000001" customHeight="1" x14ac:dyDescent="0.25">
      <c r="A259" s="5" t="str">
        <f>IF(B259="","",IFERROR(VLOOKUP(B259, PLANTA_BASE!A:W, 2, FALSE), "NO ENCONTRADO EN PLANTA"))</f>
        <v>PRESENCIAL</v>
      </c>
      <c r="B259" s="6" t="s">
        <v>522</v>
      </c>
      <c r="C259" s="7" t="s">
        <v>523</v>
      </c>
      <c r="D259" s="5" t="str">
        <f>IF(B259="","",IFERROR(VLOOKUP(B259, PLANTA_BASE!A:W, 5, FALSE), "NO ENCONTRADO EN PLANTA"))</f>
        <v>REGIONAL BOGOTA</v>
      </c>
      <c r="E259" s="5" t="str">
        <f>IF(B259="","",IFERROR(VLOOKUP(B259, PLANTA_BASE!A:W, 6, FALSE), "NO ENCONTRADO EN PLANTA"))</f>
        <v>BOGOTA CENTRO</v>
      </c>
      <c r="F259" s="7" t="str">
        <f>IF(B259="","",IFERROR(VLOOKUP(B259, PLANTA_BASE!A:W, 8, FALSE), "DOCENTE / FACILITADOR"))</f>
        <v>DOCENTE ASOC/N/TC/INVESTIGACIONES/INVEST</v>
      </c>
      <c r="G259" s="7" t="str">
        <f>IF(B259="","",IFERROR(VLOOKUP(B259, PLANTA_BASE!A:W, 9, FALSE), "GENERAL"))</f>
        <v>INVESTIGACIONES</v>
      </c>
      <c r="H259" s="5" t="str">
        <f>IF(B259="","",IFERROR(VLOOKUP(B259, PLANTA_BASE!A:W, 17, FALSE), "GENERAL"))</f>
        <v>INVESTIGACIONES</v>
      </c>
    </row>
    <row r="260" spans="1:8" ht="20.100000000000001" customHeight="1" x14ac:dyDescent="0.25">
      <c r="A260" s="2" t="str">
        <f>IF(B260="","",IFERROR(VLOOKUP(B260, PLANTA_BASE!A:W, 2, FALSE), "NO ENCONTRADO EN PLANTA"))</f>
        <v>PRESENCIAL</v>
      </c>
      <c r="B260" s="3" t="s">
        <v>524</v>
      </c>
      <c r="C260" s="4" t="s">
        <v>525</v>
      </c>
      <c r="D260" s="2" t="str">
        <f>IF(B260="","",IFERROR(VLOOKUP(B260, PLANTA_BASE!A:W, 5, FALSE), "NO ENCONTRADO EN PLANTA"))</f>
        <v>REGIONAL MAGDALENA</v>
      </c>
      <c r="E260" s="2" t="str">
        <f>IF(B260="","",IFERROR(VLOOKUP(B260, PLANTA_BASE!A:W, 6, FALSE), "NO ENCONTRADO EN PLANTA"))</f>
        <v>SANTA MARTA</v>
      </c>
      <c r="F260" s="4" t="str">
        <f>IF(B260="","",IFERROR(VLOOKUP(B260, PLANTA_BASE!A:W, 8, FALSE), "DOCENTE / FACILITADOR"))</f>
        <v>DOCENTE TITU/N/TC/INVESTIGA/INVESTIGACIO</v>
      </c>
      <c r="G260" s="4" t="str">
        <f>IF(B260="","",IFERROR(VLOOKUP(B260, PLANTA_BASE!A:W, 9, FALSE), "GENERAL"))</f>
        <v>INVESTIGACIONES</v>
      </c>
      <c r="H260" s="2" t="str">
        <f>IF(B260="","",IFERROR(VLOOKUP(B260, PLANTA_BASE!A:W, 17, FALSE), "GENERAL"))</f>
        <v>INVESTIGACIONES</v>
      </c>
    </row>
    <row r="261" spans="1:8" ht="20.100000000000001" customHeight="1" x14ac:dyDescent="0.25">
      <c r="A261" s="5" t="str">
        <f>IF(B261="","",IFERROR(VLOOKUP(B261, PLANTA_BASE!A:W, 2, FALSE), "NO ENCONTRADO EN PLANTA"))</f>
        <v>PRESENCIAL</v>
      </c>
      <c r="B261" s="6" t="s">
        <v>526</v>
      </c>
      <c r="C261" s="7" t="s">
        <v>527</v>
      </c>
      <c r="D261" s="5" t="str">
        <f>IF(B261="","",IFERROR(VLOOKUP(B261, PLANTA_BASE!A:W, 5, FALSE), "NO ENCONTRADO EN PLANTA"))</f>
        <v>REGIONAL MAGDALENA</v>
      </c>
      <c r="E261" s="5" t="str">
        <f>IF(B261="","",IFERROR(VLOOKUP(B261, PLANTA_BASE!A:W, 6, FALSE), "NO ENCONTRADO EN PLANTA"))</f>
        <v>SANTA MARTA</v>
      </c>
      <c r="F261" s="7" t="str">
        <f>IF(B261="","",IFERROR(VLOOKUP(B261, PLANTA_BASE!A:W, 8, FALSE), "DOCENTE / FACILITADOR"))</f>
        <v>DOCENTE AUX/N/MT/NEGO INTER</v>
      </c>
      <c r="G261" s="7" t="str">
        <f>IF(B261="","",IFERROR(VLOOKUP(B261, PLANTA_BASE!A:W, 9, FALSE), "GENERAL"))</f>
        <v>NEGOCIOS INTERNACIONALES</v>
      </c>
      <c r="H261" s="5" t="str">
        <f>IF(B261="","",IFERROR(VLOOKUP(B261, PLANTA_BASE!A:W, 17, FALSE), "GENERAL"))</f>
        <v>NEGOCIOS INTERNACIONALES</v>
      </c>
    </row>
    <row r="262" spans="1:8" ht="20.100000000000001" customHeight="1" x14ac:dyDescent="0.25">
      <c r="A262" s="2" t="str">
        <f>IF(B262="","",IFERROR(VLOOKUP(B262, PLANTA_BASE!A:W, 2, FALSE), "NO ENCONTRADO EN PLANTA"))</f>
        <v>VIRTUAL</v>
      </c>
      <c r="B262" s="3" t="s">
        <v>528</v>
      </c>
      <c r="C262" s="4" t="s">
        <v>529</v>
      </c>
      <c r="D262" s="2" t="str">
        <f>IF(B262="","",IFERROR(VLOOKUP(B262, PLANTA_BASE!A:W, 5, FALSE), "NO ENCONTRADO EN PLANTA"))</f>
        <v>REGIONAL BOYACA</v>
      </c>
      <c r="E262" s="2" t="str">
        <f>IF(B262="","",IFERROR(VLOOKUP(B262, PLANTA_BASE!A:W, 6, FALSE), "NO ENCONTRADO EN PLANTA"))</f>
        <v>TUNJA</v>
      </c>
      <c r="F262" s="4" t="str">
        <f>IF(B262="","",IFERROR(VLOOKUP(B262, PLANTA_BASE!A:W, 8, FALSE), "DOCENTE / FACILITADOR"))</f>
        <v>DOC ASIS/N/V/TC/PUB Y MERC/FUN.ACADE-ADMIN</v>
      </c>
      <c r="G262" s="4" t="str">
        <f>IF(B262="","",IFERROR(VLOOKUP(B262, PLANTA_BASE!A:W, 9, FALSE), "GENERAL"))</f>
        <v>PUBLICIDAD Y MERCADEO</v>
      </c>
      <c r="H262" s="2" t="str">
        <f>IF(B262="","",IFERROR(VLOOKUP(B262, PLANTA_BASE!A:W, 17, FALSE), "GENERAL"))</f>
        <v>PUBLICIDAD Y MERCADEO</v>
      </c>
    </row>
    <row r="263" spans="1:8" ht="20.100000000000001" customHeight="1" x14ac:dyDescent="0.25">
      <c r="A263" s="5" t="str">
        <f>IF(B263="","",IFERROR(VLOOKUP(B263, PLANTA_BASE!A:W, 2, FALSE), "NO ENCONTRADO EN PLANTA"))</f>
        <v>PRESENCIAL</v>
      </c>
      <c r="B263" s="6" t="s">
        <v>530</v>
      </c>
      <c r="C263" s="7" t="s">
        <v>531</v>
      </c>
      <c r="D263" s="5" t="str">
        <f>IF(B263="","",IFERROR(VLOOKUP(B263, PLANTA_BASE!A:W, 5, FALSE), "NO ENCONTRADO EN PLANTA"))</f>
        <v>REGIONAL MAGDALENA</v>
      </c>
      <c r="E263" s="5" t="str">
        <f>IF(B263="","",IFERROR(VLOOKUP(B263, PLANTA_BASE!A:W, 6, FALSE), "NO ENCONTRADO EN PLANTA"))</f>
        <v>SANTA MARTA</v>
      </c>
      <c r="F263" s="7" t="str">
        <f>IF(B263="","",IFERROR(VLOOKUP(B263, PLANTA_BASE!A:W, 8, FALSE), "DOCENTE / FACILITADOR"))</f>
        <v>DOCENTE ASIS/N/MT/CIEN BASI</v>
      </c>
      <c r="G263" s="7" t="str">
        <f>IF(B263="","",IFERROR(VLOOKUP(B263, PLANTA_BASE!A:W, 9, FALSE), "GENERAL"))</f>
        <v>CIENCIAS BASICAS</v>
      </c>
      <c r="H263" s="5" t="str">
        <f>IF(B263="","",IFERROR(VLOOKUP(B263, PLANTA_BASE!A:W, 17, FALSE), "GENERAL"))</f>
        <v>CIENCIAS BASICAS</v>
      </c>
    </row>
    <row r="264" spans="1:8" ht="20.100000000000001" customHeight="1" x14ac:dyDescent="0.25">
      <c r="A264" s="2" t="str">
        <f>IF(B264="","",IFERROR(VLOOKUP(B264, PLANTA_BASE!A:W, 2, FALSE), "NO ENCONTRADO EN PLANTA"))</f>
        <v>VIRTUAL</v>
      </c>
      <c r="B264" s="3" t="s">
        <v>532</v>
      </c>
      <c r="C264" s="4" t="s">
        <v>533</v>
      </c>
      <c r="D264" s="2" t="str">
        <f>IF(B264="","",IFERROR(VLOOKUP(B264, PLANTA_BASE!A:W, 5, FALSE), "NO ENCONTRADO EN PLANTA"))</f>
        <v>REGIONAL RISARALDA</v>
      </c>
      <c r="E264" s="2" t="str">
        <f>IF(B264="","",IFERROR(VLOOKUP(B264, PLANTA_BASE!A:W, 6, FALSE), "NO ENCONTRADO EN PLANTA"))</f>
        <v>PEREIRA</v>
      </c>
      <c r="F264" s="4" t="str">
        <f>IF(B264="","",IFERROR(VLOOKUP(B264, PLANTA_BASE!A:W, 8, FALSE), "DOCENTE / FACILITADOR"))</f>
        <v>DOC AUX/N/V/TC/ADM DE EMPRE/FUN.ACADE-ADMIN</v>
      </c>
      <c r="G264" s="4" t="str">
        <f>IF(B264="","",IFERROR(VLOOKUP(B264, PLANTA_BASE!A:W, 9, FALSE), "GENERAL"))</f>
        <v>ADMINISTRACION DE EMPRESAS</v>
      </c>
      <c r="H264" s="2" t="str">
        <f>IF(B264="","",IFERROR(VLOOKUP(B264, PLANTA_BASE!A:W, 17, FALSE), "GENERAL"))</f>
        <v>ADMINISTRACION DE EMPRESAS</v>
      </c>
    </row>
    <row r="265" spans="1:8" ht="20.100000000000001" customHeight="1" x14ac:dyDescent="0.25">
      <c r="A265" s="5" t="str">
        <f>IF(B265="","",IFERROR(VLOOKUP(B265, PLANTA_BASE!A:W, 2, FALSE), "NO ENCONTRADO EN PLANTA"))</f>
        <v>PRESENCIAL</v>
      </c>
      <c r="B265" s="6" t="s">
        <v>534</v>
      </c>
      <c r="C265" s="7" t="s">
        <v>535</v>
      </c>
      <c r="D265" s="5" t="str">
        <f>IF(B265="","",IFERROR(VLOOKUP(B265, PLANTA_BASE!A:W, 5, FALSE), "NO ENCONTRADO EN PLANTA"))</f>
        <v>REGIONAL MAGDALENA</v>
      </c>
      <c r="E265" s="5" t="str">
        <f>IF(B265="","",IFERROR(VLOOKUP(B265, PLANTA_BASE!A:W, 6, FALSE), "NO ENCONTRADO EN PLANTA"))</f>
        <v>SANTA MARTA</v>
      </c>
      <c r="F265" s="7" t="str">
        <f>IF(B265="","",IFERROR(VLOOKUP(B265, PLANTA_BASE!A:W, 8, FALSE), "DOCENTE / FACILITADOR"))</f>
        <v>DOCENTE AUX/N/TC/COM SOC Y PER/FUN.ACADE-ADMIN</v>
      </c>
      <c r="G265" s="7" t="str">
        <f>IF(B265="","",IFERROR(VLOOKUP(B265, PLANTA_BASE!A:W, 9, FALSE), "GENERAL"))</f>
        <v>COMUNICACION SOCIAL Y PERIODISMO</v>
      </c>
      <c r="H265" s="5" t="str">
        <f>IF(B265="","",IFERROR(VLOOKUP(B265, PLANTA_BASE!A:W, 17, FALSE), "GENERAL"))</f>
        <v>COMUNICACION SOCIAL Y PERIODISMO</v>
      </c>
    </row>
    <row r="266" spans="1:8" ht="20.100000000000001" customHeight="1" x14ac:dyDescent="0.25">
      <c r="A266" s="2" t="str">
        <f>IF(B266="","",IFERROR(VLOOKUP(B266, PLANTA_BASE!A:W, 2, FALSE), "NO ENCONTRADO EN PLANTA"))</f>
        <v>VIRTUAL</v>
      </c>
      <c r="B266" s="3" t="s">
        <v>536</v>
      </c>
      <c r="C266" s="4" t="s">
        <v>537</v>
      </c>
      <c r="D266" s="2" t="str">
        <f>IF(B266="","",IFERROR(VLOOKUP(B266, PLANTA_BASE!A:W, 5, FALSE), "NO ENCONTRADO EN PLANTA"))</f>
        <v>REGIONAL BOYACA</v>
      </c>
      <c r="E266" s="2" t="str">
        <f>IF(B266="","",IFERROR(VLOOKUP(B266, PLANTA_BASE!A:W, 6, FALSE), "NO ENCONTRADO EN PLANTA"))</f>
        <v>TUNJA</v>
      </c>
      <c r="F266" s="4" t="str">
        <f>IF(B266="","",IFERROR(VLOOKUP(B266, PLANTA_BASE!A:W, 8, FALSE), "DOCENTE / FACILITADOR"))</f>
        <v>DOC ASOC/N/V/TC/INVESTIGACIONES/INVESTIG</v>
      </c>
      <c r="G266" s="4" t="str">
        <f>IF(B266="","",IFERROR(VLOOKUP(B266, PLANTA_BASE!A:W, 9, FALSE), "GENERAL"))</f>
        <v>INVESTIGACIONES</v>
      </c>
      <c r="H266" s="2" t="str">
        <f>IF(B266="","",IFERROR(VLOOKUP(B266, PLANTA_BASE!A:W, 17, FALSE), "GENERAL"))</f>
        <v>INVESTIGACIONES</v>
      </c>
    </row>
    <row r="267" spans="1:8" ht="20.100000000000001" customHeight="1" x14ac:dyDescent="0.25">
      <c r="A267" s="5" t="str">
        <f>IF(B267="","",IFERROR(VLOOKUP(B267, PLANTA_BASE!A:W, 2, FALSE), "NO ENCONTRADO EN PLANTA"))</f>
        <v>VIRTUAL</v>
      </c>
      <c r="B267" s="6" t="s">
        <v>538</v>
      </c>
      <c r="C267" s="7" t="s">
        <v>539</v>
      </c>
      <c r="D267" s="5" t="str">
        <f>IF(B267="","",IFERROR(VLOOKUP(B267, PLANTA_BASE!A:W, 5, FALSE), "NO ENCONTRADO EN PLANTA"))</f>
        <v>REGIONAL NARIñO</v>
      </c>
      <c r="E267" s="5" t="str">
        <f>IF(B267="","",IFERROR(VLOOKUP(B267, PLANTA_BASE!A:W, 6, FALSE), "NO ENCONTRADO EN PLANTA"))</f>
        <v>PASTO</v>
      </c>
      <c r="F267" s="7" t="str">
        <f>IF(B267="","",IFERROR(VLOOKUP(B267, PLANTA_BASE!A:W, 8, FALSE), "DOCENTE / FACILITADOR"))</f>
        <v>DOC AUX/N/V/MT/PUB Y MERC</v>
      </c>
      <c r="G267" s="7" t="str">
        <f>IF(B267="","",IFERROR(VLOOKUP(B267, PLANTA_BASE!A:W, 9, FALSE), "GENERAL"))</f>
        <v>PUBLICIDAD Y MERCADEO</v>
      </c>
      <c r="H267" s="5" t="str">
        <f>IF(B267="","",IFERROR(VLOOKUP(B267, PLANTA_BASE!A:W, 17, FALSE), "GENERAL"))</f>
        <v>PUBLICIDAD Y MERCADEO</v>
      </c>
    </row>
    <row r="268" spans="1:8" ht="20.100000000000001" customHeight="1" x14ac:dyDescent="0.25">
      <c r="A268" s="2" t="str">
        <f>IF(B268="","",IFERROR(VLOOKUP(B268, PLANTA_BASE!A:W, 2, FALSE), "NO ENCONTRADO EN PLANTA"))</f>
        <v>VIRTUAL</v>
      </c>
      <c r="B268" s="3" t="s">
        <v>540</v>
      </c>
      <c r="C268" s="4" t="s">
        <v>541</v>
      </c>
      <c r="D268" s="2" t="str">
        <f>IF(B268="","",IFERROR(VLOOKUP(B268, PLANTA_BASE!A:W, 5, FALSE), "NO ENCONTRADO EN PLANTA"))</f>
        <v>REGIONAL BOGOTA</v>
      </c>
      <c r="E268" s="2" t="str">
        <f>IF(B268="","",IFERROR(VLOOKUP(B268, PLANTA_BASE!A:W, 6, FALSE), "NO ENCONTRADO EN PLANTA"))</f>
        <v>BOGOTA CENTRO</v>
      </c>
      <c r="F268" s="4" t="str">
        <f>IF(B268="","",IFERROR(VLOOKUP(B268, PLANTA_BASE!A:W, 8, FALSE), "DOCENTE / FACILITADOR"))</f>
        <v>DOC AUX/N/V/TC/ADM DE EMPRE/FUN.ACADE-ADMIN</v>
      </c>
      <c r="G268" s="4" t="str">
        <f>IF(B268="","",IFERROR(VLOOKUP(B268, PLANTA_BASE!A:W, 9, FALSE), "GENERAL"))</f>
        <v>ADMINISTRACION DE EMPRESAS</v>
      </c>
      <c r="H268" s="2" t="str">
        <f>IF(B268="","",IFERROR(VLOOKUP(B268, PLANTA_BASE!A:W, 17, FALSE), "GENERAL"))</f>
        <v>ADMINISTRACION DE EMPRESAS</v>
      </c>
    </row>
    <row r="269" spans="1:8" ht="20.100000000000001" customHeight="1" x14ac:dyDescent="0.25">
      <c r="A269" s="5" t="str">
        <f>IF(B269="","",IFERROR(VLOOKUP(B269, PLANTA_BASE!A:W, 2, FALSE), "NO ENCONTRADO EN PLANTA"))</f>
        <v>VIRTUAL</v>
      </c>
      <c r="B269" s="6" t="s">
        <v>542</v>
      </c>
      <c r="C269" s="7" t="s">
        <v>543</v>
      </c>
      <c r="D269" s="5" t="str">
        <f>IF(B269="","",IFERROR(VLOOKUP(B269, PLANTA_BASE!A:W, 5, FALSE), "NO ENCONTRADO EN PLANTA"))</f>
        <v>REGIONAL BOGOTA</v>
      </c>
      <c r="E269" s="5" t="str">
        <f>IF(B269="","",IFERROR(VLOOKUP(B269, PLANTA_BASE!A:W, 6, FALSE), "NO ENCONTRADO EN PLANTA"))</f>
        <v>BOGOTA CENTRO</v>
      </c>
      <c r="F269" s="7" t="str">
        <f>IF(B269="","",IFERROR(VLOOKUP(B269, PLANTA_BASE!A:W, 8, FALSE), "DOCENTE / FACILITADOR"))</f>
        <v>DOC AUX/N/V/TC/ESP SEG SALUD TRAB/FUN.A</v>
      </c>
      <c r="G269" s="7" t="str">
        <f>IF(B269="","",IFERROR(VLOOKUP(B269, PLANTA_BASE!A:W, 9, FALSE), "GENERAL"))</f>
        <v>ESPECIALIZACION EN SEGURIDAD Y SALUD EN EL TRABAJO</v>
      </c>
      <c r="H269" s="5" t="str">
        <f>IF(B269="","",IFERROR(VLOOKUP(B269, PLANTA_BASE!A:W, 17, FALSE), "GENERAL"))</f>
        <v>ESPECIALIZACION EN SEGURIDAD Y SALUD EN EL TRABAJO</v>
      </c>
    </row>
    <row r="270" spans="1:8" ht="20.100000000000001" customHeight="1" x14ac:dyDescent="0.25">
      <c r="A270" s="2" t="str">
        <f>IF(B270="","",IFERROR(VLOOKUP(B270, PLANTA_BASE!A:W, 2, FALSE), "NO ENCONTRADO EN PLANTA"))</f>
        <v>VIRTUAL</v>
      </c>
      <c r="B270" s="3" t="s">
        <v>544</v>
      </c>
      <c r="C270" s="4" t="s">
        <v>545</v>
      </c>
      <c r="D270" s="2" t="str">
        <f>IF(B270="","",IFERROR(VLOOKUP(B270, PLANTA_BASE!A:W, 5, FALSE), "NO ENCONTRADO EN PLANTA"))</f>
        <v>REGIONAL BOGOTA</v>
      </c>
      <c r="E270" s="2" t="str">
        <f>IF(B270="","",IFERROR(VLOOKUP(B270, PLANTA_BASE!A:W, 6, FALSE), "NO ENCONTRADO EN PLANTA"))</f>
        <v>BOGOTA CENTRO</v>
      </c>
      <c r="F270" s="4" t="str">
        <f>IF(B270="","",IFERROR(VLOOKUP(B270, PLANTA_BASE!A:W, 8, FALSE), "DOCENTE / FACILITADOR"))</f>
        <v>DOC ASIS/N/V/TC/ESP SEG SALUD TRAB/FUN.A</v>
      </c>
      <c r="G270" s="4" t="str">
        <f>IF(B270="","",IFERROR(VLOOKUP(B270, PLANTA_BASE!A:W, 9, FALSE), "GENERAL"))</f>
        <v>ESPECIALIZACION EN SEGURIDAD Y SALUD EN EL TRABAJO</v>
      </c>
      <c r="H270" s="2" t="str">
        <f>IF(B270="","",IFERROR(VLOOKUP(B270, PLANTA_BASE!A:W, 17, FALSE), "GENERAL"))</f>
        <v>ESPECIALIZACION EN SEGURIDAD Y SALUD EN EL TRABAJO</v>
      </c>
    </row>
    <row r="271" spans="1:8" ht="20.100000000000001" customHeight="1" x14ac:dyDescent="0.25">
      <c r="A271" s="5" t="str">
        <f>IF(B271="","",IFERROR(VLOOKUP(B271, PLANTA_BASE!A:W, 2, FALSE), "NO ENCONTRADO EN PLANTA"))</f>
        <v>PRESENCIAL</v>
      </c>
      <c r="B271" s="6" t="s">
        <v>546</v>
      </c>
      <c r="C271" s="7" t="s">
        <v>547</v>
      </c>
      <c r="D271" s="5" t="str">
        <f>IF(B271="","",IFERROR(VLOOKUP(B271, PLANTA_BASE!A:W, 5, FALSE), "NO ENCONTRADO EN PLANTA"))</f>
        <v>REGIONAL CORDOBA</v>
      </c>
      <c r="E271" s="5" t="str">
        <f>IF(B271="","",IFERROR(VLOOKUP(B271, PLANTA_BASE!A:W, 6, FALSE), "NO ENCONTRADO EN PLANTA"))</f>
        <v>MONTERIA</v>
      </c>
      <c r="F271" s="7" t="str">
        <f>IF(B271="","",IFERROR(VLOOKUP(B271, PLANTA_BASE!A:W, 8, FALSE), "DOCENTE / FACILITADOR"))</f>
        <v>DOCENTE ASOC/N/TC/INVESTIGA/INVESTIGACIO</v>
      </c>
      <c r="G271" s="7" t="str">
        <f>IF(B271="","",IFERROR(VLOOKUP(B271, PLANTA_BASE!A:W, 9, FALSE), "GENERAL"))</f>
        <v>INVESTIGACIONES</v>
      </c>
      <c r="H271" s="5" t="str">
        <f>IF(B271="","",IFERROR(VLOOKUP(B271, PLANTA_BASE!A:W, 17, FALSE), "GENERAL"))</f>
        <v>INVESTIGACIONES</v>
      </c>
    </row>
    <row r="272" spans="1:8" ht="20.100000000000001" customHeight="1" x14ac:dyDescent="0.25">
      <c r="A272" s="2" t="str">
        <f>IF(B272="","",IFERROR(VLOOKUP(B272, PLANTA_BASE!A:W, 2, FALSE), "NO ENCONTRADO EN PLANTA"))</f>
        <v>VIRTUAL</v>
      </c>
      <c r="B272" s="3" t="s">
        <v>548</v>
      </c>
      <c r="C272" s="4" t="s">
        <v>549</v>
      </c>
      <c r="D272" s="2" t="str">
        <f>IF(B272="","",IFERROR(VLOOKUP(B272, PLANTA_BASE!A:W, 5, FALSE), "NO ENCONTRADO EN PLANTA"))</f>
        <v>REGIONAL BOGOTA</v>
      </c>
      <c r="E272" s="2" t="str">
        <f>IF(B272="","",IFERROR(VLOOKUP(B272, PLANTA_BASE!A:W, 6, FALSE), "NO ENCONTRADO EN PLANTA"))</f>
        <v>BOGOTA CENTRO</v>
      </c>
      <c r="F272" s="4" t="str">
        <f>IF(B272="","",IFERROR(VLOOKUP(B272, PLANTA_BASE!A:W, 8, FALSE), "DOCENTE / FACILITADOR"))</f>
        <v>DOC ASIS/N/V/TC/PUB Y MERC/FUN.ACADE-ADMIN</v>
      </c>
      <c r="G272" s="4" t="str">
        <f>IF(B272="","",IFERROR(VLOOKUP(B272, PLANTA_BASE!A:W, 9, FALSE), "GENERAL"))</f>
        <v>PUBLICIDAD Y MERCADEO</v>
      </c>
      <c r="H272" s="2" t="str">
        <f>IF(B272="","",IFERROR(VLOOKUP(B272, PLANTA_BASE!A:W, 17, FALSE), "GENERAL"))</f>
        <v>PUBLICIDAD Y MERCADEO</v>
      </c>
    </row>
    <row r="273" spans="1:8" ht="20.100000000000001" customHeight="1" x14ac:dyDescent="0.25">
      <c r="A273" s="5" t="str">
        <f>IF(B273="","",IFERROR(VLOOKUP(B273, PLANTA_BASE!A:W, 2, FALSE), "NO ENCONTRADO EN PLANTA"))</f>
        <v>VIRTUAL</v>
      </c>
      <c r="B273" s="6" t="s">
        <v>550</v>
      </c>
      <c r="C273" s="7" t="s">
        <v>551</v>
      </c>
      <c r="D273" s="5" t="str">
        <f>IF(B273="","",IFERROR(VLOOKUP(B273, PLANTA_BASE!A:W, 5, FALSE), "NO ENCONTRADO EN PLANTA"))</f>
        <v>REGIONAL QUINDIO</v>
      </c>
      <c r="E273" s="5" t="str">
        <f>IF(B273="","",IFERROR(VLOOKUP(B273, PLANTA_BASE!A:W, 6, FALSE), "NO ENCONTRADO EN PLANTA"))</f>
        <v>ARMENIA</v>
      </c>
      <c r="F273" s="7" t="str">
        <f>IF(B273="","",IFERROR(VLOOKUP(B273, PLANTA_BASE!A:W, 8, FALSE), "DOCENTE / FACILITADOR"))</f>
        <v>DOC ASIS/N/V/TC/ESP DES ORG TH/FUN.ACADE</v>
      </c>
      <c r="G273" s="7" t="str">
        <f>IF(B273="","",IFERROR(VLOOKUP(B273, PLANTA_BASE!A:W, 9, FALSE), "GENERAL"))</f>
        <v>ESPECIALIZACION EN DESARROLLO ORGANIZACIONAL Y GESTION DEL TALENTO HUMANO</v>
      </c>
      <c r="H273" s="5" t="str">
        <f>IF(B273="","",IFERROR(VLOOKUP(B273, PLANTA_BASE!A:W, 17, FALSE), "GENERAL"))</f>
        <v>ESPECIALIZACION EN DESARROLLO ORGANIZACIONAL Y GESTION DEL TALENTO HUMANO</v>
      </c>
    </row>
    <row r="274" spans="1:8" ht="20.100000000000001" customHeight="1" x14ac:dyDescent="0.25">
      <c r="A274" s="2" t="str">
        <f>IF(B274="","",IFERROR(VLOOKUP(B274, PLANTA_BASE!A:W, 2, FALSE), "NO ENCONTRADO EN PLANTA"))</f>
        <v>VIRTUAL</v>
      </c>
      <c r="B274" s="3" t="s">
        <v>552</v>
      </c>
      <c r="C274" s="4" t="s">
        <v>553</v>
      </c>
      <c r="D274" s="2" t="str">
        <f>IF(B274="","",IFERROR(VLOOKUP(B274, PLANTA_BASE!A:W, 5, FALSE), "NO ENCONTRADO EN PLANTA"))</f>
        <v>REGIONAL BOGOTA</v>
      </c>
      <c r="E274" s="2" t="str">
        <f>IF(B274="","",IFERROR(VLOOKUP(B274, PLANTA_BASE!A:W, 6, FALSE), "NO ENCONTRADO EN PLANTA"))</f>
        <v>BOGOTA CENTRO</v>
      </c>
      <c r="F274" s="4" t="str">
        <f>IF(B274="","",IFERROR(VLOOKUP(B274, PLANTA_BASE!A:W, 8, FALSE), "DOCENTE / FACILITADOR"))</f>
        <v>DOC ASIS/N/V/TC/ESP INTE NEGO/PROYECCION</v>
      </c>
      <c r="G274" s="4" t="str">
        <f>IF(B274="","",IFERROR(VLOOKUP(B274, PLANTA_BASE!A:W, 9, FALSE), "GENERAL"))</f>
        <v>ESPECIALIZACION EN INTELIGENCIA DE NEGOCIOS</v>
      </c>
      <c r="H274" s="2" t="str">
        <f>IF(B274="","",IFERROR(VLOOKUP(B274, PLANTA_BASE!A:W, 17, FALSE), "GENERAL"))</f>
        <v>ESPECIALIZACION EN INTELIGENCIA DE NEGOCIOS</v>
      </c>
    </row>
    <row r="275" spans="1:8" ht="20.100000000000001" customHeight="1" x14ac:dyDescent="0.25">
      <c r="A275" s="5" t="str">
        <f>IF(B275="","",IFERROR(VLOOKUP(B275, PLANTA_BASE!A:W, 2, FALSE), "NO ENCONTRADO EN PLANTA"))</f>
        <v>PRESENCIAL</v>
      </c>
      <c r="B275" s="6" t="s">
        <v>554</v>
      </c>
      <c r="C275" s="7" t="s">
        <v>555</v>
      </c>
      <c r="D275" s="5" t="str">
        <f>IF(B275="","",IFERROR(VLOOKUP(B275, PLANTA_BASE!A:W, 5, FALSE), "NO ENCONTRADO EN PLANTA"))</f>
        <v>REGIONAL SUCRE</v>
      </c>
      <c r="E275" s="5" t="str">
        <f>IF(B275="","",IFERROR(VLOOKUP(B275, PLANTA_BASE!A:W, 6, FALSE), "NO ENCONTRADO EN PLANTA"))</f>
        <v>SINCELEJO</v>
      </c>
      <c r="F275" s="7" t="str">
        <f>IF(B275="","",IFERROR(VLOOKUP(B275, PLANTA_BASE!A:W, 8, FALSE), "DOCENTE / FACILITADOR"))</f>
        <v>DOCENTE AUX/N/MT/ ADM SER SALUD</v>
      </c>
      <c r="G275" s="7" t="str">
        <f>IF(B275="","",IFERROR(VLOOKUP(B275, PLANTA_BASE!A:W, 9, FALSE), "GENERAL"))</f>
        <v>ADMINISTRACION DE LA SEGURIDAD SOCIAL</v>
      </c>
      <c r="H275" s="5" t="str">
        <f>IF(B275="","",IFERROR(VLOOKUP(B275, PLANTA_BASE!A:W, 17, FALSE), "GENERAL"))</f>
        <v>ADMINISTRACION DE LA SEGURIDAD SOCIAL</v>
      </c>
    </row>
    <row r="276" spans="1:8" ht="20.100000000000001" customHeight="1" x14ac:dyDescent="0.25">
      <c r="A276" s="2" t="str">
        <f>IF(B276="","",IFERROR(VLOOKUP(B276, PLANTA_BASE!A:W, 2, FALSE), "NO ENCONTRADO EN PLANTA"))</f>
        <v>VIRTUAL</v>
      </c>
      <c r="B276" s="3" t="s">
        <v>556</v>
      </c>
      <c r="C276" s="4" t="s">
        <v>557</v>
      </c>
      <c r="D276" s="2" t="str">
        <f>IF(B276="","",IFERROR(VLOOKUP(B276, PLANTA_BASE!A:W, 5, FALSE), "NO ENCONTRADO EN PLANTA"))</f>
        <v>REGIONAL SANTANDER</v>
      </c>
      <c r="E276" s="2" t="str">
        <f>IF(B276="","",IFERROR(VLOOKUP(B276, PLANTA_BASE!A:W, 6, FALSE), "NO ENCONTRADO EN PLANTA"))</f>
        <v>BUCARAMANGA</v>
      </c>
      <c r="F276" s="4" t="str">
        <f>IF(B276="","",IFERROR(VLOOKUP(B276, PLANTA_BASE!A:W, 8, FALSE), "DOCENTE / FACILITADOR"))</f>
        <v>DOC ASIS/N/V/TC/PUB Y MERC/FUN.ACADE-ADMIN</v>
      </c>
      <c r="G276" s="4" t="str">
        <f>IF(B276="","",IFERROR(VLOOKUP(B276, PLANTA_BASE!A:W, 9, FALSE), "GENERAL"))</f>
        <v>PUBLICIDAD Y MERCADEO</v>
      </c>
      <c r="H276" s="2" t="str">
        <f>IF(B276="","",IFERROR(VLOOKUP(B276, PLANTA_BASE!A:W, 17, FALSE), "GENERAL"))</f>
        <v>PUBLICIDAD Y MERCADEO</v>
      </c>
    </row>
    <row r="277" spans="1:8" ht="20.100000000000001" customHeight="1" x14ac:dyDescent="0.25">
      <c r="A277" s="5" t="str">
        <f>IF(B277="","",IFERROR(VLOOKUP(B277, PLANTA_BASE!A:W, 2, FALSE), "NO ENCONTRADO EN PLANTA"))</f>
        <v>PRESENCIAL</v>
      </c>
      <c r="B277" s="6" t="s">
        <v>558</v>
      </c>
      <c r="C277" s="7" t="s">
        <v>559</v>
      </c>
      <c r="D277" s="5" t="str">
        <f>IF(B277="","",IFERROR(VLOOKUP(B277, PLANTA_BASE!A:W, 5, FALSE), "NO ENCONTRADO EN PLANTA"))</f>
        <v>REGIONAL SUCRE</v>
      </c>
      <c r="E277" s="5" t="str">
        <f>IF(B277="","",IFERROR(VLOOKUP(B277, PLANTA_BASE!A:W, 6, FALSE), "NO ENCONTRADO EN PLANTA"))</f>
        <v>SINCELEJO</v>
      </c>
      <c r="F277" s="7" t="str">
        <f>IF(B277="","",IFERROR(VLOOKUP(B277, PLANTA_BASE!A:W, 8, FALSE), "DOCENTE / FACILITADOR"))</f>
        <v>DOC AUX T&amp;T/N/TC/CIEN BASI/FUN.ACADE-ADMIN</v>
      </c>
      <c r="G277" s="7" t="str">
        <f>IF(B277="","",IFERROR(VLOOKUP(B277, PLANTA_BASE!A:W, 9, FALSE), "GENERAL"))</f>
        <v>CIENCIAS BASICAS</v>
      </c>
      <c r="H277" s="5" t="str">
        <f>IF(B277="","",IFERROR(VLOOKUP(B277, PLANTA_BASE!A:W, 17, FALSE), "GENERAL"))</f>
        <v>CIENCIAS BASICAS</v>
      </c>
    </row>
    <row r="278" spans="1:8" ht="20.100000000000001" customHeight="1" x14ac:dyDescent="0.25">
      <c r="A278" s="2" t="str">
        <f>IF(B278="","",IFERROR(VLOOKUP(B278, PLANTA_BASE!A:W, 2, FALSE), "NO ENCONTRADO EN PLANTA"))</f>
        <v>VIRTUAL</v>
      </c>
      <c r="B278" s="3" t="s">
        <v>560</v>
      </c>
      <c r="C278" s="4" t="s">
        <v>561</v>
      </c>
      <c r="D278" s="2" t="str">
        <f>IF(B278="","",IFERROR(VLOOKUP(B278, PLANTA_BASE!A:W, 5, FALSE), "NO ENCONTRADO EN PLANTA"))</f>
        <v>REGIONAL HUILA</v>
      </c>
      <c r="E278" s="2" t="str">
        <f>IF(B278="","",IFERROR(VLOOKUP(B278, PLANTA_BASE!A:W, 6, FALSE), "NO ENCONTRADO EN PLANTA"))</f>
        <v>NEIVA</v>
      </c>
      <c r="F278" s="4" t="str">
        <f>IF(B278="","",IFERROR(VLOOKUP(B278, PLANTA_BASE!A:W, 8, FALSE), "DOCENTE / FACILITADOR"))</f>
        <v>DOC ASIS/N/V/TC/ESP EN IA/FUN.ACAD</v>
      </c>
      <c r="G278" s="4" t="str">
        <f>IF(B278="","",IFERROR(VLOOKUP(B278, PLANTA_BASE!A:W, 9, FALSE), "GENERAL"))</f>
        <v>ESPECIALIZACION EN IA</v>
      </c>
      <c r="H278" s="2" t="str">
        <f>IF(B278="","",IFERROR(VLOOKUP(B278, PLANTA_BASE!A:W, 17, FALSE), "GENERAL"))</f>
        <v>ESPECIALIZACION EN IA</v>
      </c>
    </row>
    <row r="279" spans="1:8" ht="20.100000000000001" customHeight="1" x14ac:dyDescent="0.25">
      <c r="A279" s="5" t="str">
        <f>IF(B279="","",IFERROR(VLOOKUP(B279, PLANTA_BASE!A:W, 2, FALSE), "NO ENCONTRADO EN PLANTA"))</f>
        <v>PRESENCIAL</v>
      </c>
      <c r="B279" s="6" t="s">
        <v>562</v>
      </c>
      <c r="C279" s="7" t="s">
        <v>563</v>
      </c>
      <c r="D279" s="5" t="str">
        <f>IF(B279="","",IFERROR(VLOOKUP(B279, PLANTA_BASE!A:W, 5, FALSE), "NO ENCONTRADO EN PLANTA"))</f>
        <v>REGIONAL SUCRE</v>
      </c>
      <c r="E279" s="5" t="str">
        <f>IF(B279="","",IFERROR(VLOOKUP(B279, PLANTA_BASE!A:W, 6, FALSE), "NO ENCONTRADO EN PLANTA"))</f>
        <v>SINCELEJO</v>
      </c>
      <c r="F279" s="7" t="str">
        <f>IF(B279="","",IFERROR(VLOOKUP(B279, PLANTA_BASE!A:W, 8, FALSE), "DOCENTE / FACILITADOR"))</f>
        <v>DOC AUX T&amp;T/N/TC/ADM EMP/FUN.ACADE-ADMIN</v>
      </c>
      <c r="G279" s="7" t="str">
        <f>IF(B279="","",IFERROR(VLOOKUP(B279, PLANTA_BASE!A:W, 9, FALSE), "GENERAL"))</f>
        <v>ADMINISTRACION DE EMPRESAS</v>
      </c>
      <c r="H279" s="5" t="str">
        <f>IF(B279="","",IFERROR(VLOOKUP(B279, PLANTA_BASE!A:W, 17, FALSE), "GENERAL"))</f>
        <v>ADMINISTRACION DE EMPRESAS</v>
      </c>
    </row>
    <row r="280" spans="1:8" ht="20.100000000000001" customHeight="1" x14ac:dyDescent="0.25">
      <c r="A280" s="2" t="str">
        <f>IF(B280="","",IFERROR(VLOOKUP(B280, PLANTA_BASE!A:W, 2, FALSE), "NO ENCONTRADO EN PLANTA"))</f>
        <v>VIRTUAL</v>
      </c>
      <c r="B280" s="3" t="s">
        <v>564</v>
      </c>
      <c r="C280" s="4" t="s">
        <v>565</v>
      </c>
      <c r="D280" s="2" t="str">
        <f>IF(B280="","",IFERROR(VLOOKUP(B280, PLANTA_BASE!A:W, 5, FALSE), "NO ENCONTRADO EN PLANTA"))</f>
        <v>REGIONAL META</v>
      </c>
      <c r="E280" s="2" t="str">
        <f>IF(B280="","",IFERROR(VLOOKUP(B280, PLANTA_BASE!A:W, 6, FALSE), "NO ENCONTRADO EN PLANTA"))</f>
        <v>VILLAVICENCIO</v>
      </c>
      <c r="F280" s="4" t="str">
        <f>IF(B280="","",IFERROR(VLOOKUP(B280, PLANTA_BASE!A:W, 8, FALSE), "DOCENTE / FACILITADOR"))</f>
        <v>DOC ASIS/N/V/TC/ESP GERE DE PROY/FUN.ACA</v>
      </c>
      <c r="G280" s="4" t="str">
        <f>IF(B280="","",IFERROR(VLOOKUP(B280, PLANTA_BASE!A:W, 9, FALSE), "GENERAL"))</f>
        <v>ESPECIALIZACION EN GERENCIA DE PROYECTOS</v>
      </c>
      <c r="H280" s="2" t="str">
        <f>IF(B280="","",IFERROR(VLOOKUP(B280, PLANTA_BASE!A:W, 17, FALSE), "GENERAL"))</f>
        <v>ESPECIALIZACION EN GERENCIA DE PROYECTOS</v>
      </c>
    </row>
    <row r="281" spans="1:8" ht="20.100000000000001" customHeight="1" x14ac:dyDescent="0.25">
      <c r="A281" s="5" t="str">
        <f>IF(B281="","",IFERROR(VLOOKUP(B281, PLANTA_BASE!A:W, 2, FALSE), "NO ENCONTRADO EN PLANTA"))</f>
        <v>VIRTUAL</v>
      </c>
      <c r="B281" s="6" t="s">
        <v>566</v>
      </c>
      <c r="C281" s="7" t="s">
        <v>567</v>
      </c>
      <c r="D281" s="5" t="str">
        <f>IF(B281="","",IFERROR(VLOOKUP(B281, PLANTA_BASE!A:W, 5, FALSE), "NO ENCONTRADO EN PLANTA"))</f>
        <v>REGIONAL BOYACA</v>
      </c>
      <c r="E281" s="5" t="str">
        <f>IF(B281="","",IFERROR(VLOOKUP(B281, PLANTA_BASE!A:W, 6, FALSE), "NO ENCONTRADO EN PLANTA"))</f>
        <v>TUNJA</v>
      </c>
      <c r="F281" s="7" t="str">
        <f>IF(B281="","",IFERROR(VLOOKUP(B281, PLANTA_BASE!A:W, 8, FALSE), "DOCENTE / FACILITADOR"))</f>
        <v>DOC ASIS/N/V/TC/ESP GERE DE PROY/FUN.ACA</v>
      </c>
      <c r="G281" s="7" t="str">
        <f>IF(B281="","",IFERROR(VLOOKUP(B281, PLANTA_BASE!A:W, 9, FALSE), "GENERAL"))</f>
        <v>ESPECIALIZACION EN GERENCIA DE PROYECTOS</v>
      </c>
      <c r="H281" s="5" t="str">
        <f>IF(B281="","",IFERROR(VLOOKUP(B281, PLANTA_BASE!A:W, 17, FALSE), "GENERAL"))</f>
        <v>ESPECIALIZACION EN GERENCIA DE PROYECTOS</v>
      </c>
    </row>
    <row r="282" spans="1:8" ht="20.100000000000001" customHeight="1" x14ac:dyDescent="0.25">
      <c r="A282" s="2" t="str">
        <f>IF(B282="","",IFERROR(VLOOKUP(B282, PLANTA_BASE!A:W, 2, FALSE), "NO ENCONTRADO EN PLANTA"))</f>
        <v>PRESENCIAL</v>
      </c>
      <c r="B282" s="3" t="s">
        <v>568</v>
      </c>
      <c r="C282" s="4" t="s">
        <v>569</v>
      </c>
      <c r="D282" s="2" t="str">
        <f>IF(B282="","",IFERROR(VLOOKUP(B282, PLANTA_BASE!A:W, 5, FALSE), "NO ENCONTRADO EN PLANTA"))</f>
        <v>REGIONAL BOGOTA</v>
      </c>
      <c r="E282" s="2" t="str">
        <f>IF(B282="","",IFERROR(VLOOKUP(B282, PLANTA_BASE!A:W, 6, FALSE), "NO ENCONTRADO EN PLANTA"))</f>
        <v>BOGOTA CENTRO</v>
      </c>
      <c r="F282" s="4" t="str">
        <f>IF(B282="","",IFERROR(VLOOKUP(B282, PLANTA_BASE!A:W, 8, FALSE), "DOCENTE / FACILITADOR"))</f>
        <v>DOCENTE AUX/N/TC/DIR PROD ME AUD/FUN.ACADE-ADMIN</v>
      </c>
      <c r="G282" s="4" t="str">
        <f>IF(B282="","",IFERROR(VLOOKUP(B282, PLANTA_BASE!A:W, 9, FALSE), "GENERAL"))</f>
        <v>DIRECCION Y PRODUCCION DE MEDIOS AUDIOVISUALES</v>
      </c>
      <c r="H282" s="2" t="str">
        <f>IF(B282="","",IFERROR(VLOOKUP(B282, PLANTA_BASE!A:W, 17, FALSE), "GENERAL"))</f>
        <v>DIRECCION Y PRODUCCION DE MEDIOS AUDIOVISUALES</v>
      </c>
    </row>
    <row r="283" spans="1:8" ht="20.100000000000001" customHeight="1" x14ac:dyDescent="0.25">
      <c r="A283" s="5" t="str">
        <f>IF(B283="","",IFERROR(VLOOKUP(B283, PLANTA_BASE!A:W, 2, FALSE), "NO ENCONTRADO EN PLANTA"))</f>
        <v>PRESENCIAL</v>
      </c>
      <c r="B283" s="6" t="s">
        <v>570</v>
      </c>
      <c r="C283" s="7" t="s">
        <v>571</v>
      </c>
      <c r="D283" s="5" t="str">
        <f>IF(B283="","",IFERROR(VLOOKUP(B283, PLANTA_BASE!A:W, 5, FALSE), "NO ENCONTRADO EN PLANTA"))</f>
        <v>REGIONAL MAGDALENA</v>
      </c>
      <c r="E283" s="5" t="str">
        <f>IF(B283="","",IFERROR(VLOOKUP(B283, PLANTA_BASE!A:W, 6, FALSE), "NO ENCONTRADO EN PLANTA"))</f>
        <v>SANTA MARTA</v>
      </c>
      <c r="F283" s="7" t="str">
        <f>IF(B283="","",IFERROR(VLOOKUP(B283, PLANTA_BASE!A:W, 8, FALSE), "DOCENTE / FACILITADOR"))</f>
        <v>DOCENTE ASIS/N/TC/ADM EMP/FUN.ACADE-ADMIN</v>
      </c>
      <c r="G283" s="7" t="str">
        <f>IF(B283="","",IFERROR(VLOOKUP(B283, PLANTA_BASE!A:W, 9, FALSE), "GENERAL"))</f>
        <v>ADMINISTRACION DE EMPRESAS</v>
      </c>
      <c r="H283" s="5" t="str">
        <f>IF(B283="","",IFERROR(VLOOKUP(B283, PLANTA_BASE!A:W, 17, FALSE), "GENERAL"))</f>
        <v>ADMINISTRACION DE EMPRESAS</v>
      </c>
    </row>
    <row r="284" spans="1:8" ht="20.100000000000001" customHeight="1" x14ac:dyDescent="0.25">
      <c r="A284" s="2" t="str">
        <f>IF(B284="","",IFERROR(VLOOKUP(B284, PLANTA_BASE!A:W, 2, FALSE), "NO ENCONTRADO EN PLANTA"))</f>
        <v>VIRTUAL</v>
      </c>
      <c r="B284" s="3" t="s">
        <v>572</v>
      </c>
      <c r="C284" s="4" t="s">
        <v>573</v>
      </c>
      <c r="D284" s="2" t="str">
        <f>IF(B284="","",IFERROR(VLOOKUP(B284, PLANTA_BASE!A:W, 5, FALSE), "NO ENCONTRADO EN PLANTA"))</f>
        <v>REGIONAL BOGOTA</v>
      </c>
      <c r="E284" s="2" t="str">
        <f>IF(B284="","",IFERROR(VLOOKUP(B284, PLANTA_BASE!A:W, 6, FALSE), "NO ENCONTRADO EN PLANTA"))</f>
        <v>BOGOTA CENTRO</v>
      </c>
      <c r="F284" s="4" t="str">
        <f>IF(B284="","",IFERROR(VLOOKUP(B284, PLANTA_BASE!A:W, 8, FALSE), "DOCENTE / FACILITADOR"))</f>
        <v>DOC TITULAR/N/V/MT/PUB Y MERC</v>
      </c>
      <c r="G284" s="4" t="str">
        <f>IF(B284="","",IFERROR(VLOOKUP(B284, PLANTA_BASE!A:W, 9, FALSE), "GENERAL"))</f>
        <v>PUBLICIDAD Y MERCADEO</v>
      </c>
      <c r="H284" s="2" t="str">
        <f>IF(B284="","",IFERROR(VLOOKUP(B284, PLANTA_BASE!A:W, 17, FALSE), "GENERAL"))</f>
        <v>PUBLICIDAD Y MERCADEO</v>
      </c>
    </row>
    <row r="285" spans="1:8" ht="20.100000000000001" customHeight="1" x14ac:dyDescent="0.25">
      <c r="A285" s="5" t="str">
        <f>IF(B285="","",IFERROR(VLOOKUP(B285, PLANTA_BASE!A:W, 2, FALSE), "NO ENCONTRADO EN PLANTA"))</f>
        <v>PRESENCIAL</v>
      </c>
      <c r="B285" s="6" t="s">
        <v>574</v>
      </c>
      <c r="C285" s="7" t="s">
        <v>575</v>
      </c>
      <c r="D285" s="5" t="str">
        <f>IF(B285="","",IFERROR(VLOOKUP(B285, PLANTA_BASE!A:W, 5, FALSE), "NO ENCONTRADO EN PLANTA"))</f>
        <v>REGIONAL MAGDALENA</v>
      </c>
      <c r="E285" s="5" t="str">
        <f>IF(B285="","",IFERROR(VLOOKUP(B285, PLANTA_BASE!A:W, 6, FALSE), "NO ENCONTRADO EN PLANTA"))</f>
        <v>SANTA MARTA</v>
      </c>
      <c r="F285" s="7" t="str">
        <f>IF(B285="","",IFERROR(VLOOKUP(B285, PLANTA_BASE!A:W, 8, FALSE), "DOCENTE / FACILITADOR"))</f>
        <v>DOC AUX T&amp;T/N/TC/DIS PROD MOD/FUN.ACADE-ADMIN</v>
      </c>
      <c r="G285" s="7" t="str">
        <f>IF(B285="","",IFERROR(VLOOKUP(B285, PLANTA_BASE!A:W, 9, FALSE), "GENERAL"))</f>
        <v>DISEÑO Y PRODUCCION DE MODAS</v>
      </c>
      <c r="H285" s="5" t="str">
        <f>IF(B285="","",IFERROR(VLOOKUP(B285, PLANTA_BASE!A:W, 17, FALSE), "GENERAL"))</f>
        <v>DISEÑO Y PRODUCCION DE MODAS</v>
      </c>
    </row>
    <row r="286" spans="1:8" ht="20.100000000000001" customHeight="1" x14ac:dyDescent="0.25">
      <c r="A286" s="2" t="str">
        <f>IF(B286="","",IFERROR(VLOOKUP(B286, PLANTA_BASE!A:W, 2, FALSE), "NO ENCONTRADO EN PLANTA"))</f>
        <v>VIRTUAL</v>
      </c>
      <c r="B286" s="3" t="s">
        <v>576</v>
      </c>
      <c r="C286" s="4" t="s">
        <v>577</v>
      </c>
      <c r="D286" s="2" t="str">
        <f>IF(B286="","",IFERROR(VLOOKUP(B286, PLANTA_BASE!A:W, 5, FALSE), "NO ENCONTRADO EN PLANTA"))</f>
        <v>REGIONAL BOGOTA</v>
      </c>
      <c r="E286" s="2" t="str">
        <f>IF(B286="","",IFERROR(VLOOKUP(B286, PLANTA_BASE!A:W, 6, FALSE), "NO ENCONTRADO EN PLANTA"))</f>
        <v>BOGOTA CENTRO</v>
      </c>
      <c r="F286" s="4" t="str">
        <f>IF(B286="","",IFERROR(VLOOKUP(B286, PLANTA_BASE!A:W, 8, FALSE), "DOCENTE / FACILITADOR"))</f>
        <v>DOC ASOC/N/V/TC/ADM DE EMPRE/FUN.ACADE-ADMIN</v>
      </c>
      <c r="G286" s="4" t="str">
        <f>IF(B286="","",IFERROR(VLOOKUP(B286, PLANTA_BASE!A:W, 9, FALSE), "GENERAL"))</f>
        <v>ADMINISTRACION DE EMPRESAS</v>
      </c>
      <c r="H286" s="2" t="str">
        <f>IF(B286="","",IFERROR(VLOOKUP(B286, PLANTA_BASE!A:W, 17, FALSE), "GENERAL"))</f>
        <v>ADMINISTRACION DE EMPRESAS</v>
      </c>
    </row>
    <row r="287" spans="1:8" ht="20.100000000000001" customHeight="1" x14ac:dyDescent="0.25">
      <c r="A287" s="5" t="str">
        <f>IF(B287="","",IFERROR(VLOOKUP(B287, PLANTA_BASE!A:W, 2, FALSE), "NO ENCONTRADO EN PLANTA"))</f>
        <v>VIRTUAL</v>
      </c>
      <c r="B287" s="6" t="s">
        <v>578</v>
      </c>
      <c r="C287" s="7" t="s">
        <v>579</v>
      </c>
      <c r="D287" s="5" t="str">
        <f>IF(B287="","",IFERROR(VLOOKUP(B287, PLANTA_BASE!A:W, 5, FALSE), "NO ENCONTRADO EN PLANTA"))</f>
        <v>REGIONAL BOGOTA</v>
      </c>
      <c r="E287" s="5" t="str">
        <f>IF(B287="","",IFERROR(VLOOKUP(B287, PLANTA_BASE!A:W, 6, FALSE), "NO ENCONTRADO EN PLANTA"))</f>
        <v>BOGOTA CENTRO</v>
      </c>
      <c r="F287" s="7" t="str">
        <f>IF(B287="","",IFERROR(VLOOKUP(B287, PLANTA_BASE!A:W, 8, FALSE), "DOCENTE / FACILITADOR"))</f>
        <v>DOC ASOC/N/V/TC/ING DE SISTEMAS/FUN.ACADE-ADMIN</v>
      </c>
      <c r="G287" s="7" t="str">
        <f>IF(B287="","",IFERROR(VLOOKUP(B287, PLANTA_BASE!A:W, 9, FALSE), "GENERAL"))</f>
        <v>INGENIERIA DE SISTEMAS</v>
      </c>
      <c r="H287" s="5" t="str">
        <f>IF(B287="","",IFERROR(VLOOKUP(B287, PLANTA_BASE!A:W, 17, FALSE), "GENERAL"))</f>
        <v>INGENIERIA DE SISTEMAS</v>
      </c>
    </row>
    <row r="288" spans="1:8" ht="20.100000000000001" customHeight="1" x14ac:dyDescent="0.25">
      <c r="A288" s="2" t="str">
        <f>IF(B288="","",IFERROR(VLOOKUP(B288, PLANTA_BASE!A:W, 2, FALSE), "NO ENCONTRADO EN PLANTA"))</f>
        <v>PRESENCIAL</v>
      </c>
      <c r="B288" s="3" t="s">
        <v>580</v>
      </c>
      <c r="C288" s="4" t="s">
        <v>581</v>
      </c>
      <c r="D288" s="2" t="str">
        <f>IF(B288="","",IFERROR(VLOOKUP(B288, PLANTA_BASE!A:W, 5, FALSE), "NO ENCONTRADO EN PLANTA"))</f>
        <v>REGIONAL MAGDALENA</v>
      </c>
      <c r="E288" s="2" t="str">
        <f>IF(B288="","",IFERROR(VLOOKUP(B288, PLANTA_BASE!A:W, 6, FALSE), "NO ENCONTRADO EN PLANTA"))</f>
        <v>SANTA MARTA</v>
      </c>
      <c r="F288" s="4" t="str">
        <f>IF(B288="","",IFERROR(VLOOKUP(B288, PLANTA_BASE!A:W, 8, FALSE), "DOCENTE / FACILITADOR"))</f>
        <v>DOCENTE AUX/N/TC/ADM EMP/FUN.ACADE-ADMIN</v>
      </c>
      <c r="G288" s="4" t="str">
        <f>IF(B288="","",IFERROR(VLOOKUP(B288, PLANTA_BASE!A:W, 9, FALSE), "GENERAL"))</f>
        <v>ADMINISTRACION DE EMPRESAS</v>
      </c>
      <c r="H288" s="2" t="str">
        <f>IF(B288="","",IFERROR(VLOOKUP(B288, PLANTA_BASE!A:W, 17, FALSE), "GENERAL"))</f>
        <v>ADMINISTRACION DE EMPRESAS</v>
      </c>
    </row>
    <row r="289" spans="1:8" ht="20.100000000000001" customHeight="1" x14ac:dyDescent="0.25">
      <c r="A289" s="5" t="str">
        <f>IF(B289="","",IFERROR(VLOOKUP(B289, PLANTA_BASE!A:W, 2, FALSE), "NO ENCONTRADO EN PLANTA"))</f>
        <v>VIRTUAL</v>
      </c>
      <c r="B289" s="6" t="s">
        <v>582</v>
      </c>
      <c r="C289" s="7" t="s">
        <v>583</v>
      </c>
      <c r="D289" s="5" t="str">
        <f>IF(B289="","",IFERROR(VLOOKUP(B289, PLANTA_BASE!A:W, 5, FALSE), "NO ENCONTRADO EN PLANTA"))</f>
        <v>REGIONAL SANTANDER</v>
      </c>
      <c r="E289" s="5" t="str">
        <f>IF(B289="","",IFERROR(VLOOKUP(B289, PLANTA_BASE!A:W, 6, FALSE), "NO ENCONTRADO EN PLANTA"))</f>
        <v>BUCARAMANGA</v>
      </c>
      <c r="F289" s="7" t="str">
        <f>IF(B289="","",IFERROR(VLOOKUP(B289, PLANTA_BASE!A:W, 8, FALSE), "DOCENTE / FACILITADOR"))</f>
        <v>DOC ASIS/N/V/TC/ESP DES ORG TH/FUN.ACADE</v>
      </c>
      <c r="G289" s="7" t="str">
        <f>IF(B289="","",IFERROR(VLOOKUP(B289, PLANTA_BASE!A:W, 9, FALSE), "GENERAL"))</f>
        <v>ESPECIALIZACION EN DESARROLLO ORGANIZACIONAL Y GESTION DEL TALENTO HUMANO</v>
      </c>
      <c r="H289" s="5" t="str">
        <f>IF(B289="","",IFERROR(VLOOKUP(B289, PLANTA_BASE!A:W, 17, FALSE), "GENERAL"))</f>
        <v>ESPECIALIZACION EN DESARROLLO ORGANIZACIONAL Y GESTION DEL TALENTO HUMANO</v>
      </c>
    </row>
    <row r="290" spans="1:8" ht="20.100000000000001" customHeight="1" x14ac:dyDescent="0.25">
      <c r="A290" s="2" t="str">
        <f>IF(B290="","",IFERROR(VLOOKUP(B290, PLANTA_BASE!A:W, 2, FALSE), "NO ENCONTRADO EN PLANTA"))</f>
        <v>PRESENCIAL</v>
      </c>
      <c r="B290" s="3" t="s">
        <v>584</v>
      </c>
      <c r="C290" s="4" t="s">
        <v>585</v>
      </c>
      <c r="D290" s="2" t="str">
        <f>IF(B290="","",IFERROR(VLOOKUP(B290, PLANTA_BASE!A:W, 5, FALSE), "NO ENCONTRADO EN PLANTA"))</f>
        <v>REGIONAL MAGDALENA</v>
      </c>
      <c r="E290" s="2" t="str">
        <f>IF(B290="","",IFERROR(VLOOKUP(B290, PLANTA_BASE!A:W, 6, FALSE), "NO ENCONTRADO EN PLANTA"))</f>
        <v>SANTA MARTA</v>
      </c>
      <c r="F290" s="4" t="str">
        <f>IF(B290="","",IFERROR(VLOOKUP(B290, PLANTA_BASE!A:W, 8, FALSE), "DOCENTE / FACILITADOR"))</f>
        <v>DOC AUX T&amp;T/N/TC/DIS PROD MOD/FUN.ACADE-ADMIN</v>
      </c>
      <c r="G290" s="4" t="str">
        <f>IF(B290="","",IFERROR(VLOOKUP(B290, PLANTA_BASE!A:W, 9, FALSE), "GENERAL"))</f>
        <v>DISEÑO Y PRODUCCION DE MODAS</v>
      </c>
      <c r="H290" s="2" t="str">
        <f>IF(B290="","",IFERROR(VLOOKUP(B290, PLANTA_BASE!A:W, 17, FALSE), "GENERAL"))</f>
        <v>DISEÑO Y PRODUCCION DE MODAS</v>
      </c>
    </row>
    <row r="291" spans="1:8" ht="20.100000000000001" customHeight="1" x14ac:dyDescent="0.25">
      <c r="A291" s="5" t="str">
        <f>IF(B291="","",IFERROR(VLOOKUP(B291, PLANTA_BASE!A:W, 2, FALSE), "NO ENCONTRADO EN PLANTA"))</f>
        <v>PRESENCIAL</v>
      </c>
      <c r="B291" s="6" t="s">
        <v>586</v>
      </c>
      <c r="C291" s="7" t="s">
        <v>587</v>
      </c>
      <c r="D291" s="5" t="str">
        <f>IF(B291="","",IFERROR(VLOOKUP(B291, PLANTA_BASE!A:W, 5, FALSE), "NO ENCONTRADO EN PLANTA"))</f>
        <v>REGIONAL MAGDALENA</v>
      </c>
      <c r="E291" s="5" t="str">
        <f>IF(B291="","",IFERROR(VLOOKUP(B291, PLANTA_BASE!A:W, 6, FALSE), "NO ENCONTRADO EN PLANTA"))</f>
        <v>SANTA MARTA</v>
      </c>
      <c r="F291" s="7" t="str">
        <f>IF(B291="","",IFERROR(VLOOKUP(B291, PLANTA_BASE!A:W, 8, FALSE), "DOCENTE / FACILITADOR"))</f>
        <v>DOC AUX T&amp;T/N/TC/DIS PROD MOD/FUN.ACADE-ADMIN</v>
      </c>
      <c r="G291" s="7" t="str">
        <f>IF(B291="","",IFERROR(VLOOKUP(B291, PLANTA_BASE!A:W, 9, FALSE), "GENERAL"))</f>
        <v>DISEÑO Y PRODUCCION DE MODAS</v>
      </c>
      <c r="H291" s="5" t="str">
        <f>IF(B291="","",IFERROR(VLOOKUP(B291, PLANTA_BASE!A:W, 17, FALSE), "GENERAL"))</f>
        <v>DISEÑO Y PRODUCCION DE MODAS</v>
      </c>
    </row>
    <row r="292" spans="1:8" ht="20.100000000000001" customHeight="1" x14ac:dyDescent="0.25">
      <c r="A292" s="2" t="str">
        <f>IF(B292="","",IFERROR(VLOOKUP(B292, PLANTA_BASE!A:W, 2, FALSE), "NO ENCONTRADO EN PLANTA"))</f>
        <v>PRESENCIAL</v>
      </c>
      <c r="B292" s="3" t="s">
        <v>588</v>
      </c>
      <c r="C292" s="4" t="s">
        <v>589</v>
      </c>
      <c r="D292" s="2" t="str">
        <f>IF(B292="","",IFERROR(VLOOKUP(B292, PLANTA_BASE!A:W, 5, FALSE), "NO ENCONTRADO EN PLANTA"))</f>
        <v>REGIONAL BOGOTA</v>
      </c>
      <c r="E292" s="2" t="str">
        <f>IF(B292="","",IFERROR(VLOOKUP(B292, PLANTA_BASE!A:W, 6, FALSE), "NO ENCONTRADO EN PLANTA"))</f>
        <v>BOGOTA CENTRO</v>
      </c>
      <c r="F292" s="4" t="str">
        <f>IF(B292="","",IFERROR(VLOOKUP(B292, PLANTA_BASE!A:W, 8, FALSE), "DOCENTE / FACILITADOR"))</f>
        <v>DOCENTE AUX/N/TC/INVESTIGA/INVESTIGACION</v>
      </c>
      <c r="G292" s="4" t="str">
        <f>IF(B292="","",IFERROR(VLOOKUP(B292, PLANTA_BASE!A:W, 9, FALSE), "GENERAL"))</f>
        <v>INVESTIGACIONES</v>
      </c>
      <c r="H292" s="2" t="str">
        <f>IF(B292="","",IFERROR(VLOOKUP(B292, PLANTA_BASE!A:W, 17, FALSE), "GENERAL"))</f>
        <v>INVESTIGACIONES</v>
      </c>
    </row>
    <row r="293" spans="1:8" ht="20.100000000000001" customHeight="1" x14ac:dyDescent="0.25">
      <c r="A293" s="5" t="str">
        <f>IF(B293="","",IFERROR(VLOOKUP(B293, PLANTA_BASE!A:W, 2, FALSE), "NO ENCONTRADO EN PLANTA"))</f>
        <v>VIRTUAL</v>
      </c>
      <c r="B293" s="6" t="s">
        <v>590</v>
      </c>
      <c r="C293" s="7" t="s">
        <v>591</v>
      </c>
      <c r="D293" s="5" t="str">
        <f>IF(B293="","",IFERROR(VLOOKUP(B293, PLANTA_BASE!A:W, 5, FALSE), "NO ENCONTRADO EN PLANTA"))</f>
        <v>REGIONAL SANTANDER</v>
      </c>
      <c r="E293" s="5" t="str">
        <f>IF(B293="","",IFERROR(VLOOKUP(B293, PLANTA_BASE!A:W, 6, FALSE), "NO ENCONTRADO EN PLANTA"))</f>
        <v>BUCARAMANGA</v>
      </c>
      <c r="F293" s="7" t="str">
        <f>IF(B293="","",IFERROR(VLOOKUP(B293, PLANTA_BASE!A:W, 8, FALSE), "DOCENTE / FACILITADOR"))</f>
        <v>DOC AUX/N/V/TC/ING DE SISTEMAS/FUN.ACADE-ADMIN</v>
      </c>
      <c r="G293" s="7" t="str">
        <f>IF(B293="","",IFERROR(VLOOKUP(B293, PLANTA_BASE!A:W, 9, FALSE), "GENERAL"))</f>
        <v>INGENIERIA DE SISTEMAS</v>
      </c>
      <c r="H293" s="5" t="str">
        <f>IF(B293="","",IFERROR(VLOOKUP(B293, PLANTA_BASE!A:W, 17, FALSE), "GENERAL"))</f>
        <v>INGENIERIA DE SISTEMAS</v>
      </c>
    </row>
    <row r="294" spans="1:8" ht="20.100000000000001" customHeight="1" x14ac:dyDescent="0.25">
      <c r="A294" s="2" t="str">
        <f>IF(B294="","",IFERROR(VLOOKUP(B294, PLANTA_BASE!A:W, 2, FALSE), "NO ENCONTRADO EN PLANTA"))</f>
        <v>VIRTUAL</v>
      </c>
      <c r="B294" s="3" t="s">
        <v>592</v>
      </c>
      <c r="C294" s="4" t="s">
        <v>593</v>
      </c>
      <c r="D294" s="2" t="str">
        <f>IF(B294="","",IFERROR(VLOOKUP(B294, PLANTA_BASE!A:W, 5, FALSE), "NO ENCONTRADO EN PLANTA"))</f>
        <v>REGIONAL BOGOTA</v>
      </c>
      <c r="E294" s="2" t="str">
        <f>IF(B294="","",IFERROR(VLOOKUP(B294, PLANTA_BASE!A:W, 6, FALSE), "NO ENCONTRADO EN PLANTA"))</f>
        <v>BOGOTA CENTRO</v>
      </c>
      <c r="F294" s="4" t="str">
        <f>IF(B294="","",IFERROR(VLOOKUP(B294, PLANTA_BASE!A:W, 8, FALSE), "DOCENTE / FACILITADOR"))</f>
        <v>DOC AUX/N/V/MT/CONTADURIA</v>
      </c>
      <c r="G294" s="4" t="str">
        <f>IF(B294="","",IFERROR(VLOOKUP(B294, PLANTA_BASE!A:W, 9, FALSE), "GENERAL"))</f>
        <v>CONTADURIA PUBLICA</v>
      </c>
      <c r="H294" s="2" t="str">
        <f>IF(B294="","",IFERROR(VLOOKUP(B294, PLANTA_BASE!A:W, 17, FALSE), "GENERAL"))</f>
        <v>CONTADURIA PUBLICA</v>
      </c>
    </row>
    <row r="295" spans="1:8" ht="20.100000000000001" customHeight="1" x14ac:dyDescent="0.25">
      <c r="A295" s="5" t="str">
        <f>IF(B295="","",IFERROR(VLOOKUP(B295, PLANTA_BASE!A:W, 2, FALSE), "NO ENCONTRADO EN PLANTA"))</f>
        <v>PRESENCIAL</v>
      </c>
      <c r="B295" s="6" t="s">
        <v>594</v>
      </c>
      <c r="C295" s="7" t="s">
        <v>595</v>
      </c>
      <c r="D295" s="5" t="str">
        <f>IF(B295="","",IFERROR(VLOOKUP(B295, PLANTA_BASE!A:W, 5, FALSE), "NO ENCONTRADO EN PLANTA"))</f>
        <v>REGIONAL MAGDALENA</v>
      </c>
      <c r="E295" s="5" t="str">
        <f>IF(B295="","",IFERROR(VLOOKUP(B295, PLANTA_BASE!A:W, 6, FALSE), "NO ENCONTRADO EN PLANTA"))</f>
        <v>SANTA MARTA</v>
      </c>
      <c r="F295" s="7" t="str">
        <f>IF(B295="","",IFERROR(VLOOKUP(B295, PLANTA_BASE!A:W, 8, FALSE), "DOCENTE / FACILITADOR"))</f>
        <v>DOC AUX T&amp;T/N/TC/DIS PROD MOD/FUN.ACADE-ADMIN</v>
      </c>
      <c r="G295" s="7" t="str">
        <f>IF(B295="","",IFERROR(VLOOKUP(B295, PLANTA_BASE!A:W, 9, FALSE), "GENERAL"))</f>
        <v>DISEÑO Y PRODUCCION DE MODAS</v>
      </c>
      <c r="H295" s="5" t="str">
        <f>IF(B295="","",IFERROR(VLOOKUP(B295, PLANTA_BASE!A:W, 17, FALSE), "GENERAL"))</f>
        <v>DISEÑO Y PRODUCCION DE MODAS</v>
      </c>
    </row>
    <row r="296" spans="1:8" ht="20.100000000000001" customHeight="1" x14ac:dyDescent="0.25">
      <c r="A296" s="2" t="str">
        <f>IF(B296="","",IFERROR(VLOOKUP(B296, PLANTA_BASE!A:W, 2, FALSE), "NO ENCONTRADO EN PLANTA"))</f>
        <v>VIRTUAL</v>
      </c>
      <c r="B296" s="3" t="s">
        <v>596</v>
      </c>
      <c r="C296" s="4" t="s">
        <v>597</v>
      </c>
      <c r="D296" s="2" t="str">
        <f>IF(B296="","",IFERROR(VLOOKUP(B296, PLANTA_BASE!A:W, 5, FALSE), "NO ENCONTRADO EN PLANTA"))</f>
        <v>REGIONAL BOGOTA</v>
      </c>
      <c r="E296" s="2" t="str">
        <f>IF(B296="","",IFERROR(VLOOKUP(B296, PLANTA_BASE!A:W, 6, FALSE), "NO ENCONTRADO EN PLANTA"))</f>
        <v>BOGOTA CENTRO</v>
      </c>
      <c r="F296" s="4" t="str">
        <f>IF(B296="","",IFERROR(VLOOKUP(B296, PLANTA_BASE!A:W, 8, FALSE), "DOCENTE / FACILITADOR"))</f>
        <v>DOC AUX T&amp;T/N/V/MT/ESP NEGO DIGITALES</v>
      </c>
      <c r="G296" s="4" t="str">
        <f>IF(B296="","",IFERROR(VLOOKUP(B296, PLANTA_BASE!A:W, 9, FALSE), "GENERAL"))</f>
        <v>ESPECIALIZACION EN GESTION DE NEGOCIOS DIGITALES</v>
      </c>
      <c r="H296" s="2" t="str">
        <f>IF(B296="","",IFERROR(VLOOKUP(B296, PLANTA_BASE!A:W, 17, FALSE), "GENERAL"))</f>
        <v>ESPECIALIZACION EN GESTION DE NEGOCIOS DIGITALES</v>
      </c>
    </row>
    <row r="297" spans="1:8" ht="20.100000000000001" customHeight="1" x14ac:dyDescent="0.25">
      <c r="A297" s="5" t="str">
        <f>IF(B297="","",IFERROR(VLOOKUP(B297, PLANTA_BASE!A:W, 2, FALSE), "NO ENCONTRADO EN PLANTA"))</f>
        <v>VIRTUAL</v>
      </c>
      <c r="B297" s="6" t="s">
        <v>598</v>
      </c>
      <c r="C297" s="7" t="s">
        <v>599</v>
      </c>
      <c r="D297" s="5" t="str">
        <f>IF(B297="","",IFERROR(VLOOKUP(B297, PLANTA_BASE!A:W, 5, FALSE), "NO ENCONTRADO EN PLANTA"))</f>
        <v>REGIONAL BOGOTA</v>
      </c>
      <c r="E297" s="5" t="str">
        <f>IF(B297="","",IFERROR(VLOOKUP(B297, PLANTA_BASE!A:W, 6, FALSE), "NO ENCONTRADO EN PLANTA"))</f>
        <v>BOGOTA CENTRO</v>
      </c>
      <c r="F297" s="7" t="str">
        <f>IF(B297="","",IFERROR(VLOOKUP(B297, PLANTA_BASE!A:W, 8, FALSE), "DOCENTE / FACILITADOR"))</f>
        <v>DOC ASIS/N/V/TC/ESP DES ORG TH/FUN.ACADE</v>
      </c>
      <c r="G297" s="7" t="str">
        <f>IF(B297="","",IFERROR(VLOOKUP(B297, PLANTA_BASE!A:W, 9, FALSE), "GENERAL"))</f>
        <v>ESPECIALIZACION EN DESARROLLO ORGANIZACIONAL Y GESTION DEL TALENTO HUMANO</v>
      </c>
      <c r="H297" s="5" t="str">
        <f>IF(B297="","",IFERROR(VLOOKUP(B297, PLANTA_BASE!A:W, 17, FALSE), "GENERAL"))</f>
        <v>ESPECIALIZACION EN DESARROLLO ORGANIZACIONAL Y GESTION DEL TALENTO HUMANO</v>
      </c>
    </row>
    <row r="298" spans="1:8" ht="20.100000000000001" customHeight="1" x14ac:dyDescent="0.25">
      <c r="A298" s="2" t="str">
        <f>IF(B298="","",IFERROR(VLOOKUP(B298, PLANTA_BASE!A:W, 2, FALSE), "NO ENCONTRADO EN PLANTA"))</f>
        <v>VIRTUAL</v>
      </c>
      <c r="B298" s="3" t="s">
        <v>600</v>
      </c>
      <c r="C298" s="4" t="s">
        <v>601</v>
      </c>
      <c r="D298" s="2" t="str">
        <f>IF(B298="","",IFERROR(VLOOKUP(B298, PLANTA_BASE!A:W, 5, FALSE), "NO ENCONTRADO EN PLANTA"))</f>
        <v>REGIONAL BOYACA</v>
      </c>
      <c r="E298" s="2" t="str">
        <f>IF(B298="","",IFERROR(VLOOKUP(B298, PLANTA_BASE!A:W, 6, FALSE), "NO ENCONTRADO EN PLANTA"))</f>
        <v>TUNJA</v>
      </c>
      <c r="F298" s="4" t="str">
        <f>IF(B298="","",IFERROR(VLOOKUP(B298, PLANTA_BASE!A:W, 8, FALSE), "DOCENTE / FACILITADOR"))</f>
        <v>DOC AUX/N/V/TC/ING INDUS/FUN.ACADE-ADMIN</v>
      </c>
      <c r="G298" s="4" t="str">
        <f>IF(B298="","",IFERROR(VLOOKUP(B298, PLANTA_BASE!A:W, 9, FALSE), "GENERAL"))</f>
        <v>INGENIERIA INDUSTRIAL</v>
      </c>
      <c r="H298" s="2" t="str">
        <f>IF(B298="","",IFERROR(VLOOKUP(B298, PLANTA_BASE!A:W, 17, FALSE), "GENERAL"))</f>
        <v>INGENIERIA INDUSTRIAL</v>
      </c>
    </row>
    <row r="299" spans="1:8" ht="20.100000000000001" customHeight="1" x14ac:dyDescent="0.25">
      <c r="A299" s="5" t="str">
        <f>IF(B299="","",IFERROR(VLOOKUP(B299, PLANTA_BASE!A:W, 2, FALSE), "NO ENCONTRADO EN PLANTA"))</f>
        <v>VIRTUAL</v>
      </c>
      <c r="B299" s="6" t="s">
        <v>602</v>
      </c>
      <c r="C299" s="7" t="s">
        <v>603</v>
      </c>
      <c r="D299" s="5" t="str">
        <f>IF(B299="","",IFERROR(VLOOKUP(B299, PLANTA_BASE!A:W, 5, FALSE), "NO ENCONTRADO EN PLANTA"))</f>
        <v>REGIONAL CHOCO</v>
      </c>
      <c r="E299" s="5" t="str">
        <f>IF(B299="","",IFERROR(VLOOKUP(B299, PLANTA_BASE!A:W, 6, FALSE), "NO ENCONTRADO EN PLANTA"))</f>
        <v>QUIBDO</v>
      </c>
      <c r="F299" s="7" t="str">
        <f>IF(B299="","",IFERROR(VLOOKUP(B299, PLANTA_BASE!A:W, 8, FALSE), "DOCENTE / FACILITADOR"))</f>
        <v>DOC ASIS/N/V/TC/ESP GEST NEG DIGIT/PROYE</v>
      </c>
      <c r="G299" s="7" t="str">
        <f>IF(B299="","",IFERROR(VLOOKUP(B299, PLANTA_BASE!A:W, 9, FALSE), "GENERAL"))</f>
        <v>ESPECIALIZACION EN GESTION DE NEGOCIOS DIGITALES</v>
      </c>
      <c r="H299" s="5" t="str">
        <f>IF(B299="","",IFERROR(VLOOKUP(B299, PLANTA_BASE!A:W, 17, FALSE), "GENERAL"))</f>
        <v>ESPECIALIZACION EN GESTION DE NEGOCIOS DIGITALES</v>
      </c>
    </row>
    <row r="300" spans="1:8" ht="20.100000000000001" customHeight="1" x14ac:dyDescent="0.25">
      <c r="A300" s="2" t="str">
        <f>IF(B300="","",IFERROR(VLOOKUP(B300, PLANTA_BASE!A:W, 2, FALSE), "NO ENCONTRADO EN PLANTA"))</f>
        <v>VIRTUAL</v>
      </c>
      <c r="B300" s="3" t="s">
        <v>604</v>
      </c>
      <c r="C300" s="4" t="s">
        <v>605</v>
      </c>
      <c r="D300" s="2" t="str">
        <f>IF(B300="","",IFERROR(VLOOKUP(B300, PLANTA_BASE!A:W, 5, FALSE), "NO ENCONTRADO EN PLANTA"))</f>
        <v>REGIONAL BOYACA</v>
      </c>
      <c r="E300" s="2" t="str">
        <f>IF(B300="","",IFERROR(VLOOKUP(B300, PLANTA_BASE!A:W, 6, FALSE), "NO ENCONTRADO EN PLANTA"))</f>
        <v>TUNJA</v>
      </c>
      <c r="F300" s="4" t="str">
        <f>IF(B300="","",IFERROR(VLOOKUP(B300, PLANTA_BASE!A:W, 8, FALSE), "DOCENTE / FACILITADOR"))</f>
        <v>DOC ASIS/N/V/MT/ESP CONTRA ESTATAL</v>
      </c>
      <c r="G300" s="4" t="str">
        <f>IF(B300="","",IFERROR(VLOOKUP(B300, PLANTA_BASE!A:W, 9, FALSE), "GENERAL"))</f>
        <v>ESPECIALIZACION DE CONTRATACION ESTATAL</v>
      </c>
      <c r="H300" s="2" t="str">
        <f>IF(B300="","",IFERROR(VLOOKUP(B300, PLANTA_BASE!A:W, 17, FALSE), "GENERAL"))</f>
        <v>ESPECIALIZACION DE CONTRATACION ESTATAL</v>
      </c>
    </row>
    <row r="301" spans="1:8" ht="20.100000000000001" customHeight="1" x14ac:dyDescent="0.25">
      <c r="A301" s="5" t="str">
        <f>IF(B301="","",IFERROR(VLOOKUP(B301, PLANTA_BASE!A:W, 2, FALSE), "NO ENCONTRADO EN PLANTA"))</f>
        <v>VIRTUAL</v>
      </c>
      <c r="B301" s="6" t="s">
        <v>606</v>
      </c>
      <c r="C301" s="7" t="s">
        <v>607</v>
      </c>
      <c r="D301" s="5" t="str">
        <f>IF(B301="","",IFERROR(VLOOKUP(B301, PLANTA_BASE!A:W, 5, FALSE), "NO ENCONTRADO EN PLANTA"))</f>
        <v>REGIONAL VALLE DELCAUCA</v>
      </c>
      <c r="E301" s="5" t="str">
        <f>IF(B301="","",IFERROR(VLOOKUP(B301, PLANTA_BASE!A:W, 6, FALSE), "NO ENCONTRADO EN PLANTA"))</f>
        <v>BUENAVENTURA</v>
      </c>
      <c r="F301" s="7" t="str">
        <f>IF(B301="","",IFERROR(VLOOKUP(B301, PLANTA_BASE!A:W, 8, FALSE), "DOCENTE / FACILITADOR"))</f>
        <v>DOC ASIS/N/V/TC/INVESTIGACIONES/INVESTIG</v>
      </c>
      <c r="G301" s="7" t="str">
        <f>IF(B301="","",IFERROR(VLOOKUP(B301, PLANTA_BASE!A:W, 9, FALSE), "GENERAL"))</f>
        <v>INVESTIGACIONES</v>
      </c>
      <c r="H301" s="5" t="str">
        <f>IF(B301="","",IFERROR(VLOOKUP(B301, PLANTA_BASE!A:W, 17, FALSE), "GENERAL"))</f>
        <v>INVESTIGACIONES</v>
      </c>
    </row>
    <row r="302" spans="1:8" ht="20.100000000000001" customHeight="1" x14ac:dyDescent="0.25">
      <c r="A302" s="2" t="str">
        <f>IF(B302="","",IFERROR(VLOOKUP(B302, PLANTA_BASE!A:W, 2, FALSE), "NO ENCONTRADO EN PLANTA"))</f>
        <v>VIRTUAL</v>
      </c>
      <c r="B302" s="3" t="s">
        <v>608</v>
      </c>
      <c r="C302" s="4" t="s">
        <v>609</v>
      </c>
      <c r="D302" s="2" t="str">
        <f>IF(B302="","",IFERROR(VLOOKUP(B302, PLANTA_BASE!A:W, 5, FALSE), "NO ENCONTRADO EN PLANTA"))</f>
        <v>REGIONAL CASANARE</v>
      </c>
      <c r="E302" s="2" t="str">
        <f>IF(B302="","",IFERROR(VLOOKUP(B302, PLANTA_BASE!A:W, 6, FALSE), "NO ENCONTRADO EN PLANTA"))</f>
        <v>YOPAL</v>
      </c>
      <c r="F302" s="4" t="str">
        <f>IF(B302="","",IFERROR(VLOOKUP(B302, PLANTA_BASE!A:W, 8, FALSE), "DOCENTE / FACILITADOR"))</f>
        <v>DOC ASIS/N/V/TC/ESP INTE NEGO/FUN.ACA</v>
      </c>
      <c r="G302" s="4" t="str">
        <f>IF(B302="","",IFERROR(VLOOKUP(B302, PLANTA_BASE!A:W, 9, FALSE), "GENERAL"))</f>
        <v>ESPECIALIZACION EN INTELIGENCIA DE NEGOCIOS</v>
      </c>
      <c r="H302" s="2" t="str">
        <f>IF(B302="","",IFERROR(VLOOKUP(B302, PLANTA_BASE!A:W, 17, FALSE), "GENERAL"))</f>
        <v>ESPECIALIZACION EN INTELIGENCIA DE NEGOCIOS</v>
      </c>
    </row>
    <row r="303" spans="1:8" ht="20.100000000000001" customHeight="1" x14ac:dyDescent="0.25">
      <c r="A303" s="5" t="str">
        <f>IF(B303="","",IFERROR(VLOOKUP(B303, PLANTA_BASE!A:W, 2, FALSE), "NO ENCONTRADO EN PLANTA"))</f>
        <v>PRESENCIAL</v>
      </c>
      <c r="B303" s="6" t="s">
        <v>610</v>
      </c>
      <c r="C303" s="7" t="s">
        <v>611</v>
      </c>
      <c r="D303" s="5" t="str">
        <f>IF(B303="","",IFERROR(VLOOKUP(B303, PLANTA_BASE!A:W, 5, FALSE), "NO ENCONTRADO EN PLANTA"))</f>
        <v>REGIONAL MAGDALENA</v>
      </c>
      <c r="E303" s="5" t="str">
        <f>IF(B303="","",IFERROR(VLOOKUP(B303, PLANTA_BASE!A:W, 6, FALSE), "NO ENCONTRADO EN PLANTA"))</f>
        <v>SANTA MARTA</v>
      </c>
      <c r="F303" s="7" t="str">
        <f>IF(B303="","",IFERROR(VLOOKUP(B303, PLANTA_BASE!A:W, 8, FALSE), "DOCENTE / FACILITADOR"))</f>
        <v>DOC AUX T&amp;T/N/TC/ADM EMP/FUN.ACADE-ADMIN</v>
      </c>
      <c r="G303" s="7" t="str">
        <f>IF(B303="","",IFERROR(VLOOKUP(B303, PLANTA_BASE!A:W, 9, FALSE), "GENERAL"))</f>
        <v>ADMINISTRACION DE EMPRESAS</v>
      </c>
      <c r="H303" s="5" t="str">
        <f>IF(B303="","",IFERROR(VLOOKUP(B303, PLANTA_BASE!A:W, 17, FALSE), "GENERAL"))</f>
        <v>ADMINISTRACION DE EMPRESAS</v>
      </c>
    </row>
    <row r="304" spans="1:8" ht="20.100000000000001" customHeight="1" x14ac:dyDescent="0.25">
      <c r="A304" s="2" t="str">
        <f>IF(B304="","",IFERROR(VLOOKUP(B304, PLANTA_BASE!A:W, 2, FALSE), "NO ENCONTRADO EN PLANTA"))</f>
        <v>VIRTUAL</v>
      </c>
      <c r="B304" s="3" t="s">
        <v>612</v>
      </c>
      <c r="C304" s="4" t="s">
        <v>613</v>
      </c>
      <c r="D304" s="2" t="str">
        <f>IF(B304="","",IFERROR(VLOOKUP(B304, PLANTA_BASE!A:W, 5, FALSE), "NO ENCONTRADO EN PLANTA"))</f>
        <v>REGIONAL CALDAS</v>
      </c>
      <c r="E304" s="2" t="str">
        <f>IF(B304="","",IFERROR(VLOOKUP(B304, PLANTA_BASE!A:W, 6, FALSE), "NO ENCONTRADO EN PLANTA"))</f>
        <v>MANIZALES</v>
      </c>
      <c r="F304" s="4" t="str">
        <f>IF(B304="","",IFERROR(VLOOKUP(B304, PLANTA_BASE!A:W, 8, FALSE), "DOCENTE / FACILITADOR"))</f>
        <v>DOC AUX T&amp;T/N/V/TC/ING INDUS/FUN.ACADE-ADMIN</v>
      </c>
      <c r="G304" s="4" t="str">
        <f>IF(B304="","",IFERROR(VLOOKUP(B304, PLANTA_BASE!A:W, 9, FALSE), "GENERAL"))</f>
        <v>INGENIERIA INDUSTRIAL</v>
      </c>
      <c r="H304" s="2" t="str">
        <f>IF(B304="","",IFERROR(VLOOKUP(B304, PLANTA_BASE!A:W, 17, FALSE), "GENERAL"))</f>
        <v>INGENIERIA INDUSTRIAL</v>
      </c>
    </row>
    <row r="305" spans="1:8" ht="20.100000000000001" customHeight="1" x14ac:dyDescent="0.25">
      <c r="A305" s="5" t="str">
        <f>IF(B305="","",IFERROR(VLOOKUP(B305, PLANTA_BASE!A:W, 2, FALSE), "NO ENCONTRADO EN PLANTA"))</f>
        <v>PRESENCIAL</v>
      </c>
      <c r="B305" s="6" t="s">
        <v>614</v>
      </c>
      <c r="C305" s="7" t="s">
        <v>615</v>
      </c>
      <c r="D305" s="5" t="str">
        <f>IF(B305="","",IFERROR(VLOOKUP(B305, PLANTA_BASE!A:W, 5, FALSE), "NO ENCONTRADO EN PLANTA"))</f>
        <v>REGIONAL ATLANTICO</v>
      </c>
      <c r="E305" s="5" t="str">
        <f>IF(B305="","",IFERROR(VLOOKUP(B305, PLANTA_BASE!A:W, 6, FALSE), "NO ENCONTRADO EN PLANTA"))</f>
        <v>BARRANQUILLA</v>
      </c>
      <c r="F305" s="7" t="str">
        <f>IF(B305="","",IFERROR(VLOOKUP(B305, PLANTA_BASE!A:W, 8, FALSE), "DOCENTE / FACILITADOR"))</f>
        <v>DOC AUX T&amp;T/N/TC/DIS PROD MOD/FUN.ACADE-ADMIN</v>
      </c>
      <c r="G305" s="7" t="str">
        <f>IF(B305="","",IFERROR(VLOOKUP(B305, PLANTA_BASE!A:W, 9, FALSE), "GENERAL"))</f>
        <v>DISEÑO Y PRODUCCION DE MODAS</v>
      </c>
      <c r="H305" s="5" t="str">
        <f>IF(B305="","",IFERROR(VLOOKUP(B305, PLANTA_BASE!A:W, 17, FALSE), "GENERAL"))</f>
        <v>DISEÑO Y PRODUCCION DE MODAS</v>
      </c>
    </row>
    <row r="306" spans="1:8" ht="20.100000000000001" customHeight="1" x14ac:dyDescent="0.25">
      <c r="A306" s="2" t="str">
        <f>IF(B306="","",IFERROR(VLOOKUP(B306, PLANTA_BASE!A:W, 2, FALSE), "NO ENCONTRADO EN PLANTA"))</f>
        <v>VIRTUAL</v>
      </c>
      <c r="B306" s="3" t="s">
        <v>616</v>
      </c>
      <c r="C306" s="4" t="s">
        <v>617</v>
      </c>
      <c r="D306" s="2" t="str">
        <f>IF(B306="","",IFERROR(VLOOKUP(B306, PLANTA_BASE!A:W, 5, FALSE), "NO ENCONTRADO EN PLANTA"))</f>
        <v>REGIONAL CORDOBA</v>
      </c>
      <c r="E306" s="2" t="str">
        <f>IF(B306="","",IFERROR(VLOOKUP(B306, PLANTA_BASE!A:W, 6, FALSE), "NO ENCONTRADO EN PLANTA"))</f>
        <v>MONTERIA</v>
      </c>
      <c r="F306" s="4" t="str">
        <f>IF(B306="","",IFERROR(VLOOKUP(B306, PLANTA_BASE!A:W, 8, FALSE), "DOCENTE / FACILITADOR"))</f>
        <v>DOC TITU/N/V/TC/INVESTIGACIONES/INVESTIG</v>
      </c>
      <c r="G306" s="4" t="str">
        <f>IF(B306="","",IFERROR(VLOOKUP(B306, PLANTA_BASE!A:W, 9, FALSE), "GENERAL"))</f>
        <v>INVESTIGACIONES</v>
      </c>
      <c r="H306" s="2" t="str">
        <f>IF(B306="","",IFERROR(VLOOKUP(B306, PLANTA_BASE!A:W, 17, FALSE), "GENERAL"))</f>
        <v>INVESTIGACIONES</v>
      </c>
    </row>
    <row r="307" spans="1:8" ht="20.100000000000001" customHeight="1" x14ac:dyDescent="0.25">
      <c r="A307" s="5" t="str">
        <f>IF(B307="","",IFERROR(VLOOKUP(B307, PLANTA_BASE!A:W, 2, FALSE), "NO ENCONTRADO EN PLANTA"))</f>
        <v>PRESENCIAL</v>
      </c>
      <c r="B307" s="6" t="s">
        <v>618</v>
      </c>
      <c r="C307" s="7" t="s">
        <v>619</v>
      </c>
      <c r="D307" s="5" t="str">
        <f>IF(B307="","",IFERROR(VLOOKUP(B307, PLANTA_BASE!A:W, 5, FALSE), "NO ENCONTRADO EN PLANTA"))</f>
        <v>REGIONAL MAGDALENA</v>
      </c>
      <c r="E307" s="5" t="str">
        <f>IF(B307="","",IFERROR(VLOOKUP(B307, PLANTA_BASE!A:W, 6, FALSE), "NO ENCONTRADO EN PLANTA"))</f>
        <v>SANTA MARTA</v>
      </c>
      <c r="F307" s="7" t="str">
        <f>IF(B307="","",IFERROR(VLOOKUP(B307, PLANTA_BASE!A:W, 8, FALSE), "DOCENTE / FACILITADOR"))</f>
        <v>DOC AUX T&amp;T/N/TC/DIS PROD MOD/FUN.ACADE-ADMIN</v>
      </c>
      <c r="G307" s="7" t="str">
        <f>IF(B307="","",IFERROR(VLOOKUP(B307, PLANTA_BASE!A:W, 9, FALSE), "GENERAL"))</f>
        <v>DISEÑO Y PRODUCCION DE MODAS</v>
      </c>
      <c r="H307" s="5" t="str">
        <f>IF(B307="","",IFERROR(VLOOKUP(B307, PLANTA_BASE!A:W, 17, FALSE), "GENERAL"))</f>
        <v>DISEÑO Y PRODUCCION DE MODAS</v>
      </c>
    </row>
    <row r="308" spans="1:8" ht="20.100000000000001" customHeight="1" x14ac:dyDescent="0.25">
      <c r="A308" s="2" t="str">
        <f>IF(B308="","",IFERROR(VLOOKUP(B308, PLANTA_BASE!A:W, 2, FALSE), "NO ENCONTRADO EN PLANTA"))</f>
        <v>VIRTUAL</v>
      </c>
      <c r="B308" s="3" t="s">
        <v>620</v>
      </c>
      <c r="C308" s="4" t="s">
        <v>621</v>
      </c>
      <c r="D308" s="2" t="str">
        <f>IF(B308="","",IFERROR(VLOOKUP(B308, PLANTA_BASE!A:W, 5, FALSE), "NO ENCONTRADO EN PLANTA"))</f>
        <v>REGIONAL CUNDINAMARCA</v>
      </c>
      <c r="E308" s="2" t="str">
        <f>IF(B308="","",IFERROR(VLOOKUP(B308, PLANTA_BASE!A:W, 6, FALSE), "NO ENCONTRADO EN PLANTA"))</f>
        <v>CHÍA</v>
      </c>
      <c r="F308" s="4" t="str">
        <f>IF(B308="","",IFERROR(VLOOKUP(B308, PLANTA_BASE!A:W, 8, FALSE), "DOCENTE / FACILITADOR"))</f>
        <v>DOC ASOC/N/V/TC/INVESTIGACIONES/INVESTIG</v>
      </c>
      <c r="G308" s="4" t="str">
        <f>IF(B308="","",IFERROR(VLOOKUP(B308, PLANTA_BASE!A:W, 9, FALSE), "GENERAL"))</f>
        <v>INVESTIGACIONES</v>
      </c>
      <c r="H308" s="2" t="str">
        <f>IF(B308="","",IFERROR(VLOOKUP(B308, PLANTA_BASE!A:W, 17, FALSE), "GENERAL"))</f>
        <v>INVESTIGACIONES</v>
      </c>
    </row>
    <row r="309" spans="1:8" ht="20.100000000000001" customHeight="1" x14ac:dyDescent="0.25">
      <c r="A309" s="5" t="str">
        <f>IF(B309="","",IFERROR(VLOOKUP(B309, PLANTA_BASE!A:W, 2, FALSE), "NO ENCONTRADO EN PLANTA"))</f>
        <v>VIRTUAL</v>
      </c>
      <c r="B309" s="6" t="s">
        <v>622</v>
      </c>
      <c r="C309" s="7" t="s">
        <v>623</v>
      </c>
      <c r="D309" s="5" t="str">
        <f>IF(B309="","",IFERROR(VLOOKUP(B309, PLANTA_BASE!A:W, 5, FALSE), "NO ENCONTRADO EN PLANTA"))</f>
        <v>REGIONAL BOGOTA</v>
      </c>
      <c r="E309" s="5" t="str">
        <f>IF(B309="","",IFERROR(VLOOKUP(B309, PLANTA_BASE!A:W, 6, FALSE), "NO ENCONTRADO EN PLANTA"))</f>
        <v>BOGOTA CENTRO</v>
      </c>
      <c r="F309" s="7" t="str">
        <f>IF(B309="","",IFERROR(VLOOKUP(B309, PLANTA_BASE!A:W, 8, FALSE), "DOCENTE / FACILITADOR"))</f>
        <v>DOC AUX T&amp;T/N/V/TC/DIR PROD ME AUD/FUN.ACADE-ADMIN</v>
      </c>
      <c r="G309" s="7" t="str">
        <f>IF(B309="","",IFERROR(VLOOKUP(B309, PLANTA_BASE!A:W, 9, FALSE), "GENERAL"))</f>
        <v>DIRECCION Y PRODUCCION DE MEDIOS AUDIOVISUALES</v>
      </c>
      <c r="H309" s="5" t="str">
        <f>IF(B309="","",IFERROR(VLOOKUP(B309, PLANTA_BASE!A:W, 17, FALSE), "GENERAL"))</f>
        <v>DIRECCION Y PRODUCCION DE MEDIOS AUDIOVISUALES</v>
      </c>
    </row>
    <row r="310" spans="1:8" ht="20.100000000000001" customHeight="1" x14ac:dyDescent="0.25">
      <c r="A310" s="2" t="str">
        <f>IF(B310="","",IFERROR(VLOOKUP(B310, PLANTA_BASE!A:W, 2, FALSE), "NO ENCONTRADO EN PLANTA"))</f>
        <v>PRESENCIAL</v>
      </c>
      <c r="B310" s="3" t="s">
        <v>624</v>
      </c>
      <c r="C310" s="4" t="s">
        <v>625</v>
      </c>
      <c r="D310" s="2" t="str">
        <f>IF(B310="","",IFERROR(VLOOKUP(B310, PLANTA_BASE!A:W, 5, FALSE), "NO ENCONTRADO EN PLANTA"))</f>
        <v>REGIONAL SUCRE</v>
      </c>
      <c r="E310" s="2" t="str">
        <f>IF(B310="","",IFERROR(VLOOKUP(B310, PLANTA_BASE!A:W, 6, FALSE), "NO ENCONTRADO EN PLANTA"))</f>
        <v>SINCELEJO</v>
      </c>
      <c r="F310" s="4" t="str">
        <f>IF(B310="","",IFERROR(VLOOKUP(B310, PLANTA_BASE!A:W, 8, FALSE), "DOCENTE / FACILITADOR"))</f>
        <v>DOCENTE AUX/N/TC/INVESTIGA/INVESTIGACION</v>
      </c>
      <c r="G310" s="4" t="str">
        <f>IF(B310="","",IFERROR(VLOOKUP(B310, PLANTA_BASE!A:W, 9, FALSE), "GENERAL"))</f>
        <v>INVESTIGACIONES</v>
      </c>
      <c r="H310" s="2" t="str">
        <f>IF(B310="","",IFERROR(VLOOKUP(B310, PLANTA_BASE!A:W, 17, FALSE), "GENERAL"))</f>
        <v>INVESTIGACIONES</v>
      </c>
    </row>
    <row r="311" spans="1:8" ht="20.100000000000001" customHeight="1" x14ac:dyDescent="0.25">
      <c r="A311" s="5" t="str">
        <f>IF(B311="","",IFERROR(VLOOKUP(B311, PLANTA_BASE!A:W, 2, FALSE), "NO ENCONTRADO EN PLANTA"))</f>
        <v>VIRTUAL</v>
      </c>
      <c r="B311" s="6" t="s">
        <v>626</v>
      </c>
      <c r="C311" s="7" t="s">
        <v>627</v>
      </c>
      <c r="D311" s="5" t="str">
        <f>IF(B311="","",IFERROR(VLOOKUP(B311, PLANTA_BASE!A:W, 5, FALSE), "NO ENCONTRADO EN PLANTA"))</f>
        <v>REGIONAL VALLE DELCAUCA</v>
      </c>
      <c r="E311" s="5" t="str">
        <f>IF(B311="","",IFERROR(VLOOKUP(B311, PLANTA_BASE!A:W, 6, FALSE), "NO ENCONTRADO EN PLANTA"))</f>
        <v>BUENAVENTURA</v>
      </c>
      <c r="F311" s="7" t="str">
        <f>IF(B311="","",IFERROR(VLOOKUP(B311, PLANTA_BASE!A:W, 8, FALSE), "DOCENTE / FACILITADOR"))</f>
        <v>DOC AUX/N/V/TC/ESP GER DE PROY/FUN.ACA</v>
      </c>
      <c r="G311" s="7" t="str">
        <f>IF(B311="","",IFERROR(VLOOKUP(B311, PLANTA_BASE!A:W, 9, FALSE), "GENERAL"))</f>
        <v>ESPECIALIZACION EN GERENCIA DE PROYECTOS</v>
      </c>
      <c r="H311" s="5" t="str">
        <f>IF(B311="","",IFERROR(VLOOKUP(B311, PLANTA_BASE!A:W, 17, FALSE), "GENERAL"))</f>
        <v>ESPECIALIZACION EN GERENCIA DE PROYECTOS</v>
      </c>
    </row>
    <row r="312" spans="1:8" ht="20.100000000000001" customHeight="1" x14ac:dyDescent="0.25">
      <c r="A312" s="2" t="str">
        <f>IF(B312="","",IFERROR(VLOOKUP(B312, PLANTA_BASE!A:W, 2, FALSE), "NO ENCONTRADO EN PLANTA"))</f>
        <v>VIRTUAL</v>
      </c>
      <c r="B312" s="3" t="s">
        <v>628</v>
      </c>
      <c r="C312" s="4" t="s">
        <v>629</v>
      </c>
      <c r="D312" s="2" t="str">
        <f>IF(B312="","",IFERROR(VLOOKUP(B312, PLANTA_BASE!A:W, 5, FALSE), "NO ENCONTRADO EN PLANTA"))</f>
        <v>REGIONAL BOLIVAR</v>
      </c>
      <c r="E312" s="2" t="str">
        <f>IF(B312="","",IFERROR(VLOOKUP(B312, PLANTA_BASE!A:W, 6, FALSE), "NO ENCONTRADO EN PLANTA"))</f>
        <v>CARTAGENA</v>
      </c>
      <c r="F312" s="4" t="str">
        <f>IF(B312="","",IFERROR(VLOOKUP(B312, PLANTA_BASE!A:W, 8, FALSE), "DOCENTE / FACILITADOR"))</f>
        <v>DOC AUX/N/V/TC/ESP CIBERSEG/FUN.ACA</v>
      </c>
      <c r="G312" s="4" t="str">
        <f>IF(B312="","",IFERROR(VLOOKUP(B312, PLANTA_BASE!A:W, 9, FALSE), "GENERAL"))</f>
        <v>ESPECIALIZACION EN CIBERSEGURIDAD</v>
      </c>
      <c r="H312" s="2" t="str">
        <f>IF(B312="","",IFERROR(VLOOKUP(B312, PLANTA_BASE!A:W, 17, FALSE), "GENERAL"))</f>
        <v>ESPECIALIZACION EN CIBERSEGURIDAD</v>
      </c>
    </row>
    <row r="313" spans="1:8" ht="20.100000000000001" customHeight="1" x14ac:dyDescent="0.25">
      <c r="A313" s="5" t="str">
        <f>IF(B313="","",IFERROR(VLOOKUP(B313, PLANTA_BASE!A:W, 2, FALSE), "NO ENCONTRADO EN PLANTA"))</f>
        <v>VIRTUAL</v>
      </c>
      <c r="B313" s="6" t="s">
        <v>630</v>
      </c>
      <c r="C313" s="7" t="s">
        <v>631</v>
      </c>
      <c r="D313" s="5" t="str">
        <f>IF(B313="","",IFERROR(VLOOKUP(B313, PLANTA_BASE!A:W, 5, FALSE), "NO ENCONTRADO EN PLANTA"))</f>
        <v>REGIONAL SANTANDER</v>
      </c>
      <c r="E313" s="5" t="str">
        <f>IF(B313="","",IFERROR(VLOOKUP(B313, PLANTA_BASE!A:W, 6, FALSE), "NO ENCONTRADO EN PLANTA"))</f>
        <v>BUCARAMANGA</v>
      </c>
      <c r="F313" s="7" t="str">
        <f>IF(B313="","",IFERROR(VLOOKUP(B313, PLANTA_BASE!A:W, 8, FALSE), "DOCENTE / FACILITADOR"))</f>
        <v>DOC ASIS/N/V/MT/MAR DIG</v>
      </c>
      <c r="G313" s="7" t="str">
        <f>IF(B313="","",IFERROR(VLOOKUP(B313, PLANTA_BASE!A:W, 9, FALSE), "GENERAL"))</f>
        <v>MARKETING DIGITAL</v>
      </c>
      <c r="H313" s="5" t="str">
        <f>IF(B313="","",IFERROR(VLOOKUP(B313, PLANTA_BASE!A:W, 17, FALSE), "GENERAL"))</f>
        <v>MARKETING DIGITAL</v>
      </c>
    </row>
    <row r="314" spans="1:8" ht="20.100000000000001" customHeight="1" x14ac:dyDescent="0.25">
      <c r="A314" s="2" t="str">
        <f>IF(B314="","",IFERROR(VLOOKUP(B314, PLANTA_BASE!A:W, 2, FALSE), "NO ENCONTRADO EN PLANTA"))</f>
        <v>VIRTUAL</v>
      </c>
      <c r="B314" s="3" t="s">
        <v>632</v>
      </c>
      <c r="C314" s="4" t="s">
        <v>633</v>
      </c>
      <c r="D314" s="2" t="str">
        <f>IF(B314="","",IFERROR(VLOOKUP(B314, PLANTA_BASE!A:W, 5, FALSE), "NO ENCONTRADO EN PLANTA"))</f>
        <v>REGIONAL NARIñO</v>
      </c>
      <c r="E314" s="2" t="str">
        <f>IF(B314="","",IFERROR(VLOOKUP(B314, PLANTA_BASE!A:W, 6, FALSE), "NO ENCONTRADO EN PLANTA"))</f>
        <v>PASTO</v>
      </c>
      <c r="F314" s="4" t="str">
        <f>IF(B314="","",IFERROR(VLOOKUP(B314, PLANTA_BASE!A:W, 8, FALSE), "DOCENTE / FACILITADOR"))</f>
        <v>DOC AUX/N/V/TC/ADM DE EMPRE/FUN.ACADE-ADMIN</v>
      </c>
      <c r="G314" s="4" t="str">
        <f>IF(B314="","",IFERROR(VLOOKUP(B314, PLANTA_BASE!A:W, 9, FALSE), "GENERAL"))</f>
        <v>ADMINISTRACION DE EMPRESAS</v>
      </c>
      <c r="H314" s="2" t="str">
        <f>IF(B314="","",IFERROR(VLOOKUP(B314, PLANTA_BASE!A:W, 17, FALSE), "GENERAL"))</f>
        <v>ADMINISTRACION DE EMPRESAS</v>
      </c>
    </row>
    <row r="315" spans="1:8" ht="20.100000000000001" customHeight="1" x14ac:dyDescent="0.25">
      <c r="A315" s="5" t="str">
        <f>IF(B315="","",IFERROR(VLOOKUP(B315, PLANTA_BASE!A:W, 2, FALSE), "NO ENCONTRADO EN PLANTA"))</f>
        <v>VIRTUAL</v>
      </c>
      <c r="B315" s="6" t="s">
        <v>634</v>
      </c>
      <c r="C315" s="7" t="s">
        <v>635</v>
      </c>
      <c r="D315" s="5" t="str">
        <f>IF(B315="","",IFERROR(VLOOKUP(B315, PLANTA_BASE!A:W, 5, FALSE), "NO ENCONTRADO EN PLANTA"))</f>
        <v>REGIONAL ANTIOQUIA</v>
      </c>
      <c r="E315" s="5" t="str">
        <f>IF(B315="","",IFERROR(VLOOKUP(B315, PLANTA_BASE!A:W, 6, FALSE), "NO ENCONTRADO EN PLANTA"))</f>
        <v>MEDELLIN</v>
      </c>
      <c r="F315" s="7" t="str">
        <f>IF(B315="","",IFERROR(VLOOKUP(B315, PLANTA_BASE!A:W, 8, FALSE), "DOCENTE / FACILITADOR"))</f>
        <v>DOC ASIS/N/V/TC/ESP GERE DE PROY/FUN.ACA</v>
      </c>
      <c r="G315" s="7" t="str">
        <f>IF(B315="","",IFERROR(VLOOKUP(B315, PLANTA_BASE!A:W, 9, FALSE), "GENERAL"))</f>
        <v>ESPECIALIZACION EN GERENCIA DE PROYECTOS</v>
      </c>
      <c r="H315" s="5" t="str">
        <f>IF(B315="","",IFERROR(VLOOKUP(B315, PLANTA_BASE!A:W, 17, FALSE), "GENERAL"))</f>
        <v>ESPECIALIZACION EN GERENCIA DE PROYECTOS</v>
      </c>
    </row>
    <row r="316" spans="1:8" ht="20.100000000000001" customHeight="1" x14ac:dyDescent="0.25">
      <c r="A316" s="2" t="str">
        <f>IF(B316="","",IFERROR(VLOOKUP(B316, PLANTA_BASE!A:W, 2, FALSE), "NO ENCONTRADO EN PLANTA"))</f>
        <v>VIRTUAL</v>
      </c>
      <c r="B316" s="3" t="s">
        <v>636</v>
      </c>
      <c r="C316" s="4" t="s">
        <v>637</v>
      </c>
      <c r="D316" s="2" t="str">
        <f>IF(B316="","",IFERROR(VLOOKUP(B316, PLANTA_BASE!A:W, 5, FALSE), "NO ENCONTRADO EN PLANTA"))</f>
        <v>REGIONAL NORTE DE SANTANDER</v>
      </c>
      <c r="E316" s="2" t="str">
        <f>IF(B316="","",IFERROR(VLOOKUP(B316, PLANTA_BASE!A:W, 6, FALSE), "NO ENCONTRADO EN PLANTA"))</f>
        <v>CUCUTÁ</v>
      </c>
      <c r="F316" s="4" t="str">
        <f>IF(B316="","",IFERROR(VLOOKUP(B316, PLANTA_BASE!A:W, 8, FALSE), "DOCENTE / FACILITADOR"))</f>
        <v>DOC TITU/N/V/TC/INVESTIGACIONES/INVESTIG</v>
      </c>
      <c r="G316" s="4" t="str">
        <f>IF(B316="","",IFERROR(VLOOKUP(B316, PLANTA_BASE!A:W, 9, FALSE), "GENERAL"))</f>
        <v>INVESTIGACIONES</v>
      </c>
      <c r="H316" s="2" t="str">
        <f>IF(B316="","",IFERROR(VLOOKUP(B316, PLANTA_BASE!A:W, 17, FALSE), "GENERAL"))</f>
        <v>INVESTIGACIONES</v>
      </c>
    </row>
    <row r="317" spans="1:8" ht="20.100000000000001" customHeight="1" x14ac:dyDescent="0.25">
      <c r="A317" s="5" t="str">
        <f>IF(B317="","",IFERROR(VLOOKUP(B317, PLANTA_BASE!A:W, 2, FALSE), "NO ENCONTRADO EN PLANTA"))</f>
        <v>VIRTUAL</v>
      </c>
      <c r="B317" s="6" t="s">
        <v>638</v>
      </c>
      <c r="C317" s="7" t="s">
        <v>639</v>
      </c>
      <c r="D317" s="5" t="str">
        <f>IF(B317="","",IFERROR(VLOOKUP(B317, PLANTA_BASE!A:W, 5, FALSE), "NO ENCONTRADO EN PLANTA"))</f>
        <v>REGIONAL BOGOTA</v>
      </c>
      <c r="E317" s="5" t="str">
        <f>IF(B317="","",IFERROR(VLOOKUP(B317, PLANTA_BASE!A:W, 6, FALSE), "NO ENCONTRADO EN PLANTA"))</f>
        <v>BOGOTA CENTRO</v>
      </c>
      <c r="F317" s="7" t="str">
        <f>IF(B317="","",IFERROR(VLOOKUP(B317, PLANTA_BASE!A:W, 8, FALSE), "DOCENTE / FACILITADOR"))</f>
        <v>DOC AUX/N/V/MT/CONTADURIA</v>
      </c>
      <c r="G317" s="7" t="str">
        <f>IF(B317="","",IFERROR(VLOOKUP(B317, PLANTA_BASE!A:W, 9, FALSE), "GENERAL"))</f>
        <v>CONTADURIA PUBLICA</v>
      </c>
      <c r="H317" s="5" t="str">
        <f>IF(B317="","",IFERROR(VLOOKUP(B317, PLANTA_BASE!A:W, 17, FALSE), "GENERAL"))</f>
        <v>CONTADURIA PUBLICA</v>
      </c>
    </row>
    <row r="318" spans="1:8" ht="20.100000000000001" customHeight="1" x14ac:dyDescent="0.25">
      <c r="A318" s="2" t="str">
        <f>IF(B318="","",IFERROR(VLOOKUP(B318, PLANTA_BASE!A:W, 2, FALSE), "NO ENCONTRADO EN PLANTA"))</f>
        <v>VIRTUAL</v>
      </c>
      <c r="B318" s="3" t="s">
        <v>640</v>
      </c>
      <c r="C318" s="4" t="s">
        <v>641</v>
      </c>
      <c r="D318" s="2" t="str">
        <f>IF(B318="","",IFERROR(VLOOKUP(B318, PLANTA_BASE!A:W, 5, FALSE), "NO ENCONTRADO EN PLANTA"))</f>
        <v>REGIONAL CALDAS</v>
      </c>
      <c r="E318" s="2" t="str">
        <f>IF(B318="","",IFERROR(VLOOKUP(B318, PLANTA_BASE!A:W, 6, FALSE), "NO ENCONTRADO EN PLANTA"))</f>
        <v>MANIZALES</v>
      </c>
      <c r="F318" s="4" t="str">
        <f>IF(B318="","",IFERROR(VLOOKUP(B318, PLANTA_BASE!A:W, 8, FALSE), "DOCENTE / FACILITADOR"))</f>
        <v>DOC AUX T&amp;T/N/V/MT/ING INDUS</v>
      </c>
      <c r="G318" s="4" t="str">
        <f>IF(B318="","",IFERROR(VLOOKUP(B318, PLANTA_BASE!A:W, 9, FALSE), "GENERAL"))</f>
        <v>INGENIERIA INDUSTRIAL</v>
      </c>
      <c r="H318" s="2" t="str">
        <f>IF(B318="","",IFERROR(VLOOKUP(B318, PLANTA_BASE!A:W, 17, FALSE), "GENERAL"))</f>
        <v>INGENIERIA INDUSTRIAL</v>
      </c>
    </row>
    <row r="319" spans="1:8" ht="20.100000000000001" customHeight="1" x14ac:dyDescent="0.25">
      <c r="A319" s="5" t="str">
        <f>IF(B319="","",IFERROR(VLOOKUP(B319, PLANTA_BASE!A:W, 2, FALSE), "NO ENCONTRADO EN PLANTA"))</f>
        <v>VIRTUAL</v>
      </c>
      <c r="B319" s="6" t="s">
        <v>642</v>
      </c>
      <c r="C319" s="7" t="s">
        <v>643</v>
      </c>
      <c r="D319" s="5" t="str">
        <f>IF(B319="","",IFERROR(VLOOKUP(B319, PLANTA_BASE!A:W, 5, FALSE), "NO ENCONTRADO EN PLANTA"))</f>
        <v>REGIONAL BOGOTA</v>
      </c>
      <c r="E319" s="5" t="str">
        <f>IF(B319="","",IFERROR(VLOOKUP(B319, PLANTA_BASE!A:W, 6, FALSE), "NO ENCONTRADO EN PLANTA"))</f>
        <v>BOGOTA CENTRO</v>
      </c>
      <c r="F319" s="7" t="str">
        <f>IF(B319="","",IFERROR(VLOOKUP(B319, PLANTA_BASE!A:W, 8, FALSE), "DOCENTE / FACILITADOR"))</f>
        <v>DOC AUX/N/V/TC/ESP DES Y GEST TAL HUM/PR</v>
      </c>
      <c r="G319" s="7" t="str">
        <f>IF(B319="","",IFERROR(VLOOKUP(B319, PLANTA_BASE!A:W, 9, FALSE), "GENERAL"))</f>
        <v>ESPECIALIZACION EN DESARROLLO ORGANIZACIONAL Y GESTION DEL TALENTO HUMANO</v>
      </c>
      <c r="H319" s="5" t="str">
        <f>IF(B319="","",IFERROR(VLOOKUP(B319, PLANTA_BASE!A:W, 17, FALSE), "GENERAL"))</f>
        <v>ESPECIALIZACION EN DESARROLLO ORGANIZACIONAL Y GESTION DEL TALENTO HUMANO</v>
      </c>
    </row>
    <row r="320" spans="1:8" ht="20.100000000000001" customHeight="1" x14ac:dyDescent="0.25">
      <c r="A320" s="2" t="str">
        <f>IF(B320="","",IFERROR(VLOOKUP(B320, PLANTA_BASE!A:W, 2, FALSE), "NO ENCONTRADO EN PLANTA"))</f>
        <v>VIRTUAL</v>
      </c>
      <c r="B320" s="3" t="s">
        <v>644</v>
      </c>
      <c r="C320" s="4" t="s">
        <v>645</v>
      </c>
      <c r="D320" s="2" t="str">
        <f>IF(B320="","",IFERROR(VLOOKUP(B320, PLANTA_BASE!A:W, 5, FALSE), "NO ENCONTRADO EN PLANTA"))</f>
        <v>REGIONAL NARIñO</v>
      </c>
      <c r="E320" s="2" t="str">
        <f>IF(B320="","",IFERROR(VLOOKUP(B320, PLANTA_BASE!A:W, 6, FALSE), "NO ENCONTRADO EN PLANTA"))</f>
        <v>PASTO</v>
      </c>
      <c r="F320" s="4" t="str">
        <f>IF(B320="","",IFERROR(VLOOKUP(B320, PLANTA_BASE!A:W, 8, FALSE), "DOCENTE / FACILITADOR"))</f>
        <v>DOC ASIS/N/V/TC/ESP DYD VIDEOJUEGOS/FUN.</v>
      </c>
      <c r="G320" s="4" t="str">
        <f>IF(B320="","",IFERROR(VLOOKUP(B320, PLANTA_BASE!A:W, 9, FALSE), "GENERAL"))</f>
        <v>ESPECIALIZACION DISEÑO Y DESARROLLO VIDEOJUEGOS</v>
      </c>
      <c r="H320" s="2" t="str">
        <f>IF(B320="","",IFERROR(VLOOKUP(B320, PLANTA_BASE!A:W, 17, FALSE), "GENERAL"))</f>
        <v>ESPECIALIZACION DISEÑO Y DESARROLLO VIDEOJUEGOS</v>
      </c>
    </row>
    <row r="321" spans="1:8" ht="20.100000000000001" customHeight="1" x14ac:dyDescent="0.25">
      <c r="A321" s="5" t="str">
        <f>IF(B321="","",IFERROR(VLOOKUP(B321, PLANTA_BASE!A:W, 2, FALSE), "NO ENCONTRADO EN PLANTA"))</f>
        <v>VIRTUAL</v>
      </c>
      <c r="B321" s="6" t="s">
        <v>646</v>
      </c>
      <c r="C321" s="7" t="s">
        <v>647</v>
      </c>
      <c r="D321" s="5" t="str">
        <f>IF(B321="","",IFERROR(VLOOKUP(B321, PLANTA_BASE!A:W, 5, FALSE), "NO ENCONTRADO EN PLANTA"))</f>
        <v>REGIONAL MAGDALENA</v>
      </c>
      <c r="E321" s="5" t="str">
        <f>IF(B321="","",IFERROR(VLOOKUP(B321, PLANTA_BASE!A:W, 6, FALSE), "NO ENCONTRADO EN PLANTA"))</f>
        <v>SANTA MARTA</v>
      </c>
      <c r="F321" s="7" t="str">
        <f>IF(B321="","",IFERROR(VLOOKUP(B321, PLANTA_BASE!A:W, 8, FALSE), "DOCENTE / FACILITADOR"))</f>
        <v>DOC TITU/N/V/TC/INVESTIGACIONES/INVESTIG</v>
      </c>
      <c r="G321" s="7" t="str">
        <f>IF(B321="","",IFERROR(VLOOKUP(B321, PLANTA_BASE!A:W, 9, FALSE), "GENERAL"))</f>
        <v>INVESTIGACIONES</v>
      </c>
      <c r="H321" s="5" t="str">
        <f>IF(B321="","",IFERROR(VLOOKUP(B321, PLANTA_BASE!A:W, 17, FALSE), "GENERAL"))</f>
        <v>INVESTIGACIONES</v>
      </c>
    </row>
    <row r="322" spans="1:8" ht="20.100000000000001" customHeight="1" x14ac:dyDescent="0.25">
      <c r="A322" s="2" t="str">
        <f>IF(B322="","",IFERROR(VLOOKUP(B322, PLANTA_BASE!A:W, 2, FALSE), "NO ENCONTRADO EN PLANTA"))</f>
        <v>VIRTUAL</v>
      </c>
      <c r="B322" s="3" t="s">
        <v>648</v>
      </c>
      <c r="C322" s="4" t="s">
        <v>649</v>
      </c>
      <c r="D322" s="2" t="str">
        <f>IF(B322="","",IFERROR(VLOOKUP(B322, PLANTA_BASE!A:W, 5, FALSE), "NO ENCONTRADO EN PLANTA"))</f>
        <v>REGIONAL BOGOTA</v>
      </c>
      <c r="E322" s="2" t="str">
        <f>IF(B322="","",IFERROR(VLOOKUP(B322, PLANTA_BASE!A:W, 6, FALSE), "NO ENCONTRADO EN PLANTA"))</f>
        <v>BOGOTA CENTRO</v>
      </c>
      <c r="F322" s="4" t="str">
        <f>IF(B322="","",IFERROR(VLOOKUP(B322, PLANTA_BASE!A:W, 8, FALSE), "DOCENTE / FACILITADOR"))</f>
        <v>DOC AUX/N/V/MT/CONTADURIA</v>
      </c>
      <c r="G322" s="4" t="str">
        <f>IF(B322="","",IFERROR(VLOOKUP(B322, PLANTA_BASE!A:W, 9, FALSE), "GENERAL"))</f>
        <v>CONTADURIA PUBLICA</v>
      </c>
      <c r="H322" s="2" t="str">
        <f>IF(B322="","",IFERROR(VLOOKUP(B322, PLANTA_BASE!A:W, 17, FALSE), "GENERAL"))</f>
        <v>CONTADURIA PUBLICA</v>
      </c>
    </row>
    <row r="323" spans="1:8" ht="20.100000000000001" customHeight="1" x14ac:dyDescent="0.25">
      <c r="A323" s="5" t="str">
        <f>IF(B323="","",IFERROR(VLOOKUP(B323, PLANTA_BASE!A:W, 2, FALSE), "NO ENCONTRADO EN PLANTA"))</f>
        <v>VIRTUAL</v>
      </c>
      <c r="B323" s="6" t="s">
        <v>650</v>
      </c>
      <c r="C323" s="7" t="s">
        <v>651</v>
      </c>
      <c r="D323" s="5" t="str">
        <f>IF(B323="","",IFERROR(VLOOKUP(B323, PLANTA_BASE!A:W, 5, FALSE), "NO ENCONTRADO EN PLANTA"))</f>
        <v>REGIONAL CALDAS</v>
      </c>
      <c r="E323" s="5" t="str">
        <f>IF(B323="","",IFERROR(VLOOKUP(B323, PLANTA_BASE!A:W, 6, FALSE), "NO ENCONTRADO EN PLANTA"))</f>
        <v>MANIZALES</v>
      </c>
      <c r="F323" s="7" t="str">
        <f>IF(B323="","",IFERROR(VLOOKUP(B323, PLANTA_BASE!A:W, 8, FALSE), "DOCENTE / FACILITADOR"))</f>
        <v>DOC ASIS/N/V/TC/ESP MARKETING POLI/FUN.A</v>
      </c>
      <c r="G323" s="7" t="str">
        <f>IF(B323="","",IFERROR(VLOOKUP(B323, PLANTA_BASE!A:W, 9, FALSE), "GENERAL"))</f>
        <v>ESPECIALIZACION MARKETING POLITICO</v>
      </c>
      <c r="H323" s="5" t="str">
        <f>IF(B323="","",IFERROR(VLOOKUP(B323, PLANTA_BASE!A:W, 17, FALSE), "GENERAL"))</f>
        <v>ESPECIALIZACION MARKETING POLITICO</v>
      </c>
    </row>
    <row r="324" spans="1:8" ht="20.100000000000001" customHeight="1" x14ac:dyDescent="0.25">
      <c r="A324" s="2" t="str">
        <f>IF(B324="","",IFERROR(VLOOKUP(B324, PLANTA_BASE!A:W, 2, FALSE), "NO ENCONTRADO EN PLANTA"))</f>
        <v>PRESENCIAL</v>
      </c>
      <c r="B324" s="3" t="s">
        <v>652</v>
      </c>
      <c r="C324" s="4" t="s">
        <v>653</v>
      </c>
      <c r="D324" s="2" t="str">
        <f>IF(B324="","",IFERROR(VLOOKUP(B324, PLANTA_BASE!A:W, 5, FALSE), "NO ENCONTRADO EN PLANTA"))</f>
        <v>REGIONAL ATLANTICO</v>
      </c>
      <c r="E324" s="2" t="str">
        <f>IF(B324="","",IFERROR(VLOOKUP(B324, PLANTA_BASE!A:W, 6, FALSE), "NO ENCONTRADO EN PLANTA"))</f>
        <v>BARRANQUILLA</v>
      </c>
      <c r="F324" s="4" t="str">
        <f>IF(B324="","",IFERROR(VLOOKUP(B324, PLANTA_BASE!A:W, 8, FALSE), "DOCENTE / FACILITADOR"))</f>
        <v>DOCENTE AUX/N/TC/EMPRENDIMIE/FUN.ACADE-ADMIN</v>
      </c>
      <c r="G324" s="4" t="str">
        <f>IF(B324="","",IFERROR(VLOOKUP(B324, PLANTA_BASE!A:W, 9, FALSE), "GENERAL"))</f>
        <v>EMPRENDIMIENTO</v>
      </c>
      <c r="H324" s="2" t="str">
        <f>IF(B324="","",IFERROR(VLOOKUP(B324, PLANTA_BASE!A:W, 17, FALSE), "GENERAL"))</f>
        <v>EMPRENDIMIENTO</v>
      </c>
    </row>
    <row r="325" spans="1:8" ht="20.100000000000001" customHeight="1" x14ac:dyDescent="0.25">
      <c r="A325" s="5" t="str">
        <f>IF(B325="","",IFERROR(VLOOKUP(B325, PLANTA_BASE!A:W, 2, FALSE), "NO ENCONTRADO EN PLANTA"))</f>
        <v>VIRTUAL</v>
      </c>
      <c r="B325" s="6" t="s">
        <v>654</v>
      </c>
      <c r="C325" s="7" t="s">
        <v>655</v>
      </c>
      <c r="D325" s="5" t="str">
        <f>IF(B325="","",IFERROR(VLOOKUP(B325, PLANTA_BASE!A:W, 5, FALSE), "NO ENCONTRADO EN PLANTA"))</f>
        <v>REGIONAL BOGOTA</v>
      </c>
      <c r="E325" s="5" t="str">
        <f>IF(B325="","",IFERROR(VLOOKUP(B325, PLANTA_BASE!A:W, 6, FALSE), "NO ENCONTRADO EN PLANTA"))</f>
        <v>BOGOTA CENTRO</v>
      </c>
      <c r="F325" s="7" t="str">
        <f>IF(B325="","",IFERROR(VLOOKUP(B325, PLANTA_BASE!A:W, 8, FALSE), "DOCENTE / FACILITADOR"))</f>
        <v>DOC ASIS/N/V/MT/NEG INTER</v>
      </c>
      <c r="G325" s="7" t="str">
        <f>IF(B325="","",IFERROR(VLOOKUP(B325, PLANTA_BASE!A:W, 9, FALSE), "GENERAL"))</f>
        <v>NEGOCIOS INTERNACIONALES</v>
      </c>
      <c r="H325" s="5" t="str">
        <f>IF(B325="","",IFERROR(VLOOKUP(B325, PLANTA_BASE!A:W, 17, FALSE), "GENERAL"))</f>
        <v>NEGOCIOS INTERNACIONALES</v>
      </c>
    </row>
    <row r="326" spans="1:8" ht="20.100000000000001" customHeight="1" x14ac:dyDescent="0.25">
      <c r="A326" s="2" t="str">
        <f>IF(B326="","",IFERROR(VLOOKUP(B326, PLANTA_BASE!A:W, 2, FALSE), "NO ENCONTRADO EN PLANTA"))</f>
        <v>PRESENCIAL</v>
      </c>
      <c r="B326" s="3" t="s">
        <v>656</v>
      </c>
      <c r="C326" s="4" t="s">
        <v>657</v>
      </c>
      <c r="D326" s="2" t="str">
        <f>IF(B326="","",IFERROR(VLOOKUP(B326, PLANTA_BASE!A:W, 5, FALSE), "NO ENCONTRADO EN PLANTA"))</f>
        <v>REGIONAL HUILA</v>
      </c>
      <c r="E326" s="2" t="str">
        <f>IF(B326="","",IFERROR(VLOOKUP(B326, PLANTA_BASE!A:W, 6, FALSE), "NO ENCONTRADO EN PLANTA"))</f>
        <v>NEIVA</v>
      </c>
      <c r="F326" s="4" t="str">
        <f>IF(B326="","",IFERROR(VLOOKUP(B326, PLANTA_BASE!A:W, 8, FALSE), "DOCENTE / FACILITADOR"))</f>
        <v>DOC AUX T&amp;T/N/TC/INVESTIGA/INVESTIGACIO</v>
      </c>
      <c r="G326" s="4" t="str">
        <f>IF(B326="","",IFERROR(VLOOKUP(B326, PLANTA_BASE!A:W, 9, FALSE), "GENERAL"))</f>
        <v>INVESTIGACIONES</v>
      </c>
      <c r="H326" s="2" t="str">
        <f>IF(B326="","",IFERROR(VLOOKUP(B326, PLANTA_BASE!A:W, 17, FALSE), "GENERAL"))</f>
        <v>INVESTIGACIONES</v>
      </c>
    </row>
    <row r="327" spans="1:8" ht="20.100000000000001" customHeight="1" x14ac:dyDescent="0.25">
      <c r="A327" s="5" t="str">
        <f>IF(B327="","",IFERROR(VLOOKUP(B327, PLANTA_BASE!A:W, 2, FALSE), "NO ENCONTRADO EN PLANTA"))</f>
        <v>VIRTUAL</v>
      </c>
      <c r="B327" s="6" t="s">
        <v>658</v>
      </c>
      <c r="C327" s="7" t="s">
        <v>659</v>
      </c>
      <c r="D327" s="5" t="str">
        <f>IF(B327="","",IFERROR(VLOOKUP(B327, PLANTA_BASE!A:W, 5, FALSE), "NO ENCONTRADO EN PLANTA"))</f>
        <v>REGIONAL VALLE DELCAUCA</v>
      </c>
      <c r="E327" s="5" t="str">
        <f>IF(B327="","",IFERROR(VLOOKUP(B327, PLANTA_BASE!A:W, 6, FALSE), "NO ENCONTRADO EN PLANTA"))</f>
        <v>BUENAVENTURA</v>
      </c>
      <c r="F327" s="7" t="str">
        <f>IF(B327="","",IFERROR(VLOOKUP(B327, PLANTA_BASE!A:W, 8, FALSE), "DOCENTE / FACILITADOR"))</f>
        <v>DOC AUX/N/V/TC/ADM DE EMPRE/FUN.ACADE-ADMIN</v>
      </c>
      <c r="G327" s="7" t="str">
        <f>IF(B327="","",IFERROR(VLOOKUP(B327, PLANTA_BASE!A:W, 9, FALSE), "GENERAL"))</f>
        <v>ADMINISTRACION DE EMPRESAS</v>
      </c>
      <c r="H327" s="5" t="str">
        <f>IF(B327="","",IFERROR(VLOOKUP(B327, PLANTA_BASE!A:W, 17, FALSE), "GENERAL"))</f>
        <v>ADMINISTRACION DE EMPRESAS</v>
      </c>
    </row>
    <row r="328" spans="1:8" ht="20.100000000000001" customHeight="1" x14ac:dyDescent="0.25">
      <c r="A328" s="2" t="str">
        <f>IF(B328="","",IFERROR(VLOOKUP(B328, PLANTA_BASE!A:W, 2, FALSE), "NO ENCONTRADO EN PLANTA"))</f>
        <v>PRESENCIAL</v>
      </c>
      <c r="B328" s="3" t="s">
        <v>660</v>
      </c>
      <c r="C328" s="4" t="s">
        <v>661</v>
      </c>
      <c r="D328" s="2" t="str">
        <f>IF(B328="","",IFERROR(VLOOKUP(B328, PLANTA_BASE!A:W, 5, FALSE), "NO ENCONTRADO EN PLANTA"))</f>
        <v>REGIONAL TOLIMA</v>
      </c>
      <c r="E328" s="2" t="str">
        <f>IF(B328="","",IFERROR(VLOOKUP(B328, PLANTA_BASE!A:W, 6, FALSE), "NO ENCONTRADO EN PLANTA"))</f>
        <v>IBAGUÉ</v>
      </c>
      <c r="F328" s="4" t="str">
        <f>IF(B328="","",IFERROR(VLOOKUP(B328, PLANTA_BASE!A:W, 8, FALSE), "DOCENTE / FACILITADOR"))</f>
        <v>DOC AUX T&amp;T/N/TC/DIS PROD MOD/FUN.ACADE-ADMIN</v>
      </c>
      <c r="G328" s="4" t="str">
        <f>IF(B328="","",IFERROR(VLOOKUP(B328, PLANTA_BASE!A:W, 9, FALSE), "GENERAL"))</f>
        <v>DISEÑO Y PRODUCCION DE MODAS</v>
      </c>
      <c r="H328" s="2" t="str">
        <f>IF(B328="","",IFERROR(VLOOKUP(B328, PLANTA_BASE!A:W, 17, FALSE), "GENERAL"))</f>
        <v>DISEÑO Y PRODUCCION DE MODAS</v>
      </c>
    </row>
    <row r="329" spans="1:8" ht="20.100000000000001" customHeight="1" x14ac:dyDescent="0.25">
      <c r="A329" s="5" t="str">
        <f>IF(B329="","",IFERROR(VLOOKUP(B329, PLANTA_BASE!A:W, 2, FALSE), "NO ENCONTRADO EN PLANTA"))</f>
        <v>PRESENCIAL</v>
      </c>
      <c r="B329" s="6" t="s">
        <v>662</v>
      </c>
      <c r="C329" s="7" t="s">
        <v>663</v>
      </c>
      <c r="D329" s="5" t="str">
        <f>IF(B329="","",IFERROR(VLOOKUP(B329, PLANTA_BASE!A:W, 5, FALSE), "NO ENCONTRADO EN PLANTA"))</f>
        <v>REGIONAL BOGOTA</v>
      </c>
      <c r="E329" s="5" t="str">
        <f>IF(B329="","",IFERROR(VLOOKUP(B329, PLANTA_BASE!A:W, 6, FALSE), "NO ENCONTRADO EN PLANTA"))</f>
        <v>BOGOTA NORTE</v>
      </c>
      <c r="F329" s="7" t="str">
        <f>IF(B329="","",IFERROR(VLOOKUP(B329, PLANTA_BASE!A:W, 8, FALSE), "DOCENTE / FACILITADOR"))</f>
        <v>DOCENTE ASIS/N/TC/INVESTIGA/INVESTIGACIO</v>
      </c>
      <c r="G329" s="7" t="str">
        <f>IF(B329="","",IFERROR(VLOOKUP(B329, PLANTA_BASE!A:W, 9, FALSE), "GENERAL"))</f>
        <v>INVESTIGACIONES</v>
      </c>
      <c r="H329" s="5" t="str">
        <f>IF(B329="","",IFERROR(VLOOKUP(B329, PLANTA_BASE!A:W, 17, FALSE), "GENERAL"))</f>
        <v>INVESTIGACIONES</v>
      </c>
    </row>
    <row r="330" spans="1:8" ht="20.100000000000001" customHeight="1" x14ac:dyDescent="0.25">
      <c r="A330" s="2" t="str">
        <f>IF(B330="","",IFERROR(VLOOKUP(B330, PLANTA_BASE!A:W, 2, FALSE), "NO ENCONTRADO EN PLANTA"))</f>
        <v>VIRTUAL</v>
      </c>
      <c r="B330" s="3" t="s">
        <v>664</v>
      </c>
      <c r="C330" s="4" t="s">
        <v>665</v>
      </c>
      <c r="D330" s="2" t="str">
        <f>IF(B330="","",IFERROR(VLOOKUP(B330, PLANTA_BASE!A:W, 5, FALSE), "NO ENCONTRADO EN PLANTA"))</f>
        <v>REGIONAL VALLE DELCAUCA</v>
      </c>
      <c r="E330" s="2" t="str">
        <f>IF(B330="","",IFERROR(VLOOKUP(B330, PLANTA_BASE!A:W, 6, FALSE), "NO ENCONTRADO EN PLANTA"))</f>
        <v>CALI</v>
      </c>
      <c r="F330" s="4" t="str">
        <f>IF(B330="","",IFERROR(VLOOKUP(B330, PLANTA_BASE!A:W, 8, FALSE), "DOCENTE / FACILITADOR"))</f>
        <v>DOC ASIS/N/V/TC/ADM DE EMPRE/FUN.ACADE-ADMIN</v>
      </c>
      <c r="G330" s="4" t="str">
        <f>IF(B330="","",IFERROR(VLOOKUP(B330, PLANTA_BASE!A:W, 9, FALSE), "GENERAL"))</f>
        <v>ADMINISTRACION DE EMPRESAS</v>
      </c>
      <c r="H330" s="2" t="str">
        <f>IF(B330="","",IFERROR(VLOOKUP(B330, PLANTA_BASE!A:W, 17, FALSE), "GENERAL"))</f>
        <v>ADMINISTRACION DE EMPRESAS</v>
      </c>
    </row>
    <row r="331" spans="1:8" ht="20.100000000000001" customHeight="1" x14ac:dyDescent="0.25">
      <c r="A331" s="5" t="str">
        <f>IF(B331="","",IFERROR(VLOOKUP(B331, PLANTA_BASE!A:W, 2, FALSE), "NO ENCONTRADO EN PLANTA"))</f>
        <v>VIRTUAL</v>
      </c>
      <c r="B331" s="6" t="s">
        <v>666</v>
      </c>
      <c r="C331" s="7" t="s">
        <v>667</v>
      </c>
      <c r="D331" s="5" t="str">
        <f>IF(B331="","",IFERROR(VLOOKUP(B331, PLANTA_BASE!A:W, 5, FALSE), "NO ENCONTRADO EN PLANTA"))</f>
        <v>REGIONAL BOGOTA</v>
      </c>
      <c r="E331" s="5" t="str">
        <f>IF(B331="","",IFERROR(VLOOKUP(B331, PLANTA_BASE!A:W, 6, FALSE), "NO ENCONTRADO EN PLANTA"))</f>
        <v>BOGOTA CENTRO</v>
      </c>
      <c r="F331" s="7" t="str">
        <f>IF(B331="","",IFERROR(VLOOKUP(B331, PLANTA_BASE!A:W, 8, FALSE), "DOCENTE / FACILITADOR"))</f>
        <v>DOC AUX T&amp;T/N/V/TC/ESP DYD VIDEOJUEGOS/F</v>
      </c>
      <c r="G331" s="7" t="str">
        <f>IF(B331="","",IFERROR(VLOOKUP(B331, PLANTA_BASE!A:W, 9, FALSE), "GENERAL"))</f>
        <v>ESPECIALIZACION DISEÑO Y DESARROLLO VIDEOJUEGOS</v>
      </c>
      <c r="H331" s="5" t="str">
        <f>IF(B331="","",IFERROR(VLOOKUP(B331, PLANTA_BASE!A:W, 17, FALSE), "GENERAL"))</f>
        <v>ESPECIALIZACION DISEÑO Y DESARROLLO VIDEOJUEGOS</v>
      </c>
    </row>
    <row r="332" spans="1:8" ht="20.100000000000001" customHeight="1" x14ac:dyDescent="0.25">
      <c r="A332" s="2" t="str">
        <f>IF(B332="","",IFERROR(VLOOKUP(B332, PLANTA_BASE!A:W, 2, FALSE), "NO ENCONTRADO EN PLANTA"))</f>
        <v>VIRTUAL</v>
      </c>
      <c r="B332" s="3" t="s">
        <v>668</v>
      </c>
      <c r="C332" s="4" t="s">
        <v>669</v>
      </c>
      <c r="D332" s="2" t="str">
        <f>IF(B332="","",IFERROR(VLOOKUP(B332, PLANTA_BASE!A:W, 5, FALSE), "NO ENCONTRADO EN PLANTA"))</f>
        <v>REGIONAL BOGOTA</v>
      </c>
      <c r="E332" s="2" t="str">
        <f>IF(B332="","",IFERROR(VLOOKUP(B332, PLANTA_BASE!A:W, 6, FALSE), "NO ENCONTRADO EN PLANTA"))</f>
        <v>BOGOTA CENTRO</v>
      </c>
      <c r="F332" s="4" t="str">
        <f>IF(B332="","",IFERROR(VLOOKUP(B332, PLANTA_BASE!A:W, 8, FALSE), "DOCENTE / FACILITADOR"))</f>
        <v>DOC ASIS/N/V/TC/ING DE SISTEMAS/FUN.ACADE-ADMIN</v>
      </c>
      <c r="G332" s="4" t="str">
        <f>IF(B332="","",IFERROR(VLOOKUP(B332, PLANTA_BASE!A:W, 9, FALSE), "GENERAL"))</f>
        <v>INGENIERIA DE SISTEMAS</v>
      </c>
      <c r="H332" s="2" t="str">
        <f>IF(B332="","",IFERROR(VLOOKUP(B332, PLANTA_BASE!A:W, 17, FALSE), "GENERAL"))</f>
        <v>INGENIERIA DE SISTEMAS</v>
      </c>
    </row>
    <row r="333" spans="1:8" ht="20.100000000000001" customHeight="1" x14ac:dyDescent="0.25">
      <c r="A333" s="5" t="str">
        <f>IF(B333="","",IFERROR(VLOOKUP(B333, PLANTA_BASE!A:W, 2, FALSE), "NO ENCONTRADO EN PLANTA"))</f>
        <v>VIRTUAL</v>
      </c>
      <c r="B333" s="6" t="s">
        <v>670</v>
      </c>
      <c r="C333" s="7" t="s">
        <v>671</v>
      </c>
      <c r="D333" s="5" t="str">
        <f>IF(B333="","",IFERROR(VLOOKUP(B333, PLANTA_BASE!A:W, 5, FALSE), "NO ENCONTRADO EN PLANTA"))</f>
        <v>REGIONAL BOGOTA</v>
      </c>
      <c r="E333" s="5" t="str">
        <f>IF(B333="","",IFERROR(VLOOKUP(B333, PLANTA_BASE!A:W, 6, FALSE), "NO ENCONTRADO EN PLANTA"))</f>
        <v>BOGOTA CENTRO</v>
      </c>
      <c r="F333" s="7" t="str">
        <f>IF(B333="","",IFERROR(VLOOKUP(B333, PLANTA_BASE!A:W, 8, FALSE), "DOCENTE / FACILITADOR"))</f>
        <v>DOC AUX/N/V/MT/ADMIN PUBLICA</v>
      </c>
      <c r="G333" s="7" t="str">
        <f>IF(B333="","",IFERROR(VLOOKUP(B333, PLANTA_BASE!A:W, 9, FALSE), "GENERAL"))</f>
        <v>ADMINISTRACION PUBLICA</v>
      </c>
      <c r="H333" s="5" t="str">
        <f>IF(B333="","",IFERROR(VLOOKUP(B333, PLANTA_BASE!A:W, 17, FALSE), "GENERAL"))</f>
        <v>ADMINISTRACION PUBLICA</v>
      </c>
    </row>
    <row r="334" spans="1:8" ht="20.100000000000001" customHeight="1" x14ac:dyDescent="0.25">
      <c r="A334" s="2" t="str">
        <f>IF(B334="","",IFERROR(VLOOKUP(B334, PLANTA_BASE!A:W, 2, FALSE), "NO ENCONTRADO EN PLANTA"))</f>
        <v>VIRTUAL</v>
      </c>
      <c r="B334" s="3" t="s">
        <v>672</v>
      </c>
      <c r="C334" s="4" t="s">
        <v>673</v>
      </c>
      <c r="D334" s="2" t="str">
        <f>IF(B334="","",IFERROR(VLOOKUP(B334, PLANTA_BASE!A:W, 5, FALSE), "NO ENCONTRADO EN PLANTA"))</f>
        <v>REGIONAL BOGOTA</v>
      </c>
      <c r="E334" s="2" t="str">
        <f>IF(B334="","",IFERROR(VLOOKUP(B334, PLANTA_BASE!A:W, 6, FALSE), "NO ENCONTRADO EN PLANTA"))</f>
        <v>BOGOTA CENTRO</v>
      </c>
      <c r="F334" s="4" t="str">
        <f>IF(B334="","",IFERROR(VLOOKUP(B334, PLANTA_BASE!A:W, 8, FALSE), "DOCENTE / FACILITADOR"))</f>
        <v>DOC ASIS/N/V/TC/COMU SOC Y PERI/FUN.ACADE-ADMIN</v>
      </c>
      <c r="G334" s="4" t="str">
        <f>IF(B334="","",IFERROR(VLOOKUP(B334, PLANTA_BASE!A:W, 9, FALSE), "GENERAL"))</f>
        <v>COMUNICACION SOCIAL Y PERIODISMO</v>
      </c>
      <c r="H334" s="2" t="str">
        <f>IF(B334="","",IFERROR(VLOOKUP(B334, PLANTA_BASE!A:W, 17, FALSE), "GENERAL"))</f>
        <v>COMUNICACION SOCIAL Y PERIODISMO</v>
      </c>
    </row>
    <row r="335" spans="1:8" ht="20.100000000000001" customHeight="1" x14ac:dyDescent="0.25">
      <c r="A335" s="5" t="str">
        <f>IF(B335="","",IFERROR(VLOOKUP(B335, PLANTA_BASE!A:W, 2, FALSE), "NO ENCONTRADO EN PLANTA"))</f>
        <v>PRESENCIAL</v>
      </c>
      <c r="B335" s="6" t="s">
        <v>674</v>
      </c>
      <c r="C335" s="7" t="s">
        <v>675</v>
      </c>
      <c r="D335" s="5" t="str">
        <f>IF(B335="","",IFERROR(VLOOKUP(B335, PLANTA_BASE!A:W, 5, FALSE), "NO ENCONTRADO EN PLANTA"))</f>
        <v>REGIONAL MAGDALENA</v>
      </c>
      <c r="E335" s="5" t="str">
        <f>IF(B335="","",IFERROR(VLOOKUP(B335, PLANTA_BASE!A:W, 6, FALSE), "NO ENCONTRADO EN PLANTA"))</f>
        <v>SANTA MARTA</v>
      </c>
      <c r="F335" s="7" t="str">
        <f>IF(B335="","",IFERROR(VLOOKUP(B335, PLANTA_BASE!A:W, 8, FALSE), "DOCENTE / FACILITADOR"))</f>
        <v>DOCENTE AUX/N/MT/CONT PUBL</v>
      </c>
      <c r="G335" s="7" t="str">
        <f>IF(B335="","",IFERROR(VLOOKUP(B335, PLANTA_BASE!A:W, 9, FALSE), "GENERAL"))</f>
        <v>CONTADURIA PUBLICA</v>
      </c>
      <c r="H335" s="5" t="str">
        <f>IF(B335="","",IFERROR(VLOOKUP(B335, PLANTA_BASE!A:W, 17, FALSE), "GENERAL"))</f>
        <v>CONTADURIA PUBLICA</v>
      </c>
    </row>
    <row r="336" spans="1:8" ht="20.100000000000001" customHeight="1" x14ac:dyDescent="0.25">
      <c r="A336" s="2" t="str">
        <f>IF(B336="","",IFERROR(VLOOKUP(B336, PLANTA_BASE!A:W, 2, FALSE), "NO ENCONTRADO EN PLANTA"))</f>
        <v>VIRTUAL</v>
      </c>
      <c r="B336" s="3" t="s">
        <v>676</v>
      </c>
      <c r="C336" s="4" t="s">
        <v>677</v>
      </c>
      <c r="D336" s="2" t="str">
        <f>IF(B336="","",IFERROR(VLOOKUP(B336, PLANTA_BASE!A:W, 5, FALSE), "NO ENCONTRADO EN PLANTA"))</f>
        <v>REGIONAL CUNDINAMARCA</v>
      </c>
      <c r="E336" s="2" t="str">
        <f>IF(B336="","",IFERROR(VLOOKUP(B336, PLANTA_BASE!A:W, 6, FALSE), "NO ENCONTRADO EN PLANTA"))</f>
        <v>CHÍA</v>
      </c>
      <c r="F336" s="4" t="str">
        <f>IF(B336="","",IFERROR(VLOOKUP(B336, PLANTA_BASE!A:W, 8, FALSE), "DOCENTE / FACILITADOR"))</f>
        <v>DOC AUX T&amp;T/N/V/TC/DIR PROD ME AUD/FUN.ACADE-ADMIN</v>
      </c>
      <c r="G336" s="4" t="str">
        <f>IF(B336="","",IFERROR(VLOOKUP(B336, PLANTA_BASE!A:W, 9, FALSE), "GENERAL"))</f>
        <v>DIRECCION Y PRODUCCION DE MEDIOS AUDIOVISUALES</v>
      </c>
      <c r="H336" s="2" t="str">
        <f>IF(B336="","",IFERROR(VLOOKUP(B336, PLANTA_BASE!A:W, 17, FALSE), "GENERAL"))</f>
        <v>DIRECCION Y PRODUCCION DE MEDIOS AUDIOVISUALES</v>
      </c>
    </row>
    <row r="337" spans="1:8" ht="20.100000000000001" customHeight="1" x14ac:dyDescent="0.25">
      <c r="A337" s="5" t="str">
        <f>IF(B337="","",IFERROR(VLOOKUP(B337, PLANTA_BASE!A:W, 2, FALSE), "NO ENCONTRADO EN PLANTA"))</f>
        <v>VIRTUAL</v>
      </c>
      <c r="B337" s="6" t="s">
        <v>678</v>
      </c>
      <c r="C337" s="7" t="s">
        <v>679</v>
      </c>
      <c r="D337" s="5" t="str">
        <f>IF(B337="","",IFERROR(VLOOKUP(B337, PLANTA_BASE!A:W, 5, FALSE), "NO ENCONTRADO EN PLANTA"))</f>
        <v>REGIONAL BOGOTA</v>
      </c>
      <c r="E337" s="5" t="str">
        <f>IF(B337="","",IFERROR(VLOOKUP(B337, PLANTA_BASE!A:W, 6, FALSE), "NO ENCONTRADO EN PLANTA"))</f>
        <v>BOGOTA CENTRO</v>
      </c>
      <c r="F337" s="7" t="str">
        <f>IF(B337="","",IFERROR(VLOOKUP(B337, PLANTA_BASE!A:W, 8, FALSE), "DOCENTE / FACILITADOR"))</f>
        <v>DOCENTE ASIS/N/V/TC/ESP ALTA GEREN/FUN.A</v>
      </c>
      <c r="G337" s="7" t="str">
        <f>IF(B337="","",IFERROR(VLOOKUP(B337, PLANTA_BASE!A:W, 9, FALSE), "GENERAL"))</f>
        <v>ESPECIALIZACION EN ALTA GERENCIA</v>
      </c>
      <c r="H337" s="5" t="str">
        <f>IF(B337="","",IFERROR(VLOOKUP(B337, PLANTA_BASE!A:W, 17, FALSE), "GENERAL"))</f>
        <v>ESPECIALIZACION EN ALTA GERENCIA</v>
      </c>
    </row>
    <row r="338" spans="1:8" ht="20.100000000000001" customHeight="1" x14ac:dyDescent="0.25">
      <c r="A338" s="2" t="str">
        <f>IF(B338="","",IFERROR(VLOOKUP(B338, PLANTA_BASE!A:W, 2, FALSE), "NO ENCONTRADO EN PLANTA"))</f>
        <v>VIRTUAL</v>
      </c>
      <c r="B338" s="3" t="s">
        <v>680</v>
      </c>
      <c r="C338" s="4" t="s">
        <v>681</v>
      </c>
      <c r="D338" s="2" t="str">
        <f>IF(B338="","",IFERROR(VLOOKUP(B338, PLANTA_BASE!A:W, 5, FALSE), "NO ENCONTRADO EN PLANTA"))</f>
        <v>REGIONAL BOGOTA</v>
      </c>
      <c r="E338" s="2" t="str">
        <f>IF(B338="","",IFERROR(VLOOKUP(B338, PLANTA_BASE!A:W, 6, FALSE), "NO ENCONTRADO EN PLANTA"))</f>
        <v>BOGOTA CENTRO</v>
      </c>
      <c r="F338" s="4" t="str">
        <f>IF(B338="","",IFERROR(VLOOKUP(B338, PLANTA_BASE!A:W, 8, FALSE), "DOCENTE / FACILITADOR"))</f>
        <v>DOC ASOC/N/V/TC/INVESTIGACIONES/INVESTIG</v>
      </c>
      <c r="G338" s="4" t="str">
        <f>IF(B338="","",IFERROR(VLOOKUP(B338, PLANTA_BASE!A:W, 9, FALSE), "GENERAL"))</f>
        <v>INVESTIGACIONES</v>
      </c>
      <c r="H338" s="2" t="str">
        <f>IF(B338="","",IFERROR(VLOOKUP(B338, PLANTA_BASE!A:W, 17, FALSE), "GENERAL"))</f>
        <v>INVESTIGACIONES</v>
      </c>
    </row>
    <row r="339" spans="1:8" ht="20.100000000000001" customHeight="1" x14ac:dyDescent="0.25">
      <c r="A339" s="5" t="str">
        <f>IF(B339="","",IFERROR(VLOOKUP(B339, PLANTA_BASE!A:W, 2, FALSE), "NO ENCONTRADO EN PLANTA"))</f>
        <v>PRESENCIAL</v>
      </c>
      <c r="B339" s="6" t="s">
        <v>682</v>
      </c>
      <c r="C339" s="7" t="s">
        <v>683</v>
      </c>
      <c r="D339" s="5" t="str">
        <f>IF(B339="","",IFERROR(VLOOKUP(B339, PLANTA_BASE!A:W, 5, FALSE), "NO ENCONTRADO EN PLANTA"))</f>
        <v>REGIONAL META</v>
      </c>
      <c r="E339" s="5" t="str">
        <f>IF(B339="","",IFERROR(VLOOKUP(B339, PLANTA_BASE!A:W, 6, FALSE), "NO ENCONTRADO EN PLANTA"))</f>
        <v>VILLAVICENCIO</v>
      </c>
      <c r="F339" s="7" t="str">
        <f>IF(B339="","",IFERROR(VLOOKUP(B339, PLANTA_BASE!A:W, 8, FALSE), "DOCENTE / FACILITADOR"))</f>
        <v>DOCENTE ASOC/N/TC/INVESTIGA/INVESTIGACIO</v>
      </c>
      <c r="G339" s="7" t="str">
        <f>IF(B339="","",IFERROR(VLOOKUP(B339, PLANTA_BASE!A:W, 9, FALSE), "GENERAL"))</f>
        <v>INVESTIGACIONES</v>
      </c>
      <c r="H339" s="5" t="str">
        <f>IF(B339="","",IFERROR(VLOOKUP(B339, PLANTA_BASE!A:W, 17, FALSE), "GENERAL"))</f>
        <v>INVESTIGACIONES</v>
      </c>
    </row>
    <row r="340" spans="1:8" ht="20.100000000000001" customHeight="1" x14ac:dyDescent="0.25">
      <c r="A340" s="2" t="str">
        <f>IF(B340="","",IFERROR(VLOOKUP(B340, PLANTA_BASE!A:W, 2, FALSE), "NO ENCONTRADO EN PLANTA"))</f>
        <v>PRESENCIAL</v>
      </c>
      <c r="B340" s="3" t="s">
        <v>684</v>
      </c>
      <c r="C340" s="4" t="s">
        <v>685</v>
      </c>
      <c r="D340" s="2" t="str">
        <f>IF(B340="","",IFERROR(VLOOKUP(B340, PLANTA_BASE!A:W, 5, FALSE), "NO ENCONTRADO EN PLANTA"))</f>
        <v>REGIONAL HUILA</v>
      </c>
      <c r="E340" s="2" t="str">
        <f>IF(B340="","",IFERROR(VLOOKUP(B340, PLANTA_BASE!A:W, 6, FALSE), "NO ENCONTRADO EN PLANTA"))</f>
        <v>NEIVA</v>
      </c>
      <c r="F340" s="4" t="str">
        <f>IF(B340="","",IFERROR(VLOOKUP(B340, PLANTA_BASE!A:W, 8, FALSE), "DOCENTE / FACILITADOR"))</f>
        <v>DOCENTE ASIS/N/TC/INVESTIGA/INVESTIGACIO</v>
      </c>
      <c r="G340" s="4" t="str">
        <f>IF(B340="","",IFERROR(VLOOKUP(B340, PLANTA_BASE!A:W, 9, FALSE), "GENERAL"))</f>
        <v>INVESTIGACIONES</v>
      </c>
      <c r="H340" s="2" t="str">
        <f>IF(B340="","",IFERROR(VLOOKUP(B340, PLANTA_BASE!A:W, 17, FALSE), "GENERAL"))</f>
        <v>INVESTIGACIONES</v>
      </c>
    </row>
    <row r="341" spans="1:8" ht="20.100000000000001" customHeight="1" x14ac:dyDescent="0.25">
      <c r="A341" s="5" t="str">
        <f>IF(B341="","",IFERROR(VLOOKUP(B341, PLANTA_BASE!A:W, 2, FALSE), "NO ENCONTRADO EN PLANTA"))</f>
        <v>PRESENCIAL</v>
      </c>
      <c r="B341" s="6" t="s">
        <v>686</v>
      </c>
      <c r="C341" s="7" t="s">
        <v>687</v>
      </c>
      <c r="D341" s="5" t="str">
        <f>IF(B341="","",IFERROR(VLOOKUP(B341, PLANTA_BASE!A:W, 5, FALSE), "NO ENCONTRADO EN PLANTA"))</f>
        <v>REGIONAL TOLIMA</v>
      </c>
      <c r="E341" s="5" t="str">
        <f>IF(B341="","",IFERROR(VLOOKUP(B341, PLANTA_BASE!A:W, 6, FALSE), "NO ENCONTRADO EN PLANTA"))</f>
        <v>IBAGUÉ</v>
      </c>
      <c r="F341" s="7" t="str">
        <f>IF(B341="","",IFERROR(VLOOKUP(B341, PLANTA_BASE!A:W, 8, FALSE), "DOCENTE / FACILITADOR"))</f>
        <v>DOC AUX T&amp;T/N/TC/DIS GRAFICO/FUN.ACADE-ADMIN</v>
      </c>
      <c r="G341" s="7" t="str">
        <f>IF(B341="","",IFERROR(VLOOKUP(B341, PLANTA_BASE!A:W, 9, FALSE), "GENERAL"))</f>
        <v>DISEÑO GRAFICO</v>
      </c>
      <c r="H341" s="5" t="str">
        <f>IF(B341="","",IFERROR(VLOOKUP(B341, PLANTA_BASE!A:W, 17, FALSE), "GENERAL"))</f>
        <v>DISEÑO GRAFICO</v>
      </c>
    </row>
    <row r="342" spans="1:8" ht="20.100000000000001" customHeight="1" x14ac:dyDescent="0.25">
      <c r="A342" s="2" t="str">
        <f>IF(B342="","",IFERROR(VLOOKUP(B342, PLANTA_BASE!A:W, 2, FALSE), "NO ENCONTRADO EN PLANTA"))</f>
        <v>VIRTUAL</v>
      </c>
      <c r="B342" s="3" t="s">
        <v>688</v>
      </c>
      <c r="C342" s="4" t="s">
        <v>689</v>
      </c>
      <c r="D342" s="2" t="str">
        <f>IF(B342="","",IFERROR(VLOOKUP(B342, PLANTA_BASE!A:W, 5, FALSE), "NO ENCONTRADO EN PLANTA"))</f>
        <v>REGIONAL QUINDIO</v>
      </c>
      <c r="E342" s="2" t="str">
        <f>IF(B342="","",IFERROR(VLOOKUP(B342, PLANTA_BASE!A:W, 6, FALSE), "NO ENCONTRADO EN PLANTA"))</f>
        <v>ARMENIA</v>
      </c>
      <c r="F342" s="4" t="str">
        <f>IF(B342="","",IFERROR(VLOOKUP(B342, PLANTA_BASE!A:W, 8, FALSE), "DOCENTE / FACILITADOR"))</f>
        <v>DOC ASIS/N/V/TC/INVESTIGACIONES/INVESTIG</v>
      </c>
      <c r="G342" s="4" t="str">
        <f>IF(B342="","",IFERROR(VLOOKUP(B342, PLANTA_BASE!A:W, 9, FALSE), "GENERAL"))</f>
        <v>INVESTIGACIONES</v>
      </c>
      <c r="H342" s="2" t="str">
        <f>IF(B342="","",IFERROR(VLOOKUP(B342, PLANTA_BASE!A:W, 17, FALSE), "GENERAL"))</f>
        <v>INVESTIGACIONES</v>
      </c>
    </row>
    <row r="343" spans="1:8" ht="20.100000000000001" customHeight="1" x14ac:dyDescent="0.25">
      <c r="A343" s="5" t="str">
        <f>IF(B343="","",IFERROR(VLOOKUP(B343, PLANTA_BASE!A:W, 2, FALSE), "NO ENCONTRADO EN PLANTA"))</f>
        <v>VIRTUAL</v>
      </c>
      <c r="B343" s="6" t="s">
        <v>690</v>
      </c>
      <c r="C343" s="7" t="s">
        <v>691</v>
      </c>
      <c r="D343" s="5" t="str">
        <f>IF(B343="","",IFERROR(VLOOKUP(B343, PLANTA_BASE!A:W, 5, FALSE), "NO ENCONTRADO EN PLANTA"))</f>
        <v>REGIONAL TOLIMA</v>
      </c>
      <c r="E343" s="5" t="str">
        <f>IF(B343="","",IFERROR(VLOOKUP(B343, PLANTA_BASE!A:W, 6, FALSE), "NO ENCONTRADO EN PLANTA"))</f>
        <v>IBAGUÉ</v>
      </c>
      <c r="F343" s="7" t="str">
        <f>IF(B343="","",IFERROR(VLOOKUP(B343, PLANTA_BASE!A:W, 8, FALSE), "DOCENTE / FACILITADOR"))</f>
        <v>DOC AUX/N/V/TC/ING DE SISTEMAS/FUN.ACADE-ADMIN</v>
      </c>
      <c r="G343" s="7" t="str">
        <f>IF(B343="","",IFERROR(VLOOKUP(B343, PLANTA_BASE!A:W, 9, FALSE), "GENERAL"))</f>
        <v>INGENIERIA DE SISTEMAS</v>
      </c>
      <c r="H343" s="5" t="str">
        <f>IF(B343="","",IFERROR(VLOOKUP(B343, PLANTA_BASE!A:W, 17, FALSE), "GENERAL"))</f>
        <v>INGENIERIA DE SISTEMAS</v>
      </c>
    </row>
    <row r="344" spans="1:8" ht="20.100000000000001" customHeight="1" x14ac:dyDescent="0.25">
      <c r="A344" s="2" t="str">
        <f>IF(B344="","",IFERROR(VLOOKUP(B344, PLANTA_BASE!A:W, 2, FALSE), "NO ENCONTRADO EN PLANTA"))</f>
        <v>VIRTUAL</v>
      </c>
      <c r="B344" s="3" t="s">
        <v>692</v>
      </c>
      <c r="C344" s="4" t="s">
        <v>693</v>
      </c>
      <c r="D344" s="2" t="str">
        <f>IF(B344="","",IFERROR(VLOOKUP(B344, PLANTA_BASE!A:W, 5, FALSE), "NO ENCONTRADO EN PLANTA"))</f>
        <v>REGIONAL SANTANDER</v>
      </c>
      <c r="E344" s="2" t="str">
        <f>IF(B344="","",IFERROR(VLOOKUP(B344, PLANTA_BASE!A:W, 6, FALSE), "NO ENCONTRADO EN PLANTA"))</f>
        <v>BUCARAMANGA</v>
      </c>
      <c r="F344" s="4" t="str">
        <f>IF(B344="","",IFERROR(VLOOKUP(B344, PLANTA_BASE!A:W, 8, FALSE), "DOCENTE / FACILITADOR"))</f>
        <v>DOCENTE AUX/N/V/TC/EMPRENDIMIE/FUN.ACADE-ADMIN</v>
      </c>
      <c r="G344" s="4" t="str">
        <f>IF(B344="","",IFERROR(VLOOKUP(B344, PLANTA_BASE!A:W, 9, FALSE), "GENERAL"))</f>
        <v>EMPRENDIMIENTO</v>
      </c>
      <c r="H344" s="2" t="str">
        <f>IF(B344="","",IFERROR(VLOOKUP(B344, PLANTA_BASE!A:W, 17, FALSE), "GENERAL"))</f>
        <v>EMPRENDIMIENTO</v>
      </c>
    </row>
    <row r="345" spans="1:8" ht="20.100000000000001" customHeight="1" x14ac:dyDescent="0.25">
      <c r="A345" s="5" t="str">
        <f>IF(B345="","",IFERROR(VLOOKUP(B345, PLANTA_BASE!A:W, 2, FALSE), "NO ENCONTRADO EN PLANTA"))</f>
        <v>VIRTUAL</v>
      </c>
      <c r="B345" s="6" t="s">
        <v>694</v>
      </c>
      <c r="C345" s="7" t="s">
        <v>695</v>
      </c>
      <c r="D345" s="5" t="str">
        <f>IF(B345="","",IFERROR(VLOOKUP(B345, PLANTA_BASE!A:W, 5, FALSE), "NO ENCONTRADO EN PLANTA"))</f>
        <v>REGIONAL HUILA</v>
      </c>
      <c r="E345" s="5" t="str">
        <f>IF(B345="","",IFERROR(VLOOKUP(B345, PLANTA_BASE!A:W, 6, FALSE), "NO ENCONTRADO EN PLANTA"))</f>
        <v>NEIVA</v>
      </c>
      <c r="F345" s="7" t="str">
        <f>IF(B345="","",IFERROR(VLOOKUP(B345, PLANTA_BASE!A:W, 8, FALSE), "DOCENTE / FACILITADOR"))</f>
        <v>DOC ASIS/N/V/TC/INVESTIGACIONES/INVESTIG</v>
      </c>
      <c r="G345" s="7" t="str">
        <f>IF(B345="","",IFERROR(VLOOKUP(B345, PLANTA_BASE!A:W, 9, FALSE), "GENERAL"))</f>
        <v>INVESTIGACIONES</v>
      </c>
      <c r="H345" s="5" t="str">
        <f>IF(B345="","",IFERROR(VLOOKUP(B345, PLANTA_BASE!A:W, 17, FALSE), "GENERAL"))</f>
        <v>INVESTIGACIONES</v>
      </c>
    </row>
    <row r="346" spans="1:8" ht="20.100000000000001" customHeight="1" x14ac:dyDescent="0.25">
      <c r="A346" s="2" t="str">
        <f>IF(B346="","",IFERROR(VLOOKUP(B346, PLANTA_BASE!A:W, 2, FALSE), "NO ENCONTRADO EN PLANTA"))</f>
        <v>VIRTUAL</v>
      </c>
      <c r="B346" s="3" t="s">
        <v>696</v>
      </c>
      <c r="C346" s="4" t="s">
        <v>697</v>
      </c>
      <c r="D346" s="2" t="str">
        <f>IF(B346="","",IFERROR(VLOOKUP(B346, PLANTA_BASE!A:W, 5, FALSE), "NO ENCONTRADO EN PLANTA"))</f>
        <v>REGIONAL BOGOTA</v>
      </c>
      <c r="E346" s="2" t="str">
        <f>IF(B346="","",IFERROR(VLOOKUP(B346, PLANTA_BASE!A:W, 6, FALSE), "NO ENCONTRADO EN PLANTA"))</f>
        <v>BOGOTA CENTRO</v>
      </c>
      <c r="F346" s="4" t="str">
        <f>IF(B346="","",IFERROR(VLOOKUP(B346, PLANTA_BASE!A:W, 8, FALSE), "DOCENTE / FACILITADOR"))</f>
        <v>DOC AUX/N/V/TC/ADM DE EMPRE/FUN.ACADE-ADMIN</v>
      </c>
      <c r="G346" s="4" t="str">
        <f>IF(B346="","",IFERROR(VLOOKUP(B346, PLANTA_BASE!A:W, 9, FALSE), "GENERAL"))</f>
        <v>ADMINISTRACION DE EMPRESAS</v>
      </c>
      <c r="H346" s="2" t="str">
        <f>IF(B346="","",IFERROR(VLOOKUP(B346, PLANTA_BASE!A:W, 17, FALSE), "GENERAL"))</f>
        <v>ADMINISTRACION DE EMPRESAS</v>
      </c>
    </row>
    <row r="347" spans="1:8" ht="20.100000000000001" customHeight="1" x14ac:dyDescent="0.25">
      <c r="A347" s="5" t="str">
        <f>IF(B347="","",IFERROR(VLOOKUP(B347, PLANTA_BASE!A:W, 2, FALSE), "NO ENCONTRADO EN PLANTA"))</f>
        <v>PRESENCIAL</v>
      </c>
      <c r="B347" s="6" t="s">
        <v>698</v>
      </c>
      <c r="C347" s="7" t="s">
        <v>699</v>
      </c>
      <c r="D347" s="5" t="str">
        <f>IF(B347="","",IFERROR(VLOOKUP(B347, PLANTA_BASE!A:W, 5, FALSE), "NO ENCONTRADO EN PLANTA"))</f>
        <v>REGIONAL MAGDALENA</v>
      </c>
      <c r="E347" s="5" t="str">
        <f>IF(B347="","",IFERROR(VLOOKUP(B347, PLANTA_BASE!A:W, 6, FALSE), "NO ENCONTRADO EN PLANTA"))</f>
        <v>SANTA MARTA</v>
      </c>
      <c r="F347" s="7" t="str">
        <f>IF(B347="","",IFERROR(VLOOKUP(B347, PLANTA_BASE!A:W, 8, FALSE), "DOCENTE / FACILITADOR"))</f>
        <v>DOC AUX T&amp;T/N/TC/COM SOC Y PER/FUN.ACADE-ADMIN</v>
      </c>
      <c r="G347" s="7" t="str">
        <f>IF(B347="","",IFERROR(VLOOKUP(B347, PLANTA_BASE!A:W, 9, FALSE), "GENERAL"))</f>
        <v>COMUNICACION SOCIAL Y PERIODISMO</v>
      </c>
      <c r="H347" s="5" t="str">
        <f>IF(B347="","",IFERROR(VLOOKUP(B347, PLANTA_BASE!A:W, 17, FALSE), "GENERAL"))</f>
        <v>COMUNICACION SOCIAL Y PERIODISMO</v>
      </c>
    </row>
    <row r="348" spans="1:8" ht="20.100000000000001" customHeight="1" x14ac:dyDescent="0.25">
      <c r="A348" s="2" t="str">
        <f>IF(B348="","",IFERROR(VLOOKUP(B348, PLANTA_BASE!A:W, 2, FALSE), "NO ENCONTRADO EN PLANTA"))</f>
        <v>PRESENCIAL</v>
      </c>
      <c r="B348" s="3" t="s">
        <v>700</v>
      </c>
      <c r="C348" s="4" t="s">
        <v>701</v>
      </c>
      <c r="D348" s="2" t="str">
        <f>IF(B348="","",IFERROR(VLOOKUP(B348, PLANTA_BASE!A:W, 5, FALSE), "NO ENCONTRADO EN PLANTA"))</f>
        <v>REGIONAL BOGOTA</v>
      </c>
      <c r="E348" s="2" t="str">
        <f>IF(B348="","",IFERROR(VLOOKUP(B348, PLANTA_BASE!A:W, 6, FALSE), "NO ENCONTRADO EN PLANTA"))</f>
        <v>BOGOTA CENTRO</v>
      </c>
      <c r="F348" s="4" t="str">
        <f>IF(B348="","",IFERROR(VLOOKUP(B348, PLANTA_BASE!A:W, 8, FALSE), "DOCENTE / FACILITADOR"))</f>
        <v>DOCENTE AUX/N/TC/DIR PROD ME AUD/FUN.ACADE-ADMIN</v>
      </c>
      <c r="G348" s="4" t="str">
        <f>IF(B348="","",IFERROR(VLOOKUP(B348, PLANTA_BASE!A:W, 9, FALSE), "GENERAL"))</f>
        <v>DIRECCION Y PRODUCCION DE MEDIOS AUDIOVISUALES</v>
      </c>
      <c r="H348" s="2" t="str">
        <f>IF(B348="","",IFERROR(VLOOKUP(B348, PLANTA_BASE!A:W, 17, FALSE), "GENERAL"))</f>
        <v>DIRECCION Y PRODUCCION DE MEDIOS AUDIOVISUALES</v>
      </c>
    </row>
    <row r="349" spans="1:8" ht="20.100000000000001" customHeight="1" x14ac:dyDescent="0.25">
      <c r="A349" s="5" t="str">
        <f>IF(B349="","",IFERROR(VLOOKUP(B349, PLANTA_BASE!A:W, 2, FALSE), "NO ENCONTRADO EN PLANTA"))</f>
        <v>VIRTUAL</v>
      </c>
      <c r="B349" s="6" t="s">
        <v>702</v>
      </c>
      <c r="C349" s="7" t="s">
        <v>703</v>
      </c>
      <c r="D349" s="5" t="str">
        <f>IF(B349="","",IFERROR(VLOOKUP(B349, PLANTA_BASE!A:W, 5, FALSE), "NO ENCONTRADO EN PLANTA"))</f>
        <v>REGIONAL CALDAS</v>
      </c>
      <c r="E349" s="5" t="str">
        <f>IF(B349="","",IFERROR(VLOOKUP(B349, PLANTA_BASE!A:W, 6, FALSE), "NO ENCONTRADO EN PLANTA"))</f>
        <v>MANIZALES</v>
      </c>
      <c r="F349" s="7" t="str">
        <f>IF(B349="","",IFERROR(VLOOKUP(B349, PLANTA_BASE!A:W, 8, FALSE), "DOCENTE / FACILITADOR"))</f>
        <v>DOC AUX/N/V/TC/ESP SEG SALUD TRAB/FUN.A</v>
      </c>
      <c r="G349" s="7" t="str">
        <f>IF(B349="","",IFERROR(VLOOKUP(B349, PLANTA_BASE!A:W, 9, FALSE), "GENERAL"))</f>
        <v>ESPECIALIZACION EN SEGURIDAD Y SALUD EN EL TRABAJO</v>
      </c>
      <c r="H349" s="5" t="str">
        <f>IF(B349="","",IFERROR(VLOOKUP(B349, PLANTA_BASE!A:W, 17, FALSE), "GENERAL"))</f>
        <v>ESPECIALIZACION EN SEGURIDAD Y SALUD EN EL TRABAJO</v>
      </c>
    </row>
    <row r="350" spans="1:8" ht="20.100000000000001" customHeight="1" x14ac:dyDescent="0.25">
      <c r="A350" s="2" t="str">
        <f>IF(B350="","",IFERROR(VLOOKUP(B350, PLANTA_BASE!A:W, 2, FALSE), "NO ENCONTRADO EN PLANTA"))</f>
        <v>PRESENCIAL</v>
      </c>
      <c r="B350" s="3" t="s">
        <v>704</v>
      </c>
      <c r="C350" s="4" t="s">
        <v>705</v>
      </c>
      <c r="D350" s="2" t="str">
        <f>IF(B350="","",IFERROR(VLOOKUP(B350, PLANTA_BASE!A:W, 5, FALSE), "NO ENCONTRADO EN PLANTA"))</f>
        <v>REGIONAL MAGDALENA</v>
      </c>
      <c r="E350" s="2" t="str">
        <f>IF(B350="","",IFERROR(VLOOKUP(B350, PLANTA_BASE!A:W, 6, FALSE), "NO ENCONTRADO EN PLANTA"))</f>
        <v>SANTA MARTA</v>
      </c>
      <c r="F350" s="4" t="str">
        <f>IF(B350="","",IFERROR(VLOOKUP(B350, PLANTA_BASE!A:W, 8, FALSE), "DOCENTE / FACILITADOR"))</f>
        <v>DOC AUX/N/MT/ADM SEG</v>
      </c>
      <c r="G350" s="4" t="str">
        <f>IF(B350="","",IFERROR(VLOOKUP(B350, PLANTA_BASE!A:W, 9, FALSE), "GENERAL"))</f>
        <v>ADMINISTRATCION SEGURIDAD Y SALUD EN EL TRABAJO</v>
      </c>
      <c r="H350" s="2" t="str">
        <f>IF(B350="","",IFERROR(VLOOKUP(B350, PLANTA_BASE!A:W, 17, FALSE), "GENERAL"))</f>
        <v>ADMINISTRATCION SEGURIDAD Y SALUD EN EL TRABAJO</v>
      </c>
    </row>
    <row r="351" spans="1:8" ht="20.100000000000001" customHeight="1" x14ac:dyDescent="0.25">
      <c r="A351" s="5" t="str">
        <f>IF(B351="","",IFERROR(VLOOKUP(B351, PLANTA_BASE!A:W, 2, FALSE), "NO ENCONTRADO EN PLANTA"))</f>
        <v>VIRTUAL</v>
      </c>
      <c r="B351" s="6" t="s">
        <v>706</v>
      </c>
      <c r="C351" s="7" t="s">
        <v>707</v>
      </c>
      <c r="D351" s="5" t="str">
        <f>IF(B351="","",IFERROR(VLOOKUP(B351, PLANTA_BASE!A:W, 5, FALSE), "NO ENCONTRADO EN PLANTA"))</f>
        <v>REGIONAL BOGOTA</v>
      </c>
      <c r="E351" s="5" t="str">
        <f>IF(B351="","",IFERROR(VLOOKUP(B351, PLANTA_BASE!A:W, 6, FALSE), "NO ENCONTRADO EN PLANTA"))</f>
        <v>BOGOTA CENTRO</v>
      </c>
      <c r="F351" s="7" t="str">
        <f>IF(B351="","",IFERROR(VLOOKUP(B351, PLANTA_BASE!A:W, 8, FALSE), "DOCENTE / FACILITADOR"))</f>
        <v>DOC TITU/N/V/TC/ESP GER EDUC/FUN.ACADE-A</v>
      </c>
      <c r="G351" s="7" t="str">
        <f>IF(B351="","",IFERROR(VLOOKUP(B351, PLANTA_BASE!A:W, 9, FALSE), "GENERAL"))</f>
        <v>ESPECIALIZACION EN GERENCIA EDUCATIVA</v>
      </c>
      <c r="H351" s="5" t="str">
        <f>IF(B351="","",IFERROR(VLOOKUP(B351, PLANTA_BASE!A:W, 17, FALSE), "GENERAL"))</f>
        <v>ESPECIALIZACION EN GERENCIA EDUCATIVA</v>
      </c>
    </row>
    <row r="352" spans="1:8" ht="20.100000000000001" customHeight="1" x14ac:dyDescent="0.25">
      <c r="A352" s="2" t="str">
        <f>IF(B352="","",IFERROR(VLOOKUP(B352, PLANTA_BASE!A:W, 2, FALSE), "NO ENCONTRADO EN PLANTA"))</f>
        <v>PRESENCIAL</v>
      </c>
      <c r="B352" s="3" t="s">
        <v>708</v>
      </c>
      <c r="C352" s="4" t="s">
        <v>709</v>
      </c>
      <c r="D352" s="2" t="str">
        <f>IF(B352="","",IFERROR(VLOOKUP(B352, PLANTA_BASE!A:W, 5, FALSE), "NO ENCONTRADO EN PLANTA"))</f>
        <v>REGIONAL BOGOTA</v>
      </c>
      <c r="E352" s="2" t="str">
        <f>IF(B352="","",IFERROR(VLOOKUP(B352, PLANTA_BASE!A:W, 6, FALSE), "NO ENCONTRADO EN PLANTA"))</f>
        <v>BOGOTA CENTRO</v>
      </c>
      <c r="F352" s="4" t="str">
        <f>IF(B352="","",IFERROR(VLOOKUP(B352, PLANTA_BASE!A:W, 8, FALSE), "DOCENTE / FACILITADOR"))</f>
        <v>DOCENTE AUX/N/TC/EMPRENDIMIE/FUN.ACADE-ADMIN</v>
      </c>
      <c r="G352" s="4" t="str">
        <f>IF(B352="","",IFERROR(VLOOKUP(B352, PLANTA_BASE!A:W, 9, FALSE), "GENERAL"))</f>
        <v>EMPRENDIMIENTO</v>
      </c>
      <c r="H352" s="2" t="str">
        <f>IF(B352="","",IFERROR(VLOOKUP(B352, PLANTA_BASE!A:W, 17, FALSE), "GENERAL"))</f>
        <v>EMPRENDIMIENTO</v>
      </c>
    </row>
    <row r="353" spans="1:8" ht="20.100000000000001" customHeight="1" x14ac:dyDescent="0.25">
      <c r="A353" s="5" t="str">
        <f>IF(B353="","",IFERROR(VLOOKUP(B353, PLANTA_BASE!A:W, 2, FALSE), "NO ENCONTRADO EN PLANTA"))</f>
        <v>VIRTUAL</v>
      </c>
      <c r="B353" s="6" t="s">
        <v>710</v>
      </c>
      <c r="C353" s="7" t="s">
        <v>711</v>
      </c>
      <c r="D353" s="5" t="str">
        <f>IF(B353="","",IFERROR(VLOOKUP(B353, PLANTA_BASE!A:W, 5, FALSE), "NO ENCONTRADO EN PLANTA"))</f>
        <v>REGIONAL BOGOTA</v>
      </c>
      <c r="E353" s="5" t="str">
        <f>IF(B353="","",IFERROR(VLOOKUP(B353, PLANTA_BASE!A:W, 6, FALSE), "NO ENCONTRADO EN PLANTA"))</f>
        <v>BOGOTA CENTRO</v>
      </c>
      <c r="F353" s="7" t="str">
        <f>IF(B353="","",IFERROR(VLOOKUP(B353, PLANTA_BASE!A:W, 8, FALSE), "DOCENTE / FACILITADOR"))</f>
        <v>DOC ASIS/N/V/TC/IDIOMAS/FUN.ACADE-ADMIN</v>
      </c>
      <c r="G353" s="7" t="str">
        <f>IF(B353="","",IFERROR(VLOOKUP(B353, PLANTA_BASE!A:W, 9, FALSE), "GENERAL"))</f>
        <v>IDIOMAS</v>
      </c>
      <c r="H353" s="5" t="str">
        <f>IF(B353="","",IFERROR(VLOOKUP(B353, PLANTA_BASE!A:W, 17, FALSE), "GENERAL"))</f>
        <v>IDIOMAS</v>
      </c>
    </row>
    <row r="354" spans="1:8" ht="20.100000000000001" customHeight="1" x14ac:dyDescent="0.25">
      <c r="A354" s="2" t="str">
        <f>IF(B354="","",IFERROR(VLOOKUP(B354, PLANTA_BASE!A:W, 2, FALSE), "NO ENCONTRADO EN PLANTA"))</f>
        <v>PRESENCIAL</v>
      </c>
      <c r="B354" s="3" t="s">
        <v>712</v>
      </c>
      <c r="C354" s="4" t="s">
        <v>713</v>
      </c>
      <c r="D354" s="2" t="str">
        <f>IF(B354="","",IFERROR(VLOOKUP(B354, PLANTA_BASE!A:W, 5, FALSE), "NO ENCONTRADO EN PLANTA"))</f>
        <v>REGIONAL BOGOTA</v>
      </c>
      <c r="E354" s="2" t="str">
        <f>IF(B354="","",IFERROR(VLOOKUP(B354, PLANTA_BASE!A:W, 6, FALSE), "NO ENCONTRADO EN PLANTA"))</f>
        <v>BOGOTA CENTRO</v>
      </c>
      <c r="F354" s="4" t="str">
        <f>IF(B354="","",IFERROR(VLOOKUP(B354, PLANTA_BASE!A:W, 8, FALSE), "DOCENTE / FACILITADOR"))</f>
        <v>DOCENTE AUX/N/TC/EMPRENDIMIE/FUN.ACADE-ADMIN</v>
      </c>
      <c r="G354" s="4" t="str">
        <f>IF(B354="","",IFERROR(VLOOKUP(B354, PLANTA_BASE!A:W, 9, FALSE), "GENERAL"))</f>
        <v>EMPRENDIMIENTO</v>
      </c>
      <c r="H354" s="2" t="str">
        <f>IF(B354="","",IFERROR(VLOOKUP(B354, PLANTA_BASE!A:W, 17, FALSE), "GENERAL"))</f>
        <v>EMPRENDIMIENTO</v>
      </c>
    </row>
    <row r="355" spans="1:8" ht="20.100000000000001" customHeight="1" x14ac:dyDescent="0.25">
      <c r="A355" s="5" t="str">
        <f>IF(B355="","",IFERROR(VLOOKUP(B355, PLANTA_BASE!A:W, 2, FALSE), "NO ENCONTRADO EN PLANTA"))</f>
        <v>PRESENCIAL</v>
      </c>
      <c r="B355" s="6" t="s">
        <v>714</v>
      </c>
      <c r="C355" s="7" t="s">
        <v>715</v>
      </c>
      <c r="D355" s="5" t="str">
        <f>IF(B355="","",IFERROR(VLOOKUP(B355, PLANTA_BASE!A:W, 5, FALSE), "NO ENCONTRADO EN PLANTA"))</f>
        <v>REGIONAL BOGOTA</v>
      </c>
      <c r="E355" s="5" t="str">
        <f>IF(B355="","",IFERROR(VLOOKUP(B355, PLANTA_BASE!A:W, 6, FALSE), "NO ENCONTRADO EN PLANTA"))</f>
        <v>BOGOTA NORTE</v>
      </c>
      <c r="F355" s="7" t="str">
        <f>IF(B355="","",IFERROR(VLOOKUP(B355, PLANTA_BASE!A:W, 8, FALSE), "DOCENTE / FACILITADOR"))</f>
        <v>DOC AUX T&amp;T/N/TC/INVESTIGA/INVESTIGACIO</v>
      </c>
      <c r="G355" s="7" t="str">
        <f>IF(B355="","",IFERROR(VLOOKUP(B355, PLANTA_BASE!A:W, 9, FALSE), "GENERAL"))</f>
        <v>INVESTIGACIONES</v>
      </c>
      <c r="H355" s="5" t="str">
        <f>IF(B355="","",IFERROR(VLOOKUP(B355, PLANTA_BASE!A:W, 17, FALSE), "GENERAL"))</f>
        <v>INVESTIGACIONES</v>
      </c>
    </row>
    <row r="356" spans="1:8" ht="20.100000000000001" customHeight="1" x14ac:dyDescent="0.25">
      <c r="A356" s="2" t="str">
        <f>IF(B356="","",IFERROR(VLOOKUP(B356, PLANTA_BASE!A:W, 2, FALSE), "NO ENCONTRADO EN PLANTA"))</f>
        <v>VIRTUAL</v>
      </c>
      <c r="B356" s="3" t="s">
        <v>716</v>
      </c>
      <c r="C356" s="4" t="s">
        <v>717</v>
      </c>
      <c r="D356" s="2" t="str">
        <f>IF(B356="","",IFERROR(VLOOKUP(B356, PLANTA_BASE!A:W, 5, FALSE), "NO ENCONTRADO EN PLANTA"))</f>
        <v>REGIONAL BOGOTA</v>
      </c>
      <c r="E356" s="2" t="str">
        <f>IF(B356="","",IFERROR(VLOOKUP(B356, PLANTA_BASE!A:W, 6, FALSE), "NO ENCONTRADO EN PLANTA"))</f>
        <v>BOGOTA CENTRO</v>
      </c>
      <c r="F356" s="4" t="str">
        <f>IF(B356="","",IFERROR(VLOOKUP(B356, PLANTA_BASE!A:W, 8, FALSE), "DOCENTE / FACILITADOR"))</f>
        <v>DOC ASIS/N/V/TC/EMPRENDIMIENTO/FUN.ACADE-ADMIN</v>
      </c>
      <c r="G356" s="4" t="str">
        <f>IF(B356="","",IFERROR(VLOOKUP(B356, PLANTA_BASE!A:W, 9, FALSE), "GENERAL"))</f>
        <v>EMPRENDIMIENTO</v>
      </c>
      <c r="H356" s="2" t="str">
        <f>IF(B356="","",IFERROR(VLOOKUP(B356, PLANTA_BASE!A:W, 17, FALSE), "GENERAL"))</f>
        <v>EMPRENDIMIENTO</v>
      </c>
    </row>
    <row r="357" spans="1:8" ht="20.100000000000001" customHeight="1" x14ac:dyDescent="0.25">
      <c r="A357" s="5" t="str">
        <f>IF(B357="","",IFERROR(VLOOKUP(B357, PLANTA_BASE!A:W, 2, FALSE), "NO ENCONTRADO EN PLANTA"))</f>
        <v>PRESENCIAL</v>
      </c>
      <c r="B357" s="6" t="s">
        <v>718</v>
      </c>
      <c r="C357" s="7" t="s">
        <v>719</v>
      </c>
      <c r="D357" s="5" t="str">
        <f>IF(B357="","",IFERROR(VLOOKUP(B357, PLANTA_BASE!A:W, 5, FALSE), "NO ENCONTRADO EN PLANTA"))</f>
        <v>REGIONAL BOGOTA</v>
      </c>
      <c r="E357" s="5" t="str">
        <f>IF(B357="","",IFERROR(VLOOKUP(B357, PLANTA_BASE!A:W, 6, FALSE), "NO ENCONTRADO EN PLANTA"))</f>
        <v>BOGOTA RESTREPO</v>
      </c>
      <c r="F357" s="7" t="str">
        <f>IF(B357="","",IFERROR(VLOOKUP(B357, PLANTA_BASE!A:W, 8, FALSE), "DOCENTE / FACILITADOR"))</f>
        <v>DOCENTE AUX/N/TC/ING SISTEM/FUN.ACADE-ADMIN</v>
      </c>
      <c r="G357" s="7" t="str">
        <f>IF(B357="","",IFERROR(VLOOKUP(B357, PLANTA_BASE!A:W, 9, FALSE), "GENERAL"))</f>
        <v>INGENIERIA DE SISTEMAS</v>
      </c>
      <c r="H357" s="5" t="str">
        <f>IF(B357="","",IFERROR(VLOOKUP(B357, PLANTA_BASE!A:W, 17, FALSE), "GENERAL"))</f>
        <v>INGENIERIA DE SISTEMAS</v>
      </c>
    </row>
    <row r="358" spans="1:8" ht="20.100000000000001" customHeight="1" x14ac:dyDescent="0.25">
      <c r="A358" s="2" t="str">
        <f>IF(B358="","",IFERROR(VLOOKUP(B358, PLANTA_BASE!A:W, 2, FALSE), "NO ENCONTRADO EN PLANTA"))</f>
        <v>VIRTUAL</v>
      </c>
      <c r="B358" s="3" t="s">
        <v>720</v>
      </c>
      <c r="C358" s="4" t="s">
        <v>721</v>
      </c>
      <c r="D358" s="2" t="str">
        <f>IF(B358="","",IFERROR(VLOOKUP(B358, PLANTA_BASE!A:W, 5, FALSE), "NO ENCONTRADO EN PLANTA"))</f>
        <v>REGIONAL BOGOTA</v>
      </c>
      <c r="E358" s="2" t="str">
        <f>IF(B358="","",IFERROR(VLOOKUP(B358, PLANTA_BASE!A:W, 6, FALSE), "NO ENCONTRADO EN PLANTA"))</f>
        <v>BOGOTA CENTRO</v>
      </c>
      <c r="F358" s="4" t="str">
        <f>IF(B358="","",IFERROR(VLOOKUP(B358, PLANTA_BASE!A:W, 8, FALSE), "DOCENTE / FACILITADOR"))</f>
        <v>DOC ASIS/N/V/TC/CONTADURIA/FUN.ACADE-ADMIN</v>
      </c>
      <c r="G358" s="4" t="str">
        <f>IF(B358="","",IFERROR(VLOOKUP(B358, PLANTA_BASE!A:W, 9, FALSE), "GENERAL"))</f>
        <v>CONTADURIA PUBLICA</v>
      </c>
      <c r="H358" s="2" t="str">
        <f>IF(B358="","",IFERROR(VLOOKUP(B358, PLANTA_BASE!A:W, 17, FALSE), "GENERAL"))</f>
        <v>CONTADURIA PUBLICA</v>
      </c>
    </row>
    <row r="359" spans="1:8" ht="20.100000000000001" customHeight="1" x14ac:dyDescent="0.25">
      <c r="A359" s="5" t="str">
        <f>IF(B359="","",IFERROR(VLOOKUP(B359, PLANTA_BASE!A:W, 2, FALSE), "NO ENCONTRADO EN PLANTA"))</f>
        <v>VIRTUAL</v>
      </c>
      <c r="B359" s="6" t="s">
        <v>722</v>
      </c>
      <c r="C359" s="7" t="s">
        <v>723</v>
      </c>
      <c r="D359" s="5" t="str">
        <f>IF(B359="","",IFERROR(VLOOKUP(B359, PLANTA_BASE!A:W, 5, FALSE), "NO ENCONTRADO EN PLANTA"))</f>
        <v>REGIONAL BOGOTA</v>
      </c>
      <c r="E359" s="5" t="str">
        <f>IF(B359="","",IFERROR(VLOOKUP(B359, PLANTA_BASE!A:W, 6, FALSE), "NO ENCONTRADO EN PLANTA"))</f>
        <v>BOGOTA CENTRO</v>
      </c>
      <c r="F359" s="7" t="str">
        <f>IF(B359="","",IFERROR(VLOOKUP(B359, PLANTA_BASE!A:W, 8, FALSE), "DOCENTE / FACILITADOR"))</f>
        <v>DOC ASOC/N/V/TC/INVESTIGACIONES/INVESTIG</v>
      </c>
      <c r="G359" s="7" t="str">
        <f>IF(B359="","",IFERROR(VLOOKUP(B359, PLANTA_BASE!A:W, 9, FALSE), "GENERAL"))</f>
        <v>INVESTIGACIONES</v>
      </c>
      <c r="H359" s="5" t="str">
        <f>IF(B359="","",IFERROR(VLOOKUP(B359, PLANTA_BASE!A:W, 17, FALSE), "GENERAL"))</f>
        <v>INVESTIGACIONES</v>
      </c>
    </row>
    <row r="360" spans="1:8" ht="20.100000000000001" customHeight="1" x14ac:dyDescent="0.25">
      <c r="A360" s="2" t="str">
        <f>IF(B360="","",IFERROR(VLOOKUP(B360, PLANTA_BASE!A:W, 2, FALSE), "NO ENCONTRADO EN PLANTA"))</f>
        <v>VIRTUAL</v>
      </c>
      <c r="B360" s="3" t="s">
        <v>724</v>
      </c>
      <c r="C360" s="4" t="s">
        <v>725</v>
      </c>
      <c r="D360" s="2" t="str">
        <f>IF(B360="","",IFERROR(VLOOKUP(B360, PLANTA_BASE!A:W, 5, FALSE), "NO ENCONTRADO EN PLANTA"))</f>
        <v>REGIONAL META</v>
      </c>
      <c r="E360" s="2" t="str">
        <f>IF(B360="","",IFERROR(VLOOKUP(B360, PLANTA_BASE!A:W, 6, FALSE), "NO ENCONTRADO EN PLANTA"))</f>
        <v>VILLAVICENCIO</v>
      </c>
      <c r="F360" s="4" t="str">
        <f>IF(B360="","",IFERROR(VLOOKUP(B360, PLANTA_BASE!A:W, 8, FALSE), "DOCENTE / FACILITADOR"))</f>
        <v>DOC ASIS/N/V/TC/ADMIN PUBLICA/FUN.ACADE-ADMIN</v>
      </c>
      <c r="G360" s="4" t="str">
        <f>IF(B360="","",IFERROR(VLOOKUP(B360, PLANTA_BASE!A:W, 9, FALSE), "GENERAL"))</f>
        <v>ADMINISTRACION PUBLICA</v>
      </c>
      <c r="H360" s="2" t="str">
        <f>IF(B360="","",IFERROR(VLOOKUP(B360, PLANTA_BASE!A:W, 17, FALSE), "GENERAL"))</f>
        <v>ADMINISTRACION PUBLICA</v>
      </c>
    </row>
    <row r="361" spans="1:8" ht="20.100000000000001" customHeight="1" x14ac:dyDescent="0.25">
      <c r="A361" s="5" t="str">
        <f>IF(B361="","",IFERROR(VLOOKUP(B361, PLANTA_BASE!A:W, 2, FALSE), "NO ENCONTRADO EN PLANTA"))</f>
        <v>VIRTUAL</v>
      </c>
      <c r="B361" s="6" t="s">
        <v>726</v>
      </c>
      <c r="C361" s="7" t="s">
        <v>727</v>
      </c>
      <c r="D361" s="5" t="str">
        <f>IF(B361="","",IFERROR(VLOOKUP(B361, PLANTA_BASE!A:W, 5, FALSE), "NO ENCONTRADO EN PLANTA"))</f>
        <v>REGIONAL CUNDINAMARCA</v>
      </c>
      <c r="E361" s="5" t="str">
        <f>IF(B361="","",IFERROR(VLOOKUP(B361, PLANTA_BASE!A:W, 6, FALSE), "NO ENCONTRADO EN PLANTA"))</f>
        <v>CHÍA</v>
      </c>
      <c r="F361" s="7" t="str">
        <f>IF(B361="","",IFERROR(VLOOKUP(B361, PLANTA_BASE!A:W, 8, FALSE), "DOCENTE / FACILITADOR"))</f>
        <v>DOC AUX/N/V/MT/CONTADURIA</v>
      </c>
      <c r="G361" s="7" t="str">
        <f>IF(B361="","",IFERROR(VLOOKUP(B361, PLANTA_BASE!A:W, 9, FALSE), "GENERAL"))</f>
        <v>CONTADURIA PUBLICA</v>
      </c>
      <c r="H361" s="5" t="str">
        <f>IF(B361="","",IFERROR(VLOOKUP(B361, PLANTA_BASE!A:W, 17, FALSE), "GENERAL"))</f>
        <v>CONTADURIA PUBLICA</v>
      </c>
    </row>
    <row r="362" spans="1:8" ht="20.100000000000001" customHeight="1" x14ac:dyDescent="0.25">
      <c r="A362" s="2" t="str">
        <f>IF(B362="","",IFERROR(VLOOKUP(B362, PLANTA_BASE!A:W, 2, FALSE), "NO ENCONTRADO EN PLANTA"))</f>
        <v>PRESENCIAL</v>
      </c>
      <c r="B362" s="3" t="s">
        <v>728</v>
      </c>
      <c r="C362" s="4" t="s">
        <v>729</v>
      </c>
      <c r="D362" s="2" t="str">
        <f>IF(B362="","",IFERROR(VLOOKUP(B362, PLANTA_BASE!A:W, 5, FALSE), "NO ENCONTRADO EN PLANTA"))</f>
        <v>REGIONAL BOGOTA</v>
      </c>
      <c r="E362" s="2" t="str">
        <f>IF(B362="","",IFERROR(VLOOKUP(B362, PLANTA_BASE!A:W, 6, FALSE), "NO ENCONTRADO EN PLANTA"))</f>
        <v>BOGOTA SUR</v>
      </c>
      <c r="F362" s="4" t="str">
        <f>IF(B362="","",IFERROR(VLOOKUP(B362, PLANTA_BASE!A:W, 8, FALSE), "DOCENTE / FACILITADOR"))</f>
        <v>DOCENTE AUX/N/MT/ADM EM</v>
      </c>
      <c r="G362" s="4" t="str">
        <f>IF(B362="","",IFERROR(VLOOKUP(B362, PLANTA_BASE!A:W, 9, FALSE), "GENERAL"))</f>
        <v>ADMINISTRACION DE EMPRESAS</v>
      </c>
      <c r="H362" s="2" t="str">
        <f>IF(B362="","",IFERROR(VLOOKUP(B362, PLANTA_BASE!A:W, 17, FALSE), "GENERAL"))</f>
        <v>ADMINISTRACION DE EMPRESAS</v>
      </c>
    </row>
    <row r="363" spans="1:8" ht="20.100000000000001" customHeight="1" x14ac:dyDescent="0.25">
      <c r="A363" s="5" t="str">
        <f>IF(B363="","",IFERROR(VLOOKUP(B363, PLANTA_BASE!A:W, 2, FALSE), "NO ENCONTRADO EN PLANTA"))</f>
        <v>VIRTUAL</v>
      </c>
      <c r="B363" s="6" t="s">
        <v>730</v>
      </c>
      <c r="C363" s="7" t="s">
        <v>731</v>
      </c>
      <c r="D363" s="5" t="str">
        <f>IF(B363="","",IFERROR(VLOOKUP(B363, PLANTA_BASE!A:W, 5, FALSE), "NO ENCONTRADO EN PLANTA"))</f>
        <v>REGIONAL BOGOTA</v>
      </c>
      <c r="E363" s="5" t="str">
        <f>IF(B363="","",IFERROR(VLOOKUP(B363, PLANTA_BASE!A:W, 6, FALSE), "NO ENCONTRADO EN PLANTA"))</f>
        <v>BOGOTA CENTRO</v>
      </c>
      <c r="F363" s="7" t="str">
        <f>IF(B363="","",IFERROR(VLOOKUP(B363, PLANTA_BASE!A:W, 8, FALSE), "DOCENTE / FACILITADOR"))</f>
        <v>DOC ASIS/N/V/TC/ESP PROSP ESTR/PROYECC</v>
      </c>
      <c r="G363" s="7" t="str">
        <f>IF(B363="","",IFERROR(VLOOKUP(B363, PLANTA_BASE!A:W, 9, FALSE), "GENERAL"))</f>
        <v>ESPECIALIZACION EN PROSPECTIVA ESTRATEGICA</v>
      </c>
      <c r="H363" s="5" t="str">
        <f>IF(B363="","",IFERROR(VLOOKUP(B363, PLANTA_BASE!A:W, 17, FALSE), "GENERAL"))</f>
        <v>ESPECIALIZACION EN PROSPECTIVA ESTRATEGICA</v>
      </c>
    </row>
    <row r="364" spans="1:8" ht="20.100000000000001" customHeight="1" x14ac:dyDescent="0.25">
      <c r="A364" s="2" t="str">
        <f>IF(B364="","",IFERROR(VLOOKUP(B364, PLANTA_BASE!A:W, 2, FALSE), "NO ENCONTRADO EN PLANTA"))</f>
        <v>PRESENCIAL</v>
      </c>
      <c r="B364" s="3" t="s">
        <v>732</v>
      </c>
      <c r="C364" s="4" t="s">
        <v>733</v>
      </c>
      <c r="D364" s="2" t="str">
        <f>IF(B364="","",IFERROR(VLOOKUP(B364, PLANTA_BASE!A:W, 5, FALSE), "NO ENCONTRADO EN PLANTA"))</f>
        <v>REGIONAL ANTIOQUIA</v>
      </c>
      <c r="E364" s="2" t="str">
        <f>IF(B364="","",IFERROR(VLOOKUP(B364, PLANTA_BASE!A:W, 6, FALSE), "NO ENCONTRADO EN PLANTA"))</f>
        <v>MEDELLIN</v>
      </c>
      <c r="F364" s="4" t="str">
        <f>IF(B364="","",IFERROR(VLOOKUP(B364, PLANTA_BASE!A:W, 8, FALSE), "DOCENTE / FACILITADOR"))</f>
        <v>DOC AUX T&amp;T/N/TC/DIS PROD MOD/FUN.ACADE-ADMIN</v>
      </c>
      <c r="G364" s="4" t="str">
        <f>IF(B364="","",IFERROR(VLOOKUP(B364, PLANTA_BASE!A:W, 9, FALSE), "GENERAL"))</f>
        <v>DISEÑO Y PRODUCCION DE MODAS</v>
      </c>
      <c r="H364" s="2" t="str">
        <f>IF(B364="","",IFERROR(VLOOKUP(B364, PLANTA_BASE!A:W, 17, FALSE), "GENERAL"))</f>
        <v>DISEÑO Y PRODUCCION DE MODAS</v>
      </c>
    </row>
    <row r="365" spans="1:8" ht="20.100000000000001" customHeight="1" x14ac:dyDescent="0.25">
      <c r="A365" s="5" t="str">
        <f>IF(B365="","",IFERROR(VLOOKUP(B365, PLANTA_BASE!A:W, 2, FALSE), "NO ENCONTRADO EN PLANTA"))</f>
        <v>VIRTUAL</v>
      </c>
      <c r="B365" s="6" t="s">
        <v>734</v>
      </c>
      <c r="C365" s="7" t="s">
        <v>735</v>
      </c>
      <c r="D365" s="5" t="str">
        <f>IF(B365="","",IFERROR(VLOOKUP(B365, PLANTA_BASE!A:W, 5, FALSE), "NO ENCONTRADO EN PLANTA"))</f>
        <v>REGIONAL BOGOTA</v>
      </c>
      <c r="E365" s="5" t="str">
        <f>IF(B365="","",IFERROR(VLOOKUP(B365, PLANTA_BASE!A:W, 6, FALSE), "NO ENCONTRADO EN PLANTA"))</f>
        <v>BOGOTA CENTRO</v>
      </c>
      <c r="F365" s="7" t="str">
        <f>IF(B365="","",IFERROR(VLOOKUP(B365, PLANTA_BASE!A:W, 8, FALSE), "DOCENTE / FACILITADOR"))</f>
        <v>DOC ASIS/N/V/MT/SOCIOHUMANISTI</v>
      </c>
      <c r="G365" s="7" t="str">
        <f>IF(B365="","",IFERROR(VLOOKUP(B365, PLANTA_BASE!A:W, 9, FALSE), "GENERAL"))</f>
        <v>SOCIOHUMANISTICA</v>
      </c>
      <c r="H365" s="5" t="str">
        <f>IF(B365="","",IFERROR(VLOOKUP(B365, PLANTA_BASE!A:W, 17, FALSE), "GENERAL"))</f>
        <v>SOCIOHUMANISTICA</v>
      </c>
    </row>
    <row r="366" spans="1:8" ht="20.100000000000001" customHeight="1" x14ac:dyDescent="0.25">
      <c r="A366" s="2" t="str">
        <f>IF(B366="","",IFERROR(VLOOKUP(B366, PLANTA_BASE!A:W, 2, FALSE), "NO ENCONTRADO EN PLANTA"))</f>
        <v>VIRTUAL</v>
      </c>
      <c r="B366" s="3" t="s">
        <v>736</v>
      </c>
      <c r="C366" s="4" t="s">
        <v>737</v>
      </c>
      <c r="D366" s="2" t="str">
        <f>IF(B366="","",IFERROR(VLOOKUP(B366, PLANTA_BASE!A:W, 5, FALSE), "NO ENCONTRADO EN PLANTA"))</f>
        <v>REGIONAL BOGOTA</v>
      </c>
      <c r="E366" s="2" t="str">
        <f>IF(B366="","",IFERROR(VLOOKUP(B366, PLANTA_BASE!A:W, 6, FALSE), "NO ENCONTRADO EN PLANTA"))</f>
        <v>BOGOTA CENTRO</v>
      </c>
      <c r="F366" s="4" t="str">
        <f>IF(B366="","",IFERROR(VLOOKUP(B366, PLANTA_BASE!A:W, 8, FALSE), "DOCENTE / FACILITADOR"))</f>
        <v>DOC ASIS/N/V/MT/CIENCIAS BASI</v>
      </c>
      <c r="G366" s="4" t="str">
        <f>IF(B366="","",IFERROR(VLOOKUP(B366, PLANTA_BASE!A:W, 9, FALSE), "GENERAL"))</f>
        <v>CIENCIAS BASICAS</v>
      </c>
      <c r="H366" s="2" t="str">
        <f>IF(B366="","",IFERROR(VLOOKUP(B366, PLANTA_BASE!A:W, 17, FALSE), "GENERAL"))</f>
        <v>CIENCIAS BASICAS</v>
      </c>
    </row>
    <row r="367" spans="1:8" ht="20.100000000000001" customHeight="1" x14ac:dyDescent="0.25">
      <c r="A367" s="5" t="str">
        <f>IF(B367="","",IFERROR(VLOOKUP(B367, PLANTA_BASE!A:W, 2, FALSE), "NO ENCONTRADO EN PLANTA"))</f>
        <v>PRESENCIAL</v>
      </c>
      <c r="B367" s="6" t="s">
        <v>738</v>
      </c>
      <c r="C367" s="7" t="s">
        <v>739</v>
      </c>
      <c r="D367" s="5" t="str">
        <f>IF(B367="","",IFERROR(VLOOKUP(B367, PLANTA_BASE!A:W, 5, FALSE), "NO ENCONTRADO EN PLANTA"))</f>
        <v>REGIONAL BOGOTA</v>
      </c>
      <c r="E367" s="5" t="str">
        <f>IF(B367="","",IFERROR(VLOOKUP(B367, PLANTA_BASE!A:W, 6, FALSE), "NO ENCONTRADO EN PLANTA"))</f>
        <v>BOGOTA CENTRO</v>
      </c>
      <c r="F367" s="7" t="str">
        <f>IF(B367="","",IFERROR(VLOOKUP(B367, PLANTA_BASE!A:W, 8, FALSE), "DOCENTE / FACILITADOR"))</f>
        <v>DOCENTE ASIS/N/TC/EMPRENDIMIE/FUN.ACADE-ADMIN</v>
      </c>
      <c r="G367" s="7" t="str">
        <f>IF(B367="","",IFERROR(VLOOKUP(B367, PLANTA_BASE!A:W, 9, FALSE), "GENERAL"))</f>
        <v>EMPRENDIMIENTO</v>
      </c>
      <c r="H367" s="5" t="str">
        <f>IF(B367="","",IFERROR(VLOOKUP(B367, PLANTA_BASE!A:W, 17, FALSE), "GENERAL"))</f>
        <v>EMPRENDIMIENTO</v>
      </c>
    </row>
    <row r="368" spans="1:8" ht="20.100000000000001" customHeight="1" x14ac:dyDescent="0.25">
      <c r="A368" s="2" t="str">
        <f>IF(B368="","",IFERROR(VLOOKUP(B368, PLANTA_BASE!A:W, 2, FALSE), "NO ENCONTRADO EN PLANTA"))</f>
        <v>PRESENCIAL</v>
      </c>
      <c r="B368" s="3" t="s">
        <v>740</v>
      </c>
      <c r="C368" s="4" t="s">
        <v>741</v>
      </c>
      <c r="D368" s="2" t="str">
        <f>IF(B368="","",IFERROR(VLOOKUP(B368, PLANTA_BASE!A:W, 5, FALSE), "NO ENCONTRADO EN PLANTA"))</f>
        <v>REGIONAL BOGOTA</v>
      </c>
      <c r="E368" s="2" t="str">
        <f>IF(B368="","",IFERROR(VLOOKUP(B368, PLANTA_BASE!A:W, 6, FALSE), "NO ENCONTRADO EN PLANTA"))</f>
        <v>BOGOTA CENTRO</v>
      </c>
      <c r="F368" s="4" t="str">
        <f>IF(B368="","",IFERROR(VLOOKUP(B368, PLANTA_BASE!A:W, 8, FALSE), "DOCENTE / FACILITADOR"))</f>
        <v>DOCENTE ASIS/N/TC/DIS GRAFICO/FUN.ACADE-ADMIN</v>
      </c>
      <c r="G368" s="4" t="str">
        <f>IF(B368="","",IFERROR(VLOOKUP(B368, PLANTA_BASE!A:W, 9, FALSE), "GENERAL"))</f>
        <v>DISEÑO GRAFICO</v>
      </c>
      <c r="H368" s="2" t="str">
        <f>IF(B368="","",IFERROR(VLOOKUP(B368, PLANTA_BASE!A:W, 17, FALSE), "GENERAL"))</f>
        <v>DISEÑO GRAFICO</v>
      </c>
    </row>
    <row r="369" spans="1:8" ht="20.100000000000001" customHeight="1" x14ac:dyDescent="0.25">
      <c r="A369" s="5" t="str">
        <f>IF(B369="","",IFERROR(VLOOKUP(B369, PLANTA_BASE!A:W, 2, FALSE), "NO ENCONTRADO EN PLANTA"))</f>
        <v>VIRTUAL</v>
      </c>
      <c r="B369" s="6" t="s">
        <v>742</v>
      </c>
      <c r="C369" s="7" t="s">
        <v>743</v>
      </c>
      <c r="D369" s="5" t="str">
        <f>IF(B369="","",IFERROR(VLOOKUP(B369, PLANTA_BASE!A:W, 5, FALSE), "NO ENCONTRADO EN PLANTA"))</f>
        <v>REGIONAL BOGOTA</v>
      </c>
      <c r="E369" s="5" t="str">
        <f>IF(B369="","",IFERROR(VLOOKUP(B369, PLANTA_BASE!A:W, 6, FALSE), "NO ENCONTRADO EN PLANTA"))</f>
        <v>BOGOTA CENTRO</v>
      </c>
      <c r="F369" s="7" t="str">
        <f>IF(B369="","",IFERROR(VLOOKUP(B369, PLANTA_BASE!A:W, 8, FALSE), "DOCENTE / FACILITADOR"))</f>
        <v>DOC AUX/N/V/TC/ING DE SISTEMAS/FUN.ACADE-ADMIN</v>
      </c>
      <c r="G369" s="7" t="str">
        <f>IF(B369="","",IFERROR(VLOOKUP(B369, PLANTA_BASE!A:W, 9, FALSE), "GENERAL"))</f>
        <v>INGENIERIA DE SISTEMAS</v>
      </c>
      <c r="H369" s="5" t="str">
        <f>IF(B369="","",IFERROR(VLOOKUP(B369, PLANTA_BASE!A:W, 17, FALSE), "GENERAL"))</f>
        <v>INGENIERIA DE SISTEMAS</v>
      </c>
    </row>
    <row r="370" spans="1:8" ht="20.100000000000001" customHeight="1" x14ac:dyDescent="0.25">
      <c r="A370" s="2" t="str">
        <f>IF(B370="","",IFERROR(VLOOKUP(B370, PLANTA_BASE!A:W, 2, FALSE), "NO ENCONTRADO EN PLANTA"))</f>
        <v>PRESENCIAL</v>
      </c>
      <c r="B370" s="3" t="s">
        <v>744</v>
      </c>
      <c r="C370" s="4" t="s">
        <v>745</v>
      </c>
      <c r="D370" s="2" t="str">
        <f>IF(B370="","",IFERROR(VLOOKUP(B370, PLANTA_BASE!A:W, 5, FALSE), "NO ENCONTRADO EN PLANTA"))</f>
        <v>REGIONAL BOGOTA</v>
      </c>
      <c r="E370" s="2" t="str">
        <f>IF(B370="","",IFERROR(VLOOKUP(B370, PLANTA_BASE!A:W, 6, FALSE), "NO ENCONTRADO EN PLANTA"))</f>
        <v>BOGOTA CENTRO</v>
      </c>
      <c r="F370" s="4" t="str">
        <f>IF(B370="","",IFERROR(VLOOKUP(B370, PLANTA_BASE!A:W, 8, FALSE), "DOCENTE / FACILITADOR"))</f>
        <v>DOCENTE ASIS/N/TC/INVESTIGA/INVESTIGACIO</v>
      </c>
      <c r="G370" s="4" t="str">
        <f>IF(B370="","",IFERROR(VLOOKUP(B370, PLANTA_BASE!A:W, 9, FALSE), "GENERAL"))</f>
        <v>INVESTIGACIONES</v>
      </c>
      <c r="H370" s="2" t="str">
        <f>IF(B370="","",IFERROR(VLOOKUP(B370, PLANTA_BASE!A:W, 17, FALSE), "GENERAL"))</f>
        <v>INVESTIGACIONES</v>
      </c>
    </row>
    <row r="371" spans="1:8" ht="20.100000000000001" customHeight="1" x14ac:dyDescent="0.25">
      <c r="A371" s="5" t="str">
        <f>IF(B371="","",IFERROR(VLOOKUP(B371, PLANTA_BASE!A:W, 2, FALSE), "NO ENCONTRADO EN PLANTA"))</f>
        <v>VIRTUAL</v>
      </c>
      <c r="B371" s="6" t="s">
        <v>746</v>
      </c>
      <c r="C371" s="7" t="s">
        <v>747</v>
      </c>
      <c r="D371" s="5" t="str">
        <f>IF(B371="","",IFERROR(VLOOKUP(B371, PLANTA_BASE!A:W, 5, FALSE), "NO ENCONTRADO EN PLANTA"))</f>
        <v>REGIONAL BOGOTA</v>
      </c>
      <c r="E371" s="5" t="str">
        <f>IF(B371="","",IFERROR(VLOOKUP(B371, PLANTA_BASE!A:W, 6, FALSE), "NO ENCONTRADO EN PLANTA"))</f>
        <v>BOGOTA CENTRO</v>
      </c>
      <c r="F371" s="7" t="str">
        <f>IF(B371="","",IFERROR(VLOOKUP(B371, PLANTA_BASE!A:W, 8, FALSE), "DOCENTE / FACILITADOR"))</f>
        <v>DOC AUX/N/V/TC/ADM DE EMPRE/FUN.ACADE-ADMIN</v>
      </c>
      <c r="G371" s="7" t="str">
        <f>IF(B371="","",IFERROR(VLOOKUP(B371, PLANTA_BASE!A:W, 9, FALSE), "GENERAL"))</f>
        <v>ADMINISTRACION DE EMPRESAS</v>
      </c>
      <c r="H371" s="5" t="str">
        <f>IF(B371="","",IFERROR(VLOOKUP(B371, PLANTA_BASE!A:W, 17, FALSE), "GENERAL"))</f>
        <v>ADMINISTRACION DE EMPRESAS</v>
      </c>
    </row>
    <row r="372" spans="1:8" ht="20.100000000000001" customHeight="1" x14ac:dyDescent="0.25">
      <c r="A372" s="2" t="str">
        <f>IF(B372="","",IFERROR(VLOOKUP(B372, PLANTA_BASE!A:W, 2, FALSE), "NO ENCONTRADO EN PLANTA"))</f>
        <v>VIRTUAL</v>
      </c>
      <c r="B372" s="3" t="s">
        <v>748</v>
      </c>
      <c r="C372" s="4" t="s">
        <v>749</v>
      </c>
      <c r="D372" s="2" t="str">
        <f>IF(B372="","",IFERROR(VLOOKUP(B372, PLANTA_BASE!A:W, 5, FALSE), "NO ENCONTRADO EN PLANTA"))</f>
        <v>REGIONAL BOGOTA</v>
      </c>
      <c r="E372" s="2" t="str">
        <f>IF(B372="","",IFERROR(VLOOKUP(B372, PLANTA_BASE!A:W, 6, FALSE), "NO ENCONTRADO EN PLANTA"))</f>
        <v>BOGOTA CENTRO</v>
      </c>
      <c r="F372" s="4" t="str">
        <f>IF(B372="","",IFERROR(VLOOKUP(B372, PLANTA_BASE!A:W, 8, FALSE), "DOCENTE / FACILITADOR"))</f>
        <v>DOC ASIS/N/V/TC/ADMIN PUBLICA/FUN.ACADE-ADMIN</v>
      </c>
      <c r="G372" s="4" t="str">
        <f>IF(B372="","",IFERROR(VLOOKUP(B372, PLANTA_BASE!A:W, 9, FALSE), "GENERAL"))</f>
        <v>ADMINISTRACION PUBLICA</v>
      </c>
      <c r="H372" s="2" t="str">
        <f>IF(B372="","",IFERROR(VLOOKUP(B372, PLANTA_BASE!A:W, 17, FALSE), "GENERAL"))</f>
        <v>ADMINISTRACION PUBLICA</v>
      </c>
    </row>
    <row r="373" spans="1:8" ht="20.100000000000001" customHeight="1" x14ac:dyDescent="0.25">
      <c r="A373" s="5" t="str">
        <f>IF(B373="","",IFERROR(VLOOKUP(B373, PLANTA_BASE!A:W, 2, FALSE), "NO ENCONTRADO EN PLANTA"))</f>
        <v>VIRTUAL</v>
      </c>
      <c r="B373" s="6" t="s">
        <v>750</v>
      </c>
      <c r="C373" s="7" t="s">
        <v>751</v>
      </c>
      <c r="D373" s="5" t="str">
        <f>IF(B373="","",IFERROR(VLOOKUP(B373, PLANTA_BASE!A:W, 5, FALSE), "NO ENCONTRADO EN PLANTA"))</f>
        <v>REGIONAL BOGOTA</v>
      </c>
      <c r="E373" s="5" t="str">
        <f>IF(B373="","",IFERROR(VLOOKUP(B373, PLANTA_BASE!A:W, 6, FALSE), "NO ENCONTRADO EN PLANTA"))</f>
        <v>BOGOTA CENTRO</v>
      </c>
      <c r="F373" s="7" t="str">
        <f>IF(B373="","",IFERROR(VLOOKUP(B373, PLANTA_BASE!A:W, 8, FALSE), "DOCENTE / FACILITADOR"))</f>
        <v>DOC ASIS/N/V/TC/EMPRENDIMIENTO/FUN.ACADE-ADMIN</v>
      </c>
      <c r="G373" s="7" t="str">
        <f>IF(B373="","",IFERROR(VLOOKUP(B373, PLANTA_BASE!A:W, 9, FALSE), "GENERAL"))</f>
        <v>EMPRENDIMIENTO</v>
      </c>
      <c r="H373" s="5" t="str">
        <f>IF(B373="","",IFERROR(VLOOKUP(B373, PLANTA_BASE!A:W, 17, FALSE), "GENERAL"))</f>
        <v>EMPRENDIMIENTO</v>
      </c>
    </row>
    <row r="374" spans="1:8" ht="20.100000000000001" customHeight="1" x14ac:dyDescent="0.25">
      <c r="A374" s="2" t="str">
        <f>IF(B374="","",IFERROR(VLOOKUP(B374, PLANTA_BASE!A:W, 2, FALSE), "NO ENCONTRADO EN PLANTA"))</f>
        <v>PRESENCIAL</v>
      </c>
      <c r="B374" s="3" t="s">
        <v>752</v>
      </c>
      <c r="C374" s="4" t="s">
        <v>753</v>
      </c>
      <c r="D374" s="2" t="str">
        <f>IF(B374="","",IFERROR(VLOOKUP(B374, PLANTA_BASE!A:W, 5, FALSE), "NO ENCONTRADO EN PLANTA"))</f>
        <v>REGIONAL BOGOTA</v>
      </c>
      <c r="E374" s="2" t="str">
        <f>IF(B374="","",IFERROR(VLOOKUP(B374, PLANTA_BASE!A:W, 6, FALSE), "NO ENCONTRADO EN PLANTA"))</f>
        <v>BOGOTA CENTRO</v>
      </c>
      <c r="F374" s="4" t="str">
        <f>IF(B374="","",IFERROR(VLOOKUP(B374, PLANTA_BASE!A:W, 8, FALSE), "DOCENTE / FACILITADOR"))</f>
        <v>DOCENTE AUX/N/TC/ADM EMP/FUN.ACADE-ADMIN</v>
      </c>
      <c r="G374" s="4" t="str">
        <f>IF(B374="","",IFERROR(VLOOKUP(B374, PLANTA_BASE!A:W, 9, FALSE), "GENERAL"))</f>
        <v>ADMINISTRACION DE EMPRESAS</v>
      </c>
      <c r="H374" s="2" t="str">
        <f>IF(B374="","",IFERROR(VLOOKUP(B374, PLANTA_BASE!A:W, 17, FALSE), "GENERAL"))</f>
        <v>ADMINISTRACION DE EMPRESAS</v>
      </c>
    </row>
    <row r="375" spans="1:8" ht="20.100000000000001" customHeight="1" x14ac:dyDescent="0.25">
      <c r="A375" s="5" t="str">
        <f>IF(B375="","",IFERROR(VLOOKUP(B375, PLANTA_BASE!A:W, 2, FALSE), "NO ENCONTRADO EN PLANTA"))</f>
        <v>PRESENCIAL</v>
      </c>
      <c r="B375" s="6" t="s">
        <v>754</v>
      </c>
      <c r="C375" s="7" t="s">
        <v>755</v>
      </c>
      <c r="D375" s="5" t="str">
        <f>IF(B375="","",IFERROR(VLOOKUP(B375, PLANTA_BASE!A:W, 5, FALSE), "NO ENCONTRADO EN PLANTA"))</f>
        <v>REGIONAL BOGOTA</v>
      </c>
      <c r="E375" s="5" t="str">
        <f>IF(B375="","",IFERROR(VLOOKUP(B375, PLANTA_BASE!A:W, 6, FALSE), "NO ENCONTRADO EN PLANTA"))</f>
        <v>BOGOTA CENTRO</v>
      </c>
      <c r="F375" s="7" t="str">
        <f>IF(B375="","",IFERROR(VLOOKUP(B375, PLANTA_BASE!A:W, 8, FALSE), "DOCENTE / FACILITADOR"))</f>
        <v>DOCENTE AUX/N/MT/ING SISTEM</v>
      </c>
      <c r="G375" s="7" t="str">
        <f>IF(B375="","",IFERROR(VLOOKUP(B375, PLANTA_BASE!A:W, 9, FALSE), "GENERAL"))</f>
        <v>INGENIERIA DE SISTEMAS</v>
      </c>
      <c r="H375" s="5" t="str">
        <f>IF(B375="","",IFERROR(VLOOKUP(B375, PLANTA_BASE!A:W, 17, FALSE), "GENERAL"))</f>
        <v>INGENIERIA DE SISTEMAS</v>
      </c>
    </row>
    <row r="376" spans="1:8" ht="20.100000000000001" customHeight="1" x14ac:dyDescent="0.25">
      <c r="A376" s="2" t="str">
        <f>IF(B376="","",IFERROR(VLOOKUP(B376, PLANTA_BASE!A:W, 2, FALSE), "NO ENCONTRADO EN PLANTA"))</f>
        <v>VIRTUAL</v>
      </c>
      <c r="B376" s="3" t="s">
        <v>756</v>
      </c>
      <c r="C376" s="4" t="s">
        <v>757</v>
      </c>
      <c r="D376" s="2" t="str">
        <f>IF(B376="","",IFERROR(VLOOKUP(B376, PLANTA_BASE!A:W, 5, FALSE), "NO ENCONTRADO EN PLANTA"))</f>
        <v>REGIONAL BOGOTA</v>
      </c>
      <c r="E376" s="2" t="str">
        <f>IF(B376="","",IFERROR(VLOOKUP(B376, PLANTA_BASE!A:W, 6, FALSE), "NO ENCONTRADO EN PLANTA"))</f>
        <v>BOGOTA CENTRO</v>
      </c>
      <c r="F376" s="4" t="str">
        <f>IF(B376="","",IFERROR(VLOOKUP(B376, PLANTA_BASE!A:W, 8, FALSE), "DOCENTE / FACILITADOR"))</f>
        <v>DOC ASIS/N/V/MT/CIENCIAS BASI</v>
      </c>
      <c r="G376" s="4" t="str">
        <f>IF(B376="","",IFERROR(VLOOKUP(B376, PLANTA_BASE!A:W, 9, FALSE), "GENERAL"))</f>
        <v>CIENCIAS BASICAS</v>
      </c>
      <c r="H376" s="2" t="str">
        <f>IF(B376="","",IFERROR(VLOOKUP(B376, PLANTA_BASE!A:W, 17, FALSE), "GENERAL"))</f>
        <v>CIENCIAS BASICAS</v>
      </c>
    </row>
    <row r="377" spans="1:8" ht="20.100000000000001" customHeight="1" x14ac:dyDescent="0.25">
      <c r="A377" s="5" t="str">
        <f>IF(B377="","",IFERROR(VLOOKUP(B377, PLANTA_BASE!A:W, 2, FALSE), "NO ENCONTRADO EN PLANTA"))</f>
        <v>PRESENCIAL</v>
      </c>
      <c r="B377" s="6" t="s">
        <v>758</v>
      </c>
      <c r="C377" s="7" t="s">
        <v>759</v>
      </c>
      <c r="D377" s="5" t="str">
        <f>IF(B377="","",IFERROR(VLOOKUP(B377, PLANTA_BASE!A:W, 5, FALSE), "NO ENCONTRADO EN PLANTA"))</f>
        <v>REGIONAL BOGOTA</v>
      </c>
      <c r="E377" s="5" t="str">
        <f>IF(B377="","",IFERROR(VLOOKUP(B377, PLANTA_BASE!A:W, 6, FALSE), "NO ENCONTRADO EN PLANTA"))</f>
        <v>BOGOTA CENTRO</v>
      </c>
      <c r="F377" s="7" t="str">
        <f>IF(B377="","",IFERROR(VLOOKUP(B377, PLANTA_BASE!A:W, 8, FALSE), "DOCENTE / FACILITADOR"))</f>
        <v>DOC AUX T&amp;T/N/MT/ADM TUR Y HOT</v>
      </c>
      <c r="G377" s="7" t="str">
        <f>IF(B377="","",IFERROR(VLOOKUP(B377, PLANTA_BASE!A:W, 9, FALSE), "GENERAL"))</f>
        <v>ADMINISTRACION TURISTICA Y HOTELERA</v>
      </c>
      <c r="H377" s="5" t="str">
        <f>IF(B377="","",IFERROR(VLOOKUP(B377, PLANTA_BASE!A:W, 17, FALSE), "GENERAL"))</f>
        <v>ADMINISTRACION TURISTICA Y HOTELERA</v>
      </c>
    </row>
    <row r="378" spans="1:8" ht="20.100000000000001" customHeight="1" x14ac:dyDescent="0.25">
      <c r="A378" s="2" t="str">
        <f>IF(B378="","",IFERROR(VLOOKUP(B378, PLANTA_BASE!A:W, 2, FALSE), "NO ENCONTRADO EN PLANTA"))</f>
        <v>PRESENCIAL</v>
      </c>
      <c r="B378" s="3" t="s">
        <v>760</v>
      </c>
      <c r="C378" s="4" t="s">
        <v>761</v>
      </c>
      <c r="D378" s="2" t="str">
        <f>IF(B378="","",IFERROR(VLOOKUP(B378, PLANTA_BASE!A:W, 5, FALSE), "NO ENCONTRADO EN PLANTA"))</f>
        <v>REGIONAL BOYACA</v>
      </c>
      <c r="E378" s="2" t="str">
        <f>IF(B378="","",IFERROR(VLOOKUP(B378, PLANTA_BASE!A:W, 6, FALSE), "NO ENCONTRADO EN PLANTA"))</f>
        <v>TUNJA</v>
      </c>
      <c r="F378" s="4" t="str">
        <f>IF(B378="","",IFERROR(VLOOKUP(B378, PLANTA_BASE!A:W, 8, FALSE), "DOCENTE / FACILITADOR"))</f>
        <v>DOCENTE ASOC/N/TC/INVESTIGACIONES/INVEST</v>
      </c>
      <c r="G378" s="4" t="str">
        <f>IF(B378="","",IFERROR(VLOOKUP(B378, PLANTA_BASE!A:W, 9, FALSE), "GENERAL"))</f>
        <v>INVESTIGACIONES</v>
      </c>
      <c r="H378" s="2" t="str">
        <f>IF(B378="","",IFERROR(VLOOKUP(B378, PLANTA_BASE!A:W, 17, FALSE), "GENERAL"))</f>
        <v>INVESTIGACIONES</v>
      </c>
    </row>
    <row r="379" spans="1:8" ht="20.100000000000001" customHeight="1" x14ac:dyDescent="0.25">
      <c r="A379" s="5" t="str">
        <f>IF(B379="","",IFERROR(VLOOKUP(B379, PLANTA_BASE!A:W, 2, FALSE), "NO ENCONTRADO EN PLANTA"))</f>
        <v>VIRTUAL</v>
      </c>
      <c r="B379" s="6" t="s">
        <v>762</v>
      </c>
      <c r="C379" s="7" t="s">
        <v>763</v>
      </c>
      <c r="D379" s="5" t="str">
        <f>IF(B379="","",IFERROR(VLOOKUP(B379, PLANTA_BASE!A:W, 5, FALSE), "NO ENCONTRADO EN PLANTA"))</f>
        <v>REGIONAL BOGOTA</v>
      </c>
      <c r="E379" s="5" t="str">
        <f>IF(B379="","",IFERROR(VLOOKUP(B379, PLANTA_BASE!A:W, 6, FALSE), "NO ENCONTRADO EN PLANTA"))</f>
        <v>BOGOTA CENTRO</v>
      </c>
      <c r="F379" s="7" t="str">
        <f>IF(B379="","",IFERROR(VLOOKUP(B379, PLANTA_BASE!A:W, 8, FALSE), "DOCENTE / FACILITADOR"))</f>
        <v>DOC AUX/N/V/TC/DIR PROD ME AUD/FUN.A</v>
      </c>
      <c r="G379" s="7" t="str">
        <f>IF(B379="","",IFERROR(VLOOKUP(B379, PLANTA_BASE!A:W, 9, FALSE), "GENERAL"))</f>
        <v>DIRECCION Y PRODUCCION DE MEDIOS AUDIOVISUALES</v>
      </c>
      <c r="H379" s="5" t="str">
        <f>IF(B379="","",IFERROR(VLOOKUP(B379, PLANTA_BASE!A:W, 17, FALSE), "GENERAL"))</f>
        <v>DIRECCION Y PRODUCCION DE MEDIOS AUDIOVISUALES</v>
      </c>
    </row>
    <row r="380" spans="1:8" ht="20.100000000000001" customHeight="1" x14ac:dyDescent="0.25">
      <c r="A380" s="2" t="str">
        <f>IF(B380="","",IFERROR(VLOOKUP(B380, PLANTA_BASE!A:W, 2, FALSE), "NO ENCONTRADO EN PLANTA"))</f>
        <v>PRESENCIAL</v>
      </c>
      <c r="B380" s="3" t="s">
        <v>764</v>
      </c>
      <c r="C380" s="4" t="s">
        <v>765</v>
      </c>
      <c r="D380" s="2" t="str">
        <f>IF(B380="","",IFERROR(VLOOKUP(B380, PLANTA_BASE!A:W, 5, FALSE), "NO ENCONTRADO EN PLANTA"))</f>
        <v>REGIONAL BOGOTA</v>
      </c>
      <c r="E380" s="2" t="str">
        <f>IF(B380="","",IFERROR(VLOOKUP(B380, PLANTA_BASE!A:W, 6, FALSE), "NO ENCONTRADO EN PLANTA"))</f>
        <v>BOGOTA CENTRO</v>
      </c>
      <c r="F380" s="4" t="str">
        <f>IF(B380="","",IFERROR(VLOOKUP(B380, PLANTA_BASE!A:W, 8, FALSE), "DOCENTE / FACILITADOR"))</f>
        <v>DOCENTE ASIS/N/TC/EMPRENDIMIE/FUN.ACADE-ADMIN</v>
      </c>
      <c r="G380" s="4" t="str">
        <f>IF(B380="","",IFERROR(VLOOKUP(B380, PLANTA_BASE!A:W, 9, FALSE), "GENERAL"))</f>
        <v>EMPRENDIMIENTO</v>
      </c>
      <c r="H380" s="2" t="str">
        <f>IF(B380="","",IFERROR(VLOOKUP(B380, PLANTA_BASE!A:W, 17, FALSE), "GENERAL"))</f>
        <v>EMPRENDIMIENTO</v>
      </c>
    </row>
    <row r="381" spans="1:8" ht="20.100000000000001" customHeight="1" x14ac:dyDescent="0.25">
      <c r="A381" s="5" t="str">
        <f>IF(B381="","",IFERROR(VLOOKUP(B381, PLANTA_BASE!A:W, 2, FALSE), "NO ENCONTRADO EN PLANTA"))</f>
        <v>VIRTUAL</v>
      </c>
      <c r="B381" s="6" t="s">
        <v>766</v>
      </c>
      <c r="C381" s="7" t="s">
        <v>767</v>
      </c>
      <c r="D381" s="5" t="str">
        <f>IF(B381="","",IFERROR(VLOOKUP(B381, PLANTA_BASE!A:W, 5, FALSE), "NO ENCONTRADO EN PLANTA"))</f>
        <v>REGIONAL BOGOTA</v>
      </c>
      <c r="E381" s="5" t="str">
        <f>IF(B381="","",IFERROR(VLOOKUP(B381, PLANTA_BASE!A:W, 6, FALSE), "NO ENCONTRADO EN PLANTA"))</f>
        <v>BOGOTA CENTRO</v>
      </c>
      <c r="F381" s="7" t="str">
        <f>IF(B381="","",IFERROR(VLOOKUP(B381, PLANTA_BASE!A:W, 8, FALSE), "DOCENTE / FACILITADOR"))</f>
        <v>DOC ASOC/N/V/TC/INVESTIGACIONES/INVESTIG</v>
      </c>
      <c r="G381" s="7" t="str">
        <f>IF(B381="","",IFERROR(VLOOKUP(B381, PLANTA_BASE!A:W, 9, FALSE), "GENERAL"))</f>
        <v>INVESTIGACIONES</v>
      </c>
      <c r="H381" s="5" t="str">
        <f>IF(B381="","",IFERROR(VLOOKUP(B381, PLANTA_BASE!A:W, 17, FALSE), "GENERAL"))</f>
        <v>INVESTIGACIONES</v>
      </c>
    </row>
    <row r="382" spans="1:8" ht="20.100000000000001" customHeight="1" x14ac:dyDescent="0.25">
      <c r="A382" s="2" t="str">
        <f>IF(B382="","",IFERROR(VLOOKUP(B382, PLANTA_BASE!A:W, 2, FALSE), "NO ENCONTRADO EN PLANTA"))</f>
        <v>VIRTUAL</v>
      </c>
      <c r="B382" s="3" t="s">
        <v>768</v>
      </c>
      <c r="C382" s="4" t="s">
        <v>769</v>
      </c>
      <c r="D382" s="2" t="str">
        <f>IF(B382="","",IFERROR(VLOOKUP(B382, PLANTA_BASE!A:W, 5, FALSE), "NO ENCONTRADO EN PLANTA"))</f>
        <v>REGIONAL BOGOTA</v>
      </c>
      <c r="E382" s="2" t="str">
        <f>IF(B382="","",IFERROR(VLOOKUP(B382, PLANTA_BASE!A:W, 6, FALSE), "NO ENCONTRADO EN PLANTA"))</f>
        <v>BOGOTA CENTRO</v>
      </c>
      <c r="F382" s="4" t="str">
        <f>IF(B382="","",IFERROR(VLOOKUP(B382, PLANTA_BASE!A:W, 8, FALSE), "DOCENTE / FACILITADOR"))</f>
        <v>DOC ASIS/N/V/TC/CONTADURIA/FUN.ACADE-ADMIN</v>
      </c>
      <c r="G382" s="4" t="str">
        <f>IF(B382="","",IFERROR(VLOOKUP(B382, PLANTA_BASE!A:W, 9, FALSE), "GENERAL"))</f>
        <v>CONTADURIA PUBLICA</v>
      </c>
      <c r="H382" s="2" t="str">
        <f>IF(B382="","",IFERROR(VLOOKUP(B382, PLANTA_BASE!A:W, 17, FALSE), "GENERAL"))</f>
        <v>CONTADURIA PUBLICA</v>
      </c>
    </row>
    <row r="383" spans="1:8" ht="20.100000000000001" customHeight="1" x14ac:dyDescent="0.25">
      <c r="A383" s="5" t="str">
        <f>IF(B383="","",IFERROR(VLOOKUP(B383, PLANTA_BASE!A:W, 2, FALSE), "NO ENCONTRADO EN PLANTA"))</f>
        <v>VIRTUAL</v>
      </c>
      <c r="B383" s="6" t="s">
        <v>770</v>
      </c>
      <c r="C383" s="7" t="s">
        <v>771</v>
      </c>
      <c r="D383" s="5" t="str">
        <f>IF(B383="","",IFERROR(VLOOKUP(B383, PLANTA_BASE!A:W, 5, FALSE), "NO ENCONTRADO EN PLANTA"))</f>
        <v>REGIONAL BOGOTA</v>
      </c>
      <c r="E383" s="5" t="str">
        <f>IF(B383="","",IFERROR(VLOOKUP(B383, PLANTA_BASE!A:W, 6, FALSE), "NO ENCONTRADO EN PLANTA"))</f>
        <v>BOGOTA CENTRO</v>
      </c>
      <c r="F383" s="7" t="str">
        <f>IF(B383="","",IFERROR(VLOOKUP(B383, PLANTA_BASE!A:W, 8, FALSE), "DOCENTE / FACILITADOR"))</f>
        <v>DOC ASIS/N/V/TC/ESP GEST INFOR/FUN.ACADE-ADMIN</v>
      </c>
      <c r="G383" s="7" t="str">
        <f>IF(B383="","",IFERROR(VLOOKUP(B383, PLANTA_BASE!A:W, 9, FALSE), "GENERAL"))</f>
        <v>ESPECIALIZACION EN GESTION DE TECNOLOGIAS DE LA INFORMACION</v>
      </c>
      <c r="H383" s="5" t="str">
        <f>IF(B383="","",IFERROR(VLOOKUP(B383, PLANTA_BASE!A:W, 17, FALSE), "GENERAL"))</f>
        <v>ESPECIALIZACION EN GESTION DE TECNOLOGIAS DE LA INFORMACION</v>
      </c>
    </row>
    <row r="384" spans="1:8" ht="20.100000000000001" customHeight="1" x14ac:dyDescent="0.25">
      <c r="A384" s="2" t="str">
        <f>IF(B384="","",IFERROR(VLOOKUP(B384, PLANTA_BASE!A:W, 2, FALSE), "NO ENCONTRADO EN PLANTA"))</f>
        <v>VIRTUAL</v>
      </c>
      <c r="B384" s="3" t="s">
        <v>772</v>
      </c>
      <c r="C384" s="4" t="s">
        <v>773</v>
      </c>
      <c r="D384" s="2" t="str">
        <f>IF(B384="","",IFERROR(VLOOKUP(B384, PLANTA_BASE!A:W, 5, FALSE), "NO ENCONTRADO EN PLANTA"))</f>
        <v>REGIONAL BOGOTA</v>
      </c>
      <c r="E384" s="2" t="str">
        <f>IF(B384="","",IFERROR(VLOOKUP(B384, PLANTA_BASE!A:W, 6, FALSE), "NO ENCONTRADO EN PLANTA"))</f>
        <v>BOGOTA CENTRO</v>
      </c>
      <c r="F384" s="4" t="str">
        <f>IF(B384="","",IFERROR(VLOOKUP(B384, PLANTA_BASE!A:W, 8, FALSE), "DOCENTE / FACILITADOR"))</f>
        <v>DOC AUX/N/V/TC/ESP GOB IA/FUN.ACAD</v>
      </c>
      <c r="G384" s="4" t="str">
        <f>IF(B384="","",IFERROR(VLOOKUP(B384, PLANTA_BASE!A:W, 9, FALSE), "GENERAL"))</f>
        <v>ESPECIALIZACION GOBERNANZA DE LA IA</v>
      </c>
      <c r="H384" s="2" t="str">
        <f>IF(B384="","",IFERROR(VLOOKUP(B384, PLANTA_BASE!A:W, 17, FALSE), "GENERAL"))</f>
        <v>ESPECIALIZACION GOBERNANZA DE LA IA</v>
      </c>
    </row>
    <row r="385" spans="1:8" ht="20.100000000000001" customHeight="1" x14ac:dyDescent="0.25">
      <c r="A385" s="5" t="str">
        <f>IF(B385="","",IFERROR(VLOOKUP(B385, PLANTA_BASE!A:W, 2, FALSE), "NO ENCONTRADO EN PLANTA"))</f>
        <v>PRESENCIAL</v>
      </c>
      <c r="B385" s="6" t="s">
        <v>774</v>
      </c>
      <c r="C385" s="7" t="s">
        <v>775</v>
      </c>
      <c r="D385" s="5" t="str">
        <f>IF(B385="","",IFERROR(VLOOKUP(B385, PLANTA_BASE!A:W, 5, FALSE), "NO ENCONTRADO EN PLANTA"))</f>
        <v>REGIONAL BOGOTA</v>
      </c>
      <c r="E385" s="5" t="str">
        <f>IF(B385="","",IFERROR(VLOOKUP(B385, PLANTA_BASE!A:W, 6, FALSE), "NO ENCONTRADO EN PLANTA"))</f>
        <v>BOGOTA CENTRO</v>
      </c>
      <c r="F385" s="7" t="str">
        <f>IF(B385="","",IFERROR(VLOOKUP(B385, PLANTA_BASE!A:W, 8, FALSE), "DOCENTE / FACILITADOR"))</f>
        <v>DOCENTE ASIS/N/TC/ADM EMP/FUN.ACADE-ADMIN</v>
      </c>
      <c r="G385" s="7" t="str">
        <f>IF(B385="","",IFERROR(VLOOKUP(B385, PLANTA_BASE!A:W, 9, FALSE), "GENERAL"))</f>
        <v>ADMINISTRACION DE EMPRESAS</v>
      </c>
      <c r="H385" s="5" t="str">
        <f>IF(B385="","",IFERROR(VLOOKUP(B385, PLANTA_BASE!A:W, 17, FALSE), "GENERAL"))</f>
        <v>ADMINISTRACION DE EMPRESAS</v>
      </c>
    </row>
    <row r="386" spans="1:8" ht="20.100000000000001" customHeight="1" x14ac:dyDescent="0.25">
      <c r="A386" s="2" t="str">
        <f>IF(B386="","",IFERROR(VLOOKUP(B386, PLANTA_BASE!A:W, 2, FALSE), "NO ENCONTRADO EN PLANTA"))</f>
        <v>VIRTUAL</v>
      </c>
      <c r="B386" s="3" t="s">
        <v>776</v>
      </c>
      <c r="C386" s="4" t="s">
        <v>777</v>
      </c>
      <c r="D386" s="2" t="str">
        <f>IF(B386="","",IFERROR(VLOOKUP(B386, PLANTA_BASE!A:W, 5, FALSE), "NO ENCONTRADO EN PLANTA"))</f>
        <v>REGIONAL BOGOTA</v>
      </c>
      <c r="E386" s="2" t="str">
        <f>IF(B386="","",IFERROR(VLOOKUP(B386, PLANTA_BASE!A:W, 6, FALSE), "NO ENCONTRADO EN PLANTA"))</f>
        <v>BOGOTA CENTRO</v>
      </c>
      <c r="F386" s="4" t="str">
        <f>IF(B386="","",IFERROR(VLOOKUP(B386, PLANTA_BASE!A:W, 8, FALSE), "DOCENTE / FACILITADOR"))</f>
        <v>DOC ASIS/N/V/MT/ESP GER FINANC</v>
      </c>
      <c r="G386" s="4" t="str">
        <f>IF(B386="","",IFERROR(VLOOKUP(B386, PLANTA_BASE!A:W, 9, FALSE), "GENERAL"))</f>
        <v>ESPECIALIZACION EN GERENCIA FINANCIERA</v>
      </c>
      <c r="H386" s="2" t="str">
        <f>IF(B386="","",IFERROR(VLOOKUP(B386, PLANTA_BASE!A:W, 17, FALSE), "GENERAL"))</f>
        <v>ESPECIALIZACION EN GERENCIA FINANCIERA</v>
      </c>
    </row>
    <row r="387" spans="1:8" ht="20.100000000000001" customHeight="1" x14ac:dyDescent="0.25">
      <c r="A387" s="5" t="str">
        <f>IF(B387="","",IFERROR(VLOOKUP(B387, PLANTA_BASE!A:W, 2, FALSE), "NO ENCONTRADO EN PLANTA"))</f>
        <v>PRESENCIAL</v>
      </c>
      <c r="B387" s="6" t="s">
        <v>778</v>
      </c>
      <c r="C387" s="7" t="s">
        <v>779</v>
      </c>
      <c r="D387" s="5" t="str">
        <f>IF(B387="","",IFERROR(VLOOKUP(B387, PLANTA_BASE!A:W, 5, FALSE), "NO ENCONTRADO EN PLANTA"))</f>
        <v>REGIONAL BOGOTA</v>
      </c>
      <c r="E387" s="5" t="str">
        <f>IF(B387="","",IFERROR(VLOOKUP(B387, PLANTA_BASE!A:W, 6, FALSE), "NO ENCONTRADO EN PLANTA"))</f>
        <v>BOGOTA SUR</v>
      </c>
      <c r="F387" s="7" t="str">
        <f>IF(B387="","",IFERROR(VLOOKUP(B387, PLANTA_BASE!A:W, 8, FALSE), "DOCENTE / FACILITADOR"))</f>
        <v>DOCENTE ASIS/N/MT/CIEN BASI</v>
      </c>
      <c r="G387" s="7" t="str">
        <f>IF(B387="","",IFERROR(VLOOKUP(B387, PLANTA_BASE!A:W, 9, FALSE), "GENERAL"))</f>
        <v>CIENCIAS BASICAS</v>
      </c>
      <c r="H387" s="5" t="str">
        <f>IF(B387="","",IFERROR(VLOOKUP(B387, PLANTA_BASE!A:W, 17, FALSE), "GENERAL"))</f>
        <v>CIENCIAS BASICAS</v>
      </c>
    </row>
    <row r="388" spans="1:8" ht="20.100000000000001" customHeight="1" x14ac:dyDescent="0.25">
      <c r="A388" s="2" t="str">
        <f>IF(B388="","",IFERROR(VLOOKUP(B388, PLANTA_BASE!A:W, 2, FALSE), "NO ENCONTRADO EN PLANTA"))</f>
        <v>VIRTUAL</v>
      </c>
      <c r="B388" s="3" t="s">
        <v>780</v>
      </c>
      <c r="C388" s="4" t="s">
        <v>781</v>
      </c>
      <c r="D388" s="2" t="str">
        <f>IF(B388="","",IFERROR(VLOOKUP(B388, PLANTA_BASE!A:W, 5, FALSE), "NO ENCONTRADO EN PLANTA"))</f>
        <v>REGIONAL BOGOTA</v>
      </c>
      <c r="E388" s="2" t="str">
        <f>IF(B388="","",IFERROR(VLOOKUP(B388, PLANTA_BASE!A:W, 6, FALSE), "NO ENCONTRADO EN PLANTA"))</f>
        <v>BOGOTA CENTRO</v>
      </c>
      <c r="F388" s="4" t="str">
        <f>IF(B388="","",IFERROR(VLOOKUP(B388, PLANTA_BASE!A:W, 8, FALSE), "DOCENTE / FACILITADOR"))</f>
        <v>DOC ASIS/N/V/TC/PUB Y MERC/PROYECCION SO</v>
      </c>
      <c r="G388" s="4" t="str">
        <f>IF(B388="","",IFERROR(VLOOKUP(B388, PLANTA_BASE!A:W, 9, FALSE), "GENERAL"))</f>
        <v>PUBLICIDAD Y MERCADEO</v>
      </c>
      <c r="H388" s="2" t="str">
        <f>IF(B388="","",IFERROR(VLOOKUP(B388, PLANTA_BASE!A:W, 17, FALSE), "GENERAL"))</f>
        <v>PUBLICIDAD Y MERCADEO</v>
      </c>
    </row>
    <row r="389" spans="1:8" ht="20.100000000000001" customHeight="1" x14ac:dyDescent="0.25">
      <c r="A389" s="5" t="str">
        <f>IF(B389="","",IFERROR(VLOOKUP(B389, PLANTA_BASE!A:W, 2, FALSE), "NO ENCONTRADO EN PLANTA"))</f>
        <v>PRESENCIAL</v>
      </c>
      <c r="B389" s="6" t="s">
        <v>782</v>
      </c>
      <c r="C389" s="7" t="s">
        <v>783</v>
      </c>
      <c r="D389" s="5" t="str">
        <f>IF(B389="","",IFERROR(VLOOKUP(B389, PLANTA_BASE!A:W, 5, FALSE), "NO ENCONTRADO EN PLANTA"))</f>
        <v>REGIONAL BOGOTA</v>
      </c>
      <c r="E389" s="5" t="str">
        <f>IF(B389="","",IFERROR(VLOOKUP(B389, PLANTA_BASE!A:W, 6, FALSE), "NO ENCONTRADO EN PLANTA"))</f>
        <v>BOGOTA RESTREPO</v>
      </c>
      <c r="F389" s="7" t="str">
        <f>IF(B389="","",IFERROR(VLOOKUP(B389, PLANTA_BASE!A:W, 8, FALSE), "DOCENTE / FACILITADOR"))</f>
        <v>DOCENTE AUX/N/MT/NEGO INTER</v>
      </c>
      <c r="G389" s="7" t="str">
        <f>IF(B389="","",IFERROR(VLOOKUP(B389, PLANTA_BASE!A:W, 9, FALSE), "GENERAL"))</f>
        <v>NEGOCIOS INTERNACIONALES</v>
      </c>
      <c r="H389" s="5" t="str">
        <f>IF(B389="","",IFERROR(VLOOKUP(B389, PLANTA_BASE!A:W, 17, FALSE), "GENERAL"))</f>
        <v>NEGOCIOS INTERNACIONALES</v>
      </c>
    </row>
    <row r="390" spans="1:8" ht="20.100000000000001" customHeight="1" x14ac:dyDescent="0.25">
      <c r="A390" s="2" t="str">
        <f>IF(B390="","",IFERROR(VLOOKUP(B390, PLANTA_BASE!A:W, 2, FALSE), "NO ENCONTRADO EN PLANTA"))</f>
        <v>PRESENCIAL</v>
      </c>
      <c r="B390" s="3" t="s">
        <v>784</v>
      </c>
      <c r="C390" s="4" t="s">
        <v>785</v>
      </c>
      <c r="D390" s="2" t="str">
        <f>IF(B390="","",IFERROR(VLOOKUP(B390, PLANTA_BASE!A:W, 5, FALSE), "NO ENCONTRADO EN PLANTA"))</f>
        <v>REGIONAL BOGOTA</v>
      </c>
      <c r="E390" s="2" t="str">
        <f>IF(B390="","",IFERROR(VLOOKUP(B390, PLANTA_BASE!A:W, 6, FALSE), "NO ENCONTRADO EN PLANTA"))</f>
        <v>BOGOTA CENTRO</v>
      </c>
      <c r="F390" s="4" t="str">
        <f>IF(B390="","",IFERROR(VLOOKUP(B390, PLANTA_BASE!A:W, 8, FALSE), "DOCENTE / FACILITADOR"))</f>
        <v>DOCENTE ASIS/N/MT/CIEN BASI</v>
      </c>
      <c r="G390" s="4" t="str">
        <f>IF(B390="","",IFERROR(VLOOKUP(B390, PLANTA_BASE!A:W, 9, FALSE), "GENERAL"))</f>
        <v>CIENCIAS BASICAS</v>
      </c>
      <c r="H390" s="2" t="str">
        <f>IF(B390="","",IFERROR(VLOOKUP(B390, PLANTA_BASE!A:W, 17, FALSE), "GENERAL"))</f>
        <v>CIENCIAS BASICAS</v>
      </c>
    </row>
    <row r="391" spans="1:8" ht="20.100000000000001" customHeight="1" x14ac:dyDescent="0.25">
      <c r="A391" s="5" t="str">
        <f>IF(B391="","",IFERROR(VLOOKUP(B391, PLANTA_BASE!A:W, 2, FALSE), "NO ENCONTRADO EN PLANTA"))</f>
        <v>PRESENCIAL</v>
      </c>
      <c r="B391" s="6" t="s">
        <v>786</v>
      </c>
      <c r="C391" s="7" t="s">
        <v>787</v>
      </c>
      <c r="D391" s="5" t="str">
        <f>IF(B391="","",IFERROR(VLOOKUP(B391, PLANTA_BASE!A:W, 5, FALSE), "NO ENCONTRADO EN PLANTA"))</f>
        <v>REGIONAL BOGOTA</v>
      </c>
      <c r="E391" s="5" t="str">
        <f>IF(B391="","",IFERROR(VLOOKUP(B391, PLANTA_BASE!A:W, 6, FALSE), "NO ENCONTRADO EN PLANTA"))</f>
        <v>BOGOTA CENTRO</v>
      </c>
      <c r="F391" s="7" t="str">
        <f>IF(B391="","",IFERROR(VLOOKUP(B391, PLANTA_BASE!A:W, 8, FALSE), "DOCENTE / FACILITADOR"))</f>
        <v>DOC AUX T&amp;T/N/TC/DIS GRAFICO/FUN.ACADE-ADMIN</v>
      </c>
      <c r="G391" s="7" t="str">
        <f>IF(B391="","",IFERROR(VLOOKUP(B391, PLANTA_BASE!A:W, 9, FALSE), "GENERAL"))</f>
        <v>DISEÑO GRAFICO</v>
      </c>
      <c r="H391" s="5" t="str">
        <f>IF(B391="","",IFERROR(VLOOKUP(B391, PLANTA_BASE!A:W, 17, FALSE), "GENERAL"))</f>
        <v>DISEÑO GRAFICO</v>
      </c>
    </row>
    <row r="392" spans="1:8" ht="20.100000000000001" customHeight="1" x14ac:dyDescent="0.25">
      <c r="A392" s="2" t="str">
        <f>IF(B392="","",IFERROR(VLOOKUP(B392, PLANTA_BASE!A:W, 2, FALSE), "NO ENCONTRADO EN PLANTA"))</f>
        <v>VIRTUAL</v>
      </c>
      <c r="B392" s="3" t="s">
        <v>788</v>
      </c>
      <c r="C392" s="4" t="s">
        <v>789</v>
      </c>
      <c r="D392" s="2" t="str">
        <f>IF(B392="","",IFERROR(VLOOKUP(B392, PLANTA_BASE!A:W, 5, FALSE), "NO ENCONTRADO EN PLANTA"))</f>
        <v>REGIONAL BOGOTA</v>
      </c>
      <c r="E392" s="2" t="str">
        <f>IF(B392="","",IFERROR(VLOOKUP(B392, PLANTA_BASE!A:W, 6, FALSE), "NO ENCONTRADO EN PLANTA"))</f>
        <v>BOGOTA CENTRO</v>
      </c>
      <c r="F392" s="4" t="str">
        <f>IF(B392="","",IFERROR(VLOOKUP(B392, PLANTA_BASE!A:W, 8, FALSE), "DOCENTE / FACILITADOR"))</f>
        <v>DOC ASIS/N/V/TC/PUB Y MERC/FUN.ACADE-ADMIN</v>
      </c>
      <c r="G392" s="4" t="str">
        <f>IF(B392="","",IFERROR(VLOOKUP(B392, PLANTA_BASE!A:W, 9, FALSE), "GENERAL"))</f>
        <v>PUBLICIDAD Y MERCADEO</v>
      </c>
      <c r="H392" s="2" t="str">
        <f>IF(B392="","",IFERROR(VLOOKUP(B392, PLANTA_BASE!A:W, 17, FALSE), "GENERAL"))</f>
        <v>PUBLICIDAD Y MERCADEO</v>
      </c>
    </row>
    <row r="393" spans="1:8" ht="20.100000000000001" customHeight="1" x14ac:dyDescent="0.25">
      <c r="A393" s="5" t="str">
        <f>IF(B393="","",IFERROR(VLOOKUP(B393, PLANTA_BASE!A:W, 2, FALSE), "NO ENCONTRADO EN PLANTA"))</f>
        <v>VIRTUAL</v>
      </c>
      <c r="B393" s="6" t="s">
        <v>790</v>
      </c>
      <c r="C393" s="7" t="s">
        <v>791</v>
      </c>
      <c r="D393" s="5" t="str">
        <f>IF(B393="","",IFERROR(VLOOKUP(B393, PLANTA_BASE!A:W, 5, FALSE), "NO ENCONTRADO EN PLANTA"))</f>
        <v>REGIONAL BOGOTA</v>
      </c>
      <c r="E393" s="5" t="str">
        <f>IF(B393="","",IFERROR(VLOOKUP(B393, PLANTA_BASE!A:W, 6, FALSE), "NO ENCONTRADO EN PLANTA"))</f>
        <v>BOGOTA CENTRO</v>
      </c>
      <c r="F393" s="7" t="str">
        <f>IF(B393="","",IFERROR(VLOOKUP(B393, PLANTA_BASE!A:W, 8, FALSE), "DOCENTE / FACILITADOR"))</f>
        <v>DOC AUX T&amp;T/N/V/TC/COMU SOC Y PERI/FUN.ACADE-ADMIN</v>
      </c>
      <c r="G393" s="7" t="str">
        <f>IF(B393="","",IFERROR(VLOOKUP(B393, PLANTA_BASE!A:W, 9, FALSE), "GENERAL"))</f>
        <v>COMUNICACION SOCIAL Y PERIODISMO</v>
      </c>
      <c r="H393" s="5" t="str">
        <f>IF(B393="","",IFERROR(VLOOKUP(B393, PLANTA_BASE!A:W, 17, FALSE), "GENERAL"))</f>
        <v>COMUNICACION SOCIAL Y PERIODISMO</v>
      </c>
    </row>
    <row r="394" spans="1:8" ht="20.100000000000001" customHeight="1" x14ac:dyDescent="0.25">
      <c r="A394" s="2" t="str">
        <f>IF(B394="","",IFERROR(VLOOKUP(B394, PLANTA_BASE!A:W, 2, FALSE), "NO ENCONTRADO EN PLANTA"))</f>
        <v>PRESENCIAL</v>
      </c>
      <c r="B394" s="3" t="s">
        <v>792</v>
      </c>
      <c r="C394" s="4" t="s">
        <v>793</v>
      </c>
      <c r="D394" s="2" t="str">
        <f>IF(B394="","",IFERROR(VLOOKUP(B394, PLANTA_BASE!A:W, 5, FALSE), "NO ENCONTRADO EN PLANTA"))</f>
        <v>REGIONAL BOGOTA</v>
      </c>
      <c r="E394" s="2" t="str">
        <f>IF(B394="","",IFERROR(VLOOKUP(B394, PLANTA_BASE!A:W, 6, FALSE), "NO ENCONTRADO EN PLANTA"))</f>
        <v>BOGOTA CENTRO</v>
      </c>
      <c r="F394" s="4" t="str">
        <f>IF(B394="","",IFERROR(VLOOKUP(B394, PLANTA_BASE!A:W, 8, FALSE), "DOCENTE / FACILITADOR"))</f>
        <v>DOCENTE ASIS/N/TC/INVESTIGA/INVESTIGACIO</v>
      </c>
      <c r="G394" s="4" t="str">
        <f>IF(B394="","",IFERROR(VLOOKUP(B394, PLANTA_BASE!A:W, 9, FALSE), "GENERAL"))</f>
        <v>INVESTIGACIONES</v>
      </c>
      <c r="H394" s="2" t="str">
        <f>IF(B394="","",IFERROR(VLOOKUP(B394, PLANTA_BASE!A:W, 17, FALSE), "GENERAL"))</f>
        <v>INVESTIGACIONES</v>
      </c>
    </row>
    <row r="395" spans="1:8" ht="20.100000000000001" customHeight="1" x14ac:dyDescent="0.25">
      <c r="A395" s="5" t="str">
        <f>IF(B395="","",IFERROR(VLOOKUP(B395, PLANTA_BASE!A:W, 2, FALSE), "NO ENCONTRADO EN PLANTA"))</f>
        <v>PRESENCIAL</v>
      </c>
      <c r="B395" s="6" t="s">
        <v>794</v>
      </c>
      <c r="C395" s="7" t="s">
        <v>795</v>
      </c>
      <c r="D395" s="5" t="str">
        <f>IF(B395="","",IFERROR(VLOOKUP(B395, PLANTA_BASE!A:W, 5, FALSE), "NO ENCONTRADO EN PLANTA"))</f>
        <v>REGIONAL BOGOTA</v>
      </c>
      <c r="E395" s="5" t="str">
        <f>IF(B395="","",IFERROR(VLOOKUP(B395, PLANTA_BASE!A:W, 6, FALSE), "NO ENCONTRADO EN PLANTA"))</f>
        <v>BOGOTA CENTRO</v>
      </c>
      <c r="F395" s="7" t="str">
        <f>IF(B395="","",IFERROR(VLOOKUP(B395, PLANTA_BASE!A:W, 8, FALSE), "DOCENTE / FACILITADOR"))</f>
        <v>DOCENTE ASIS/N/TC/ING SISTEM/FUN.ACADE-ADMIN</v>
      </c>
      <c r="G395" s="7" t="str">
        <f>IF(B395="","",IFERROR(VLOOKUP(B395, PLANTA_BASE!A:W, 9, FALSE), "GENERAL"))</f>
        <v>INGENIERIA DE SISTEMAS</v>
      </c>
      <c r="H395" s="5" t="str">
        <f>IF(B395="","",IFERROR(VLOOKUP(B395, PLANTA_BASE!A:W, 17, FALSE), "GENERAL"))</f>
        <v>INGENIERIA DE SISTEMAS</v>
      </c>
    </row>
    <row r="396" spans="1:8" ht="20.100000000000001" customHeight="1" x14ac:dyDescent="0.25">
      <c r="A396" s="2" t="str">
        <f>IF(B396="","",IFERROR(VLOOKUP(B396, PLANTA_BASE!A:W, 2, FALSE), "NO ENCONTRADO EN PLANTA"))</f>
        <v>PRESENCIAL</v>
      </c>
      <c r="B396" s="3" t="s">
        <v>796</v>
      </c>
      <c r="C396" s="4" t="s">
        <v>797</v>
      </c>
      <c r="D396" s="2" t="str">
        <f>IF(B396="","",IFERROR(VLOOKUP(B396, PLANTA_BASE!A:W, 5, FALSE), "NO ENCONTRADO EN PLANTA"))</f>
        <v>REGIONAL BOGOTA</v>
      </c>
      <c r="E396" s="2" t="str">
        <f>IF(B396="","",IFERROR(VLOOKUP(B396, PLANTA_BASE!A:W, 6, FALSE), "NO ENCONTRADO EN PLANTA"))</f>
        <v>BOGOTA CENTRO</v>
      </c>
      <c r="F396" s="4" t="str">
        <f>IF(B396="","",IFERROR(VLOOKUP(B396, PLANTA_BASE!A:W, 8, FALSE), "DOCENTE / FACILITADOR"))</f>
        <v>DOC AUX T&amp;T/N/MT/ING ELECTRO</v>
      </c>
      <c r="G396" s="4" t="str">
        <f>IF(B396="","",IFERROR(VLOOKUP(B396, PLANTA_BASE!A:W, 9, FALSE), "GENERAL"))</f>
        <v>INGENIERIA ELECTRONICA</v>
      </c>
      <c r="H396" s="2" t="str">
        <f>IF(B396="","",IFERROR(VLOOKUP(B396, PLANTA_BASE!A:W, 17, FALSE), "GENERAL"))</f>
        <v>INGENIERIA ELECTRONICA</v>
      </c>
    </row>
    <row r="397" spans="1:8" ht="20.100000000000001" customHeight="1" x14ac:dyDescent="0.25">
      <c r="A397" s="5" t="str">
        <f>IF(B397="","",IFERROR(VLOOKUP(B397, PLANTA_BASE!A:W, 2, FALSE), "NO ENCONTRADO EN PLANTA"))</f>
        <v>VIRTUAL</v>
      </c>
      <c r="B397" s="6" t="s">
        <v>798</v>
      </c>
      <c r="C397" s="7" t="s">
        <v>799</v>
      </c>
      <c r="D397" s="5" t="str">
        <f>IF(B397="","",IFERROR(VLOOKUP(B397, PLANTA_BASE!A:W, 5, FALSE), "NO ENCONTRADO EN PLANTA"))</f>
        <v>REGIONAL BOGOTA</v>
      </c>
      <c r="E397" s="5" t="str">
        <f>IF(B397="","",IFERROR(VLOOKUP(B397, PLANTA_BASE!A:W, 6, FALSE), "NO ENCONTRADO EN PLANTA"))</f>
        <v>BOGOTA CENTRO</v>
      </c>
      <c r="F397" s="7" t="str">
        <f>IF(B397="","",IFERROR(VLOOKUP(B397, PLANTA_BASE!A:W, 8, FALSE), "DOCENTE / FACILITADOR"))</f>
        <v>DOC AUX/N/V/MT/DIS GRAFICO</v>
      </c>
      <c r="G397" s="7" t="str">
        <f>IF(B397="","",IFERROR(VLOOKUP(B397, PLANTA_BASE!A:W, 9, FALSE), "GENERAL"))</f>
        <v>DISEÑO GRAFICO</v>
      </c>
      <c r="H397" s="5" t="str">
        <f>IF(B397="","",IFERROR(VLOOKUP(B397, PLANTA_BASE!A:W, 17, FALSE), "GENERAL"))</f>
        <v>DISEÑO GRAFICO</v>
      </c>
    </row>
    <row r="398" spans="1:8" ht="20.100000000000001" customHeight="1" x14ac:dyDescent="0.25">
      <c r="A398" s="2" t="str">
        <f>IF(B398="","",IFERROR(VLOOKUP(B398, PLANTA_BASE!A:W, 2, FALSE), "NO ENCONTRADO EN PLANTA"))</f>
        <v>VIRTUAL</v>
      </c>
      <c r="B398" s="3" t="s">
        <v>800</v>
      </c>
      <c r="C398" s="4" t="s">
        <v>801</v>
      </c>
      <c r="D398" s="2" t="str">
        <f>IF(B398="","",IFERROR(VLOOKUP(B398, PLANTA_BASE!A:W, 5, FALSE), "NO ENCONTRADO EN PLANTA"))</f>
        <v>REGIONAL BOGOTA</v>
      </c>
      <c r="E398" s="2" t="str">
        <f>IF(B398="","",IFERROR(VLOOKUP(B398, PLANTA_BASE!A:W, 6, FALSE), "NO ENCONTRADO EN PLANTA"))</f>
        <v>BOGOTA CENTRO</v>
      </c>
      <c r="F398" s="4" t="str">
        <f>IF(B398="","",IFERROR(VLOOKUP(B398, PLANTA_BASE!A:W, 8, FALSE), "DOCENTE / FACILITADOR"))</f>
        <v>DOC ASIS/N/V/MT/SOCIOHUMANISTI</v>
      </c>
      <c r="G398" s="4" t="str">
        <f>IF(B398="","",IFERROR(VLOOKUP(B398, PLANTA_BASE!A:W, 9, FALSE), "GENERAL"))</f>
        <v>SOCIOHUMANISTICA</v>
      </c>
      <c r="H398" s="2" t="str">
        <f>IF(B398="","",IFERROR(VLOOKUP(B398, PLANTA_BASE!A:W, 17, FALSE), "GENERAL"))</f>
        <v>SOCIOHUMANISTICA</v>
      </c>
    </row>
    <row r="399" spans="1:8" ht="20.100000000000001" customHeight="1" x14ac:dyDescent="0.25">
      <c r="A399" s="5" t="str">
        <f>IF(B399="","",IFERROR(VLOOKUP(B399, PLANTA_BASE!A:W, 2, FALSE), "NO ENCONTRADO EN PLANTA"))</f>
        <v>VIRTUAL</v>
      </c>
      <c r="B399" s="6" t="s">
        <v>802</v>
      </c>
      <c r="C399" s="7" t="s">
        <v>803</v>
      </c>
      <c r="D399" s="5" t="str">
        <f>IF(B399="","",IFERROR(VLOOKUP(B399, PLANTA_BASE!A:W, 5, FALSE), "NO ENCONTRADO EN PLANTA"))</f>
        <v>REGIONAL BOGOTA</v>
      </c>
      <c r="E399" s="5" t="str">
        <f>IF(B399="","",IFERROR(VLOOKUP(B399, PLANTA_BASE!A:W, 6, FALSE), "NO ENCONTRADO EN PLANTA"))</f>
        <v>BOGOTA CENTRO</v>
      </c>
      <c r="F399" s="7" t="str">
        <f>IF(B399="","",IFERROR(VLOOKUP(B399, PLANTA_BASE!A:W, 8, FALSE), "DOCENTE / FACILITADOR"))</f>
        <v>DOC ASIS/N/V/TC/EMPRENDIMIENTO/FUN.ACADE-ADMIN</v>
      </c>
      <c r="G399" s="7" t="str">
        <f>IF(B399="","",IFERROR(VLOOKUP(B399, PLANTA_BASE!A:W, 9, FALSE), "GENERAL"))</f>
        <v>EMPRENDIMIENTO</v>
      </c>
      <c r="H399" s="5" t="str">
        <f>IF(B399="","",IFERROR(VLOOKUP(B399, PLANTA_BASE!A:W, 17, FALSE), "GENERAL"))</f>
        <v>EMPRENDIMIENTO</v>
      </c>
    </row>
    <row r="400" spans="1:8" ht="20.100000000000001" customHeight="1" x14ac:dyDescent="0.25">
      <c r="A400" s="2" t="str">
        <f>IF(B400="","",IFERROR(VLOOKUP(B400, PLANTA_BASE!A:W, 2, FALSE), "NO ENCONTRADO EN PLANTA"))</f>
        <v>VIRTUAL</v>
      </c>
      <c r="B400" s="3" t="s">
        <v>804</v>
      </c>
      <c r="C400" s="4" t="s">
        <v>805</v>
      </c>
      <c r="D400" s="2" t="str">
        <f>IF(B400="","",IFERROR(VLOOKUP(B400, PLANTA_BASE!A:W, 5, FALSE), "NO ENCONTRADO EN PLANTA"))</f>
        <v>REGIONAL BOGOTA</v>
      </c>
      <c r="E400" s="2" t="str">
        <f>IF(B400="","",IFERROR(VLOOKUP(B400, PLANTA_BASE!A:W, 6, FALSE), "NO ENCONTRADO EN PLANTA"))</f>
        <v>BOGOTA CENTRO</v>
      </c>
      <c r="F400" s="4" t="str">
        <f>IF(B400="","",IFERROR(VLOOKUP(B400, PLANTA_BASE!A:W, 8, FALSE), "DOCENTE / FACILITADOR"))</f>
        <v>DOC ASIS/N/V/TC/ESP GEST INN MODA/FUN.AC</v>
      </c>
      <c r="G400" s="4" t="str">
        <f>IF(B400="","",IFERROR(VLOOKUP(B400, PLANTA_BASE!A:W, 9, FALSE), "GENERAL"))</f>
        <v>ESPECIALIZACION EN GESTION DE LA INNOVACION DEL SISTEMA MODA</v>
      </c>
      <c r="H400" s="2" t="str">
        <f>IF(B400="","",IFERROR(VLOOKUP(B400, PLANTA_BASE!A:W, 17, FALSE), "GENERAL"))</f>
        <v>ESPECIALIZACION EN GESTION DE LA INNOVACION DEL SISTEMA MODA</v>
      </c>
    </row>
    <row r="401" spans="1:8" ht="20.100000000000001" customHeight="1" x14ac:dyDescent="0.25">
      <c r="A401" s="5" t="str">
        <f>IF(B401="","",IFERROR(VLOOKUP(B401, PLANTA_BASE!A:W, 2, FALSE), "NO ENCONTRADO EN PLANTA"))</f>
        <v>PRESENCIAL</v>
      </c>
      <c r="B401" s="6" t="s">
        <v>806</v>
      </c>
      <c r="C401" s="7" t="s">
        <v>807</v>
      </c>
      <c r="D401" s="5" t="str">
        <f>IF(B401="","",IFERROR(VLOOKUP(B401, PLANTA_BASE!A:W, 5, FALSE), "NO ENCONTRADO EN PLANTA"))</f>
        <v>REGIONAL BOGOTA</v>
      </c>
      <c r="E401" s="5" t="str">
        <f>IF(B401="","",IFERROR(VLOOKUP(B401, PLANTA_BASE!A:W, 6, FALSE), "NO ENCONTRADO EN PLANTA"))</f>
        <v>BOGOTA CENTRO</v>
      </c>
      <c r="F401" s="7" t="str">
        <f>IF(B401="","",IFERROR(VLOOKUP(B401, PLANTA_BASE!A:W, 8, FALSE), "DOCENTE / FACILITADOR"))</f>
        <v>DOC AUX T&amp;T/N/TC/DIR PROD ME AUD/FUN.ACADE-ADMIN</v>
      </c>
      <c r="G401" s="7" t="str">
        <f>IF(B401="","",IFERROR(VLOOKUP(B401, PLANTA_BASE!A:W, 9, FALSE), "GENERAL"))</f>
        <v>DIRECCION Y PRODUCCION DE MEDIOS AUDIOVISUALES</v>
      </c>
      <c r="H401" s="5" t="str">
        <f>IF(B401="","",IFERROR(VLOOKUP(B401, PLANTA_BASE!A:W, 17, FALSE), "GENERAL"))</f>
        <v>DIRECCION Y PRODUCCION DE MEDIOS AUDIOVISUALES</v>
      </c>
    </row>
    <row r="402" spans="1:8" ht="20.100000000000001" customHeight="1" x14ac:dyDescent="0.25">
      <c r="A402" s="2" t="str">
        <f>IF(B402="","",IFERROR(VLOOKUP(B402, PLANTA_BASE!A:W, 2, FALSE), "NO ENCONTRADO EN PLANTA"))</f>
        <v>VIRTUAL</v>
      </c>
      <c r="B402" s="3" t="s">
        <v>808</v>
      </c>
      <c r="C402" s="4" t="s">
        <v>809</v>
      </c>
      <c r="D402" s="2" t="str">
        <f>IF(B402="","",IFERROR(VLOOKUP(B402, PLANTA_BASE!A:W, 5, FALSE), "NO ENCONTRADO EN PLANTA"))</f>
        <v>REGIONAL BOGOTA</v>
      </c>
      <c r="E402" s="2" t="str">
        <f>IF(B402="","",IFERROR(VLOOKUP(B402, PLANTA_BASE!A:W, 6, FALSE), "NO ENCONTRADO EN PLANTA"))</f>
        <v>BOGOTA CENTRO</v>
      </c>
      <c r="F402" s="4" t="str">
        <f>IF(B402="","",IFERROR(VLOOKUP(B402, PLANTA_BASE!A:W, 8, FALSE), "DOCENTE / FACILITADOR"))</f>
        <v>DOC ASIS/N/V/TC/ING DE SISTEMAS/FUN.ACADE-ADMIN</v>
      </c>
      <c r="G402" s="4" t="str">
        <f>IF(B402="","",IFERROR(VLOOKUP(B402, PLANTA_BASE!A:W, 9, FALSE), "GENERAL"))</f>
        <v>INGENIERIA DE SISTEMAS</v>
      </c>
      <c r="H402" s="2" t="str">
        <f>IF(B402="","",IFERROR(VLOOKUP(B402, PLANTA_BASE!A:W, 17, FALSE), "GENERAL"))</f>
        <v>INGENIERIA DE SISTEMAS</v>
      </c>
    </row>
    <row r="403" spans="1:8" ht="20.100000000000001" customHeight="1" x14ac:dyDescent="0.25">
      <c r="A403" s="5" t="str">
        <f>IF(B403="","",IFERROR(VLOOKUP(B403, PLANTA_BASE!A:W, 2, FALSE), "NO ENCONTRADO EN PLANTA"))</f>
        <v>PRESENCIAL</v>
      </c>
      <c r="B403" s="6" t="s">
        <v>810</v>
      </c>
      <c r="C403" s="7" t="s">
        <v>811</v>
      </c>
      <c r="D403" s="5" t="str">
        <f>IF(B403="","",IFERROR(VLOOKUP(B403, PLANTA_BASE!A:W, 5, FALSE), "NO ENCONTRADO EN PLANTA"))</f>
        <v>REGIONAL BOGOTA</v>
      </c>
      <c r="E403" s="5" t="str">
        <f>IF(B403="","",IFERROR(VLOOKUP(B403, PLANTA_BASE!A:W, 6, FALSE), "NO ENCONTRADO EN PLANTA"))</f>
        <v>BOGOTA CENTRO</v>
      </c>
      <c r="F403" s="7" t="str">
        <f>IF(B403="","",IFERROR(VLOOKUP(B403, PLANTA_BASE!A:W, 8, FALSE), "DOCENTE / FACILITADOR"))</f>
        <v>DOCENTE AUX/N/TC/COM SOC Y PER/FUN.ACADE-ADMIN</v>
      </c>
      <c r="G403" s="7" t="str">
        <f>IF(B403="","",IFERROR(VLOOKUP(B403, PLANTA_BASE!A:W, 9, FALSE), "GENERAL"))</f>
        <v>COMUNICACION SOCIAL Y PERIODISMO</v>
      </c>
      <c r="H403" s="5" t="str">
        <f>IF(B403="","",IFERROR(VLOOKUP(B403, PLANTA_BASE!A:W, 17, FALSE), "GENERAL"))</f>
        <v>COMUNICACION SOCIAL Y PERIODISMO</v>
      </c>
    </row>
    <row r="404" spans="1:8" ht="20.100000000000001" customHeight="1" x14ac:dyDescent="0.25">
      <c r="A404" s="2" t="str">
        <f>IF(B404="","",IFERROR(VLOOKUP(B404, PLANTA_BASE!A:W, 2, FALSE), "NO ENCONTRADO EN PLANTA"))</f>
        <v>PRESENCIAL</v>
      </c>
      <c r="B404" s="3" t="s">
        <v>812</v>
      </c>
      <c r="C404" s="4" t="s">
        <v>813</v>
      </c>
      <c r="D404" s="2" t="str">
        <f>IF(B404="","",IFERROR(VLOOKUP(B404, PLANTA_BASE!A:W, 5, FALSE), "NO ENCONTRADO EN PLANTA"))</f>
        <v>REGIONAL BOGOTA</v>
      </c>
      <c r="E404" s="2" t="str">
        <f>IF(B404="","",IFERROR(VLOOKUP(B404, PLANTA_BASE!A:W, 6, FALSE), "NO ENCONTRADO EN PLANTA"))</f>
        <v>BOGOTA CENTRO</v>
      </c>
      <c r="F404" s="4" t="str">
        <f>IF(B404="","",IFERROR(VLOOKUP(B404, PLANTA_BASE!A:W, 8, FALSE), "DOCENTE / FACILITADOR"))</f>
        <v>DOCENTE ASOC/N/TC/INVESTIGACIONES/INVEST</v>
      </c>
      <c r="G404" s="4" t="str">
        <f>IF(B404="","",IFERROR(VLOOKUP(B404, PLANTA_BASE!A:W, 9, FALSE), "GENERAL"))</f>
        <v>INVESTIGACIONES</v>
      </c>
      <c r="H404" s="2" t="str">
        <f>IF(B404="","",IFERROR(VLOOKUP(B404, PLANTA_BASE!A:W, 17, FALSE), "GENERAL"))</f>
        <v>INVESTIGACIONES</v>
      </c>
    </row>
    <row r="405" spans="1:8" ht="20.100000000000001" customHeight="1" x14ac:dyDescent="0.25">
      <c r="A405" s="5" t="str">
        <f>IF(B405="","",IFERROR(VLOOKUP(B405, PLANTA_BASE!A:W, 2, FALSE), "NO ENCONTRADO EN PLANTA"))</f>
        <v>PRESENCIAL</v>
      </c>
      <c r="B405" s="6" t="s">
        <v>814</v>
      </c>
      <c r="C405" s="7" t="s">
        <v>815</v>
      </c>
      <c r="D405" s="5" t="str">
        <f>IF(B405="","",IFERROR(VLOOKUP(B405, PLANTA_BASE!A:W, 5, FALSE), "NO ENCONTRADO EN PLANTA"))</f>
        <v>REGIONAL BOGOTA</v>
      </c>
      <c r="E405" s="5" t="str">
        <f>IF(B405="","",IFERROR(VLOOKUP(B405, PLANTA_BASE!A:W, 6, FALSE), "NO ENCONTRADO EN PLANTA"))</f>
        <v>BOGOTA CENTRO</v>
      </c>
      <c r="F405" s="7" t="str">
        <f>IF(B405="","",IFERROR(VLOOKUP(B405, PLANTA_BASE!A:W, 8, FALSE), "DOCENTE / FACILITADOR"))</f>
        <v>DOCENTE ASIS/N/TC/ADM EMP/FUNC ADJET</v>
      </c>
      <c r="G405" s="7" t="str">
        <f>IF(B405="","",IFERROR(VLOOKUP(B405, PLANTA_BASE!A:W, 9, FALSE), "GENERAL"))</f>
        <v>ADMINISTRACION DE EMPRESAS</v>
      </c>
      <c r="H405" s="5" t="str">
        <f>IF(B405="","",IFERROR(VLOOKUP(B405, PLANTA_BASE!A:W, 17, FALSE), "GENERAL"))</f>
        <v>ADMINISTRACION DE EMPRESAS</v>
      </c>
    </row>
    <row r="406" spans="1:8" ht="20.100000000000001" customHeight="1" x14ac:dyDescent="0.25">
      <c r="A406" s="2" t="str">
        <f>IF(B406="","",IFERROR(VLOOKUP(B406, PLANTA_BASE!A:W, 2, FALSE), "NO ENCONTRADO EN PLANTA"))</f>
        <v>VIRTUAL</v>
      </c>
      <c r="B406" s="3" t="s">
        <v>816</v>
      </c>
      <c r="C406" s="4" t="s">
        <v>817</v>
      </c>
      <c r="D406" s="2" t="str">
        <f>IF(B406="","",IFERROR(VLOOKUP(B406, PLANTA_BASE!A:W, 5, FALSE), "NO ENCONTRADO EN PLANTA"))</f>
        <v>REGIONAL BOGOTA</v>
      </c>
      <c r="E406" s="2" t="str">
        <f>IF(B406="","",IFERROR(VLOOKUP(B406, PLANTA_BASE!A:W, 6, FALSE), "NO ENCONTRADO EN PLANTA"))</f>
        <v>BOGOTA CENTRO</v>
      </c>
      <c r="F406" s="4" t="str">
        <f>IF(B406="","",IFERROR(VLOOKUP(B406, PLANTA_BASE!A:W, 8, FALSE), "DOCENTE / FACILITADOR"))</f>
        <v>DOC ASIS/N/V/TC/COMU SOC Y PERI/FUN.ACADE-ADMIN</v>
      </c>
      <c r="G406" s="4" t="str">
        <f>IF(B406="","",IFERROR(VLOOKUP(B406, PLANTA_BASE!A:W, 9, FALSE), "GENERAL"))</f>
        <v>COMUNICACION SOCIAL Y PERIODISMO</v>
      </c>
      <c r="H406" s="2" t="str">
        <f>IF(B406="","",IFERROR(VLOOKUP(B406, PLANTA_BASE!A:W, 17, FALSE), "GENERAL"))</f>
        <v>COMUNICACION SOCIAL Y PERIODISMO</v>
      </c>
    </row>
    <row r="407" spans="1:8" ht="20.100000000000001" customHeight="1" x14ac:dyDescent="0.25">
      <c r="A407" s="5" t="str">
        <f>IF(B407="","",IFERROR(VLOOKUP(B407, PLANTA_BASE!A:W, 2, FALSE), "NO ENCONTRADO EN PLANTA"))</f>
        <v>VIRTUAL</v>
      </c>
      <c r="B407" s="6" t="s">
        <v>818</v>
      </c>
      <c r="C407" s="7" t="s">
        <v>819</v>
      </c>
      <c r="D407" s="5" t="str">
        <f>IF(B407="","",IFERROR(VLOOKUP(B407, PLANTA_BASE!A:W, 5, FALSE), "NO ENCONTRADO EN PLANTA"))</f>
        <v>REGIONAL BOGOTA</v>
      </c>
      <c r="E407" s="5" t="str">
        <f>IF(B407="","",IFERROR(VLOOKUP(B407, PLANTA_BASE!A:W, 6, FALSE), "NO ENCONTRADO EN PLANTA"))</f>
        <v>BOGOTA CENTRO</v>
      </c>
      <c r="F407" s="7" t="str">
        <f>IF(B407="","",IFERROR(VLOOKUP(B407, PLANTA_BASE!A:W, 8, FALSE), "DOCENTE / FACILITADOR"))</f>
        <v>DOC ASIS/N/V/TC/IDIOMAS/FUN.ACADE-ADMIN</v>
      </c>
      <c r="G407" s="7" t="str">
        <f>IF(B407="","",IFERROR(VLOOKUP(B407, PLANTA_BASE!A:W, 9, FALSE), "GENERAL"))</f>
        <v>IDIOMAS</v>
      </c>
      <c r="H407" s="5" t="str">
        <f>IF(B407="","",IFERROR(VLOOKUP(B407, PLANTA_BASE!A:W, 17, FALSE), "GENERAL"))</f>
        <v>IDIOMAS</v>
      </c>
    </row>
    <row r="408" spans="1:8" ht="20.100000000000001" customHeight="1" x14ac:dyDescent="0.25">
      <c r="A408" s="2" t="str">
        <f>IF(B408="","",IFERROR(VLOOKUP(B408, PLANTA_BASE!A:W, 2, FALSE), "NO ENCONTRADO EN PLANTA"))</f>
        <v>PRESENCIAL</v>
      </c>
      <c r="B408" s="3" t="s">
        <v>820</v>
      </c>
      <c r="C408" s="4" t="s">
        <v>821</v>
      </c>
      <c r="D408" s="2" t="str">
        <f>IF(B408="","",IFERROR(VLOOKUP(B408, PLANTA_BASE!A:W, 5, FALSE), "NO ENCONTRADO EN PLANTA"))</f>
        <v>REGIONAL BOGOTA</v>
      </c>
      <c r="E408" s="2" t="str">
        <f>IF(B408="","",IFERROR(VLOOKUP(B408, PLANTA_BASE!A:W, 6, FALSE), "NO ENCONTRADO EN PLANTA"))</f>
        <v>BOGOTA CENTRO</v>
      </c>
      <c r="F408" s="4" t="str">
        <f>IF(B408="","",IFERROR(VLOOKUP(B408, PLANTA_BASE!A:W, 8, FALSE), "DOCENTE / FACILITADOR"))</f>
        <v>DOC AUX T&amp;T/N/TC/DIS PROD MOD/FUN.ACADE-ADMIN</v>
      </c>
      <c r="G408" s="4" t="str">
        <f>IF(B408="","",IFERROR(VLOOKUP(B408, PLANTA_BASE!A:W, 9, FALSE), "GENERAL"))</f>
        <v>DISEÑO Y PRODUCCION DE MODAS</v>
      </c>
      <c r="H408" s="2" t="str">
        <f>IF(B408="","",IFERROR(VLOOKUP(B408, PLANTA_BASE!A:W, 17, FALSE), "GENERAL"))</f>
        <v>DISEÑO Y PRODUCCION DE MODAS</v>
      </c>
    </row>
    <row r="409" spans="1:8" ht="20.100000000000001" customHeight="1" x14ac:dyDescent="0.25">
      <c r="A409" s="5" t="str">
        <f>IF(B409="","",IFERROR(VLOOKUP(B409, PLANTA_BASE!A:W, 2, FALSE), "NO ENCONTRADO EN PLANTA"))</f>
        <v>VIRTUAL</v>
      </c>
      <c r="B409" s="6" t="s">
        <v>822</v>
      </c>
      <c r="C409" s="7" t="s">
        <v>823</v>
      </c>
      <c r="D409" s="5" t="str">
        <f>IF(B409="","",IFERROR(VLOOKUP(B409, PLANTA_BASE!A:W, 5, FALSE), "NO ENCONTRADO EN PLANTA"))</f>
        <v>REGIONAL CORDOBA</v>
      </c>
      <c r="E409" s="5" t="str">
        <f>IF(B409="","",IFERROR(VLOOKUP(B409, PLANTA_BASE!A:W, 6, FALSE), "NO ENCONTRADO EN PLANTA"))</f>
        <v>MONTERIA</v>
      </c>
      <c r="F409" s="7" t="str">
        <f>IF(B409="","",IFERROR(VLOOKUP(B409, PLANTA_BASE!A:W, 8, FALSE), "DOCENTE / FACILITADOR"))</f>
        <v>DOC ASIS/N/V/TC/ESP GERE DE PROY/FUN.ACA</v>
      </c>
      <c r="G409" s="7" t="str">
        <f>IF(B409="","",IFERROR(VLOOKUP(B409, PLANTA_BASE!A:W, 9, FALSE), "GENERAL"))</f>
        <v>ESPECIALIZACION EN GERENCIA DE PROYECTOS</v>
      </c>
      <c r="H409" s="5" t="str">
        <f>IF(B409="","",IFERROR(VLOOKUP(B409, PLANTA_BASE!A:W, 17, FALSE), "GENERAL"))</f>
        <v>ESPECIALIZACION EN GERENCIA DE PROYECTOS</v>
      </c>
    </row>
    <row r="410" spans="1:8" ht="20.100000000000001" customHeight="1" x14ac:dyDescent="0.25">
      <c r="A410" s="2" t="str">
        <f>IF(B410="","",IFERROR(VLOOKUP(B410, PLANTA_BASE!A:W, 2, FALSE), "NO ENCONTRADO EN PLANTA"))</f>
        <v>VIRTUAL</v>
      </c>
      <c r="B410" s="3" t="s">
        <v>824</v>
      </c>
      <c r="C410" s="4" t="s">
        <v>825</v>
      </c>
      <c r="D410" s="2" t="str">
        <f>IF(B410="","",IFERROR(VLOOKUP(B410, PLANTA_BASE!A:W, 5, FALSE), "NO ENCONTRADO EN PLANTA"))</f>
        <v>REGIONAL BOGOTA</v>
      </c>
      <c r="E410" s="2" t="str">
        <f>IF(B410="","",IFERROR(VLOOKUP(B410, PLANTA_BASE!A:W, 6, FALSE), "NO ENCONTRADO EN PLANTA"))</f>
        <v>BOGOTA CENTRO</v>
      </c>
      <c r="F410" s="4" t="str">
        <f>IF(B410="","",IFERROR(VLOOKUP(B410, PLANTA_BASE!A:W, 8, FALSE), "DOCENTE / FACILITADOR"))</f>
        <v>DOC ASIS/N/V/TC/IDIOMAS/FUN.ACADE-ADMIN</v>
      </c>
      <c r="G410" s="4" t="str">
        <f>IF(B410="","",IFERROR(VLOOKUP(B410, PLANTA_BASE!A:W, 9, FALSE), "GENERAL"))</f>
        <v>IDIOMAS</v>
      </c>
      <c r="H410" s="2" t="str">
        <f>IF(B410="","",IFERROR(VLOOKUP(B410, PLANTA_BASE!A:W, 17, FALSE), "GENERAL"))</f>
        <v>IDIOMAS</v>
      </c>
    </row>
    <row r="411" spans="1:8" ht="20.100000000000001" customHeight="1" x14ac:dyDescent="0.25">
      <c r="A411" s="5" t="str">
        <f>IF(B411="","",IFERROR(VLOOKUP(B411, PLANTA_BASE!A:W, 2, FALSE), "NO ENCONTRADO EN PLANTA"))</f>
        <v>PRESENCIAL</v>
      </c>
      <c r="B411" s="6" t="s">
        <v>826</v>
      </c>
      <c r="C411" s="7" t="s">
        <v>827</v>
      </c>
      <c r="D411" s="5" t="str">
        <f>IF(B411="","",IFERROR(VLOOKUP(B411, PLANTA_BASE!A:W, 5, FALSE), "NO ENCONTRADO EN PLANTA"))</f>
        <v>REGIONAL BOGOTA</v>
      </c>
      <c r="E411" s="5" t="str">
        <f>IF(B411="","",IFERROR(VLOOKUP(B411, PLANTA_BASE!A:W, 6, FALSE), "NO ENCONTRADO EN PLANTA"))</f>
        <v>BOGOTA CENTRO</v>
      </c>
      <c r="F411" s="7" t="str">
        <f>IF(B411="","",IFERROR(VLOOKUP(B411, PLANTA_BASE!A:W, 8, FALSE), "DOCENTE / FACILITADOR"))</f>
        <v>DOCENTE AUX/N/MT/ ADM SER SALUD</v>
      </c>
      <c r="G411" s="7" t="str">
        <f>IF(B411="","",IFERROR(VLOOKUP(B411, PLANTA_BASE!A:W, 9, FALSE), "GENERAL"))</f>
        <v>ADMINISTRACION EN SERVICIOS DE SALUD</v>
      </c>
      <c r="H411" s="5" t="str">
        <f>IF(B411="","",IFERROR(VLOOKUP(B411, PLANTA_BASE!A:W, 17, FALSE), "GENERAL"))</f>
        <v>ADMINISTRACION EN SERVICIOS DE SALUD</v>
      </c>
    </row>
    <row r="412" spans="1:8" ht="20.100000000000001" customHeight="1" x14ac:dyDescent="0.25">
      <c r="A412" s="2" t="str">
        <f>IF(B412="","",IFERROR(VLOOKUP(B412, PLANTA_BASE!A:W, 2, FALSE), "NO ENCONTRADO EN PLANTA"))</f>
        <v>VIRTUAL</v>
      </c>
      <c r="B412" s="3" t="s">
        <v>828</v>
      </c>
      <c r="C412" s="4" t="s">
        <v>829</v>
      </c>
      <c r="D412" s="2" t="str">
        <f>IF(B412="","",IFERROR(VLOOKUP(B412, PLANTA_BASE!A:W, 5, FALSE), "NO ENCONTRADO EN PLANTA"))</f>
        <v>REGIONAL BOGOTA</v>
      </c>
      <c r="E412" s="2" t="str">
        <f>IF(B412="","",IFERROR(VLOOKUP(B412, PLANTA_BASE!A:W, 6, FALSE), "NO ENCONTRADO EN PLANTA"))</f>
        <v>BOGOTA CENTRO</v>
      </c>
      <c r="F412" s="4" t="str">
        <f>IF(B412="","",IFERROR(VLOOKUP(B412, PLANTA_BASE!A:W, 8, FALSE), "DOCENTE / FACILITADOR"))</f>
        <v>DOC AUX/N/V/TC/ESP TRANSF DIGITAL/FUN.AC</v>
      </c>
      <c r="G412" s="4" t="str">
        <f>IF(B412="","",IFERROR(VLOOKUP(B412, PLANTA_BASE!A:W, 9, FALSE), "GENERAL"))</f>
        <v>ESPECIALIZACION DE TRANSFORMACION DIGITAL</v>
      </c>
      <c r="H412" s="2" t="str">
        <f>IF(B412="","",IFERROR(VLOOKUP(B412, PLANTA_BASE!A:W, 17, FALSE), "GENERAL"))</f>
        <v>ESPECIALIZACION DE TRANSFORMACION DIGITAL</v>
      </c>
    </row>
    <row r="413" spans="1:8" ht="20.100000000000001" customHeight="1" x14ac:dyDescent="0.25">
      <c r="A413" s="5" t="str">
        <f>IF(B413="","",IFERROR(VLOOKUP(B413, PLANTA_BASE!A:W, 2, FALSE), "NO ENCONTRADO EN PLANTA"))</f>
        <v>VIRTUAL</v>
      </c>
      <c r="B413" s="6" t="s">
        <v>830</v>
      </c>
      <c r="C413" s="7" t="s">
        <v>831</v>
      </c>
      <c r="D413" s="5" t="str">
        <f>IF(B413="","",IFERROR(VLOOKUP(B413, PLANTA_BASE!A:W, 5, FALSE), "NO ENCONTRADO EN PLANTA"))</f>
        <v>REGIONAL BOGOTA</v>
      </c>
      <c r="E413" s="5" t="str">
        <f>IF(B413="","",IFERROR(VLOOKUP(B413, PLANTA_BASE!A:W, 6, FALSE), "NO ENCONTRADO EN PLANTA"))</f>
        <v>BOGOTA CENTRO</v>
      </c>
      <c r="F413" s="7" t="str">
        <f>IF(B413="","",IFERROR(VLOOKUP(B413, PLANTA_BASE!A:W, 8, FALSE), "DOCENTE / FACILITADOR"))</f>
        <v>DOC AUX T&amp;T/N/V/TC/SOCIOHUMANISTI/FUN.ACADE-ADMIN</v>
      </c>
      <c r="G413" s="7" t="str">
        <f>IF(B413="","",IFERROR(VLOOKUP(B413, PLANTA_BASE!A:W, 9, FALSE), "GENERAL"))</f>
        <v>SOCIOHUMANISTICA</v>
      </c>
      <c r="H413" s="5" t="str">
        <f>IF(B413="","",IFERROR(VLOOKUP(B413, PLANTA_BASE!A:W, 17, FALSE), "GENERAL"))</f>
        <v>SOCIOHUMANISTICA</v>
      </c>
    </row>
    <row r="414" spans="1:8" ht="20.100000000000001" customHeight="1" x14ac:dyDescent="0.25">
      <c r="A414" s="2" t="str">
        <f>IF(B414="","",IFERROR(VLOOKUP(B414, PLANTA_BASE!A:W, 2, FALSE), "NO ENCONTRADO EN PLANTA"))</f>
        <v>PRESENCIAL</v>
      </c>
      <c r="B414" s="3" t="s">
        <v>832</v>
      </c>
      <c r="C414" s="4" t="s">
        <v>833</v>
      </c>
      <c r="D414" s="2" t="str">
        <f>IF(B414="","",IFERROR(VLOOKUP(B414, PLANTA_BASE!A:W, 5, FALSE), "NO ENCONTRADO EN PLANTA"))</f>
        <v>REGIONAL BOGOTA</v>
      </c>
      <c r="E414" s="2" t="str">
        <f>IF(B414="","",IFERROR(VLOOKUP(B414, PLANTA_BASE!A:W, 6, FALSE), "NO ENCONTRADO EN PLANTA"))</f>
        <v>BOGOTA CENTRO</v>
      </c>
      <c r="F414" s="4" t="str">
        <f>IF(B414="","",IFERROR(VLOOKUP(B414, PLANTA_BASE!A:W, 8, FALSE), "DOCENTE / FACILITADOR"))</f>
        <v>DOCENTE ASIS/N/TC/COM SOC Y PER/FUN.ACADE-ADMIN</v>
      </c>
      <c r="G414" s="4" t="str">
        <f>IF(B414="","",IFERROR(VLOOKUP(B414, PLANTA_BASE!A:W, 9, FALSE), "GENERAL"))</f>
        <v>COMUNICACION SOCIAL Y PERIODISMO</v>
      </c>
      <c r="H414" s="2" t="str">
        <f>IF(B414="","",IFERROR(VLOOKUP(B414, PLANTA_BASE!A:W, 17, FALSE), "GENERAL"))</f>
        <v>COMUNICACION SOCIAL Y PERIODISMO</v>
      </c>
    </row>
    <row r="415" spans="1:8" ht="20.100000000000001" customHeight="1" x14ac:dyDescent="0.25">
      <c r="A415" s="5" t="str">
        <f>IF(B415="","",IFERROR(VLOOKUP(B415, PLANTA_BASE!A:W, 2, FALSE), "NO ENCONTRADO EN PLANTA"))</f>
        <v>PRESENCIAL</v>
      </c>
      <c r="B415" s="6" t="s">
        <v>834</v>
      </c>
      <c r="C415" s="7" t="s">
        <v>835</v>
      </c>
      <c r="D415" s="5" t="str">
        <f>IF(B415="","",IFERROR(VLOOKUP(B415, PLANTA_BASE!A:W, 5, FALSE), "NO ENCONTRADO EN PLANTA"))</f>
        <v>REGIONAL BOGOTA</v>
      </c>
      <c r="E415" s="5" t="str">
        <f>IF(B415="","",IFERROR(VLOOKUP(B415, PLANTA_BASE!A:W, 6, FALSE), "NO ENCONTRADO EN PLANTA"))</f>
        <v>BOGOTA RESTREPO</v>
      </c>
      <c r="F415" s="7" t="str">
        <f>IF(B415="","",IFERROR(VLOOKUP(B415, PLANTA_BASE!A:W, 8, FALSE), "DOCENTE / FACILITADOR"))</f>
        <v>DOCENTE ASIS/N/MT/CONT PUBL</v>
      </c>
      <c r="G415" s="7" t="str">
        <f>IF(B415="","",IFERROR(VLOOKUP(B415, PLANTA_BASE!A:W, 9, FALSE), "GENERAL"))</f>
        <v>CONTADURIA PUBLICA</v>
      </c>
      <c r="H415" s="5" t="str">
        <f>IF(B415="","",IFERROR(VLOOKUP(B415, PLANTA_BASE!A:W, 17, FALSE), "GENERAL"))</f>
        <v>CONTADURIA PUBLICA</v>
      </c>
    </row>
    <row r="416" spans="1:8" ht="20.100000000000001" customHeight="1" x14ac:dyDescent="0.25">
      <c r="A416" s="2" t="str">
        <f>IF(B416="","",IFERROR(VLOOKUP(B416, PLANTA_BASE!A:W, 2, FALSE), "NO ENCONTRADO EN PLANTA"))</f>
        <v>PRESENCIAL</v>
      </c>
      <c r="B416" s="3" t="s">
        <v>836</v>
      </c>
      <c r="C416" s="4" t="s">
        <v>837</v>
      </c>
      <c r="D416" s="2" t="str">
        <f>IF(B416="","",IFERROR(VLOOKUP(B416, PLANTA_BASE!A:W, 5, FALSE), "NO ENCONTRADO EN PLANTA"))</f>
        <v>REGIONAL BOGOTA</v>
      </c>
      <c r="E416" s="2" t="str">
        <f>IF(B416="","",IFERROR(VLOOKUP(B416, PLANTA_BASE!A:W, 6, FALSE), "NO ENCONTRADO EN PLANTA"))</f>
        <v>BOGOTA CENTRO</v>
      </c>
      <c r="F416" s="4" t="str">
        <f>IF(B416="","",IFERROR(VLOOKUP(B416, PLANTA_BASE!A:W, 8, FALSE), "DOCENTE / FACILITADOR"))</f>
        <v>DOCENTE ASIS/N/MT/EMPRENDIMIE</v>
      </c>
      <c r="G416" s="4" t="str">
        <f>IF(B416="","",IFERROR(VLOOKUP(B416, PLANTA_BASE!A:W, 9, FALSE), "GENERAL"))</f>
        <v>EMPRENDIMIENTO</v>
      </c>
      <c r="H416" s="2" t="str">
        <f>IF(B416="","",IFERROR(VLOOKUP(B416, PLANTA_BASE!A:W, 17, FALSE), "GENERAL"))</f>
        <v>EMPRENDIMIENTO</v>
      </c>
    </row>
    <row r="417" spans="1:8" ht="20.100000000000001" customHeight="1" x14ac:dyDescent="0.25">
      <c r="A417" s="5" t="str">
        <f>IF(B417="","",IFERROR(VLOOKUP(B417, PLANTA_BASE!A:W, 2, FALSE), "NO ENCONTRADO EN PLANTA"))</f>
        <v>PRESENCIAL</v>
      </c>
      <c r="B417" s="6" t="s">
        <v>838</v>
      </c>
      <c r="C417" s="7" t="s">
        <v>839</v>
      </c>
      <c r="D417" s="5" t="str">
        <f>IF(B417="","",IFERROR(VLOOKUP(B417, PLANTA_BASE!A:W, 5, FALSE), "NO ENCONTRADO EN PLANTA"))</f>
        <v>REGIONAL BOGOTA</v>
      </c>
      <c r="E417" s="5" t="str">
        <f>IF(B417="","",IFERROR(VLOOKUP(B417, PLANTA_BASE!A:W, 6, FALSE), "NO ENCONTRADO EN PLANTA"))</f>
        <v>BOGOTA CENTRO</v>
      </c>
      <c r="F417" s="7" t="str">
        <f>IF(B417="","",IFERROR(VLOOKUP(B417, PLANTA_BASE!A:W, 8, FALSE), "DOCENTE / FACILITADOR"))</f>
        <v>DOCENTE AUX/N/TC/CIEN BASI/FUN.ACADE-ADMIN</v>
      </c>
      <c r="G417" s="7" t="str">
        <f>IF(B417="","",IFERROR(VLOOKUP(B417, PLANTA_BASE!A:W, 9, FALSE), "GENERAL"))</f>
        <v>CIENCIAS BASICAS</v>
      </c>
      <c r="H417" s="5" t="str">
        <f>IF(B417="","",IFERROR(VLOOKUP(B417, PLANTA_BASE!A:W, 17, FALSE), "GENERAL"))</f>
        <v>CIENCIAS BASICAS</v>
      </c>
    </row>
    <row r="418" spans="1:8" ht="20.100000000000001" customHeight="1" x14ac:dyDescent="0.25">
      <c r="A418" s="2" t="str">
        <f>IF(B418="","",IFERROR(VLOOKUP(B418, PLANTA_BASE!A:W, 2, FALSE), "NO ENCONTRADO EN PLANTA"))</f>
        <v>VIRTUAL</v>
      </c>
      <c r="B418" s="3" t="s">
        <v>840</v>
      </c>
      <c r="C418" s="4" t="s">
        <v>841</v>
      </c>
      <c r="D418" s="2" t="str">
        <f>IF(B418="","",IFERROR(VLOOKUP(B418, PLANTA_BASE!A:W, 5, FALSE), "NO ENCONTRADO EN PLANTA"))</f>
        <v>REGIONAL BOGOTA</v>
      </c>
      <c r="E418" s="2" t="str">
        <f>IF(B418="","",IFERROR(VLOOKUP(B418, PLANTA_BASE!A:W, 6, FALSE), "NO ENCONTRADO EN PLANTA"))</f>
        <v>BOGOTA CENTRO</v>
      </c>
      <c r="F418" s="4" t="str">
        <f>IF(B418="","",IFERROR(VLOOKUP(B418, PLANTA_BASE!A:W, 8, FALSE), "DOCENTE / FACILITADOR"))</f>
        <v>DOC AUX/N/V/TC/ESP DES Y GEST TH/FUN ACA</v>
      </c>
      <c r="G418" s="4" t="str">
        <f>IF(B418="","",IFERROR(VLOOKUP(B418, PLANTA_BASE!A:W, 9, FALSE), "GENERAL"))</f>
        <v>ESPECIALIZACION EN DESARROLLO ORGANIZACIONAL Y GESTION DEL TALENTO HUMANO</v>
      </c>
      <c r="H418" s="2" t="str">
        <f>IF(B418="","",IFERROR(VLOOKUP(B418, PLANTA_BASE!A:W, 17, FALSE), "GENERAL"))</f>
        <v>ESPECIALIZACION EN DESARROLLO ORGANIZACIONAL Y GESTION DEL TALENTO HUMANO</v>
      </c>
    </row>
    <row r="419" spans="1:8" ht="20.100000000000001" customHeight="1" x14ac:dyDescent="0.25">
      <c r="A419" s="5" t="str">
        <f>IF(B419="","",IFERROR(VLOOKUP(B419, PLANTA_BASE!A:W, 2, FALSE), "NO ENCONTRADO EN PLANTA"))</f>
        <v>PRESENCIAL</v>
      </c>
      <c r="B419" s="6" t="s">
        <v>842</v>
      </c>
      <c r="C419" s="7" t="s">
        <v>843</v>
      </c>
      <c r="D419" s="5" t="str">
        <f>IF(B419="","",IFERROR(VLOOKUP(B419, PLANTA_BASE!A:W, 5, FALSE), "NO ENCONTRADO EN PLANTA"))</f>
        <v>REGIONAL BOGOTA</v>
      </c>
      <c r="E419" s="5" t="str">
        <f>IF(B419="","",IFERROR(VLOOKUP(B419, PLANTA_BASE!A:W, 6, FALSE), "NO ENCONTRADO EN PLANTA"))</f>
        <v>BOGOTA CENTRO</v>
      </c>
      <c r="F419" s="7" t="str">
        <f>IF(B419="","",IFERROR(VLOOKUP(B419, PLANTA_BASE!A:W, 8, FALSE), "DOCENTE / FACILITADOR"))</f>
        <v>DOC AUX T&amp;T/N/TC/CIEN BASI/FUN.ACADE-ADMIN</v>
      </c>
      <c r="G419" s="7" t="str">
        <f>IF(B419="","",IFERROR(VLOOKUP(B419, PLANTA_BASE!A:W, 9, FALSE), "GENERAL"))</f>
        <v>CIENCIAS BASICAS</v>
      </c>
      <c r="H419" s="5" t="str">
        <f>IF(B419="","",IFERROR(VLOOKUP(B419, PLANTA_BASE!A:W, 17, FALSE), "GENERAL"))</f>
        <v>CIENCIAS BASICAS</v>
      </c>
    </row>
    <row r="420" spans="1:8" ht="20.100000000000001" customHeight="1" x14ac:dyDescent="0.25">
      <c r="A420" s="2" t="str">
        <f>IF(B420="","",IFERROR(VLOOKUP(B420, PLANTA_BASE!A:W, 2, FALSE), "NO ENCONTRADO EN PLANTA"))</f>
        <v>VIRTUAL</v>
      </c>
      <c r="B420" s="3" t="s">
        <v>844</v>
      </c>
      <c r="C420" s="4" t="s">
        <v>845</v>
      </c>
      <c r="D420" s="2" t="str">
        <f>IF(B420="","",IFERROR(VLOOKUP(B420, PLANTA_BASE!A:W, 5, FALSE), "NO ENCONTRADO EN PLANTA"))</f>
        <v>REGIONAL BOGOTA</v>
      </c>
      <c r="E420" s="2" t="str">
        <f>IF(B420="","",IFERROR(VLOOKUP(B420, PLANTA_BASE!A:W, 6, FALSE), "NO ENCONTRADO EN PLANTA"))</f>
        <v>BOGOTA CENTRO</v>
      </c>
      <c r="F420" s="4" t="str">
        <f>IF(B420="","",IFERROR(VLOOKUP(B420, PLANTA_BASE!A:W, 8, FALSE), "DOCENTE / FACILITADOR"))</f>
        <v>DOC ASIS/N/V/TC/ADMIN PUBLICA/FUN.ACADE-ADMIN</v>
      </c>
      <c r="G420" s="4" t="str">
        <f>IF(B420="","",IFERROR(VLOOKUP(B420, PLANTA_BASE!A:W, 9, FALSE), "GENERAL"))</f>
        <v>ADMINISTRACION PUBLICA</v>
      </c>
      <c r="H420" s="2" t="str">
        <f>IF(B420="","",IFERROR(VLOOKUP(B420, PLANTA_BASE!A:W, 17, FALSE), "GENERAL"))</f>
        <v>ADMINISTRACION PUBLICA</v>
      </c>
    </row>
    <row r="421" spans="1:8" ht="20.100000000000001" customHeight="1" x14ac:dyDescent="0.25">
      <c r="A421" s="5" t="str">
        <f>IF(B421="","",IFERROR(VLOOKUP(B421, PLANTA_BASE!A:W, 2, FALSE), "NO ENCONTRADO EN PLANTA"))</f>
        <v>PRESENCIAL</v>
      </c>
      <c r="B421" s="6" t="s">
        <v>846</v>
      </c>
      <c r="C421" s="7" t="s">
        <v>847</v>
      </c>
      <c r="D421" s="5" t="str">
        <f>IF(B421="","",IFERROR(VLOOKUP(B421, PLANTA_BASE!A:W, 5, FALSE), "NO ENCONTRADO EN PLANTA"))</f>
        <v>REGIONAL BOGOTA</v>
      </c>
      <c r="E421" s="5" t="str">
        <f>IF(B421="","",IFERROR(VLOOKUP(B421, PLANTA_BASE!A:W, 6, FALSE), "NO ENCONTRADO EN PLANTA"))</f>
        <v>BOGOTA CENTRO</v>
      </c>
      <c r="F421" s="7" t="str">
        <f>IF(B421="","",IFERROR(VLOOKUP(B421, PLANTA_BASE!A:W, 8, FALSE), "DOCENTE / FACILITADOR"))</f>
        <v>DOCENTE ASIS/N/TC/INVESTIGA/INVESTIGACIO</v>
      </c>
      <c r="G421" s="7" t="str">
        <f>IF(B421="","",IFERROR(VLOOKUP(B421, PLANTA_BASE!A:W, 9, FALSE), "GENERAL"))</f>
        <v>INVESTIGACIONES</v>
      </c>
      <c r="H421" s="5" t="str">
        <f>IF(B421="","",IFERROR(VLOOKUP(B421, PLANTA_BASE!A:W, 17, FALSE), "GENERAL"))</f>
        <v>INVESTIGACIONES</v>
      </c>
    </row>
    <row r="422" spans="1:8" ht="20.100000000000001" customHeight="1" x14ac:dyDescent="0.25">
      <c r="A422" s="2" t="str">
        <f>IF(B422="","",IFERROR(VLOOKUP(B422, PLANTA_BASE!A:W, 2, FALSE), "NO ENCONTRADO EN PLANTA"))</f>
        <v>PRESENCIAL</v>
      </c>
      <c r="B422" s="3" t="s">
        <v>848</v>
      </c>
      <c r="C422" s="4" t="s">
        <v>849</v>
      </c>
      <c r="D422" s="2" t="str">
        <f>IF(B422="","",IFERROR(VLOOKUP(B422, PLANTA_BASE!A:W, 5, FALSE), "NO ENCONTRADO EN PLANTA"))</f>
        <v>REGIONAL BOGOTA</v>
      </c>
      <c r="E422" s="2" t="str">
        <f>IF(B422="","",IFERROR(VLOOKUP(B422, PLANTA_BASE!A:W, 6, FALSE), "NO ENCONTRADO EN PLANTA"))</f>
        <v>BOGOTA CENTRO</v>
      </c>
      <c r="F422" s="4" t="str">
        <f>IF(B422="","",IFERROR(VLOOKUP(B422, PLANTA_BASE!A:W, 8, FALSE), "DOCENTE / FACILITADOR"))</f>
        <v>DOCENTE ASOC/N/TC/INVESTIGA/INVESTIGACIO</v>
      </c>
      <c r="G422" s="4" t="str">
        <f>IF(B422="","",IFERROR(VLOOKUP(B422, PLANTA_BASE!A:W, 9, FALSE), "GENERAL"))</f>
        <v>INVESTIGACIONES</v>
      </c>
      <c r="H422" s="2" t="str">
        <f>IF(B422="","",IFERROR(VLOOKUP(B422, PLANTA_BASE!A:W, 17, FALSE), "GENERAL"))</f>
        <v>INVESTIGACIONES</v>
      </c>
    </row>
    <row r="423" spans="1:8" ht="20.100000000000001" customHeight="1" x14ac:dyDescent="0.25">
      <c r="A423" s="5" t="str">
        <f>IF(B423="","",IFERROR(VLOOKUP(B423, PLANTA_BASE!A:W, 2, FALSE), "NO ENCONTRADO EN PLANTA"))</f>
        <v>PRESENCIAL</v>
      </c>
      <c r="B423" s="6" t="s">
        <v>850</v>
      </c>
      <c r="C423" s="7" t="s">
        <v>851</v>
      </c>
      <c r="D423" s="5" t="str">
        <f>IF(B423="","",IFERROR(VLOOKUP(B423, PLANTA_BASE!A:W, 5, FALSE), "NO ENCONTRADO EN PLANTA"))</f>
        <v>REGIONAL BOGOTA</v>
      </c>
      <c r="E423" s="5" t="str">
        <f>IF(B423="","",IFERROR(VLOOKUP(B423, PLANTA_BASE!A:W, 6, FALSE), "NO ENCONTRADO EN PLANTA"))</f>
        <v>BOGOTA CENTRO</v>
      </c>
      <c r="F423" s="7" t="str">
        <f>IF(B423="","",IFERROR(VLOOKUP(B423, PLANTA_BASE!A:W, 8, FALSE), "DOCENTE / FACILITADOR"))</f>
        <v>DOC AUX T&amp;T/N/TC/INVESTIGACIONES/INVESTI</v>
      </c>
      <c r="G423" s="7" t="str">
        <f>IF(B423="","",IFERROR(VLOOKUP(B423, PLANTA_BASE!A:W, 9, FALSE), "GENERAL"))</f>
        <v>INVESTIGACIONES</v>
      </c>
      <c r="H423" s="5" t="str">
        <f>IF(B423="","",IFERROR(VLOOKUP(B423, PLANTA_BASE!A:W, 17, FALSE), "GENERAL"))</f>
        <v>INVESTIGACIONES</v>
      </c>
    </row>
    <row r="424" spans="1:8" ht="20.100000000000001" customHeight="1" x14ac:dyDescent="0.25">
      <c r="A424" s="2" t="str">
        <f>IF(B424="","",IFERROR(VLOOKUP(B424, PLANTA_BASE!A:W, 2, FALSE), "NO ENCONTRADO EN PLANTA"))</f>
        <v>PRESENCIAL</v>
      </c>
      <c r="B424" s="3" t="s">
        <v>852</v>
      </c>
      <c r="C424" s="4" t="s">
        <v>853</v>
      </c>
      <c r="D424" s="2" t="str">
        <f>IF(B424="","",IFERROR(VLOOKUP(B424, PLANTA_BASE!A:W, 5, FALSE), "NO ENCONTRADO EN PLANTA"))</f>
        <v>REGIONAL BOGOTA</v>
      </c>
      <c r="E424" s="2" t="str">
        <f>IF(B424="","",IFERROR(VLOOKUP(B424, PLANTA_BASE!A:W, 6, FALSE), "NO ENCONTRADO EN PLANTA"))</f>
        <v>BOGOTA CENTRO</v>
      </c>
      <c r="F424" s="4" t="str">
        <f>IF(B424="","",IFERROR(VLOOKUP(B424, PLANTA_BASE!A:W, 8, FALSE), "DOCENTE / FACILITADOR"))</f>
        <v>DOC ASIS/N/MT/MAR DIG</v>
      </c>
      <c r="G424" s="4" t="str">
        <f>IF(B424="","",IFERROR(VLOOKUP(B424, PLANTA_BASE!A:W, 9, FALSE), "GENERAL"))</f>
        <v>MARKETING DIGITAL</v>
      </c>
      <c r="H424" s="2" t="str">
        <f>IF(B424="","",IFERROR(VLOOKUP(B424, PLANTA_BASE!A:W, 17, FALSE), "GENERAL"))</f>
        <v>MARKETING DIGITAL</v>
      </c>
    </row>
    <row r="425" spans="1:8" ht="20.100000000000001" customHeight="1" x14ac:dyDescent="0.25">
      <c r="A425" s="5" t="str">
        <f>IF(B425="","",IFERROR(VLOOKUP(B425, PLANTA_BASE!A:W, 2, FALSE), "NO ENCONTRADO EN PLANTA"))</f>
        <v>PRESENCIAL</v>
      </c>
      <c r="B425" s="6" t="s">
        <v>854</v>
      </c>
      <c r="C425" s="7" t="s">
        <v>855</v>
      </c>
      <c r="D425" s="5" t="str">
        <f>IF(B425="","",IFERROR(VLOOKUP(B425, PLANTA_BASE!A:W, 5, FALSE), "NO ENCONTRADO EN PLANTA"))</f>
        <v>REGIONAL BOGOTA</v>
      </c>
      <c r="E425" s="5" t="str">
        <f>IF(B425="","",IFERROR(VLOOKUP(B425, PLANTA_BASE!A:W, 6, FALSE), "NO ENCONTRADO EN PLANTA"))</f>
        <v>BOGOTA CENTRO</v>
      </c>
      <c r="F425" s="7" t="str">
        <f>IF(B425="","",IFERROR(VLOOKUP(B425, PLANTA_BASE!A:W, 8, FALSE), "DOCENTE / FACILITADOR"))</f>
        <v>DOCENTE AUX/N/TC/INVESTIGA/INVESTIGACION</v>
      </c>
      <c r="G425" s="7" t="str">
        <f>IF(B425="","",IFERROR(VLOOKUP(B425, PLANTA_BASE!A:W, 9, FALSE), "GENERAL"))</f>
        <v>INVESTIGACIONES</v>
      </c>
      <c r="H425" s="5" t="str">
        <f>IF(B425="","",IFERROR(VLOOKUP(B425, PLANTA_BASE!A:W, 17, FALSE), "GENERAL"))</f>
        <v>INVESTIGACIONES</v>
      </c>
    </row>
    <row r="426" spans="1:8" ht="20.100000000000001" customHeight="1" x14ac:dyDescent="0.25">
      <c r="A426" s="2" t="str">
        <f>IF(B426="","",IFERROR(VLOOKUP(B426, PLANTA_BASE!A:W, 2, FALSE), "NO ENCONTRADO EN PLANTA"))</f>
        <v>PRESENCIAL</v>
      </c>
      <c r="B426" s="3" t="s">
        <v>856</v>
      </c>
      <c r="C426" s="4" t="s">
        <v>857</v>
      </c>
      <c r="D426" s="2" t="str">
        <f>IF(B426="","",IFERROR(VLOOKUP(B426, PLANTA_BASE!A:W, 5, FALSE), "NO ENCONTRADO EN PLANTA"))</f>
        <v>REGIONAL BOGOTA</v>
      </c>
      <c r="E426" s="2" t="str">
        <f>IF(B426="","",IFERROR(VLOOKUP(B426, PLANTA_BASE!A:W, 6, FALSE), "NO ENCONTRADO EN PLANTA"))</f>
        <v>BOGOTA CENTRO</v>
      </c>
      <c r="F426" s="4" t="str">
        <f>IF(B426="","",IFERROR(VLOOKUP(B426, PLANTA_BASE!A:W, 8, FALSE), "DOCENTE / FACILITADOR"))</f>
        <v>DOC AUX T&amp;T/N/TC/ING SISTEM/FUN.ACADE-ADMIN</v>
      </c>
      <c r="G426" s="4" t="str">
        <f>IF(B426="","",IFERROR(VLOOKUP(B426, PLANTA_BASE!A:W, 9, FALSE), "GENERAL"))</f>
        <v>INGENIERIA DE SISTEMAS</v>
      </c>
      <c r="H426" s="2" t="str">
        <f>IF(B426="","",IFERROR(VLOOKUP(B426, PLANTA_BASE!A:W, 17, FALSE), "GENERAL"))</f>
        <v>INGENIERIA DE SISTEMAS</v>
      </c>
    </row>
    <row r="427" spans="1:8" ht="20.100000000000001" customHeight="1" x14ac:dyDescent="0.25">
      <c r="A427" s="5" t="str">
        <f>IF(B427="","",IFERROR(VLOOKUP(B427, PLANTA_BASE!A:W, 2, FALSE), "NO ENCONTRADO EN PLANTA"))</f>
        <v>VIRTUAL</v>
      </c>
      <c r="B427" s="6" t="s">
        <v>858</v>
      </c>
      <c r="C427" s="7" t="s">
        <v>859</v>
      </c>
      <c r="D427" s="5" t="str">
        <f>IF(B427="","",IFERROR(VLOOKUP(B427, PLANTA_BASE!A:W, 5, FALSE), "NO ENCONTRADO EN PLANTA"))</f>
        <v>REGIONAL BOGOTA</v>
      </c>
      <c r="E427" s="5" t="str">
        <f>IF(B427="","",IFERROR(VLOOKUP(B427, PLANTA_BASE!A:W, 6, FALSE), "NO ENCONTRADO EN PLANTA"))</f>
        <v>BOGOTA CENTRO</v>
      </c>
      <c r="F427" s="7" t="str">
        <f>IF(B427="","",IFERROR(VLOOKUP(B427, PLANTA_BASE!A:W, 8, FALSE), "DOCENTE / FACILITADOR"))</f>
        <v>DOC ASIS/N/V/TC/INVESTIGACIONES/INVESTIG</v>
      </c>
      <c r="G427" s="7" t="str">
        <f>IF(B427="","",IFERROR(VLOOKUP(B427, PLANTA_BASE!A:W, 9, FALSE), "GENERAL"))</f>
        <v>INVESTIGACIONES</v>
      </c>
      <c r="H427" s="5" t="str">
        <f>IF(B427="","",IFERROR(VLOOKUP(B427, PLANTA_BASE!A:W, 17, FALSE), "GENERAL"))</f>
        <v>INVESTIGACIONES</v>
      </c>
    </row>
    <row r="428" spans="1:8" ht="20.100000000000001" customHeight="1" x14ac:dyDescent="0.25">
      <c r="A428" s="2" t="str">
        <f>IF(B428="","",IFERROR(VLOOKUP(B428, PLANTA_BASE!A:W, 2, FALSE), "NO ENCONTRADO EN PLANTA"))</f>
        <v>PRESENCIAL</v>
      </c>
      <c r="B428" s="3" t="s">
        <v>860</v>
      </c>
      <c r="C428" s="4" t="s">
        <v>861</v>
      </c>
      <c r="D428" s="2" t="str">
        <f>IF(B428="","",IFERROR(VLOOKUP(B428, PLANTA_BASE!A:W, 5, FALSE), "NO ENCONTRADO EN PLANTA"))</f>
        <v>REGIONAL BOGOTA</v>
      </c>
      <c r="E428" s="2" t="str">
        <f>IF(B428="","",IFERROR(VLOOKUP(B428, PLANTA_BASE!A:W, 6, FALSE), "NO ENCONTRADO EN PLANTA"))</f>
        <v>BOGOTA CENTRO</v>
      </c>
      <c r="F428" s="4" t="str">
        <f>IF(B428="","",IFERROR(VLOOKUP(B428, PLANTA_BASE!A:W, 8, FALSE), "DOCENTE / FACILITADOR"))</f>
        <v>DOC AUX T&amp;T/N/TC/INVESTIGACIONES/INVESTI</v>
      </c>
      <c r="G428" s="4" t="str">
        <f>IF(B428="","",IFERROR(VLOOKUP(B428, PLANTA_BASE!A:W, 9, FALSE), "GENERAL"))</f>
        <v>INVESTIGACIONES</v>
      </c>
      <c r="H428" s="2" t="str">
        <f>IF(B428="","",IFERROR(VLOOKUP(B428, PLANTA_BASE!A:W, 17, FALSE), "GENERAL"))</f>
        <v>INVESTIGACIONES</v>
      </c>
    </row>
    <row r="429" spans="1:8" ht="20.100000000000001" customHeight="1" x14ac:dyDescent="0.25">
      <c r="A429" s="5" t="str">
        <f>IF(B429="","",IFERROR(VLOOKUP(B429, PLANTA_BASE!A:W, 2, FALSE), "NO ENCONTRADO EN PLANTA"))</f>
        <v>PRESENCIAL</v>
      </c>
      <c r="B429" s="6" t="s">
        <v>862</v>
      </c>
      <c r="C429" s="7" t="s">
        <v>863</v>
      </c>
      <c r="D429" s="5" t="str">
        <f>IF(B429="","",IFERROR(VLOOKUP(B429, PLANTA_BASE!A:W, 5, FALSE), "NO ENCONTRADO EN PLANTA"))</f>
        <v>REGIONAL BOGOTA</v>
      </c>
      <c r="E429" s="5" t="str">
        <f>IF(B429="","",IFERROR(VLOOKUP(B429, PLANTA_BASE!A:W, 6, FALSE), "NO ENCONTRADO EN PLANTA"))</f>
        <v>BOGOTA CENTRO</v>
      </c>
      <c r="F429" s="7" t="str">
        <f>IF(B429="","",IFERROR(VLOOKUP(B429, PLANTA_BASE!A:W, 8, FALSE), "DOCENTE / FACILITADOR"))</f>
        <v>DOC AUX T&amp;T/N/TC/EMPRENDIMIE/FUN.ACADE-ADMIN</v>
      </c>
      <c r="G429" s="7" t="str">
        <f>IF(B429="","",IFERROR(VLOOKUP(B429, PLANTA_BASE!A:W, 9, FALSE), "GENERAL"))</f>
        <v>EMPRENDIMIENTO</v>
      </c>
      <c r="H429" s="5" t="str">
        <f>IF(B429="","",IFERROR(VLOOKUP(B429, PLANTA_BASE!A:W, 17, FALSE), "GENERAL"))</f>
        <v>EMPRENDIMIENTO</v>
      </c>
    </row>
    <row r="430" spans="1:8" ht="20.100000000000001" customHeight="1" x14ac:dyDescent="0.25">
      <c r="A430" s="2" t="str">
        <f>IF(B430="","",IFERROR(VLOOKUP(B430, PLANTA_BASE!A:W, 2, FALSE), "NO ENCONTRADO EN PLANTA"))</f>
        <v>PRESENCIAL</v>
      </c>
      <c r="B430" s="3" t="s">
        <v>864</v>
      </c>
      <c r="C430" s="4" t="s">
        <v>865</v>
      </c>
      <c r="D430" s="2" t="str">
        <f>IF(B430="","",IFERROR(VLOOKUP(B430, PLANTA_BASE!A:W, 5, FALSE), "NO ENCONTRADO EN PLANTA"))</f>
        <v>REGIONAL BOGOTA</v>
      </c>
      <c r="E430" s="2" t="str">
        <f>IF(B430="","",IFERROR(VLOOKUP(B430, PLANTA_BASE!A:W, 6, FALSE), "NO ENCONTRADO EN PLANTA"))</f>
        <v>BOGOTA CENTRO</v>
      </c>
      <c r="F430" s="4" t="str">
        <f>IF(B430="","",IFERROR(VLOOKUP(B430, PLANTA_BASE!A:W, 8, FALSE), "DOCENTE / FACILITADOR"))</f>
        <v>DOCENTE TITU/N/TC/ING SISTEM/FUN.ACADE-ADMIN</v>
      </c>
      <c r="G430" s="4" t="str">
        <f>IF(B430="","",IFERROR(VLOOKUP(B430, PLANTA_BASE!A:W, 9, FALSE), "GENERAL"))</f>
        <v>INGENIERIA DE SISTEMAS</v>
      </c>
      <c r="H430" s="2" t="str">
        <f>IF(B430="","",IFERROR(VLOOKUP(B430, PLANTA_BASE!A:W, 17, FALSE), "GENERAL"))</f>
        <v>INGENIERIA DE SISTEMAS</v>
      </c>
    </row>
    <row r="431" spans="1:8" ht="20.100000000000001" customHeight="1" x14ac:dyDescent="0.25">
      <c r="A431" s="5" t="str">
        <f>IF(B431="","",IFERROR(VLOOKUP(B431, PLANTA_BASE!A:W, 2, FALSE), "NO ENCONTRADO EN PLANTA"))</f>
        <v>PRESENCIAL</v>
      </c>
      <c r="B431" s="6" t="s">
        <v>866</v>
      </c>
      <c r="C431" s="7" t="s">
        <v>867</v>
      </c>
      <c r="D431" s="5" t="str">
        <f>IF(B431="","",IFERROR(VLOOKUP(B431, PLANTA_BASE!A:W, 5, FALSE), "NO ENCONTRADO EN PLANTA"))</f>
        <v>REGIONAL BOGOTA</v>
      </c>
      <c r="E431" s="5" t="str">
        <f>IF(B431="","",IFERROR(VLOOKUP(B431, PLANTA_BASE!A:W, 6, FALSE), "NO ENCONTRADO EN PLANTA"))</f>
        <v>BOGOTA CENTRO</v>
      </c>
      <c r="F431" s="7" t="str">
        <f>IF(B431="","",IFERROR(VLOOKUP(B431, PLANTA_BASE!A:W, 8, FALSE), "DOCENTE / FACILITADOR"))</f>
        <v>DOC AUX T&amp;T/N/MT/NEGO INTER</v>
      </c>
      <c r="G431" s="7" t="str">
        <f>IF(B431="","",IFERROR(VLOOKUP(B431, PLANTA_BASE!A:W, 9, FALSE), "GENERAL"))</f>
        <v>NEGOCIOS INTERNACIONALES</v>
      </c>
      <c r="H431" s="5" t="str">
        <f>IF(B431="","",IFERROR(VLOOKUP(B431, PLANTA_BASE!A:W, 17, FALSE), "GENERAL"))</f>
        <v>NEGOCIOS INTERNACIONALES</v>
      </c>
    </row>
    <row r="432" spans="1:8" ht="20.100000000000001" customHeight="1" x14ac:dyDescent="0.25">
      <c r="A432" s="2" t="str">
        <f>IF(B432="","",IFERROR(VLOOKUP(B432, PLANTA_BASE!A:W, 2, FALSE), "NO ENCONTRADO EN PLANTA"))</f>
        <v>PRESENCIAL</v>
      </c>
      <c r="B432" s="3" t="s">
        <v>868</v>
      </c>
      <c r="C432" s="4" t="s">
        <v>869</v>
      </c>
      <c r="D432" s="2" t="str">
        <f>IF(B432="","",IFERROR(VLOOKUP(B432, PLANTA_BASE!A:W, 5, FALSE), "NO ENCONTRADO EN PLANTA"))</f>
        <v>REGIONAL BOGOTA</v>
      </c>
      <c r="E432" s="2" t="str">
        <f>IF(B432="","",IFERROR(VLOOKUP(B432, PLANTA_BASE!A:W, 6, FALSE), "NO ENCONTRADO EN PLANTA"))</f>
        <v>BOGOTA CENTRO</v>
      </c>
      <c r="F432" s="4" t="str">
        <f>IF(B432="","",IFERROR(VLOOKUP(B432, PLANTA_BASE!A:W, 8, FALSE), "DOCENTE / FACILITADOR"))</f>
        <v>DOC AUX T&amp;T/N/TC/DIS PROD MOD/FUN.ACADE-ADMIN</v>
      </c>
      <c r="G432" s="4" t="str">
        <f>IF(B432="","",IFERROR(VLOOKUP(B432, PLANTA_BASE!A:W, 9, FALSE), "GENERAL"))</f>
        <v>DISEÑO Y PRODUCCION DE MODAS</v>
      </c>
      <c r="H432" s="2" t="str">
        <f>IF(B432="","",IFERROR(VLOOKUP(B432, PLANTA_BASE!A:W, 17, FALSE), "GENERAL"))</f>
        <v>DISEÑO Y PRODUCCION DE MODAS</v>
      </c>
    </row>
    <row r="433" spans="1:8" ht="20.100000000000001" customHeight="1" x14ac:dyDescent="0.25">
      <c r="A433" s="5" t="str">
        <f>IF(B433="","",IFERROR(VLOOKUP(B433, PLANTA_BASE!A:W, 2, FALSE), "NO ENCONTRADO EN PLANTA"))</f>
        <v>VIRTUAL</v>
      </c>
      <c r="B433" s="6" t="s">
        <v>870</v>
      </c>
      <c r="C433" s="7" t="s">
        <v>871</v>
      </c>
      <c r="D433" s="5" t="str">
        <f>IF(B433="","",IFERROR(VLOOKUP(B433, PLANTA_BASE!A:W, 5, FALSE), "NO ENCONTRADO EN PLANTA"))</f>
        <v>REGIONAL BOGOTA</v>
      </c>
      <c r="E433" s="5" t="str">
        <f>IF(B433="","",IFERROR(VLOOKUP(B433, PLANTA_BASE!A:W, 6, FALSE), "NO ENCONTRADO EN PLANTA"))</f>
        <v>BOGOTA CENTRO</v>
      </c>
      <c r="F433" s="7" t="str">
        <f>IF(B433="","",IFERROR(VLOOKUP(B433, PLANTA_BASE!A:W, 8, FALSE), "DOCENTE / FACILITADOR"))</f>
        <v>DOC AUX T&amp;T/N/V/TC/ING DE SISTEMAS/FUN.ACADE-ADMIN</v>
      </c>
      <c r="G433" s="7" t="str">
        <f>IF(B433="","",IFERROR(VLOOKUP(B433, PLANTA_BASE!A:W, 9, FALSE), "GENERAL"))</f>
        <v>INGENIERIA DE SISTEMAS</v>
      </c>
      <c r="H433" s="5" t="str">
        <f>IF(B433="","",IFERROR(VLOOKUP(B433, PLANTA_BASE!A:W, 17, FALSE), "GENERAL"))</f>
        <v>INGENIERIA DE SISTEMAS</v>
      </c>
    </row>
    <row r="434" spans="1:8" ht="20.100000000000001" customHeight="1" x14ac:dyDescent="0.25">
      <c r="A434" s="2" t="str">
        <f>IF(B434="","",IFERROR(VLOOKUP(B434, PLANTA_BASE!A:W, 2, FALSE), "NO ENCONTRADO EN PLANTA"))</f>
        <v>VIRTUAL</v>
      </c>
      <c r="B434" s="3" t="s">
        <v>872</v>
      </c>
      <c r="C434" s="4" t="s">
        <v>873</v>
      </c>
      <c r="D434" s="2" t="str">
        <f>IF(B434="","",IFERROR(VLOOKUP(B434, PLANTA_BASE!A:W, 5, FALSE), "NO ENCONTRADO EN PLANTA"))</f>
        <v>REGIONAL BOGOTA</v>
      </c>
      <c r="E434" s="2" t="str">
        <f>IF(B434="","",IFERROR(VLOOKUP(B434, PLANTA_BASE!A:W, 6, FALSE), "NO ENCONTRADO EN PLANTA"))</f>
        <v>BOGOTA CENTRO</v>
      </c>
      <c r="F434" s="4" t="str">
        <f>IF(B434="","",IFERROR(VLOOKUP(B434, PLANTA_BASE!A:W, 8, FALSE), "DOCENTE / FACILITADOR"))</f>
        <v>DOC ASIS/N/V/MT/PUB Y MERC</v>
      </c>
      <c r="G434" s="4" t="str">
        <f>IF(B434="","",IFERROR(VLOOKUP(B434, PLANTA_BASE!A:W, 9, FALSE), "GENERAL"))</f>
        <v>PUBLICIDAD Y MERCADEO</v>
      </c>
      <c r="H434" s="2" t="str">
        <f>IF(B434="","",IFERROR(VLOOKUP(B434, PLANTA_BASE!A:W, 17, FALSE), "GENERAL"))</f>
        <v>PUBLICIDAD Y MERCADEO</v>
      </c>
    </row>
    <row r="435" spans="1:8" ht="20.100000000000001" customHeight="1" x14ac:dyDescent="0.25">
      <c r="A435" s="5" t="str">
        <f>IF(B435="","",IFERROR(VLOOKUP(B435, PLANTA_BASE!A:W, 2, FALSE), "NO ENCONTRADO EN PLANTA"))</f>
        <v>PRESENCIAL</v>
      </c>
      <c r="B435" s="6" t="s">
        <v>874</v>
      </c>
      <c r="C435" s="7" t="s">
        <v>875</v>
      </c>
      <c r="D435" s="5" t="str">
        <f>IF(B435="","",IFERROR(VLOOKUP(B435, PLANTA_BASE!A:W, 5, FALSE), "NO ENCONTRADO EN PLANTA"))</f>
        <v>REGIONAL BOGOTA</v>
      </c>
      <c r="E435" s="5" t="str">
        <f>IF(B435="","",IFERROR(VLOOKUP(B435, PLANTA_BASE!A:W, 6, FALSE), "NO ENCONTRADO EN PLANTA"))</f>
        <v>BOGOTA CENTRO</v>
      </c>
      <c r="F435" s="7" t="str">
        <f>IF(B435="","",IFERROR(VLOOKUP(B435, PLANTA_BASE!A:W, 8, FALSE), "DOCENTE / FACILITADOR"))</f>
        <v>DOC AUX T&amp;T/N/TC/EMPRENDIMIE/FUN.ACADE-ADMIN</v>
      </c>
      <c r="G435" s="7" t="str">
        <f>IF(B435="","",IFERROR(VLOOKUP(B435, PLANTA_BASE!A:W, 9, FALSE), "GENERAL"))</f>
        <v>EMPRENDIMIENTO</v>
      </c>
      <c r="H435" s="5" t="str">
        <f>IF(B435="","",IFERROR(VLOOKUP(B435, PLANTA_BASE!A:W, 17, FALSE), "GENERAL"))</f>
        <v>EMPRENDIMIENTO</v>
      </c>
    </row>
    <row r="436" spans="1:8" ht="20.100000000000001" customHeight="1" x14ac:dyDescent="0.25">
      <c r="A436" s="2" t="str">
        <f>IF(B436="","",IFERROR(VLOOKUP(B436, PLANTA_BASE!A:W, 2, FALSE), "NO ENCONTRADO EN PLANTA"))</f>
        <v>PRESENCIAL</v>
      </c>
      <c r="B436" s="3" t="s">
        <v>876</v>
      </c>
      <c r="C436" s="4" t="s">
        <v>877</v>
      </c>
      <c r="D436" s="2" t="str">
        <f>IF(B436="","",IFERROR(VLOOKUP(B436, PLANTA_BASE!A:W, 5, FALSE), "NO ENCONTRADO EN PLANTA"))</f>
        <v>REGIONAL BOGOTA</v>
      </c>
      <c r="E436" s="2" t="str">
        <f>IF(B436="","",IFERROR(VLOOKUP(B436, PLANTA_BASE!A:W, 6, FALSE), "NO ENCONTRADO EN PLANTA"))</f>
        <v>BOGOTA CENTRO</v>
      </c>
      <c r="F436" s="4" t="str">
        <f>IF(B436="","",IFERROR(VLOOKUP(B436, PLANTA_BASE!A:W, 8, FALSE), "DOCENTE / FACILITADOR"))</f>
        <v>DOC AUX T&amp;T/N/TC/DIS PROD MOD/FUN.ACADE-ADMIN</v>
      </c>
      <c r="G436" s="4" t="str">
        <f>IF(B436="","",IFERROR(VLOOKUP(B436, PLANTA_BASE!A:W, 9, FALSE), "GENERAL"))</f>
        <v>DISEÑO Y PRODUCCION DE MODAS</v>
      </c>
      <c r="H436" s="2" t="str">
        <f>IF(B436="","",IFERROR(VLOOKUP(B436, PLANTA_BASE!A:W, 17, FALSE), "GENERAL"))</f>
        <v>DISEÑO Y PRODUCCION DE MODAS</v>
      </c>
    </row>
    <row r="437" spans="1:8" ht="20.100000000000001" customHeight="1" x14ac:dyDescent="0.25">
      <c r="A437" s="5" t="str">
        <f>IF(B437="","",IFERROR(VLOOKUP(B437, PLANTA_BASE!A:W, 2, FALSE), "NO ENCONTRADO EN PLANTA"))</f>
        <v>VIRTUAL</v>
      </c>
      <c r="B437" s="6" t="s">
        <v>878</v>
      </c>
      <c r="C437" s="7" t="s">
        <v>879</v>
      </c>
      <c r="D437" s="5" t="str">
        <f>IF(B437="","",IFERROR(VLOOKUP(B437, PLANTA_BASE!A:W, 5, FALSE), "NO ENCONTRADO EN PLANTA"))</f>
        <v>REGIONAL BOGOTA</v>
      </c>
      <c r="E437" s="5" t="str">
        <f>IF(B437="","",IFERROR(VLOOKUP(B437, PLANTA_BASE!A:W, 6, FALSE), "NO ENCONTRADO EN PLANTA"))</f>
        <v>BOGOTA CENTRO</v>
      </c>
      <c r="F437" s="7" t="str">
        <f>IF(B437="","",IFERROR(VLOOKUP(B437, PLANTA_BASE!A:W, 8, FALSE), "DOCENTE / FACILITADOR"))</f>
        <v>DOC AUX/N/V/TC/ING DE SISTEMAS/FUN.ACADE-ADMIN</v>
      </c>
      <c r="G437" s="7" t="str">
        <f>IF(B437="","",IFERROR(VLOOKUP(B437, PLANTA_BASE!A:W, 9, FALSE), "GENERAL"))</f>
        <v>INGENIERIA DE SISTEMAS</v>
      </c>
      <c r="H437" s="5" t="str">
        <f>IF(B437="","",IFERROR(VLOOKUP(B437, PLANTA_BASE!A:W, 17, FALSE), "GENERAL"))</f>
        <v>INGENIERIA DE SISTEMAS</v>
      </c>
    </row>
    <row r="438" spans="1:8" ht="20.100000000000001" customHeight="1" x14ac:dyDescent="0.25">
      <c r="A438" s="2" t="str">
        <f>IF(B438="","",IFERROR(VLOOKUP(B438, PLANTA_BASE!A:W, 2, FALSE), "NO ENCONTRADO EN PLANTA"))</f>
        <v>PRESENCIAL</v>
      </c>
      <c r="B438" s="3" t="s">
        <v>880</v>
      </c>
      <c r="C438" s="4" t="s">
        <v>881</v>
      </c>
      <c r="D438" s="2" t="str">
        <f>IF(B438="","",IFERROR(VLOOKUP(B438, PLANTA_BASE!A:W, 5, FALSE), "NO ENCONTRADO EN PLANTA"))</f>
        <v>REGIONAL BOGOTA</v>
      </c>
      <c r="E438" s="2" t="str">
        <f>IF(B438="","",IFERROR(VLOOKUP(B438, PLANTA_BASE!A:W, 6, FALSE), "NO ENCONTRADO EN PLANTA"))</f>
        <v>BOGOTA CENTRO</v>
      </c>
      <c r="F438" s="4" t="str">
        <f>IF(B438="","",IFERROR(VLOOKUP(B438, PLANTA_BASE!A:W, 8, FALSE), "DOCENTE / FACILITADOR"))</f>
        <v>DOCENTE TITU/N/TC/INVESTIGA/INVESTIGACIO</v>
      </c>
      <c r="G438" s="4" t="str">
        <f>IF(B438="","",IFERROR(VLOOKUP(B438, PLANTA_BASE!A:W, 9, FALSE), "GENERAL"))</f>
        <v>INVESTIGACIONES</v>
      </c>
      <c r="H438" s="2" t="str">
        <f>IF(B438="","",IFERROR(VLOOKUP(B438, PLANTA_BASE!A:W, 17, FALSE), "GENERAL"))</f>
        <v>INVESTIGACIONES</v>
      </c>
    </row>
    <row r="439" spans="1:8" ht="20.100000000000001" customHeight="1" x14ac:dyDescent="0.25">
      <c r="A439" s="5" t="str">
        <f>IF(B439="","",IFERROR(VLOOKUP(B439, PLANTA_BASE!A:W, 2, FALSE), "NO ENCONTRADO EN PLANTA"))</f>
        <v>PRESENCIAL</v>
      </c>
      <c r="B439" s="6" t="s">
        <v>882</v>
      </c>
      <c r="C439" s="7" t="s">
        <v>883</v>
      </c>
      <c r="D439" s="5" t="str">
        <f>IF(B439="","",IFERROR(VLOOKUP(B439, PLANTA_BASE!A:W, 5, FALSE), "NO ENCONTRADO EN PLANTA"))</f>
        <v>REGIONAL BOGOTA</v>
      </c>
      <c r="E439" s="5" t="str">
        <f>IF(B439="","",IFERROR(VLOOKUP(B439, PLANTA_BASE!A:W, 6, FALSE), "NO ENCONTRADO EN PLANTA"))</f>
        <v>BOGOTA CENTRO</v>
      </c>
      <c r="F439" s="7" t="str">
        <f>IF(B439="","",IFERROR(VLOOKUP(B439, PLANTA_BASE!A:W, 8, FALSE), "DOCENTE / FACILITADOR"))</f>
        <v>DOCENTE ASOC/N/TC/NEGO INTER/FUN.ACADE-ADMIN</v>
      </c>
      <c r="G439" s="7" t="str">
        <f>IF(B439="","",IFERROR(VLOOKUP(B439, PLANTA_BASE!A:W, 9, FALSE), "GENERAL"))</f>
        <v>NEGOCIOS INTERNACIONALES</v>
      </c>
      <c r="H439" s="5" t="str">
        <f>IF(B439="","",IFERROR(VLOOKUP(B439, PLANTA_BASE!A:W, 17, FALSE), "GENERAL"))</f>
        <v>NEGOCIOS INTERNACIONALES</v>
      </c>
    </row>
    <row r="440" spans="1:8" ht="20.100000000000001" customHeight="1" x14ac:dyDescent="0.25">
      <c r="A440" s="2" t="str">
        <f>IF(B440="","",IFERROR(VLOOKUP(B440, PLANTA_BASE!A:W, 2, FALSE), "NO ENCONTRADO EN PLANTA"))</f>
        <v>VIRTUAL</v>
      </c>
      <c r="B440" s="3" t="s">
        <v>884</v>
      </c>
      <c r="C440" s="4" t="s">
        <v>885</v>
      </c>
      <c r="D440" s="2" t="str">
        <f>IF(B440="","",IFERROR(VLOOKUP(B440, PLANTA_BASE!A:W, 5, FALSE), "NO ENCONTRADO EN PLANTA"))</f>
        <v>REGIONAL BOGOTA</v>
      </c>
      <c r="E440" s="2" t="str">
        <f>IF(B440="","",IFERROR(VLOOKUP(B440, PLANTA_BASE!A:W, 6, FALSE), "NO ENCONTRADO EN PLANTA"))</f>
        <v>BOGOTA CENTRO</v>
      </c>
      <c r="F440" s="4" t="str">
        <f>IF(B440="","",IFERROR(VLOOKUP(B440, PLANTA_BASE!A:W, 8, FALSE), "DOCENTE / FACILITADOR"))</f>
        <v>DOC ASOC/N/V/TC/INVESTIGACIONES/INVESTIG</v>
      </c>
      <c r="G440" s="4" t="str">
        <f>IF(B440="","",IFERROR(VLOOKUP(B440, PLANTA_BASE!A:W, 9, FALSE), "GENERAL"))</f>
        <v>INVESTIGACIONES</v>
      </c>
      <c r="H440" s="2" t="str">
        <f>IF(B440="","",IFERROR(VLOOKUP(B440, PLANTA_BASE!A:W, 17, FALSE), "GENERAL"))</f>
        <v>INVESTIGACIONES</v>
      </c>
    </row>
    <row r="441" spans="1:8" ht="20.100000000000001" customHeight="1" x14ac:dyDescent="0.25">
      <c r="A441" s="5" t="str">
        <f>IF(B441="","",IFERROR(VLOOKUP(B441, PLANTA_BASE!A:W, 2, FALSE), "NO ENCONTRADO EN PLANTA"))</f>
        <v>PRESENCIAL</v>
      </c>
      <c r="B441" s="6" t="s">
        <v>886</v>
      </c>
      <c r="C441" s="7" t="s">
        <v>887</v>
      </c>
      <c r="D441" s="5" t="str">
        <f>IF(B441="","",IFERROR(VLOOKUP(B441, PLANTA_BASE!A:W, 5, FALSE), "NO ENCONTRADO EN PLANTA"))</f>
        <v>REGIONAL BOGOTA</v>
      </c>
      <c r="E441" s="5" t="str">
        <f>IF(B441="","",IFERROR(VLOOKUP(B441, PLANTA_BASE!A:W, 6, FALSE), "NO ENCONTRADO EN PLANTA"))</f>
        <v>BOGOTA CENTRO</v>
      </c>
      <c r="F441" s="7" t="str">
        <f>IF(B441="","",IFERROR(VLOOKUP(B441, PLANTA_BASE!A:W, 8, FALSE), "DOCENTE / FACILITADOR"))</f>
        <v>DOCENTE AUX/N/TC/ADM SER SALU/FUN.ACADE-ADMIN</v>
      </c>
      <c r="G441" s="7" t="str">
        <f>IF(B441="","",IFERROR(VLOOKUP(B441, PLANTA_BASE!A:W, 9, FALSE), "GENERAL"))</f>
        <v>ADMINISTRACION EN SERVICIOS DE SALUD</v>
      </c>
      <c r="H441" s="5" t="str">
        <f>IF(B441="","",IFERROR(VLOOKUP(B441, PLANTA_BASE!A:W, 17, FALSE), "GENERAL"))</f>
        <v>ADMINISTRACION EN SERVICIOS DE SALUD</v>
      </c>
    </row>
    <row r="442" spans="1:8" ht="20.100000000000001" customHeight="1" x14ac:dyDescent="0.25">
      <c r="A442" s="2" t="str">
        <f>IF(B442="","",IFERROR(VLOOKUP(B442, PLANTA_BASE!A:W, 2, FALSE), "NO ENCONTRADO EN PLANTA"))</f>
        <v>VIRTUAL</v>
      </c>
      <c r="B442" s="3" t="s">
        <v>888</v>
      </c>
      <c r="C442" s="4" t="s">
        <v>889</v>
      </c>
      <c r="D442" s="2" t="str">
        <f>IF(B442="","",IFERROR(VLOOKUP(B442, PLANTA_BASE!A:W, 5, FALSE), "NO ENCONTRADO EN PLANTA"))</f>
        <v>REGIONAL BOGOTA</v>
      </c>
      <c r="E442" s="2" t="str">
        <f>IF(B442="","",IFERROR(VLOOKUP(B442, PLANTA_BASE!A:W, 6, FALSE), "NO ENCONTRADO EN PLANTA"))</f>
        <v>BOGOTA CENTRO</v>
      </c>
      <c r="F442" s="4" t="str">
        <f>IF(B442="","",IFERROR(VLOOKUP(B442, PLANTA_BASE!A:W, 8, FALSE), "DOCENTE / FACILITADOR"))</f>
        <v>DOC ASIS/N/V/TC/IDIOMAS/FUN.ACADE-ADMIN</v>
      </c>
      <c r="G442" s="4" t="str">
        <f>IF(B442="","",IFERROR(VLOOKUP(B442, PLANTA_BASE!A:W, 9, FALSE), "GENERAL"))</f>
        <v>IDIOMAS</v>
      </c>
      <c r="H442" s="2" t="str">
        <f>IF(B442="","",IFERROR(VLOOKUP(B442, PLANTA_BASE!A:W, 17, FALSE), "GENERAL"))</f>
        <v>IDIOMAS</v>
      </c>
    </row>
    <row r="443" spans="1:8" ht="20.100000000000001" customHeight="1" x14ac:dyDescent="0.25">
      <c r="A443" s="5" t="str">
        <f>IF(B443="","",IFERROR(VLOOKUP(B443, PLANTA_BASE!A:W, 2, FALSE), "NO ENCONTRADO EN PLANTA"))</f>
        <v>VIRTUAL</v>
      </c>
      <c r="B443" s="6" t="s">
        <v>890</v>
      </c>
      <c r="C443" s="7" t="s">
        <v>891</v>
      </c>
      <c r="D443" s="5" t="str">
        <f>IF(B443="","",IFERROR(VLOOKUP(B443, PLANTA_BASE!A:W, 5, FALSE), "NO ENCONTRADO EN PLANTA"))</f>
        <v>REGIONAL BOGOTA</v>
      </c>
      <c r="E443" s="5" t="str">
        <f>IF(B443="","",IFERROR(VLOOKUP(B443, PLANTA_BASE!A:W, 6, FALSE), "NO ENCONTRADO EN PLANTA"))</f>
        <v>BOGOTA CENTRO</v>
      </c>
      <c r="F443" s="7" t="str">
        <f>IF(B443="","",IFERROR(VLOOKUP(B443, PLANTA_BASE!A:W, 8, FALSE), "DOCENTE / FACILITADOR"))</f>
        <v>DOC ASOC/N/V/TC/SOCIOHUMANISTI/FUN.ACADE-ADMIN</v>
      </c>
      <c r="G443" s="7" t="str">
        <f>IF(B443="","",IFERROR(VLOOKUP(B443, PLANTA_BASE!A:W, 9, FALSE), "GENERAL"))</f>
        <v>SOCIOHUMANISTICA</v>
      </c>
      <c r="H443" s="5" t="str">
        <f>IF(B443="","",IFERROR(VLOOKUP(B443, PLANTA_BASE!A:W, 17, FALSE), "GENERAL"))</f>
        <v>SOCIOHUMANISTICA</v>
      </c>
    </row>
    <row r="444" spans="1:8" ht="20.100000000000001" customHeight="1" x14ac:dyDescent="0.25">
      <c r="A444" s="2" t="str">
        <f>IF(B444="","",IFERROR(VLOOKUP(B444, PLANTA_BASE!A:W, 2, FALSE), "NO ENCONTRADO EN PLANTA"))</f>
        <v>PRESENCIAL</v>
      </c>
      <c r="B444" s="3" t="s">
        <v>892</v>
      </c>
      <c r="C444" s="4" t="s">
        <v>893</v>
      </c>
      <c r="D444" s="2" t="str">
        <f>IF(B444="","",IFERROR(VLOOKUP(B444, PLANTA_BASE!A:W, 5, FALSE), "NO ENCONTRADO EN PLANTA"))</f>
        <v>REGIONAL BOGOTA</v>
      </c>
      <c r="E444" s="2" t="str">
        <f>IF(B444="","",IFERROR(VLOOKUP(B444, PLANTA_BASE!A:W, 6, FALSE), "NO ENCONTRADO EN PLANTA"))</f>
        <v>BOGOTA CENTRO</v>
      </c>
      <c r="F444" s="4" t="str">
        <f>IF(B444="","",IFERROR(VLOOKUP(B444, PLANTA_BASE!A:W, 8, FALSE), "DOCENTE / FACILITADOR"))</f>
        <v>DOC AUX T&amp;T/N/TC/DIS GRAFICO/FUN.ACADE-ADMIN</v>
      </c>
      <c r="G444" s="4" t="str">
        <f>IF(B444="","",IFERROR(VLOOKUP(B444, PLANTA_BASE!A:W, 9, FALSE), "GENERAL"))</f>
        <v>DISEÑO GRAFICO</v>
      </c>
      <c r="H444" s="2" t="str">
        <f>IF(B444="","",IFERROR(VLOOKUP(B444, PLANTA_BASE!A:W, 17, FALSE), "GENERAL"))</f>
        <v>DISEÑO GRAFICO</v>
      </c>
    </row>
    <row r="445" spans="1:8" ht="20.100000000000001" customHeight="1" x14ac:dyDescent="0.25">
      <c r="A445" s="5" t="str">
        <f>IF(B445="","",IFERROR(VLOOKUP(B445, PLANTA_BASE!A:W, 2, FALSE), "NO ENCONTRADO EN PLANTA"))</f>
        <v>VIRTUAL</v>
      </c>
      <c r="B445" s="6" t="s">
        <v>894</v>
      </c>
      <c r="C445" s="7" t="s">
        <v>895</v>
      </c>
      <c r="D445" s="5" t="str">
        <f>IF(B445="","",IFERROR(VLOOKUP(B445, PLANTA_BASE!A:W, 5, FALSE), "NO ENCONTRADO EN PLANTA"))</f>
        <v>REGIONAL BOGOTA</v>
      </c>
      <c r="E445" s="5" t="str">
        <f>IF(B445="","",IFERROR(VLOOKUP(B445, PLANTA_BASE!A:W, 6, FALSE), "NO ENCONTRADO EN PLANTA"))</f>
        <v>BOGOTA CENTRO</v>
      </c>
      <c r="F445" s="7" t="str">
        <f>IF(B445="","",IFERROR(VLOOKUP(B445, PLANTA_BASE!A:W, 8, FALSE), "DOCENTE / FACILITADOR"))</f>
        <v>DOC ASIS/N/V/TC/ADM DE EMPRE/FUN.ACADE-ADMIN</v>
      </c>
      <c r="G445" s="7" t="str">
        <f>IF(B445="","",IFERROR(VLOOKUP(B445, PLANTA_BASE!A:W, 9, FALSE), "GENERAL"))</f>
        <v>ADMINISTRACION DE EMPRESAS</v>
      </c>
      <c r="H445" s="5" t="str">
        <f>IF(B445="","",IFERROR(VLOOKUP(B445, PLANTA_BASE!A:W, 17, FALSE), "GENERAL"))</f>
        <v>ADMINISTRACION DE EMPRESAS</v>
      </c>
    </row>
    <row r="446" spans="1:8" ht="20.100000000000001" customHeight="1" x14ac:dyDescent="0.25">
      <c r="A446" s="2" t="str">
        <f>IF(B446="","",IFERROR(VLOOKUP(B446, PLANTA_BASE!A:W, 2, FALSE), "NO ENCONTRADO EN PLANTA"))</f>
        <v>VIRTUAL</v>
      </c>
      <c r="B446" s="3" t="s">
        <v>896</v>
      </c>
      <c r="C446" s="4" t="s">
        <v>897</v>
      </c>
      <c r="D446" s="2" t="str">
        <f>IF(B446="","",IFERROR(VLOOKUP(B446, PLANTA_BASE!A:W, 5, FALSE), "NO ENCONTRADO EN PLANTA"))</f>
        <v>REGIONAL BOGOTA</v>
      </c>
      <c r="E446" s="2" t="str">
        <f>IF(B446="","",IFERROR(VLOOKUP(B446, PLANTA_BASE!A:W, 6, FALSE), "NO ENCONTRADO EN PLANTA"))</f>
        <v>BOGOTA CENTRO</v>
      </c>
      <c r="F446" s="4" t="str">
        <f>IF(B446="","",IFERROR(VLOOKUP(B446, PLANTA_BASE!A:W, 8, FALSE), "DOCENTE / FACILITADOR"))</f>
        <v>DOC ASIS/N/V/TC/ADMIN PUBLICA/FUN.ACADE-ADMIN</v>
      </c>
      <c r="G446" s="4" t="str">
        <f>IF(B446="","",IFERROR(VLOOKUP(B446, PLANTA_BASE!A:W, 9, FALSE), "GENERAL"))</f>
        <v>ADMINISTRACION PUBLICA</v>
      </c>
      <c r="H446" s="2" t="str">
        <f>IF(B446="","",IFERROR(VLOOKUP(B446, PLANTA_BASE!A:W, 17, FALSE), "GENERAL"))</f>
        <v>ADMINISTRACION PUBLICA</v>
      </c>
    </row>
    <row r="447" spans="1:8" ht="20.100000000000001" customHeight="1" x14ac:dyDescent="0.25">
      <c r="A447" s="5" t="str">
        <f>IF(B447="","",IFERROR(VLOOKUP(B447, PLANTA_BASE!A:W, 2, FALSE), "NO ENCONTRADO EN PLANTA"))</f>
        <v>VIRTUAL</v>
      </c>
      <c r="B447" s="6" t="s">
        <v>898</v>
      </c>
      <c r="C447" s="7" t="s">
        <v>899</v>
      </c>
      <c r="D447" s="5" t="str">
        <f>IF(B447="","",IFERROR(VLOOKUP(B447, PLANTA_BASE!A:W, 5, FALSE), "NO ENCONTRADO EN PLANTA"))</f>
        <v>REGIONAL BOGOTA</v>
      </c>
      <c r="E447" s="5" t="str">
        <f>IF(B447="","",IFERROR(VLOOKUP(B447, PLANTA_BASE!A:W, 6, FALSE), "NO ENCONTRADO EN PLANTA"))</f>
        <v>BOGOTA CENTRO</v>
      </c>
      <c r="F447" s="7" t="str">
        <f>IF(B447="","",IFERROR(VLOOKUP(B447, PLANTA_BASE!A:W, 8, FALSE), "DOCENTE / FACILITADOR"))</f>
        <v>DOC AUX/N/V/TC/ADMIN PUBLICA/PROYECC SOC</v>
      </c>
      <c r="G447" s="7" t="str">
        <f>IF(B447="","",IFERROR(VLOOKUP(B447, PLANTA_BASE!A:W, 9, FALSE), "GENERAL"))</f>
        <v>ADMINISTRACION PUBLICA</v>
      </c>
      <c r="H447" s="5" t="str">
        <f>IF(B447="","",IFERROR(VLOOKUP(B447, PLANTA_BASE!A:W, 17, FALSE), "GENERAL"))</f>
        <v>ADMINISTRACION PUBLICA</v>
      </c>
    </row>
    <row r="448" spans="1:8" ht="20.100000000000001" customHeight="1" x14ac:dyDescent="0.25">
      <c r="A448" s="2" t="str">
        <f>IF(B448="","",IFERROR(VLOOKUP(B448, PLANTA_BASE!A:W, 2, FALSE), "NO ENCONTRADO EN PLANTA"))</f>
        <v>PRESENCIAL</v>
      </c>
      <c r="B448" s="3" t="s">
        <v>900</v>
      </c>
      <c r="C448" s="4" t="s">
        <v>901</v>
      </c>
      <c r="D448" s="2" t="str">
        <f>IF(B448="","",IFERROR(VLOOKUP(B448, PLANTA_BASE!A:W, 5, FALSE), "NO ENCONTRADO EN PLANTA"))</f>
        <v>REGIONAL BOGOTA</v>
      </c>
      <c r="E448" s="2" t="str">
        <f>IF(B448="","",IFERROR(VLOOKUP(B448, PLANTA_BASE!A:W, 6, FALSE), "NO ENCONTRADO EN PLANTA"))</f>
        <v>BOGOTA CENTRO</v>
      </c>
      <c r="F448" s="4" t="str">
        <f>IF(B448="","",IFERROR(VLOOKUP(B448, PLANTA_BASE!A:W, 8, FALSE), "DOCENTE / FACILITADOR"))</f>
        <v>DOCENTE ASOC/N/TC/INVESTIGACIONES/INVEST</v>
      </c>
      <c r="G448" s="4" t="str">
        <f>IF(B448="","",IFERROR(VLOOKUP(B448, PLANTA_BASE!A:W, 9, FALSE), "GENERAL"))</f>
        <v>INVESTIGACIONES</v>
      </c>
      <c r="H448" s="2" t="str">
        <f>IF(B448="","",IFERROR(VLOOKUP(B448, PLANTA_BASE!A:W, 17, FALSE), "GENERAL"))</f>
        <v>INVESTIGACIONES</v>
      </c>
    </row>
    <row r="449" spans="1:8" ht="20.100000000000001" customHeight="1" x14ac:dyDescent="0.25">
      <c r="A449" s="5" t="str">
        <f>IF(B449="","",IFERROR(VLOOKUP(B449, PLANTA_BASE!A:W, 2, FALSE), "NO ENCONTRADO EN PLANTA"))</f>
        <v>VIRTUAL</v>
      </c>
      <c r="B449" s="6" t="s">
        <v>902</v>
      </c>
      <c r="C449" s="7" t="s">
        <v>903</v>
      </c>
      <c r="D449" s="5" t="str">
        <f>IF(B449="","",IFERROR(VLOOKUP(B449, PLANTA_BASE!A:W, 5, FALSE), "NO ENCONTRADO EN PLANTA"))</f>
        <v>REGIONAL BOGOTA</v>
      </c>
      <c r="E449" s="5" t="str">
        <f>IF(B449="","",IFERROR(VLOOKUP(B449, PLANTA_BASE!A:W, 6, FALSE), "NO ENCONTRADO EN PLANTA"))</f>
        <v>BOGOTA CENTRO</v>
      </c>
      <c r="F449" s="7" t="str">
        <f>IF(B449="","",IFERROR(VLOOKUP(B449, PLANTA_BASE!A:W, 8, FALSE), "DOCENTE / FACILITADOR"))</f>
        <v>DOC ASIS/N/V/MT/CIENCIAS BASI</v>
      </c>
      <c r="G449" s="7" t="str">
        <f>IF(B449="","",IFERROR(VLOOKUP(B449, PLANTA_BASE!A:W, 9, FALSE), "GENERAL"))</f>
        <v>CIENCIAS BASICAS</v>
      </c>
      <c r="H449" s="5" t="str">
        <f>IF(B449="","",IFERROR(VLOOKUP(B449, PLANTA_BASE!A:W, 17, FALSE), "GENERAL"))</f>
        <v>CIENCIAS BASICAS</v>
      </c>
    </row>
    <row r="450" spans="1:8" ht="20.100000000000001" customHeight="1" x14ac:dyDescent="0.25">
      <c r="A450" s="2" t="str">
        <f>IF(B450="","",IFERROR(VLOOKUP(B450, PLANTA_BASE!A:W, 2, FALSE), "NO ENCONTRADO EN PLANTA"))</f>
        <v>VIRTUAL</v>
      </c>
      <c r="B450" s="3" t="s">
        <v>904</v>
      </c>
      <c r="C450" s="4" t="s">
        <v>905</v>
      </c>
      <c r="D450" s="2" t="str">
        <f>IF(B450="","",IFERROR(VLOOKUP(B450, PLANTA_BASE!A:W, 5, FALSE), "NO ENCONTRADO EN PLANTA"))</f>
        <v>REGIONAL BOGOTA</v>
      </c>
      <c r="E450" s="2" t="str">
        <f>IF(B450="","",IFERROR(VLOOKUP(B450, PLANTA_BASE!A:W, 6, FALSE), "NO ENCONTRADO EN PLANTA"))</f>
        <v>BOGOTA CENTRO</v>
      </c>
      <c r="F450" s="4" t="str">
        <f>IF(B450="","",IFERROR(VLOOKUP(B450, PLANTA_BASE!A:W, 8, FALSE), "DOCENTE / FACILITADOR"))</f>
        <v>DOC AUX T&amp;T/N/V/TC/ADM EMP AGROIN/FUN.ACADE-ADMIN</v>
      </c>
      <c r="G450" s="4" t="str">
        <f>IF(B450="","",IFERROR(VLOOKUP(B450, PLANTA_BASE!A:W, 9, FALSE), "GENERAL"))</f>
        <v>ADMINISTRACION DE EMPRESAS</v>
      </c>
      <c r="H450" s="2" t="str">
        <f>IF(B450="","",IFERROR(VLOOKUP(B450, PLANTA_BASE!A:W, 17, FALSE), "GENERAL"))</f>
        <v>ADMINISTRACION DE EMPRESAS</v>
      </c>
    </row>
    <row r="451" spans="1:8" ht="20.100000000000001" customHeight="1" x14ac:dyDescent="0.25">
      <c r="A451" s="5" t="str">
        <f>IF(B451="","",IFERROR(VLOOKUP(B451, PLANTA_BASE!A:W, 2, FALSE), "NO ENCONTRADO EN PLANTA"))</f>
        <v>PRESENCIAL</v>
      </c>
      <c r="B451" s="6" t="s">
        <v>906</v>
      </c>
      <c r="C451" s="7" t="s">
        <v>907</v>
      </c>
      <c r="D451" s="5" t="str">
        <f>IF(B451="","",IFERROR(VLOOKUP(B451, PLANTA_BASE!A:W, 5, FALSE), "NO ENCONTRADO EN PLANTA"))</f>
        <v>REGIONAL BOGOTA</v>
      </c>
      <c r="E451" s="5" t="str">
        <f>IF(B451="","",IFERROR(VLOOKUP(B451, PLANTA_BASE!A:W, 6, FALSE), "NO ENCONTRADO EN PLANTA"))</f>
        <v>BOGOTA CENTRO</v>
      </c>
      <c r="F451" s="7" t="str">
        <f>IF(B451="","",IFERROR(VLOOKUP(B451, PLANTA_BASE!A:W, 8, FALSE), "DOCENTE / FACILITADOR"))</f>
        <v>DOCENTE ASIS/N/TC/INVESTIGA/INVESTIGACIO</v>
      </c>
      <c r="G451" s="7" t="str">
        <f>IF(B451="","",IFERROR(VLOOKUP(B451, PLANTA_BASE!A:W, 9, FALSE), "GENERAL"))</f>
        <v>INVESTIGACIONES</v>
      </c>
      <c r="H451" s="5" t="str">
        <f>IF(B451="","",IFERROR(VLOOKUP(B451, PLANTA_BASE!A:W, 17, FALSE), "GENERAL"))</f>
        <v>INVESTIGACIONES</v>
      </c>
    </row>
    <row r="452" spans="1:8" ht="20.100000000000001" customHeight="1" x14ac:dyDescent="0.25">
      <c r="A452" s="2" t="str">
        <f>IF(B452="","",IFERROR(VLOOKUP(B452, PLANTA_BASE!A:W, 2, FALSE), "NO ENCONTRADO EN PLANTA"))</f>
        <v>PRESENCIAL</v>
      </c>
      <c r="B452" s="3" t="s">
        <v>908</v>
      </c>
      <c r="C452" s="4" t="s">
        <v>909</v>
      </c>
      <c r="D452" s="2" t="str">
        <f>IF(B452="","",IFERROR(VLOOKUP(B452, PLANTA_BASE!A:W, 5, FALSE), "NO ENCONTRADO EN PLANTA"))</f>
        <v>REGIONAL BOGOTA</v>
      </c>
      <c r="E452" s="2" t="str">
        <f>IF(B452="","",IFERROR(VLOOKUP(B452, PLANTA_BASE!A:W, 6, FALSE), "NO ENCONTRADO EN PLANTA"))</f>
        <v>BOGOTA CENTRO</v>
      </c>
      <c r="F452" s="4" t="str">
        <f>IF(B452="","",IFERROR(VLOOKUP(B452, PLANTA_BASE!A:W, 8, FALSE), "DOCENTE / FACILITADOR"))</f>
        <v>DOCENTE ASOC/N/TC/ING ELECTRO/INVESTIGAC</v>
      </c>
      <c r="G452" s="4" t="str">
        <f>IF(B452="","",IFERROR(VLOOKUP(B452, PLANTA_BASE!A:W, 9, FALSE), "GENERAL"))</f>
        <v>INGENIERIA ELECTRONICA</v>
      </c>
      <c r="H452" s="2" t="str">
        <f>IF(B452="","",IFERROR(VLOOKUP(B452, PLANTA_BASE!A:W, 17, FALSE), "GENERAL"))</f>
        <v>INGENIERIA ELECTRONICA</v>
      </c>
    </row>
    <row r="453" spans="1:8" ht="20.100000000000001" customHeight="1" x14ac:dyDescent="0.25">
      <c r="A453" s="5" t="str">
        <f>IF(B453="","",IFERROR(VLOOKUP(B453, PLANTA_BASE!A:W, 2, FALSE), "NO ENCONTRADO EN PLANTA"))</f>
        <v>PRESENCIAL</v>
      </c>
      <c r="B453" s="6" t="s">
        <v>910</v>
      </c>
      <c r="C453" s="7" t="s">
        <v>911</v>
      </c>
      <c r="D453" s="5" t="str">
        <f>IF(B453="","",IFERROR(VLOOKUP(B453, PLANTA_BASE!A:W, 5, FALSE), "NO ENCONTRADO EN PLANTA"))</f>
        <v>REGIONAL BOGOTA</v>
      </c>
      <c r="E453" s="5" t="str">
        <f>IF(B453="","",IFERROR(VLOOKUP(B453, PLANTA_BASE!A:W, 6, FALSE), "NO ENCONTRADO EN PLANTA"))</f>
        <v>BOGOTA CENTRO</v>
      </c>
      <c r="F453" s="7" t="str">
        <f>IF(B453="","",IFERROR(VLOOKUP(B453, PLANTA_BASE!A:W, 8, FALSE), "DOCENTE / FACILITADOR"))</f>
        <v>DOC AUX T&amp;T/N/TC/EMPRENDIMIE/FUN.ACADE-ADMIN</v>
      </c>
      <c r="G453" s="7" t="str">
        <f>IF(B453="","",IFERROR(VLOOKUP(B453, PLANTA_BASE!A:W, 9, FALSE), "GENERAL"))</f>
        <v>EMPRENDIMIENTO</v>
      </c>
      <c r="H453" s="5" t="str">
        <f>IF(B453="","",IFERROR(VLOOKUP(B453, PLANTA_BASE!A:W, 17, FALSE), "GENERAL"))</f>
        <v>EMPRENDIMIENTO</v>
      </c>
    </row>
    <row r="454" spans="1:8" ht="20.100000000000001" customHeight="1" x14ac:dyDescent="0.25">
      <c r="A454" s="2" t="str">
        <f>IF(B454="","",IFERROR(VLOOKUP(B454, PLANTA_BASE!A:W, 2, FALSE), "NO ENCONTRADO EN PLANTA"))</f>
        <v>PRESENCIAL</v>
      </c>
      <c r="B454" s="3" t="s">
        <v>912</v>
      </c>
      <c r="C454" s="4" t="s">
        <v>913</v>
      </c>
      <c r="D454" s="2" t="str">
        <f>IF(B454="","",IFERROR(VLOOKUP(B454, PLANTA_BASE!A:W, 5, FALSE), "NO ENCONTRADO EN PLANTA"))</f>
        <v>REGIONAL BOGOTA</v>
      </c>
      <c r="E454" s="2" t="str">
        <f>IF(B454="","",IFERROR(VLOOKUP(B454, PLANTA_BASE!A:W, 6, FALSE), "NO ENCONTRADO EN PLANTA"))</f>
        <v>BOGOTA SUR</v>
      </c>
      <c r="F454" s="4" t="str">
        <f>IF(B454="","",IFERROR(VLOOKUP(B454, PLANTA_BASE!A:W, 8, FALSE), "DOCENTE / FACILITADOR"))</f>
        <v>DOCENTE ASOC/N/TC/INVESTIGA/INVESTIGACIO</v>
      </c>
      <c r="G454" s="4" t="str">
        <f>IF(B454="","",IFERROR(VLOOKUP(B454, PLANTA_BASE!A:W, 9, FALSE), "GENERAL"))</f>
        <v>INVESTIGACIONES</v>
      </c>
      <c r="H454" s="2" t="str">
        <f>IF(B454="","",IFERROR(VLOOKUP(B454, PLANTA_BASE!A:W, 17, FALSE), "GENERAL"))</f>
        <v>INVESTIGACIONES</v>
      </c>
    </row>
    <row r="455" spans="1:8" ht="20.100000000000001" customHeight="1" x14ac:dyDescent="0.25">
      <c r="A455" s="5" t="str">
        <f>IF(B455="","",IFERROR(VLOOKUP(B455, PLANTA_BASE!A:W, 2, FALSE), "NO ENCONTRADO EN PLANTA"))</f>
        <v>PRESENCIAL</v>
      </c>
      <c r="B455" s="6" t="s">
        <v>914</v>
      </c>
      <c r="C455" s="7" t="s">
        <v>915</v>
      </c>
      <c r="D455" s="5" t="str">
        <f>IF(B455="","",IFERROR(VLOOKUP(B455, PLANTA_BASE!A:W, 5, FALSE), "NO ENCONTRADO EN PLANTA"))</f>
        <v>REGIONAL BOGOTA</v>
      </c>
      <c r="E455" s="5" t="str">
        <f>IF(B455="","",IFERROR(VLOOKUP(B455, PLANTA_BASE!A:W, 6, FALSE), "NO ENCONTRADO EN PLANTA"))</f>
        <v>BOGOTA SUBA</v>
      </c>
      <c r="F455" s="7" t="str">
        <f>IF(B455="","",IFERROR(VLOOKUP(B455, PLANTA_BASE!A:W, 8, FALSE), "DOCENTE / FACILITADOR"))</f>
        <v>DOCENTE AUX/N/MT/ ADM SER SALUD</v>
      </c>
      <c r="G455" s="7" t="str">
        <f>IF(B455="","",IFERROR(VLOOKUP(B455, PLANTA_BASE!A:W, 9, FALSE), "GENERAL"))</f>
        <v>ADMINISTRACION EN SERVICIOS DE SALUD</v>
      </c>
      <c r="H455" s="5" t="str">
        <f>IF(B455="","",IFERROR(VLOOKUP(B455, PLANTA_BASE!A:W, 17, FALSE), "GENERAL"))</f>
        <v>ADMINISTRACION EN SERVICIOS DE SALUD</v>
      </c>
    </row>
    <row r="456" spans="1:8" ht="20.100000000000001" customHeight="1" x14ac:dyDescent="0.25">
      <c r="A456" s="2" t="str">
        <f>IF(B456="","",IFERROR(VLOOKUP(B456, PLANTA_BASE!A:W, 2, FALSE), "NO ENCONTRADO EN PLANTA"))</f>
        <v>PRESENCIAL</v>
      </c>
      <c r="B456" s="3" t="s">
        <v>916</v>
      </c>
      <c r="C456" s="4" t="s">
        <v>917</v>
      </c>
      <c r="D456" s="2" t="str">
        <f>IF(B456="","",IFERROR(VLOOKUP(B456, PLANTA_BASE!A:W, 5, FALSE), "NO ENCONTRADO EN PLANTA"))</f>
        <v>REGIONAL BOGOTA</v>
      </c>
      <c r="E456" s="2" t="str">
        <f>IF(B456="","",IFERROR(VLOOKUP(B456, PLANTA_BASE!A:W, 6, FALSE), "NO ENCONTRADO EN PLANTA"))</f>
        <v>BOGOTA CENTRO</v>
      </c>
      <c r="F456" s="4" t="str">
        <f>IF(B456="","",IFERROR(VLOOKUP(B456, PLANTA_BASE!A:W, 8, FALSE), "DOCENTE / FACILITADOR"))</f>
        <v>DOCENTE ASIS/N/TC/ADM EMP/FUN.ACADE-ADMIN</v>
      </c>
      <c r="G456" s="4" t="str">
        <f>IF(B456="","",IFERROR(VLOOKUP(B456, PLANTA_BASE!A:W, 9, FALSE), "GENERAL"))</f>
        <v>ADMINISTRACION DE EMPRESAS</v>
      </c>
      <c r="H456" s="2" t="str">
        <f>IF(B456="","",IFERROR(VLOOKUP(B456, PLANTA_BASE!A:W, 17, FALSE), "GENERAL"))</f>
        <v>ADMINISTRACION DE EMPRESAS</v>
      </c>
    </row>
    <row r="457" spans="1:8" ht="20.100000000000001" customHeight="1" x14ac:dyDescent="0.25">
      <c r="A457" s="5" t="str">
        <f>IF(B457="","",IFERROR(VLOOKUP(B457, PLANTA_BASE!A:W, 2, FALSE), "NO ENCONTRADO EN PLANTA"))</f>
        <v>VIRTUAL</v>
      </c>
      <c r="B457" s="6" t="s">
        <v>918</v>
      </c>
      <c r="C457" s="7" t="s">
        <v>919</v>
      </c>
      <c r="D457" s="5" t="str">
        <f>IF(B457="","",IFERROR(VLOOKUP(B457, PLANTA_BASE!A:W, 5, FALSE), "NO ENCONTRADO EN PLANTA"))</f>
        <v>REGIONAL BOGOTA</v>
      </c>
      <c r="E457" s="5" t="str">
        <f>IF(B457="","",IFERROR(VLOOKUP(B457, PLANTA_BASE!A:W, 6, FALSE), "NO ENCONTRADO EN PLANTA"))</f>
        <v>BOGOTA CENTRO</v>
      </c>
      <c r="F457" s="7" t="str">
        <f>IF(B457="","",IFERROR(VLOOKUP(B457, PLANTA_BASE!A:W, 8, FALSE), "DOCENTE / FACILITADOR"))</f>
        <v>DOC AUX T&amp;T/N/V/TC/INVESTIGACIONES/INVESTI</v>
      </c>
      <c r="G457" s="7" t="str">
        <f>IF(B457="","",IFERROR(VLOOKUP(B457, PLANTA_BASE!A:W, 9, FALSE), "GENERAL"))</f>
        <v>INVESTIGACIONES</v>
      </c>
      <c r="H457" s="5" t="str">
        <f>IF(B457="","",IFERROR(VLOOKUP(B457, PLANTA_BASE!A:W, 17, FALSE), "GENERAL"))</f>
        <v>INVESTIGACIONES</v>
      </c>
    </row>
    <row r="458" spans="1:8" ht="20.100000000000001" customHeight="1" x14ac:dyDescent="0.25">
      <c r="A458" s="2" t="str">
        <f>IF(B458="","",IFERROR(VLOOKUP(B458, PLANTA_BASE!A:W, 2, FALSE), "NO ENCONTRADO EN PLANTA"))</f>
        <v>PRESENCIAL</v>
      </c>
      <c r="B458" s="3" t="s">
        <v>920</v>
      </c>
      <c r="C458" s="4" t="s">
        <v>921</v>
      </c>
      <c r="D458" s="2" t="str">
        <f>IF(B458="","",IFERROR(VLOOKUP(B458, PLANTA_BASE!A:W, 5, FALSE), "NO ENCONTRADO EN PLANTA"))</f>
        <v>REGIONAL BOGOTA</v>
      </c>
      <c r="E458" s="2" t="str">
        <f>IF(B458="","",IFERROR(VLOOKUP(B458, PLANTA_BASE!A:W, 6, FALSE), "NO ENCONTRADO EN PLANTA"))</f>
        <v>BOGOTA CENTRO</v>
      </c>
      <c r="F458" s="4" t="str">
        <f>IF(B458="","",IFERROR(VLOOKUP(B458, PLANTA_BASE!A:W, 8, FALSE), "DOCENTE / FACILITADOR"))</f>
        <v>DOCENTE AUX/N/TC/INVESTIGA/INVESTIGACION</v>
      </c>
      <c r="G458" s="4" t="str">
        <f>IF(B458="","",IFERROR(VLOOKUP(B458, PLANTA_BASE!A:W, 9, FALSE), "GENERAL"))</f>
        <v>INVESTIGACIONES</v>
      </c>
      <c r="H458" s="2" t="str">
        <f>IF(B458="","",IFERROR(VLOOKUP(B458, PLANTA_BASE!A:W, 17, FALSE), "GENERAL"))</f>
        <v>INVESTIGACIONES</v>
      </c>
    </row>
    <row r="459" spans="1:8" ht="20.100000000000001" customHeight="1" x14ac:dyDescent="0.25">
      <c r="A459" s="5" t="str">
        <f>IF(B459="","",IFERROR(VLOOKUP(B459, PLANTA_BASE!A:W, 2, FALSE), "NO ENCONTRADO EN PLANTA"))</f>
        <v>VIRTUAL</v>
      </c>
      <c r="B459" s="6" t="s">
        <v>922</v>
      </c>
      <c r="C459" s="7" t="s">
        <v>923</v>
      </c>
      <c r="D459" s="5" t="str">
        <f>IF(B459="","",IFERROR(VLOOKUP(B459, PLANTA_BASE!A:W, 5, FALSE), "NO ENCONTRADO EN PLANTA"))</f>
        <v>REGIONAL BOGOTA</v>
      </c>
      <c r="E459" s="5" t="str">
        <f>IF(B459="","",IFERROR(VLOOKUP(B459, PLANTA_BASE!A:W, 6, FALSE), "NO ENCONTRADO EN PLANTA"))</f>
        <v>BOGOTA CENTRO</v>
      </c>
      <c r="F459" s="7" t="str">
        <f>IF(B459="","",IFERROR(VLOOKUP(B459, PLANTA_BASE!A:W, 8, FALSE), "DOCENTE / FACILITADOR"))</f>
        <v>DOC ASOC/N/V/TC/ADMIN PUBLICA/FUN.ACADE-ADMIN</v>
      </c>
      <c r="G459" s="7" t="str">
        <f>IF(B459="","",IFERROR(VLOOKUP(B459, PLANTA_BASE!A:W, 9, FALSE), "GENERAL"))</f>
        <v>ADMINISTRACION PUBLICA</v>
      </c>
      <c r="H459" s="5" t="str">
        <f>IF(B459="","",IFERROR(VLOOKUP(B459, PLANTA_BASE!A:W, 17, FALSE), "GENERAL"))</f>
        <v>ADMINISTRACION PUBLICA</v>
      </c>
    </row>
    <row r="460" spans="1:8" ht="20.100000000000001" customHeight="1" x14ac:dyDescent="0.25">
      <c r="A460" s="2" t="str">
        <f>IF(B460="","",IFERROR(VLOOKUP(B460, PLANTA_BASE!A:W, 2, FALSE), "NO ENCONTRADO EN PLANTA"))</f>
        <v>PRESENCIAL</v>
      </c>
      <c r="B460" s="3" t="s">
        <v>924</v>
      </c>
      <c r="C460" s="4" t="s">
        <v>925</v>
      </c>
      <c r="D460" s="2" t="str">
        <f>IF(B460="","",IFERROR(VLOOKUP(B460, PLANTA_BASE!A:W, 5, FALSE), "NO ENCONTRADO EN PLANTA"))</f>
        <v>REGIONAL BOGOTA</v>
      </c>
      <c r="E460" s="2" t="str">
        <f>IF(B460="","",IFERROR(VLOOKUP(B460, PLANTA_BASE!A:W, 6, FALSE), "NO ENCONTRADO EN PLANTA"))</f>
        <v>BOGOTA CENTRO</v>
      </c>
      <c r="F460" s="4" t="str">
        <f>IF(B460="","",IFERROR(VLOOKUP(B460, PLANTA_BASE!A:W, 8, FALSE), "DOCENTE / FACILITADOR"))</f>
        <v>DOC AUX T&amp;T/N/TC/DIS PROD MOD/FUN.ACADE-ADMIN</v>
      </c>
      <c r="G460" s="4" t="str">
        <f>IF(B460="","",IFERROR(VLOOKUP(B460, PLANTA_BASE!A:W, 9, FALSE), "GENERAL"))</f>
        <v>DISEÑO Y PRODUCCION DE MODAS</v>
      </c>
      <c r="H460" s="2" t="str">
        <f>IF(B460="","",IFERROR(VLOOKUP(B460, PLANTA_BASE!A:W, 17, FALSE), "GENERAL"))</f>
        <v>DISEÑO Y PRODUCCION DE MODAS</v>
      </c>
    </row>
    <row r="461" spans="1:8" ht="20.100000000000001" customHeight="1" x14ac:dyDescent="0.25">
      <c r="A461" s="5" t="str">
        <f>IF(B461="","",IFERROR(VLOOKUP(B461, PLANTA_BASE!A:W, 2, FALSE), "NO ENCONTRADO EN PLANTA"))</f>
        <v>VIRTUAL</v>
      </c>
      <c r="B461" s="6" t="s">
        <v>926</v>
      </c>
      <c r="C461" s="7" t="s">
        <v>927</v>
      </c>
      <c r="D461" s="5" t="str">
        <f>IF(B461="","",IFERROR(VLOOKUP(B461, PLANTA_BASE!A:W, 5, FALSE), "NO ENCONTRADO EN PLANTA"))</f>
        <v>REGIONAL BOGOTA</v>
      </c>
      <c r="E461" s="5" t="str">
        <f>IF(B461="","",IFERROR(VLOOKUP(B461, PLANTA_BASE!A:W, 6, FALSE), "NO ENCONTRADO EN PLANTA"))</f>
        <v>BOGOTA CENTRO</v>
      </c>
      <c r="F461" s="7" t="str">
        <f>IF(B461="","",IFERROR(VLOOKUP(B461, PLANTA_BASE!A:W, 8, FALSE), "DOCENTE / FACILITADOR"))</f>
        <v>DOC AUX/N/V/TC/ING DE SISTEMAS/FUN.ACADE-ADMIN</v>
      </c>
      <c r="G461" s="7" t="str">
        <f>IF(B461="","",IFERROR(VLOOKUP(B461, PLANTA_BASE!A:W, 9, FALSE), "GENERAL"))</f>
        <v>INGENIERIA DE SISTEMAS</v>
      </c>
      <c r="H461" s="5" t="str">
        <f>IF(B461="","",IFERROR(VLOOKUP(B461, PLANTA_BASE!A:W, 17, FALSE), "GENERAL"))</f>
        <v>INGENIERIA DE SISTEMAS</v>
      </c>
    </row>
    <row r="462" spans="1:8" ht="20.100000000000001" customHeight="1" x14ac:dyDescent="0.25">
      <c r="A462" s="2" t="str">
        <f>IF(B462="","",IFERROR(VLOOKUP(B462, PLANTA_BASE!A:W, 2, FALSE), "NO ENCONTRADO EN PLANTA"))</f>
        <v>PRESENCIAL</v>
      </c>
      <c r="B462" s="3" t="s">
        <v>928</v>
      </c>
      <c r="C462" s="4" t="s">
        <v>929</v>
      </c>
      <c r="D462" s="2" t="str">
        <f>IF(B462="","",IFERROR(VLOOKUP(B462, PLANTA_BASE!A:W, 5, FALSE), "NO ENCONTRADO EN PLANTA"))</f>
        <v>REGIONAL BOGOTA</v>
      </c>
      <c r="E462" s="2" t="str">
        <f>IF(B462="","",IFERROR(VLOOKUP(B462, PLANTA_BASE!A:W, 6, FALSE), "NO ENCONTRADO EN PLANTA"))</f>
        <v>BOGOTA CENTRO</v>
      </c>
      <c r="F462" s="4" t="str">
        <f>IF(B462="","",IFERROR(VLOOKUP(B462, PLANTA_BASE!A:W, 8, FALSE), "DOCENTE / FACILITADOR"))</f>
        <v>DOC AUX T&amp;T/N/TC/CIEN BASI/FUN.ACADE-ADMIN</v>
      </c>
      <c r="G462" s="4" t="str">
        <f>IF(B462="","",IFERROR(VLOOKUP(B462, PLANTA_BASE!A:W, 9, FALSE), "GENERAL"))</f>
        <v>CIENCIAS BASICAS</v>
      </c>
      <c r="H462" s="2" t="str">
        <f>IF(B462="","",IFERROR(VLOOKUP(B462, PLANTA_BASE!A:W, 17, FALSE), "GENERAL"))</f>
        <v>CIENCIAS BASICAS</v>
      </c>
    </row>
    <row r="463" spans="1:8" ht="20.100000000000001" customHeight="1" x14ac:dyDescent="0.25">
      <c r="A463" s="5" t="str">
        <f>IF(B463="","",IFERROR(VLOOKUP(B463, PLANTA_BASE!A:W, 2, FALSE), "NO ENCONTRADO EN PLANTA"))</f>
        <v>VIRTUAL</v>
      </c>
      <c r="B463" s="6" t="s">
        <v>930</v>
      </c>
      <c r="C463" s="7" t="s">
        <v>931</v>
      </c>
      <c r="D463" s="5" t="str">
        <f>IF(B463="","",IFERROR(VLOOKUP(B463, PLANTA_BASE!A:W, 5, FALSE), "NO ENCONTRADO EN PLANTA"))</f>
        <v>REGIONAL BOGOTA</v>
      </c>
      <c r="E463" s="5" t="str">
        <f>IF(B463="","",IFERROR(VLOOKUP(B463, PLANTA_BASE!A:W, 6, FALSE), "NO ENCONTRADO EN PLANTA"))</f>
        <v>BOGOTA CENTRO</v>
      </c>
      <c r="F463" s="7" t="str">
        <f>IF(B463="","",IFERROR(VLOOKUP(B463, PLANTA_BASE!A:W, 8, FALSE), "DOCENTE / FACILITADOR"))</f>
        <v>DOC ASIS/N/V/TC/ADM DE EMPRE/FUN.ACADE-ADMIN</v>
      </c>
      <c r="G463" s="7" t="str">
        <f>IF(B463="","",IFERROR(VLOOKUP(B463, PLANTA_BASE!A:W, 9, FALSE), "GENERAL"))</f>
        <v>ADMINISTRACION DE EMPRESAS</v>
      </c>
      <c r="H463" s="5" t="str">
        <f>IF(B463="","",IFERROR(VLOOKUP(B463, PLANTA_BASE!A:W, 17, FALSE), "GENERAL"))</f>
        <v>ADMINISTRACION DE EMPRESAS</v>
      </c>
    </row>
    <row r="464" spans="1:8" ht="20.100000000000001" customHeight="1" x14ac:dyDescent="0.25">
      <c r="A464" s="2" t="str">
        <f>IF(B464="","",IFERROR(VLOOKUP(B464, PLANTA_BASE!A:W, 2, FALSE), "NO ENCONTRADO EN PLANTA"))</f>
        <v>VIRTUAL</v>
      </c>
      <c r="B464" s="3" t="s">
        <v>932</v>
      </c>
      <c r="C464" s="4" t="s">
        <v>933</v>
      </c>
      <c r="D464" s="2" t="str">
        <f>IF(B464="","",IFERROR(VLOOKUP(B464, PLANTA_BASE!A:W, 5, FALSE), "NO ENCONTRADO EN PLANTA"))</f>
        <v>REGIONAL BOGOTA</v>
      </c>
      <c r="E464" s="2" t="str">
        <f>IF(B464="","",IFERROR(VLOOKUP(B464, PLANTA_BASE!A:W, 6, FALSE), "NO ENCONTRADO EN PLANTA"))</f>
        <v>BOGOTA CENTRO</v>
      </c>
      <c r="F464" s="4" t="str">
        <f>IF(B464="","",IFERROR(VLOOKUP(B464, PLANTA_BASE!A:W, 8, FALSE), "DOCENTE / FACILITADOR"))</f>
        <v>DOC ASIS/N/V/TC/ESP CONTRA ESTATAL/FUN.A</v>
      </c>
      <c r="G464" s="4" t="str">
        <f>IF(B464="","",IFERROR(VLOOKUP(B464, PLANTA_BASE!A:W, 9, FALSE), "GENERAL"))</f>
        <v>ESPECIALIZACION DE CONTRATACION ESTATAL</v>
      </c>
      <c r="H464" s="2" t="str">
        <f>IF(B464="","",IFERROR(VLOOKUP(B464, PLANTA_BASE!A:W, 17, FALSE), "GENERAL"))</f>
        <v>ESPECIALIZACION DE CONTRATACION ESTATAL</v>
      </c>
    </row>
    <row r="465" spans="1:8" ht="20.100000000000001" customHeight="1" x14ac:dyDescent="0.25">
      <c r="A465" s="5" t="str">
        <f>IF(B465="","",IFERROR(VLOOKUP(B465, PLANTA_BASE!A:W, 2, FALSE), "NO ENCONTRADO EN PLANTA"))</f>
        <v>VIRTUAL</v>
      </c>
      <c r="B465" s="6" t="s">
        <v>934</v>
      </c>
      <c r="C465" s="7" t="s">
        <v>935</v>
      </c>
      <c r="D465" s="5" t="str">
        <f>IF(B465="","",IFERROR(VLOOKUP(B465, PLANTA_BASE!A:W, 5, FALSE), "NO ENCONTRADO EN PLANTA"))</f>
        <v>REGIONAL BOGOTA</v>
      </c>
      <c r="E465" s="5" t="str">
        <f>IF(B465="","",IFERROR(VLOOKUP(B465, PLANTA_BASE!A:W, 6, FALSE), "NO ENCONTRADO EN PLANTA"))</f>
        <v>BOGOTA CENTRO</v>
      </c>
      <c r="F465" s="7" t="str">
        <f>IF(B465="","",IFERROR(VLOOKUP(B465, PLANTA_BASE!A:W, 8, FALSE), "DOCENTE / FACILITADOR"))</f>
        <v>DOC AUX/N/V/TC/ESP GER FINAN/PROYECC</v>
      </c>
      <c r="G465" s="7" t="str">
        <f>IF(B465="","",IFERROR(VLOOKUP(B465, PLANTA_BASE!A:W, 9, FALSE), "GENERAL"))</f>
        <v>ESPECIALIZACION EN GERENCIA FINANCIERA</v>
      </c>
      <c r="H465" s="5" t="str">
        <f>IF(B465="","",IFERROR(VLOOKUP(B465, PLANTA_BASE!A:W, 17, FALSE), "GENERAL"))</f>
        <v>ESPECIALIZACION EN GERENCIA FINANCIERA</v>
      </c>
    </row>
    <row r="466" spans="1:8" ht="20.100000000000001" customHeight="1" x14ac:dyDescent="0.25">
      <c r="A466" s="2" t="str">
        <f>IF(B466="","",IFERROR(VLOOKUP(B466, PLANTA_BASE!A:W, 2, FALSE), "NO ENCONTRADO EN PLANTA"))</f>
        <v>PRESENCIAL</v>
      </c>
      <c r="B466" s="3" t="s">
        <v>936</v>
      </c>
      <c r="C466" s="4" t="s">
        <v>937</v>
      </c>
      <c r="D466" s="2" t="str">
        <f>IF(B466="","",IFERROR(VLOOKUP(B466, PLANTA_BASE!A:W, 5, FALSE), "NO ENCONTRADO EN PLANTA"))</f>
        <v>REGIONAL BOGOTA</v>
      </c>
      <c r="E466" s="2" t="str">
        <f>IF(B466="","",IFERROR(VLOOKUP(B466, PLANTA_BASE!A:W, 6, FALSE), "NO ENCONTRADO EN PLANTA"))</f>
        <v>BOGOTA CENTRO</v>
      </c>
      <c r="F466" s="4" t="str">
        <f>IF(B466="","",IFERROR(VLOOKUP(B466, PLANTA_BASE!A:W, 8, FALSE), "DOCENTE / FACILITADOR"))</f>
        <v>DOCENTE ASIS/N/TC/INVESTIGA/INVESTIGACIO</v>
      </c>
      <c r="G466" s="4" t="str">
        <f>IF(B466="","",IFERROR(VLOOKUP(B466, PLANTA_BASE!A:W, 9, FALSE), "GENERAL"))</f>
        <v>INVESTIGACIONES</v>
      </c>
      <c r="H466" s="2" t="str">
        <f>IF(B466="","",IFERROR(VLOOKUP(B466, PLANTA_BASE!A:W, 17, FALSE), "GENERAL"))</f>
        <v>INVESTIGACIONES</v>
      </c>
    </row>
    <row r="467" spans="1:8" ht="20.100000000000001" customHeight="1" x14ac:dyDescent="0.25">
      <c r="A467" s="5" t="str">
        <f>IF(B467="","",IFERROR(VLOOKUP(B467, PLANTA_BASE!A:W, 2, FALSE), "NO ENCONTRADO EN PLANTA"))</f>
        <v>PRESENCIAL</v>
      </c>
      <c r="B467" s="6" t="s">
        <v>938</v>
      </c>
      <c r="C467" s="7" t="s">
        <v>939</v>
      </c>
      <c r="D467" s="5" t="str">
        <f>IF(B467="","",IFERROR(VLOOKUP(B467, PLANTA_BASE!A:W, 5, FALSE), "NO ENCONTRADO EN PLANTA"))</f>
        <v>REGIONAL BOGOTA</v>
      </c>
      <c r="E467" s="5" t="str">
        <f>IF(B467="","",IFERROR(VLOOKUP(B467, PLANTA_BASE!A:W, 6, FALSE), "NO ENCONTRADO EN PLANTA"))</f>
        <v>BOGOTA CENTRO</v>
      </c>
      <c r="F467" s="7" t="str">
        <f>IF(B467="","",IFERROR(VLOOKUP(B467, PLANTA_BASE!A:W, 8, FALSE), "DOCENTE / FACILITADOR"))</f>
        <v>DOCENTE ASIS/N/TC/INVESTIGA/INVESTIGACIO</v>
      </c>
      <c r="G467" s="7" t="str">
        <f>IF(B467="","",IFERROR(VLOOKUP(B467, PLANTA_BASE!A:W, 9, FALSE), "GENERAL"))</f>
        <v>INVESTIGACIONES</v>
      </c>
      <c r="H467" s="5" t="str">
        <f>IF(B467="","",IFERROR(VLOOKUP(B467, PLANTA_BASE!A:W, 17, FALSE), "GENERAL"))</f>
        <v>INVESTIGACIONES</v>
      </c>
    </row>
    <row r="468" spans="1:8" ht="20.100000000000001" customHeight="1" x14ac:dyDescent="0.25">
      <c r="A468" s="2" t="str">
        <f>IF(B468="","",IFERROR(VLOOKUP(B468, PLANTA_BASE!A:W, 2, FALSE), "NO ENCONTRADO EN PLANTA"))</f>
        <v>VIRTUAL</v>
      </c>
      <c r="B468" s="3" t="s">
        <v>940</v>
      </c>
      <c r="C468" s="4" t="s">
        <v>941</v>
      </c>
      <c r="D468" s="2" t="str">
        <f>IF(B468="","",IFERROR(VLOOKUP(B468, PLANTA_BASE!A:W, 5, FALSE), "NO ENCONTRADO EN PLANTA"))</f>
        <v>REGIONAL BOGOTA</v>
      </c>
      <c r="E468" s="2" t="str">
        <f>IF(B468="","",IFERROR(VLOOKUP(B468, PLANTA_BASE!A:W, 6, FALSE), "NO ENCONTRADO EN PLANTA"))</f>
        <v>BOGOTA CENTRO</v>
      </c>
      <c r="F468" s="4" t="str">
        <f>IF(B468="","",IFERROR(VLOOKUP(B468, PLANTA_BASE!A:W, 8, FALSE), "DOCENTE / FACILITADOR"))</f>
        <v>DOC TITU/N/V/TC/INVESTIGACIONES/INVESTIG</v>
      </c>
      <c r="G468" s="4" t="str">
        <f>IF(B468="","",IFERROR(VLOOKUP(B468, PLANTA_BASE!A:W, 9, FALSE), "GENERAL"))</f>
        <v>INVESTIGACIONES</v>
      </c>
      <c r="H468" s="2" t="str">
        <f>IF(B468="","",IFERROR(VLOOKUP(B468, PLANTA_BASE!A:W, 17, FALSE), "GENERAL"))</f>
        <v>INVESTIGACIONES</v>
      </c>
    </row>
    <row r="469" spans="1:8" ht="20.100000000000001" customHeight="1" x14ac:dyDescent="0.25">
      <c r="A469" s="5" t="str">
        <f>IF(B469="","",IFERROR(VLOOKUP(B469, PLANTA_BASE!A:W, 2, FALSE), "NO ENCONTRADO EN PLANTA"))</f>
        <v>VIRTUAL</v>
      </c>
      <c r="B469" s="6" t="s">
        <v>942</v>
      </c>
      <c r="C469" s="7" t="s">
        <v>943</v>
      </c>
      <c r="D469" s="5" t="str">
        <f>IF(B469="","",IFERROR(VLOOKUP(B469, PLANTA_BASE!A:W, 5, FALSE), "NO ENCONTRADO EN PLANTA"))</f>
        <v>REGIONAL BOGOTA</v>
      </c>
      <c r="E469" s="5" t="str">
        <f>IF(B469="","",IFERROR(VLOOKUP(B469, PLANTA_BASE!A:W, 6, FALSE), "NO ENCONTRADO EN PLANTA"))</f>
        <v>BOGOTA CENTRO</v>
      </c>
      <c r="F469" s="7" t="str">
        <f>IF(B469="","",IFERROR(VLOOKUP(B469, PLANTA_BASE!A:W, 8, FALSE), "DOCENTE / FACILITADOR"))</f>
        <v>DOC ASIS/N/V/MT/NEG INTER</v>
      </c>
      <c r="G469" s="7" t="str">
        <f>IF(B469="","",IFERROR(VLOOKUP(B469, PLANTA_BASE!A:W, 9, FALSE), "GENERAL"))</f>
        <v>NEGOCIOS INTERNACIONALES</v>
      </c>
      <c r="H469" s="5" t="str">
        <f>IF(B469="","",IFERROR(VLOOKUP(B469, PLANTA_BASE!A:W, 17, FALSE), "GENERAL"))</f>
        <v>NEGOCIOS INTERNACIONALES</v>
      </c>
    </row>
    <row r="470" spans="1:8" ht="20.100000000000001" customHeight="1" x14ac:dyDescent="0.25">
      <c r="A470" s="2" t="str">
        <f>IF(B470="","",IFERROR(VLOOKUP(B470, PLANTA_BASE!A:W, 2, FALSE), "NO ENCONTRADO EN PLANTA"))</f>
        <v>VIRTUAL</v>
      </c>
      <c r="B470" s="3" t="s">
        <v>944</v>
      </c>
      <c r="C470" s="4" t="s">
        <v>945</v>
      </c>
      <c r="D470" s="2" t="str">
        <f>IF(B470="","",IFERROR(VLOOKUP(B470, PLANTA_BASE!A:W, 5, FALSE), "NO ENCONTRADO EN PLANTA"))</f>
        <v>REGIONAL BOGOTA</v>
      </c>
      <c r="E470" s="2" t="str">
        <f>IF(B470="","",IFERROR(VLOOKUP(B470, PLANTA_BASE!A:W, 6, FALSE), "NO ENCONTRADO EN PLANTA"))</f>
        <v>BOGOTA CENTRO</v>
      </c>
      <c r="F470" s="4" t="str">
        <f>IF(B470="","",IFERROR(VLOOKUP(B470, PLANTA_BASE!A:W, 8, FALSE), "DOCENTE / FACILITADOR"))</f>
        <v>DOC AUX T&amp;T/N/V/TC/ESP SEG SALUD TRAB/FU</v>
      </c>
      <c r="G470" s="4" t="str">
        <f>IF(B470="","",IFERROR(VLOOKUP(B470, PLANTA_BASE!A:W, 9, FALSE), "GENERAL"))</f>
        <v>ESPECIALIZACION EN SEGURIDAD Y SALUD EN EL TRABAJO</v>
      </c>
      <c r="H470" s="2" t="str">
        <f>IF(B470="","",IFERROR(VLOOKUP(B470, PLANTA_BASE!A:W, 17, FALSE), "GENERAL"))</f>
        <v>ESPECIALIZACION EN SEGURIDAD Y SALUD EN EL TRABAJO</v>
      </c>
    </row>
    <row r="471" spans="1:8" ht="20.100000000000001" customHeight="1" x14ac:dyDescent="0.25">
      <c r="A471" s="5" t="str">
        <f>IF(B471="","",IFERROR(VLOOKUP(B471, PLANTA_BASE!A:W, 2, FALSE), "NO ENCONTRADO EN PLANTA"))</f>
        <v>PRESENCIAL</v>
      </c>
      <c r="B471" s="6" t="s">
        <v>946</v>
      </c>
      <c r="C471" s="7" t="s">
        <v>947</v>
      </c>
      <c r="D471" s="5" t="str">
        <f>IF(B471="","",IFERROR(VLOOKUP(B471, PLANTA_BASE!A:W, 5, FALSE), "NO ENCONTRADO EN PLANTA"))</f>
        <v>REGIONAL BOGOTA</v>
      </c>
      <c r="E471" s="5" t="str">
        <f>IF(B471="","",IFERROR(VLOOKUP(B471, PLANTA_BASE!A:W, 6, FALSE), "NO ENCONTRADO EN PLANTA"))</f>
        <v>BOGOTA CENTRO</v>
      </c>
      <c r="F471" s="7" t="str">
        <f>IF(B471="","",IFERROR(VLOOKUP(B471, PLANTA_BASE!A:W, 8, FALSE), "DOCENTE / FACILITADOR"))</f>
        <v>DOC AUX T&amp;T/N/TC/EMPRENDIMIE/FUN.ACADE-ADMIN</v>
      </c>
      <c r="G471" s="7" t="str">
        <f>IF(B471="","",IFERROR(VLOOKUP(B471, PLANTA_BASE!A:W, 9, FALSE), "GENERAL"))</f>
        <v>EMPRENDIMIENTO</v>
      </c>
      <c r="H471" s="5" t="str">
        <f>IF(B471="","",IFERROR(VLOOKUP(B471, PLANTA_BASE!A:W, 17, FALSE), "GENERAL"))</f>
        <v>EMPRENDIMIENTO</v>
      </c>
    </row>
    <row r="472" spans="1:8" ht="20.100000000000001" customHeight="1" x14ac:dyDescent="0.25">
      <c r="A472" s="2" t="str">
        <f>IF(B472="","",IFERROR(VLOOKUP(B472, PLANTA_BASE!A:W, 2, FALSE), "NO ENCONTRADO EN PLANTA"))</f>
        <v>PRESENCIAL</v>
      </c>
      <c r="B472" s="3" t="s">
        <v>948</v>
      </c>
      <c r="C472" s="4" t="s">
        <v>949</v>
      </c>
      <c r="D472" s="2" t="str">
        <f>IF(B472="","",IFERROR(VLOOKUP(B472, PLANTA_BASE!A:W, 5, FALSE), "NO ENCONTRADO EN PLANTA"))</f>
        <v>REGIONAL BOGOTA</v>
      </c>
      <c r="E472" s="2" t="str">
        <f>IF(B472="","",IFERROR(VLOOKUP(B472, PLANTA_BASE!A:W, 6, FALSE), "NO ENCONTRADO EN PLANTA"))</f>
        <v>BOGOTA CENTRO</v>
      </c>
      <c r="F472" s="4" t="str">
        <f>IF(B472="","",IFERROR(VLOOKUP(B472, PLANTA_BASE!A:W, 8, FALSE), "DOCENTE / FACILITADOR"))</f>
        <v>DOC AUX T&amp;T/N/TC/ING ELECTRO/FUN.ACADE-ADMIN</v>
      </c>
      <c r="G472" s="4" t="str">
        <f>IF(B472="","",IFERROR(VLOOKUP(B472, PLANTA_BASE!A:W, 9, FALSE), "GENERAL"))</f>
        <v>INGENIERIA ELECTRONICA</v>
      </c>
      <c r="H472" s="2" t="str">
        <f>IF(B472="","",IFERROR(VLOOKUP(B472, PLANTA_BASE!A:W, 17, FALSE), "GENERAL"))</f>
        <v>INGENIERIA ELECTRONICA</v>
      </c>
    </row>
    <row r="473" spans="1:8" ht="20.100000000000001" customHeight="1" x14ac:dyDescent="0.25">
      <c r="A473" s="5" t="str">
        <f>IF(B473="","",IFERROR(VLOOKUP(B473, PLANTA_BASE!A:W, 2, FALSE), "NO ENCONTRADO EN PLANTA"))</f>
        <v>PRESENCIAL</v>
      </c>
      <c r="B473" s="6" t="s">
        <v>950</v>
      </c>
      <c r="C473" s="7" t="s">
        <v>951</v>
      </c>
      <c r="D473" s="5" t="str">
        <f>IF(B473="","",IFERROR(VLOOKUP(B473, PLANTA_BASE!A:W, 5, FALSE), "NO ENCONTRADO EN PLANTA"))</f>
        <v>REGIONAL BOGOTA</v>
      </c>
      <c r="E473" s="5" t="str">
        <f>IF(B473="","",IFERROR(VLOOKUP(B473, PLANTA_BASE!A:W, 6, FALSE), "NO ENCONTRADO EN PLANTA"))</f>
        <v>BOGOTA CENTRO</v>
      </c>
      <c r="F473" s="7" t="str">
        <f>IF(B473="","",IFERROR(VLOOKUP(B473, PLANTA_BASE!A:W, 8, FALSE), "DOCENTE / FACILITADOR"))</f>
        <v>DOC AUX T&amp;T/N/TC/EMPRENDIMIE/FUN.ACADE-ADMIN</v>
      </c>
      <c r="G473" s="7" t="str">
        <f>IF(B473="","",IFERROR(VLOOKUP(B473, PLANTA_BASE!A:W, 9, FALSE), "GENERAL"))</f>
        <v>EMPRENDIMIENTO</v>
      </c>
      <c r="H473" s="5" t="str">
        <f>IF(B473="","",IFERROR(VLOOKUP(B473, PLANTA_BASE!A:W, 17, FALSE), "GENERAL"))</f>
        <v>EMPRENDIMIENTO</v>
      </c>
    </row>
    <row r="474" spans="1:8" ht="20.100000000000001" customHeight="1" x14ac:dyDescent="0.25">
      <c r="A474" s="2" t="str">
        <f>IF(B474="","",IFERROR(VLOOKUP(B474, PLANTA_BASE!A:W, 2, FALSE), "NO ENCONTRADO EN PLANTA"))</f>
        <v>VIRTUAL</v>
      </c>
      <c r="B474" s="3" t="s">
        <v>952</v>
      </c>
      <c r="C474" s="4" t="s">
        <v>953</v>
      </c>
      <c r="D474" s="2" t="str">
        <f>IF(B474="","",IFERROR(VLOOKUP(B474, PLANTA_BASE!A:W, 5, FALSE), "NO ENCONTRADO EN PLANTA"))</f>
        <v>REGIONAL BOGOTA</v>
      </c>
      <c r="E474" s="2" t="str">
        <f>IF(B474="","",IFERROR(VLOOKUP(B474, PLANTA_BASE!A:W, 6, FALSE), "NO ENCONTRADO EN PLANTA"))</f>
        <v>BOGOTA CENTRO</v>
      </c>
      <c r="F474" s="4" t="str">
        <f>IF(B474="","",IFERROR(VLOOKUP(B474, PLANTA_BASE!A:W, 8, FALSE), "DOCENTE / FACILITADOR"))</f>
        <v>DOC AUX/N/V/MT/CONTADURIA</v>
      </c>
      <c r="G474" s="4" t="str">
        <f>IF(B474="","",IFERROR(VLOOKUP(B474, PLANTA_BASE!A:W, 9, FALSE), "GENERAL"))</f>
        <v>CONTADURIA PUBLICA</v>
      </c>
      <c r="H474" s="2" t="str">
        <f>IF(B474="","",IFERROR(VLOOKUP(B474, PLANTA_BASE!A:W, 17, FALSE), "GENERAL"))</f>
        <v>CONTADURIA PUBLICA</v>
      </c>
    </row>
    <row r="475" spans="1:8" ht="20.100000000000001" customHeight="1" x14ac:dyDescent="0.25">
      <c r="A475" s="5" t="str">
        <f>IF(B475="","",IFERROR(VLOOKUP(B475, PLANTA_BASE!A:W, 2, FALSE), "NO ENCONTRADO EN PLANTA"))</f>
        <v>PRESENCIAL</v>
      </c>
      <c r="B475" s="6" t="s">
        <v>954</v>
      </c>
      <c r="C475" s="7" t="s">
        <v>955</v>
      </c>
      <c r="D475" s="5" t="str">
        <f>IF(B475="","",IFERROR(VLOOKUP(B475, PLANTA_BASE!A:W, 5, FALSE), "NO ENCONTRADO EN PLANTA"))</f>
        <v>REGIONAL BOGOTA</v>
      </c>
      <c r="E475" s="5" t="str">
        <f>IF(B475="","",IFERROR(VLOOKUP(B475, PLANTA_BASE!A:W, 6, FALSE), "NO ENCONTRADO EN PLANTA"))</f>
        <v>BOGOTA CENTRO</v>
      </c>
      <c r="F475" s="7" t="str">
        <f>IF(B475="","",IFERROR(VLOOKUP(B475, PLANTA_BASE!A:W, 8, FALSE), "DOCENTE / FACILITADOR"))</f>
        <v>DOC AUX T&amp;T/N/TC/NEGO INTER/FUN.ACADE-ADMIN</v>
      </c>
      <c r="G475" s="7" t="str">
        <f>IF(B475="","",IFERROR(VLOOKUP(B475, PLANTA_BASE!A:W, 9, FALSE), "GENERAL"))</f>
        <v>NEGOCIOS INTERNACIONALES</v>
      </c>
      <c r="H475" s="5" t="str">
        <f>IF(B475="","",IFERROR(VLOOKUP(B475, PLANTA_BASE!A:W, 17, FALSE), "GENERAL"))</f>
        <v>NEGOCIOS INTERNACIONALES</v>
      </c>
    </row>
    <row r="476" spans="1:8" ht="20.100000000000001" customHeight="1" x14ac:dyDescent="0.25">
      <c r="A476" s="2" t="str">
        <f>IF(B476="","",IFERROR(VLOOKUP(B476, PLANTA_BASE!A:W, 2, FALSE), "NO ENCONTRADO EN PLANTA"))</f>
        <v>PRESENCIAL</v>
      </c>
      <c r="B476" s="3" t="s">
        <v>956</v>
      </c>
      <c r="C476" s="4" t="s">
        <v>957</v>
      </c>
      <c r="D476" s="2" t="str">
        <f>IF(B476="","",IFERROR(VLOOKUP(B476, PLANTA_BASE!A:W, 5, FALSE), "NO ENCONTRADO EN PLANTA"))</f>
        <v>REGIONAL BOGOTA</v>
      </c>
      <c r="E476" s="2" t="str">
        <f>IF(B476="","",IFERROR(VLOOKUP(B476, PLANTA_BASE!A:W, 6, FALSE), "NO ENCONTRADO EN PLANTA"))</f>
        <v>BOGOTA CENTRO</v>
      </c>
      <c r="F476" s="4" t="str">
        <f>IF(B476="","",IFERROR(VLOOKUP(B476, PLANTA_BASE!A:W, 8, FALSE), "DOCENTE / FACILITADOR"))</f>
        <v>DOCENTE AUX/N/TC/CONT PUBL/FUN.ACADE-ADMIN</v>
      </c>
      <c r="G476" s="4" t="str">
        <f>IF(B476="","",IFERROR(VLOOKUP(B476, PLANTA_BASE!A:W, 9, FALSE), "GENERAL"))</f>
        <v>CONTADURIA PUBLICA</v>
      </c>
      <c r="H476" s="2" t="str">
        <f>IF(B476="","",IFERROR(VLOOKUP(B476, PLANTA_BASE!A:W, 17, FALSE), "GENERAL"))</f>
        <v>CONTADURIA PUBLICA</v>
      </c>
    </row>
    <row r="477" spans="1:8" ht="20.100000000000001" customHeight="1" x14ac:dyDescent="0.25">
      <c r="A477" s="5" t="str">
        <f>IF(B477="","",IFERROR(VLOOKUP(B477, PLANTA_BASE!A:W, 2, FALSE), "NO ENCONTRADO EN PLANTA"))</f>
        <v>PRESENCIAL</v>
      </c>
      <c r="B477" s="6" t="s">
        <v>958</v>
      </c>
      <c r="C477" s="7" t="s">
        <v>959</v>
      </c>
      <c r="D477" s="5" t="str">
        <f>IF(B477="","",IFERROR(VLOOKUP(B477, PLANTA_BASE!A:W, 5, FALSE), "NO ENCONTRADO EN PLANTA"))</f>
        <v>REGIONAL BOGOTA</v>
      </c>
      <c r="E477" s="5" t="str">
        <f>IF(B477="","",IFERROR(VLOOKUP(B477, PLANTA_BASE!A:W, 6, FALSE), "NO ENCONTRADO EN PLANTA"))</f>
        <v>BOGOTA RESTREPO</v>
      </c>
      <c r="F477" s="7" t="str">
        <f>IF(B477="","",IFERROR(VLOOKUP(B477, PLANTA_BASE!A:W, 8, FALSE), "DOCENTE / FACILITADOR"))</f>
        <v>DOCENTE ASIS/N/TC/INVESTIGA/INVESTIGACIO</v>
      </c>
      <c r="G477" s="7" t="str">
        <f>IF(B477="","",IFERROR(VLOOKUP(B477, PLANTA_BASE!A:W, 9, FALSE), "GENERAL"))</f>
        <v>INVESTIGACIONES</v>
      </c>
      <c r="H477" s="5" t="str">
        <f>IF(B477="","",IFERROR(VLOOKUP(B477, PLANTA_BASE!A:W, 17, FALSE), "GENERAL"))</f>
        <v>INVESTIGACIONES</v>
      </c>
    </row>
    <row r="478" spans="1:8" ht="20.100000000000001" customHeight="1" x14ac:dyDescent="0.25">
      <c r="A478" s="2" t="str">
        <f>IF(B478="","",IFERROR(VLOOKUP(B478, PLANTA_BASE!A:W, 2, FALSE), "NO ENCONTRADO EN PLANTA"))</f>
        <v>PRESENCIAL</v>
      </c>
      <c r="B478" s="3" t="s">
        <v>960</v>
      </c>
      <c r="C478" s="4" t="s">
        <v>961</v>
      </c>
      <c r="D478" s="2" t="str">
        <f>IF(B478="","",IFERROR(VLOOKUP(B478, PLANTA_BASE!A:W, 5, FALSE), "NO ENCONTRADO EN PLANTA"))</f>
        <v>REGIONAL BOGOTA</v>
      </c>
      <c r="E478" s="2" t="str">
        <f>IF(B478="","",IFERROR(VLOOKUP(B478, PLANTA_BASE!A:W, 6, FALSE), "NO ENCONTRADO EN PLANTA"))</f>
        <v>BOGOTA CENTRO</v>
      </c>
      <c r="F478" s="4" t="str">
        <f>IF(B478="","",IFERROR(VLOOKUP(B478, PLANTA_BASE!A:W, 8, FALSE), "DOCENTE / FACILITADOR"))</f>
        <v>DOC AUX T&amp;T/N/TC/ING SISTEM/FUN.ACADE-ADMIN</v>
      </c>
      <c r="G478" s="4" t="str">
        <f>IF(B478="","",IFERROR(VLOOKUP(B478, PLANTA_BASE!A:W, 9, FALSE), "GENERAL"))</f>
        <v>INGENIERIA DE SISTEMAS</v>
      </c>
      <c r="H478" s="2" t="str">
        <f>IF(B478="","",IFERROR(VLOOKUP(B478, PLANTA_BASE!A:W, 17, FALSE), "GENERAL"))</f>
        <v>INGENIERIA DE SISTEMAS</v>
      </c>
    </row>
    <row r="479" spans="1:8" ht="20.100000000000001" customHeight="1" x14ac:dyDescent="0.25">
      <c r="A479" s="5" t="str">
        <f>IF(B479="","",IFERROR(VLOOKUP(B479, PLANTA_BASE!A:W, 2, FALSE), "NO ENCONTRADO EN PLANTA"))</f>
        <v>VIRTUAL</v>
      </c>
      <c r="B479" s="6" t="s">
        <v>962</v>
      </c>
      <c r="C479" s="7" t="s">
        <v>963</v>
      </c>
      <c r="D479" s="5" t="str">
        <f>IF(B479="","",IFERROR(VLOOKUP(B479, PLANTA_BASE!A:W, 5, FALSE), "NO ENCONTRADO EN PLANTA"))</f>
        <v>REGIONAL BOGOTA</v>
      </c>
      <c r="E479" s="5" t="str">
        <f>IF(B479="","",IFERROR(VLOOKUP(B479, PLANTA_BASE!A:W, 6, FALSE), "NO ENCONTRADO EN PLANTA"))</f>
        <v>BOGOTA CENTRO</v>
      </c>
      <c r="F479" s="7" t="str">
        <f>IF(B479="","",IFERROR(VLOOKUP(B479, PLANTA_BASE!A:W, 8, FALSE), "DOCENTE / FACILITADOR"))</f>
        <v>DOC ASIS/N/V/TC/ESP GER EDUC/FUN.ACADE-A</v>
      </c>
      <c r="G479" s="7" t="str">
        <f>IF(B479="","",IFERROR(VLOOKUP(B479, PLANTA_BASE!A:W, 9, FALSE), "GENERAL"))</f>
        <v>ESPECIALIZACION EN GERENCIA EDUCATIVA</v>
      </c>
      <c r="H479" s="5" t="str">
        <f>IF(B479="","",IFERROR(VLOOKUP(B479, PLANTA_BASE!A:W, 17, FALSE), "GENERAL"))</f>
        <v>ESPECIALIZACION EN GERENCIA EDUCATIVA</v>
      </c>
    </row>
    <row r="480" spans="1:8" ht="20.100000000000001" customHeight="1" x14ac:dyDescent="0.25">
      <c r="A480" s="2" t="str">
        <f>IF(B480="","",IFERROR(VLOOKUP(B480, PLANTA_BASE!A:W, 2, FALSE), "NO ENCONTRADO EN PLANTA"))</f>
        <v>VIRTUAL</v>
      </c>
      <c r="B480" s="3" t="s">
        <v>964</v>
      </c>
      <c r="C480" s="4" t="s">
        <v>965</v>
      </c>
      <c r="D480" s="2" t="str">
        <f>IF(B480="","",IFERROR(VLOOKUP(B480, PLANTA_BASE!A:W, 5, FALSE), "NO ENCONTRADO EN PLANTA"))</f>
        <v>REGIONAL BOGOTA</v>
      </c>
      <c r="E480" s="2" t="str">
        <f>IF(B480="","",IFERROR(VLOOKUP(B480, PLANTA_BASE!A:W, 6, FALSE), "NO ENCONTRADO EN PLANTA"))</f>
        <v>BOGOTA CENTRO</v>
      </c>
      <c r="F480" s="4" t="str">
        <f>IF(B480="","",IFERROR(VLOOKUP(B480, PLANTA_BASE!A:W, 8, FALSE), "DOCENTE / FACILITADOR"))</f>
        <v>DOC ASIS/N/V/TC/SOCIOHUMANISTI/FUN.ACADE-ADMIN</v>
      </c>
      <c r="G480" s="4" t="str">
        <f>IF(B480="","",IFERROR(VLOOKUP(B480, PLANTA_BASE!A:W, 9, FALSE), "GENERAL"))</f>
        <v>SOCIOHUMANISTICA</v>
      </c>
      <c r="H480" s="2" t="str">
        <f>IF(B480="","",IFERROR(VLOOKUP(B480, PLANTA_BASE!A:W, 17, FALSE), "GENERAL"))</f>
        <v>SOCIOHUMANISTICA</v>
      </c>
    </row>
    <row r="481" spans="1:8" ht="20.100000000000001" customHeight="1" x14ac:dyDescent="0.25">
      <c r="A481" s="5" t="str">
        <f>IF(B481="","",IFERROR(VLOOKUP(B481, PLANTA_BASE!A:W, 2, FALSE), "NO ENCONTRADO EN PLANTA"))</f>
        <v>VIRTUAL</v>
      </c>
      <c r="B481" s="6" t="s">
        <v>966</v>
      </c>
      <c r="C481" s="7" t="s">
        <v>967</v>
      </c>
      <c r="D481" s="5" t="str">
        <f>IF(B481="","",IFERROR(VLOOKUP(B481, PLANTA_BASE!A:W, 5, FALSE), "NO ENCONTRADO EN PLANTA"))</f>
        <v>REGIONAL BOGOTA</v>
      </c>
      <c r="E481" s="5" t="str">
        <f>IF(B481="","",IFERROR(VLOOKUP(B481, PLANTA_BASE!A:W, 6, FALSE), "NO ENCONTRADO EN PLANTA"))</f>
        <v>BOGOTA CENTRO</v>
      </c>
      <c r="F481" s="7" t="str">
        <f>IF(B481="","",IFERROR(VLOOKUP(B481, PLANTA_BASE!A:W, 8, FALSE), "DOCENTE / FACILITADOR"))</f>
        <v>DOC ASOC/N/V/TC/ING DE SISTEMAS/FUN.ACADE-ADMIN</v>
      </c>
      <c r="G481" s="7" t="str">
        <f>IF(B481="","",IFERROR(VLOOKUP(B481, PLANTA_BASE!A:W, 9, FALSE), "GENERAL"))</f>
        <v>INGENIERIA DE SISTEMAS</v>
      </c>
      <c r="H481" s="5" t="str">
        <f>IF(B481="","",IFERROR(VLOOKUP(B481, PLANTA_BASE!A:W, 17, FALSE), "GENERAL"))</f>
        <v>INGENIERIA DE SISTEMAS</v>
      </c>
    </row>
    <row r="482" spans="1:8" ht="20.100000000000001" customHeight="1" x14ac:dyDescent="0.25">
      <c r="A482" s="2" t="str">
        <f>IF(B482="","",IFERROR(VLOOKUP(B482, PLANTA_BASE!A:W, 2, FALSE), "NO ENCONTRADO EN PLANTA"))</f>
        <v>PRESENCIAL</v>
      </c>
      <c r="B482" s="3" t="s">
        <v>968</v>
      </c>
      <c r="C482" s="4" t="s">
        <v>969</v>
      </c>
      <c r="D482" s="2" t="str">
        <f>IF(B482="","",IFERROR(VLOOKUP(B482, PLANTA_BASE!A:W, 5, FALSE), "NO ENCONTRADO EN PLANTA"))</f>
        <v>REGIONAL BOGOTA</v>
      </c>
      <c r="E482" s="2" t="str">
        <f>IF(B482="","",IFERROR(VLOOKUP(B482, PLANTA_BASE!A:W, 6, FALSE), "NO ENCONTRADO EN PLANTA"))</f>
        <v>BOGOTA CENTRO</v>
      </c>
      <c r="F482" s="4" t="str">
        <f>IF(B482="","",IFERROR(VLOOKUP(B482, PLANTA_BASE!A:W, 8, FALSE), "DOCENTE / FACILITADOR"))</f>
        <v>DOCENTE TITU/N/TC/INVESTIGA/INVESTIGACIO</v>
      </c>
      <c r="G482" s="4" t="str">
        <f>IF(B482="","",IFERROR(VLOOKUP(B482, PLANTA_BASE!A:W, 9, FALSE), "GENERAL"))</f>
        <v>INVESTIGACIONES</v>
      </c>
      <c r="H482" s="2" t="str">
        <f>IF(B482="","",IFERROR(VLOOKUP(B482, PLANTA_BASE!A:W, 17, FALSE), "GENERAL"))</f>
        <v>INVESTIGACIONES</v>
      </c>
    </row>
    <row r="483" spans="1:8" ht="20.100000000000001" customHeight="1" x14ac:dyDescent="0.25">
      <c r="A483" s="5" t="str">
        <f>IF(B483="","",IFERROR(VLOOKUP(B483, PLANTA_BASE!A:W, 2, FALSE), "NO ENCONTRADO EN PLANTA"))</f>
        <v>PRESENCIAL</v>
      </c>
      <c r="B483" s="6" t="s">
        <v>970</v>
      </c>
      <c r="C483" s="7" t="s">
        <v>971</v>
      </c>
      <c r="D483" s="5" t="str">
        <f>IF(B483="","",IFERROR(VLOOKUP(B483, PLANTA_BASE!A:W, 5, FALSE), "NO ENCONTRADO EN PLANTA"))</f>
        <v>REGIONAL BOGOTA</v>
      </c>
      <c r="E483" s="5" t="str">
        <f>IF(B483="","",IFERROR(VLOOKUP(B483, PLANTA_BASE!A:W, 6, FALSE), "NO ENCONTRADO EN PLANTA"))</f>
        <v>BOGOTA CENTRO</v>
      </c>
      <c r="F483" s="7" t="str">
        <f>IF(B483="","",IFERROR(VLOOKUP(B483, PLANTA_BASE!A:W, 8, FALSE), "DOCENTE / FACILITADOR"))</f>
        <v>DOC AUX T&amp;T/N/TC/ING SISTEM/FUN.ACADE-ADMIN</v>
      </c>
      <c r="G483" s="7" t="str">
        <f>IF(B483="","",IFERROR(VLOOKUP(B483, PLANTA_BASE!A:W, 9, FALSE), "GENERAL"))</f>
        <v>INGENIERIA DE SISTEMAS</v>
      </c>
      <c r="H483" s="5" t="str">
        <f>IF(B483="","",IFERROR(VLOOKUP(B483, PLANTA_BASE!A:W, 17, FALSE), "GENERAL"))</f>
        <v>INGENIERIA DE SISTEMAS</v>
      </c>
    </row>
    <row r="484" spans="1:8" ht="20.100000000000001" customHeight="1" x14ac:dyDescent="0.25">
      <c r="A484" s="2" t="str">
        <f>IF(B484="","",IFERROR(VLOOKUP(B484, PLANTA_BASE!A:W, 2, FALSE), "NO ENCONTRADO EN PLANTA"))</f>
        <v>VIRTUAL</v>
      </c>
      <c r="B484" s="3" t="s">
        <v>972</v>
      </c>
      <c r="C484" s="4" t="s">
        <v>973</v>
      </c>
      <c r="D484" s="2" t="str">
        <f>IF(B484="","",IFERROR(VLOOKUP(B484, PLANTA_BASE!A:W, 5, FALSE), "NO ENCONTRADO EN PLANTA"))</f>
        <v>REGIONAL BOGOTA</v>
      </c>
      <c r="E484" s="2" t="str">
        <f>IF(B484="","",IFERROR(VLOOKUP(B484, PLANTA_BASE!A:W, 6, FALSE), "NO ENCONTRADO EN PLANTA"))</f>
        <v>BOGOTA CENTRO</v>
      </c>
      <c r="F484" s="4" t="str">
        <f>IF(B484="","",IFERROR(VLOOKUP(B484, PLANTA_BASE!A:W, 8, FALSE), "DOCENTE / FACILITADOR"))</f>
        <v>DOC AUX/N/V/TC/CONTADURIA/FUN.ACADE-ADMIN</v>
      </c>
      <c r="G484" s="4" t="str">
        <f>IF(B484="","",IFERROR(VLOOKUP(B484, PLANTA_BASE!A:W, 9, FALSE), "GENERAL"))</f>
        <v>CONTADURIA PUBLICA</v>
      </c>
      <c r="H484" s="2" t="str">
        <f>IF(B484="","",IFERROR(VLOOKUP(B484, PLANTA_BASE!A:W, 17, FALSE), "GENERAL"))</f>
        <v>CONTADURIA PUBLICA</v>
      </c>
    </row>
    <row r="485" spans="1:8" ht="20.100000000000001" customHeight="1" x14ac:dyDescent="0.25">
      <c r="A485" s="5" t="str">
        <f>IF(B485="","",IFERROR(VLOOKUP(B485, PLANTA_BASE!A:W, 2, FALSE), "NO ENCONTRADO EN PLANTA"))</f>
        <v>VIRTUAL</v>
      </c>
      <c r="B485" s="6" t="s">
        <v>974</v>
      </c>
      <c r="C485" s="7" t="s">
        <v>975</v>
      </c>
      <c r="D485" s="5" t="str">
        <f>IF(B485="","",IFERROR(VLOOKUP(B485, PLANTA_BASE!A:W, 5, FALSE), "NO ENCONTRADO EN PLANTA"))</f>
        <v>REGIONAL BOGOTA</v>
      </c>
      <c r="E485" s="5" t="str">
        <f>IF(B485="","",IFERROR(VLOOKUP(B485, PLANTA_BASE!A:W, 6, FALSE), "NO ENCONTRADO EN PLANTA"))</f>
        <v>BOGOTA CENTRO</v>
      </c>
      <c r="F485" s="7" t="str">
        <f>IF(B485="","",IFERROR(VLOOKUP(B485, PLANTA_BASE!A:W, 8, FALSE), "DOCENTE / FACILITADOR"))</f>
        <v>DOC AUX T&amp;T/N/V/TC/IDIOMAS/FUN.ACADE-ADMIN</v>
      </c>
      <c r="G485" s="7" t="str">
        <f>IF(B485="","",IFERROR(VLOOKUP(B485, PLANTA_BASE!A:W, 9, FALSE), "GENERAL"))</f>
        <v>IDIOMAS</v>
      </c>
      <c r="H485" s="5" t="str">
        <f>IF(B485="","",IFERROR(VLOOKUP(B485, PLANTA_BASE!A:W, 17, FALSE), "GENERAL"))</f>
        <v>IDIOMAS</v>
      </c>
    </row>
    <row r="486" spans="1:8" ht="20.100000000000001" customHeight="1" x14ac:dyDescent="0.25">
      <c r="A486" s="2" t="str">
        <f>IF(B486="","",IFERROR(VLOOKUP(B486, PLANTA_BASE!A:W, 2, FALSE), "NO ENCONTRADO EN PLANTA"))</f>
        <v>VIRTUAL</v>
      </c>
      <c r="B486" s="3" t="s">
        <v>976</v>
      </c>
      <c r="C486" s="4" t="s">
        <v>977</v>
      </c>
      <c r="D486" s="2" t="str">
        <f>IF(B486="","",IFERROR(VLOOKUP(B486, PLANTA_BASE!A:W, 5, FALSE), "NO ENCONTRADO EN PLANTA"))</f>
        <v>REGIONAL BOGOTA</v>
      </c>
      <c r="E486" s="2" t="str">
        <f>IF(B486="","",IFERROR(VLOOKUP(B486, PLANTA_BASE!A:W, 6, FALSE), "NO ENCONTRADO EN PLANTA"))</f>
        <v>BOGOTA CENTRO</v>
      </c>
      <c r="F486" s="4" t="str">
        <f>IF(B486="","",IFERROR(VLOOKUP(B486, PLANTA_BASE!A:W, 8, FALSE), "DOCENTE / FACILITADOR"))</f>
        <v>DOC ASIS/N/V/TC/ESP MARKETING POLI/FUN.A</v>
      </c>
      <c r="G486" s="4" t="str">
        <f>IF(B486="","",IFERROR(VLOOKUP(B486, PLANTA_BASE!A:W, 9, FALSE), "GENERAL"))</f>
        <v>ESPECIALIZACION MARKETING POLITICO</v>
      </c>
      <c r="H486" s="2" t="str">
        <f>IF(B486="","",IFERROR(VLOOKUP(B486, PLANTA_BASE!A:W, 17, FALSE), "GENERAL"))</f>
        <v>ESPECIALIZACION MARKETING POLITICO</v>
      </c>
    </row>
    <row r="487" spans="1:8" ht="20.100000000000001" customHeight="1" x14ac:dyDescent="0.25">
      <c r="A487" s="5" t="str">
        <f>IF(B487="","",IFERROR(VLOOKUP(B487, PLANTA_BASE!A:W, 2, FALSE), "NO ENCONTRADO EN PLANTA"))</f>
        <v>PRESENCIAL</v>
      </c>
      <c r="B487" s="6" t="s">
        <v>978</v>
      </c>
      <c r="C487" s="7" t="s">
        <v>979</v>
      </c>
      <c r="D487" s="5" t="str">
        <f>IF(B487="","",IFERROR(VLOOKUP(B487, PLANTA_BASE!A:W, 5, FALSE), "NO ENCONTRADO EN PLANTA"))</f>
        <v>REGIONAL BOGOTA</v>
      </c>
      <c r="E487" s="5" t="str">
        <f>IF(B487="","",IFERROR(VLOOKUP(B487, PLANTA_BASE!A:W, 6, FALSE), "NO ENCONTRADO EN PLANTA"))</f>
        <v>BOGOTA CENTRO</v>
      </c>
      <c r="F487" s="7" t="str">
        <f>IF(B487="","",IFERROR(VLOOKUP(B487, PLANTA_BASE!A:W, 8, FALSE), "DOCENTE / FACILITADOR"))</f>
        <v>DOC AUX T&amp;T/N/TC/INVESTIGA/INVESTIGACIO</v>
      </c>
      <c r="G487" s="7" t="str">
        <f>IF(B487="","",IFERROR(VLOOKUP(B487, PLANTA_BASE!A:W, 9, FALSE), "GENERAL"))</f>
        <v>INVESTIGACIONES</v>
      </c>
      <c r="H487" s="5" t="str">
        <f>IF(B487="","",IFERROR(VLOOKUP(B487, PLANTA_BASE!A:W, 17, FALSE), "GENERAL"))</f>
        <v>INVESTIGACIONES</v>
      </c>
    </row>
    <row r="488" spans="1:8" ht="20.100000000000001" customHeight="1" x14ac:dyDescent="0.25">
      <c r="A488" s="2" t="str">
        <f>IF(B488="","",IFERROR(VLOOKUP(B488, PLANTA_BASE!A:W, 2, FALSE), "NO ENCONTRADO EN PLANTA"))</f>
        <v>VIRTUAL</v>
      </c>
      <c r="B488" s="3" t="s">
        <v>980</v>
      </c>
      <c r="C488" s="4" t="s">
        <v>981</v>
      </c>
      <c r="D488" s="2" t="str">
        <f>IF(B488="","",IFERROR(VLOOKUP(B488, PLANTA_BASE!A:W, 5, FALSE), "NO ENCONTRADO EN PLANTA"))</f>
        <v>REGIONAL HUILA</v>
      </c>
      <c r="E488" s="2" t="str">
        <f>IF(B488="","",IFERROR(VLOOKUP(B488, PLANTA_BASE!A:W, 6, FALSE), "NO ENCONTRADO EN PLANTA"))</f>
        <v>NEIVA</v>
      </c>
      <c r="F488" s="4" t="str">
        <f>IF(B488="","",IFERROR(VLOOKUP(B488, PLANTA_BASE!A:W, 8, FALSE), "DOCENTE / FACILITADOR"))</f>
        <v>DOC ASOC/N/V/TC/ESP GER PROYEC/FUN.ACAD</v>
      </c>
      <c r="G488" s="4" t="str">
        <f>IF(B488="","",IFERROR(VLOOKUP(B488, PLANTA_BASE!A:W, 9, FALSE), "GENERAL"))</f>
        <v>ESPECIALIZACION EN GERENCIA DE PROYECTOS</v>
      </c>
      <c r="H488" s="2" t="str">
        <f>IF(B488="","",IFERROR(VLOOKUP(B488, PLANTA_BASE!A:W, 17, FALSE), "GENERAL"))</f>
        <v>ESPECIALIZACION EN GERENCIA DE PROYECTOS</v>
      </c>
    </row>
    <row r="489" spans="1:8" ht="20.100000000000001" customHeight="1" x14ac:dyDescent="0.25">
      <c r="A489" s="5" t="str">
        <f>IF(B489="","",IFERROR(VLOOKUP(B489, PLANTA_BASE!A:W, 2, FALSE), "NO ENCONTRADO EN PLANTA"))</f>
        <v>VIRTUAL</v>
      </c>
      <c r="B489" s="6" t="s">
        <v>982</v>
      </c>
      <c r="C489" s="7" t="s">
        <v>983</v>
      </c>
      <c r="D489" s="5" t="str">
        <f>IF(B489="","",IFERROR(VLOOKUP(B489, PLANTA_BASE!A:W, 5, FALSE), "NO ENCONTRADO EN PLANTA"))</f>
        <v>REGIONAL BOGOTA</v>
      </c>
      <c r="E489" s="5" t="str">
        <f>IF(B489="","",IFERROR(VLOOKUP(B489, PLANTA_BASE!A:W, 6, FALSE), "NO ENCONTRADO EN PLANTA"))</f>
        <v>BOGOTA CENTRO</v>
      </c>
      <c r="F489" s="7" t="str">
        <f>IF(B489="","",IFERROR(VLOOKUP(B489, PLANTA_BASE!A:W, 8, FALSE), "DOCENTE / FACILITADOR"))</f>
        <v>DOC ASIS/N/V/TC/ESP GER EDUC/FUN.ACADE-A</v>
      </c>
      <c r="G489" s="7" t="str">
        <f>IF(B489="","",IFERROR(VLOOKUP(B489, PLANTA_BASE!A:W, 9, FALSE), "GENERAL"))</f>
        <v>ESPECIALIZACION EN GERENCIA EDUCATIVA</v>
      </c>
      <c r="H489" s="5" t="str">
        <f>IF(B489="","",IFERROR(VLOOKUP(B489, PLANTA_BASE!A:W, 17, FALSE), "GENERAL"))</f>
        <v>ESPECIALIZACION EN GERENCIA EDUCATIVA</v>
      </c>
    </row>
    <row r="490" spans="1:8" ht="20.100000000000001" customHeight="1" x14ac:dyDescent="0.25">
      <c r="A490" s="2" t="str">
        <f>IF(B490="","",IFERROR(VLOOKUP(B490, PLANTA_BASE!A:W, 2, FALSE), "NO ENCONTRADO EN PLANTA"))</f>
        <v>PRESENCIAL</v>
      </c>
      <c r="B490" s="3" t="s">
        <v>984</v>
      </c>
      <c r="C490" s="4" t="s">
        <v>985</v>
      </c>
      <c r="D490" s="2" t="str">
        <f>IF(B490="","",IFERROR(VLOOKUP(B490, PLANTA_BASE!A:W, 5, FALSE), "NO ENCONTRADO EN PLANTA"))</f>
        <v>REGIONAL BOGOTA</v>
      </c>
      <c r="E490" s="2" t="str">
        <f>IF(B490="","",IFERROR(VLOOKUP(B490, PLANTA_BASE!A:W, 6, FALSE), "NO ENCONTRADO EN PLANTA"))</f>
        <v>BOGOTA CENTRO</v>
      </c>
      <c r="F490" s="4" t="str">
        <f>IF(B490="","",IFERROR(VLOOKUP(B490, PLANTA_BASE!A:W, 8, FALSE), "DOCENTE / FACILITADOR"))</f>
        <v>DOC AUX T&amp;T/N/TC/DIS PROD MOD/FUN.ACADE-ADMIN</v>
      </c>
      <c r="G490" s="4" t="str">
        <f>IF(B490="","",IFERROR(VLOOKUP(B490, PLANTA_BASE!A:W, 9, FALSE), "GENERAL"))</f>
        <v>DISEÑO Y PRODUCCION DE MODAS</v>
      </c>
      <c r="H490" s="2" t="str">
        <f>IF(B490="","",IFERROR(VLOOKUP(B490, PLANTA_BASE!A:W, 17, FALSE), "GENERAL"))</f>
        <v>DISEÑO Y PRODUCCION DE MODAS</v>
      </c>
    </row>
    <row r="491" spans="1:8" ht="20.100000000000001" customHeight="1" x14ac:dyDescent="0.25">
      <c r="A491" s="5" t="str">
        <f>IF(B491="","",IFERROR(VLOOKUP(B491, PLANTA_BASE!A:W, 2, FALSE), "NO ENCONTRADO EN PLANTA"))</f>
        <v>PRESENCIAL</v>
      </c>
      <c r="B491" s="6" t="s">
        <v>986</v>
      </c>
      <c r="C491" s="7" t="s">
        <v>987</v>
      </c>
      <c r="D491" s="5" t="str">
        <f>IF(B491="","",IFERROR(VLOOKUP(B491, PLANTA_BASE!A:W, 5, FALSE), "NO ENCONTRADO EN PLANTA"))</f>
        <v>REGIONAL BOGOTA</v>
      </c>
      <c r="E491" s="5" t="str">
        <f>IF(B491="","",IFERROR(VLOOKUP(B491, PLANTA_BASE!A:W, 6, FALSE), "NO ENCONTRADO EN PLANTA"))</f>
        <v>BOGOTA NORTE</v>
      </c>
      <c r="F491" s="7" t="str">
        <f>IF(B491="","",IFERROR(VLOOKUP(B491, PLANTA_BASE!A:W, 8, FALSE), "DOCENTE / FACILITADOR"))</f>
        <v>DOCENTE ASIS/N/TC/INVESTIGA/INVESTIGACIO</v>
      </c>
      <c r="G491" s="7" t="str">
        <f>IF(B491="","",IFERROR(VLOOKUP(B491, PLANTA_BASE!A:W, 9, FALSE), "GENERAL"))</f>
        <v>INVESTIGACIONES</v>
      </c>
      <c r="H491" s="5" t="str">
        <f>IF(B491="","",IFERROR(VLOOKUP(B491, PLANTA_BASE!A:W, 17, FALSE), "GENERAL"))</f>
        <v>INVESTIGACIONES</v>
      </c>
    </row>
    <row r="492" spans="1:8" ht="20.100000000000001" customHeight="1" x14ac:dyDescent="0.25">
      <c r="A492" s="2" t="str">
        <f>IF(B492="","",IFERROR(VLOOKUP(B492, PLANTA_BASE!A:W, 2, FALSE), "NO ENCONTRADO EN PLANTA"))</f>
        <v>PRESENCIAL</v>
      </c>
      <c r="B492" s="3" t="s">
        <v>988</v>
      </c>
      <c r="C492" s="4" t="s">
        <v>989</v>
      </c>
      <c r="D492" s="2" t="str">
        <f>IF(B492="","",IFERROR(VLOOKUP(B492, PLANTA_BASE!A:W, 5, FALSE), "NO ENCONTRADO EN PLANTA"))</f>
        <v>REGIONAL BOGOTA</v>
      </c>
      <c r="E492" s="2" t="str">
        <f>IF(B492="","",IFERROR(VLOOKUP(B492, PLANTA_BASE!A:W, 6, FALSE), "NO ENCONTRADO EN PLANTA"))</f>
        <v>BOGOTA CENTRO</v>
      </c>
      <c r="F492" s="4" t="str">
        <f>IF(B492="","",IFERROR(VLOOKUP(B492, PLANTA_BASE!A:W, 8, FALSE), "DOCENTE / FACILITADOR"))</f>
        <v>DOC AUX T&amp;T/N/TC/DIS PROD MOD/FUN.ACADE-ADMIN</v>
      </c>
      <c r="G492" s="4" t="str">
        <f>IF(B492="","",IFERROR(VLOOKUP(B492, PLANTA_BASE!A:W, 9, FALSE), "GENERAL"))</f>
        <v>DISEÑO Y PRODUCCION DE MODAS</v>
      </c>
      <c r="H492" s="2" t="str">
        <f>IF(B492="","",IFERROR(VLOOKUP(B492, PLANTA_BASE!A:W, 17, FALSE), "GENERAL"))</f>
        <v>DISEÑO Y PRODUCCION DE MODAS</v>
      </c>
    </row>
    <row r="493" spans="1:8" ht="20.100000000000001" customHeight="1" x14ac:dyDescent="0.25">
      <c r="A493" s="5" t="str">
        <f>IF(B493="","",IFERROR(VLOOKUP(B493, PLANTA_BASE!A:W, 2, FALSE), "NO ENCONTRADO EN PLANTA"))</f>
        <v>PRESENCIAL</v>
      </c>
      <c r="B493" s="6" t="s">
        <v>990</v>
      </c>
      <c r="C493" s="7" t="s">
        <v>991</v>
      </c>
      <c r="D493" s="5" t="str">
        <f>IF(B493="","",IFERROR(VLOOKUP(B493, PLANTA_BASE!A:W, 5, FALSE), "NO ENCONTRADO EN PLANTA"))</f>
        <v>REGIONAL BOGOTA</v>
      </c>
      <c r="E493" s="5" t="str">
        <f>IF(B493="","",IFERROR(VLOOKUP(B493, PLANTA_BASE!A:W, 6, FALSE), "NO ENCONTRADO EN PLANTA"))</f>
        <v>BOGOTA CENTRO</v>
      </c>
      <c r="F493" s="7" t="str">
        <f>IF(B493="","",IFERROR(VLOOKUP(B493, PLANTA_BASE!A:W, 8, FALSE), "DOCENTE / FACILITADOR"))</f>
        <v>DOCENTE ASOC/N/TC/INVESTIGACIONES/INVEST</v>
      </c>
      <c r="G493" s="7" t="str">
        <f>IF(B493="","",IFERROR(VLOOKUP(B493, PLANTA_BASE!A:W, 9, FALSE), "GENERAL"))</f>
        <v>INVESTIGACIONES</v>
      </c>
      <c r="H493" s="5" t="str">
        <f>IF(B493="","",IFERROR(VLOOKUP(B493, PLANTA_BASE!A:W, 17, FALSE), "GENERAL"))</f>
        <v>INVESTIGACIONES</v>
      </c>
    </row>
    <row r="494" spans="1:8" ht="20.100000000000001" customHeight="1" x14ac:dyDescent="0.25">
      <c r="A494" s="2" t="str">
        <f>IF(B494="","",IFERROR(VLOOKUP(B494, PLANTA_BASE!A:W, 2, FALSE), "NO ENCONTRADO EN PLANTA"))</f>
        <v>VIRTUAL</v>
      </c>
      <c r="B494" s="3" t="s">
        <v>992</v>
      </c>
      <c r="C494" s="4" t="s">
        <v>993</v>
      </c>
      <c r="D494" s="2" t="str">
        <f>IF(B494="","",IFERROR(VLOOKUP(B494, PLANTA_BASE!A:W, 5, FALSE), "NO ENCONTRADO EN PLANTA"))</f>
        <v>REGIONAL BOGOTA</v>
      </c>
      <c r="E494" s="2" t="str">
        <f>IF(B494="","",IFERROR(VLOOKUP(B494, PLANTA_BASE!A:W, 6, FALSE), "NO ENCONTRADO EN PLANTA"))</f>
        <v>BOGOTA CENTRO</v>
      </c>
      <c r="F494" s="4" t="str">
        <f>IF(B494="","",IFERROR(VLOOKUP(B494, PLANTA_BASE!A:W, 8, FALSE), "DOCENTE / FACILITADOR"))</f>
        <v>DOC AUX/N/V/TC/ESP CONTRA ESTATAL/FUN.AC</v>
      </c>
      <c r="G494" s="4" t="str">
        <f>IF(B494="","",IFERROR(VLOOKUP(B494, PLANTA_BASE!A:W, 9, FALSE), "GENERAL"))</f>
        <v>ESPECIALIZACION DE CONTRATACION ESTATAL</v>
      </c>
      <c r="H494" s="2" t="str">
        <f>IF(B494="","",IFERROR(VLOOKUP(B494, PLANTA_BASE!A:W, 17, FALSE), "GENERAL"))</f>
        <v>ESPECIALIZACION DE CONTRATACION ESTATAL</v>
      </c>
    </row>
    <row r="495" spans="1:8" ht="20.100000000000001" customHeight="1" x14ac:dyDescent="0.25">
      <c r="A495" s="5" t="str">
        <f>IF(B495="","",IFERROR(VLOOKUP(B495, PLANTA_BASE!A:W, 2, FALSE), "NO ENCONTRADO EN PLANTA"))</f>
        <v>PRESENCIAL</v>
      </c>
      <c r="B495" s="6" t="s">
        <v>994</v>
      </c>
      <c r="C495" s="7" t="s">
        <v>995</v>
      </c>
      <c r="D495" s="5" t="str">
        <f>IF(B495="","",IFERROR(VLOOKUP(B495, PLANTA_BASE!A:W, 5, FALSE), "NO ENCONTRADO EN PLANTA"))</f>
        <v>REGIONAL BOGOTA</v>
      </c>
      <c r="E495" s="5" t="str">
        <f>IF(B495="","",IFERROR(VLOOKUP(B495, PLANTA_BASE!A:W, 6, FALSE), "NO ENCONTRADO EN PLANTA"))</f>
        <v>BOGOTA CENTRO</v>
      </c>
      <c r="F495" s="7" t="str">
        <f>IF(B495="","",IFERROR(VLOOKUP(B495, PLANTA_BASE!A:W, 8, FALSE), "DOCENTE / FACILITADOR"))</f>
        <v>DOCENTE AUX/N/TC/EMPRENDIMIE/FUN.ACADE-ADMIN</v>
      </c>
      <c r="G495" s="7" t="str">
        <f>IF(B495="","",IFERROR(VLOOKUP(B495, PLANTA_BASE!A:W, 9, FALSE), "GENERAL"))</f>
        <v>EMPRENDIMIENTO</v>
      </c>
      <c r="H495" s="5" t="str">
        <f>IF(B495="","",IFERROR(VLOOKUP(B495, PLANTA_BASE!A:W, 17, FALSE), "GENERAL"))</f>
        <v>EMPRENDIMIENTO</v>
      </c>
    </row>
    <row r="496" spans="1:8" ht="20.100000000000001" customHeight="1" x14ac:dyDescent="0.25">
      <c r="A496" s="2" t="str">
        <f>IF(B496="","",IFERROR(VLOOKUP(B496, PLANTA_BASE!A:W, 2, FALSE), "NO ENCONTRADO EN PLANTA"))</f>
        <v>PRESENCIAL</v>
      </c>
      <c r="B496" s="3" t="s">
        <v>996</v>
      </c>
      <c r="C496" s="4" t="s">
        <v>997</v>
      </c>
      <c r="D496" s="2" t="str">
        <f>IF(B496="","",IFERROR(VLOOKUP(B496, PLANTA_BASE!A:W, 5, FALSE), "NO ENCONTRADO EN PLANTA"))</f>
        <v>REGIONAL BOGOTA</v>
      </c>
      <c r="E496" s="2" t="str">
        <f>IF(B496="","",IFERROR(VLOOKUP(B496, PLANTA_BASE!A:W, 6, FALSE), "NO ENCONTRADO EN PLANTA"))</f>
        <v>BOGOTA SUR</v>
      </c>
      <c r="F496" s="4" t="str">
        <f>IF(B496="","",IFERROR(VLOOKUP(B496, PLANTA_BASE!A:W, 8, FALSE), "DOCENTE / FACILITADOR"))</f>
        <v>DOC AUX T&amp;T/N/MT/ING SISTEM</v>
      </c>
      <c r="G496" s="4" t="str">
        <f>IF(B496="","",IFERROR(VLOOKUP(B496, PLANTA_BASE!A:W, 9, FALSE), "GENERAL"))</f>
        <v>INGENIERIA DE SISTEMAS</v>
      </c>
      <c r="H496" s="2" t="str">
        <f>IF(B496="","",IFERROR(VLOOKUP(B496, PLANTA_BASE!A:W, 17, FALSE), "GENERAL"))</f>
        <v>INGENIERIA DE SISTEMAS</v>
      </c>
    </row>
    <row r="497" spans="1:8" ht="20.100000000000001" customHeight="1" x14ac:dyDescent="0.25">
      <c r="A497" s="5" t="str">
        <f>IF(B497="","",IFERROR(VLOOKUP(B497, PLANTA_BASE!A:W, 2, FALSE), "NO ENCONTRADO EN PLANTA"))</f>
        <v>VIRTUAL</v>
      </c>
      <c r="B497" s="6" t="s">
        <v>998</v>
      </c>
      <c r="C497" s="7" t="s">
        <v>999</v>
      </c>
      <c r="D497" s="5" t="str">
        <f>IF(B497="","",IFERROR(VLOOKUP(B497, PLANTA_BASE!A:W, 5, FALSE), "NO ENCONTRADO EN PLANTA"))</f>
        <v>REGIONAL BOGOTA</v>
      </c>
      <c r="E497" s="5" t="str">
        <f>IF(B497="","",IFERROR(VLOOKUP(B497, PLANTA_BASE!A:W, 6, FALSE), "NO ENCONTRADO EN PLANTA"))</f>
        <v>BOGOTA CENTRO</v>
      </c>
      <c r="F497" s="7" t="str">
        <f>IF(B497="","",IFERROR(VLOOKUP(B497, PLANTA_BASE!A:W, 8, FALSE), "DOCENTE / FACILITADOR"))</f>
        <v>DOCENTE ASIS/N/V/TC/DIS PROD MOD/FUN.ACA</v>
      </c>
      <c r="G497" s="7" t="str">
        <f>IF(B497="","",IFERROR(VLOOKUP(B497, PLANTA_BASE!A:W, 9, FALSE), "GENERAL"))</f>
        <v>DISEÑO Y PRODUCCION DE MODAS</v>
      </c>
      <c r="H497" s="5" t="str">
        <f>IF(B497="","",IFERROR(VLOOKUP(B497, PLANTA_BASE!A:W, 17, FALSE), "GENERAL"))</f>
        <v>DISEÑO Y PRODUCCION DE MODAS</v>
      </c>
    </row>
    <row r="498" spans="1:8" ht="20.100000000000001" customHeight="1" x14ac:dyDescent="0.25">
      <c r="A498" s="2" t="str">
        <f>IF(B498="","",IFERROR(VLOOKUP(B498, PLANTA_BASE!A:W, 2, FALSE), "NO ENCONTRADO EN PLANTA"))</f>
        <v>PRESENCIAL</v>
      </c>
      <c r="B498" s="3" t="s">
        <v>1000</v>
      </c>
      <c r="C498" s="4" t="s">
        <v>1001</v>
      </c>
      <c r="D498" s="2" t="str">
        <f>IF(B498="","",IFERROR(VLOOKUP(B498, PLANTA_BASE!A:W, 5, FALSE), "NO ENCONTRADO EN PLANTA"))</f>
        <v>REGIONAL BOGOTA</v>
      </c>
      <c r="E498" s="2" t="str">
        <f>IF(B498="","",IFERROR(VLOOKUP(B498, PLANTA_BASE!A:W, 6, FALSE), "NO ENCONTRADO EN PLANTA"))</f>
        <v>BOGOTA CENTRO</v>
      </c>
      <c r="F498" s="4" t="str">
        <f>IF(B498="","",IFERROR(VLOOKUP(B498, PLANTA_BASE!A:W, 8, FALSE), "DOCENTE / FACILITADOR"))</f>
        <v>DOCENTE AUX/N/TC/NEGO INTER/FUN.ACADE-ADMIN</v>
      </c>
      <c r="G498" s="4" t="str">
        <f>IF(B498="","",IFERROR(VLOOKUP(B498, PLANTA_BASE!A:W, 9, FALSE), "GENERAL"))</f>
        <v>NEGOCIOS INTERNACIONALES</v>
      </c>
      <c r="H498" s="2" t="str">
        <f>IF(B498="","",IFERROR(VLOOKUP(B498, PLANTA_BASE!A:W, 17, FALSE), "GENERAL"))</f>
        <v>NEGOCIOS INTERNACIONALES</v>
      </c>
    </row>
    <row r="499" spans="1:8" ht="20.100000000000001" customHeight="1" x14ac:dyDescent="0.25">
      <c r="A499" s="5" t="str">
        <f>IF(B499="","",IFERROR(VLOOKUP(B499, PLANTA_BASE!A:W, 2, FALSE), "NO ENCONTRADO EN PLANTA"))</f>
        <v>VIRTUAL</v>
      </c>
      <c r="B499" s="6" t="s">
        <v>1002</v>
      </c>
      <c r="C499" s="7" t="s">
        <v>1003</v>
      </c>
      <c r="D499" s="5" t="str">
        <f>IF(B499="","",IFERROR(VLOOKUP(B499, PLANTA_BASE!A:W, 5, FALSE), "NO ENCONTRADO EN PLANTA"))</f>
        <v>REGIONAL BOGOTA</v>
      </c>
      <c r="E499" s="5" t="str">
        <f>IF(B499="","",IFERROR(VLOOKUP(B499, PLANTA_BASE!A:W, 6, FALSE), "NO ENCONTRADO EN PLANTA"))</f>
        <v>BOGOTA CENTRO</v>
      </c>
      <c r="F499" s="7" t="str">
        <f>IF(B499="","",IFERROR(VLOOKUP(B499, PLANTA_BASE!A:W, 8, FALSE), "DOCENTE / FACILITADOR"))</f>
        <v>DOC AUX/N/V/TC/ESP. GERENCIA MARCA/FUN.ACADE-ADMIN</v>
      </c>
      <c r="G499" s="7" t="str">
        <f>IF(B499="","",IFERROR(VLOOKUP(B499, PLANTA_BASE!A:W, 9, FALSE), "GENERAL"))</f>
        <v>ESPECIALIZACION EN GERENCIA DE MARCA</v>
      </c>
      <c r="H499" s="5" t="str">
        <f>IF(B499="","",IFERROR(VLOOKUP(B499, PLANTA_BASE!A:W, 17, FALSE), "GENERAL"))</f>
        <v>ESPECIALIZACION EN GERENCIA DE MARCA</v>
      </c>
    </row>
    <row r="500" spans="1:8" ht="20.100000000000001" customHeight="1" x14ac:dyDescent="0.25">
      <c r="A500" s="2" t="str">
        <f>IF(B500="","",IFERROR(VLOOKUP(B500, PLANTA_BASE!A:W, 2, FALSE), "NO ENCONTRADO EN PLANTA"))</f>
        <v>PRESENCIAL</v>
      </c>
      <c r="B500" s="3" t="s">
        <v>1004</v>
      </c>
      <c r="C500" s="4" t="s">
        <v>1005</v>
      </c>
      <c r="D500" s="2" t="str">
        <f>IF(B500="","",IFERROR(VLOOKUP(B500, PLANTA_BASE!A:W, 5, FALSE), "NO ENCONTRADO EN PLANTA"))</f>
        <v>REGIONAL BOGOTA</v>
      </c>
      <c r="E500" s="2" t="str">
        <f>IF(B500="","",IFERROR(VLOOKUP(B500, PLANTA_BASE!A:W, 6, FALSE), "NO ENCONTRADO EN PLANTA"))</f>
        <v>BOGOTA CENTRO</v>
      </c>
      <c r="F500" s="4" t="str">
        <f>IF(B500="","",IFERROR(VLOOKUP(B500, PLANTA_BASE!A:W, 8, FALSE), "DOCENTE / FACILITADOR"))</f>
        <v>DOCENTE AUX/N/MT/ING SISTEM</v>
      </c>
      <c r="G500" s="4" t="str">
        <f>IF(B500="","",IFERROR(VLOOKUP(B500, PLANTA_BASE!A:W, 9, FALSE), "GENERAL"))</f>
        <v>INGENIERIA DE SISTEMAS</v>
      </c>
      <c r="H500" s="2" t="str">
        <f>IF(B500="","",IFERROR(VLOOKUP(B500, PLANTA_BASE!A:W, 17, FALSE), "GENERAL"))</f>
        <v>INGENIERIA DE SISTEMAS</v>
      </c>
    </row>
    <row r="501" spans="1:8" ht="20.100000000000001" customHeight="1" x14ac:dyDescent="0.25">
      <c r="A501" s="5" t="str">
        <f>IF(B501="","",IFERROR(VLOOKUP(B501, PLANTA_BASE!A:W, 2, FALSE), "NO ENCONTRADO EN PLANTA"))</f>
        <v>PRESENCIAL</v>
      </c>
      <c r="B501" s="6" t="s">
        <v>1006</v>
      </c>
      <c r="C501" s="7" t="s">
        <v>1007</v>
      </c>
      <c r="D501" s="5" t="str">
        <f>IF(B501="","",IFERROR(VLOOKUP(B501, PLANTA_BASE!A:W, 5, FALSE), "NO ENCONTRADO EN PLANTA"))</f>
        <v>REGIONAL BOGOTA</v>
      </c>
      <c r="E501" s="5" t="str">
        <f>IF(B501="","",IFERROR(VLOOKUP(B501, PLANTA_BASE!A:W, 6, FALSE), "NO ENCONTRADO EN PLANTA"))</f>
        <v>BOGOTA CENTRO</v>
      </c>
      <c r="F501" s="7" t="str">
        <f>IF(B501="","",IFERROR(VLOOKUP(B501, PLANTA_BASE!A:W, 8, FALSE), "DOCENTE / FACILITADOR"))</f>
        <v>DOCENTE TITU/N/TC/INVESTIGA/INVESTIGACIO</v>
      </c>
      <c r="G501" s="7" t="str">
        <f>IF(B501="","",IFERROR(VLOOKUP(B501, PLANTA_BASE!A:W, 9, FALSE), "GENERAL"))</f>
        <v>INVESTIGACIONES</v>
      </c>
      <c r="H501" s="5" t="str">
        <f>IF(B501="","",IFERROR(VLOOKUP(B501, PLANTA_BASE!A:W, 17, FALSE), "GENERAL"))</f>
        <v>INVESTIGACIONES</v>
      </c>
    </row>
    <row r="502" spans="1:8" ht="20.100000000000001" customHeight="1" x14ac:dyDescent="0.25">
      <c r="A502" s="2" t="str">
        <f>IF(B502="","",IFERROR(VLOOKUP(B502, PLANTA_BASE!A:W, 2, FALSE), "NO ENCONTRADO EN PLANTA"))</f>
        <v>PRESENCIAL</v>
      </c>
      <c r="B502" s="3" t="s">
        <v>1008</v>
      </c>
      <c r="C502" s="4" t="s">
        <v>1009</v>
      </c>
      <c r="D502" s="2" t="str">
        <f>IF(B502="","",IFERROR(VLOOKUP(B502, PLANTA_BASE!A:W, 5, FALSE), "NO ENCONTRADO EN PLANTA"))</f>
        <v>REGIONAL BOGOTA</v>
      </c>
      <c r="E502" s="2" t="str">
        <f>IF(B502="","",IFERROR(VLOOKUP(B502, PLANTA_BASE!A:W, 6, FALSE), "NO ENCONTRADO EN PLANTA"))</f>
        <v>BOGOTA CENTRO</v>
      </c>
      <c r="F502" s="4" t="str">
        <f>IF(B502="","",IFERROR(VLOOKUP(B502, PLANTA_BASE!A:W, 8, FALSE), "DOCENTE / FACILITADOR"))</f>
        <v>DOCENTE AUX/N/TC/INVESTIGA/INVESTIGACION</v>
      </c>
      <c r="G502" s="4" t="str">
        <f>IF(B502="","",IFERROR(VLOOKUP(B502, PLANTA_BASE!A:W, 9, FALSE), "GENERAL"))</f>
        <v>INVESTIGACIONES</v>
      </c>
      <c r="H502" s="2" t="str">
        <f>IF(B502="","",IFERROR(VLOOKUP(B502, PLANTA_BASE!A:W, 17, FALSE), "GENERAL"))</f>
        <v>INVESTIGACIONES</v>
      </c>
    </row>
    <row r="503" spans="1:8" ht="20.100000000000001" customHeight="1" x14ac:dyDescent="0.25">
      <c r="A503" s="5" t="str">
        <f>IF(B503="","",IFERROR(VLOOKUP(B503, PLANTA_BASE!A:W, 2, FALSE), "NO ENCONTRADO EN PLANTA"))</f>
        <v>PRESENCIAL</v>
      </c>
      <c r="B503" s="6" t="s">
        <v>1010</v>
      </c>
      <c r="C503" s="7" t="s">
        <v>1011</v>
      </c>
      <c r="D503" s="5" t="str">
        <f>IF(B503="","",IFERROR(VLOOKUP(B503, PLANTA_BASE!A:W, 5, FALSE), "NO ENCONTRADO EN PLANTA"))</f>
        <v>REGIONAL BOGOTA</v>
      </c>
      <c r="E503" s="5" t="str">
        <f>IF(B503="","",IFERROR(VLOOKUP(B503, PLANTA_BASE!A:W, 6, FALSE), "NO ENCONTRADO EN PLANTA"))</f>
        <v>BOGOTA CENTRO</v>
      </c>
      <c r="F503" s="7" t="str">
        <f>IF(B503="","",IFERROR(VLOOKUP(B503, PLANTA_BASE!A:W, 8, FALSE), "DOCENTE / FACILITADOR"))</f>
        <v>DOCENTE ASOC/N/TC/INVESTIGA/INVESTIGACIO</v>
      </c>
      <c r="G503" s="7" t="str">
        <f>IF(B503="","",IFERROR(VLOOKUP(B503, PLANTA_BASE!A:W, 9, FALSE), "GENERAL"))</f>
        <v>INVESTIGACIONES</v>
      </c>
      <c r="H503" s="5" t="str">
        <f>IF(B503="","",IFERROR(VLOOKUP(B503, PLANTA_BASE!A:W, 17, FALSE), "GENERAL"))</f>
        <v>INVESTIGACIONES</v>
      </c>
    </row>
    <row r="504" spans="1:8" ht="20.100000000000001" customHeight="1" x14ac:dyDescent="0.25">
      <c r="A504" s="2" t="str">
        <f>IF(B504="","",IFERROR(VLOOKUP(B504, PLANTA_BASE!A:W, 2, FALSE), "NO ENCONTRADO EN PLANTA"))</f>
        <v>PRESENCIAL</v>
      </c>
      <c r="B504" s="3" t="s">
        <v>1012</v>
      </c>
      <c r="C504" s="4" t="s">
        <v>1013</v>
      </c>
      <c r="D504" s="2" t="str">
        <f>IF(B504="","",IFERROR(VLOOKUP(B504, PLANTA_BASE!A:W, 5, FALSE), "NO ENCONTRADO EN PLANTA"))</f>
        <v>REGIONAL BOGOTA</v>
      </c>
      <c r="E504" s="2" t="str">
        <f>IF(B504="","",IFERROR(VLOOKUP(B504, PLANTA_BASE!A:W, 6, FALSE), "NO ENCONTRADO EN PLANTA"))</f>
        <v>BOGOTA CENTRO</v>
      </c>
      <c r="F504" s="4" t="str">
        <f>IF(B504="","",IFERROR(VLOOKUP(B504, PLANTA_BASE!A:W, 8, FALSE), "DOCENTE / FACILITADOR"))</f>
        <v>DOCENTE ASIS/N/TC/INVESTIGA/INVESTIGACIO</v>
      </c>
      <c r="G504" s="4" t="str">
        <f>IF(B504="","",IFERROR(VLOOKUP(B504, PLANTA_BASE!A:W, 9, FALSE), "GENERAL"))</f>
        <v>INVESTIGACIONES</v>
      </c>
      <c r="H504" s="2" t="str">
        <f>IF(B504="","",IFERROR(VLOOKUP(B504, PLANTA_BASE!A:W, 17, FALSE), "GENERAL"))</f>
        <v>INVESTIGACIONES</v>
      </c>
    </row>
    <row r="505" spans="1:8" ht="20.100000000000001" customHeight="1" x14ac:dyDescent="0.25">
      <c r="A505" s="5" t="str">
        <f>IF(B505="","",IFERROR(VLOOKUP(B505, PLANTA_BASE!A:W, 2, FALSE), "NO ENCONTRADO EN PLANTA"))</f>
        <v>VIRTUAL</v>
      </c>
      <c r="B505" s="6" t="s">
        <v>1014</v>
      </c>
      <c r="C505" s="7" t="s">
        <v>1015</v>
      </c>
      <c r="D505" s="5" t="str">
        <f>IF(B505="","",IFERROR(VLOOKUP(B505, PLANTA_BASE!A:W, 5, FALSE), "NO ENCONTRADO EN PLANTA"))</f>
        <v>REGIONAL BOGOTA</v>
      </c>
      <c r="E505" s="5" t="str">
        <f>IF(B505="","",IFERROR(VLOOKUP(B505, PLANTA_BASE!A:W, 6, FALSE), "NO ENCONTRADO EN PLANTA"))</f>
        <v>BOGOTA CENTRO</v>
      </c>
      <c r="F505" s="7" t="str">
        <f>IF(B505="","",IFERROR(VLOOKUP(B505, PLANTA_BASE!A:W, 8, FALSE), "DOCENTE / FACILITADOR"))</f>
        <v>DOC ASIS/N/V/TC/ING DE SISTEMAS/FUN.ACADE-ADMIN</v>
      </c>
      <c r="G505" s="7" t="str">
        <f>IF(B505="","",IFERROR(VLOOKUP(B505, PLANTA_BASE!A:W, 9, FALSE), "GENERAL"))</f>
        <v>INGENIERIA DE SISTEMAS</v>
      </c>
      <c r="H505" s="5" t="str">
        <f>IF(B505="","",IFERROR(VLOOKUP(B505, PLANTA_BASE!A:W, 17, FALSE), "GENERAL"))</f>
        <v>INGENIERIA DE SISTEMAS</v>
      </c>
    </row>
    <row r="506" spans="1:8" ht="20.100000000000001" customHeight="1" x14ac:dyDescent="0.25">
      <c r="A506" s="2" t="str">
        <f>IF(B506="","",IFERROR(VLOOKUP(B506, PLANTA_BASE!A:W, 2, FALSE), "NO ENCONTRADO EN PLANTA"))</f>
        <v>VIRTUAL</v>
      </c>
      <c r="B506" s="3" t="s">
        <v>1016</v>
      </c>
      <c r="C506" s="4" t="s">
        <v>1017</v>
      </c>
      <c r="D506" s="2" t="str">
        <f>IF(B506="","",IFERROR(VLOOKUP(B506, PLANTA_BASE!A:W, 5, FALSE), "NO ENCONTRADO EN PLANTA"))</f>
        <v>REGIONAL CUNDINAMARCA</v>
      </c>
      <c r="E506" s="2" t="str">
        <f>IF(B506="","",IFERROR(VLOOKUP(B506, PLANTA_BASE!A:W, 6, FALSE), "NO ENCONTRADO EN PLANTA"))</f>
        <v>CHÍA</v>
      </c>
      <c r="F506" s="4" t="str">
        <f>IF(B506="","",IFERROR(VLOOKUP(B506, PLANTA_BASE!A:W, 8, FALSE), "DOCENTE / FACILITADOR"))</f>
        <v>DOC AUX/N/V/TC/ADM DE EMPRE/FUN.ACADE-ADMIN</v>
      </c>
      <c r="G506" s="4" t="str">
        <f>IF(B506="","",IFERROR(VLOOKUP(B506, PLANTA_BASE!A:W, 9, FALSE), "GENERAL"))</f>
        <v>ADMINISTRACION DE EMPRESAS</v>
      </c>
      <c r="H506" s="2" t="str">
        <f>IF(B506="","",IFERROR(VLOOKUP(B506, PLANTA_BASE!A:W, 17, FALSE), "GENERAL"))</f>
        <v>ADMINISTRACION DE EMPRESAS</v>
      </c>
    </row>
    <row r="507" spans="1:8" ht="20.100000000000001" customHeight="1" x14ac:dyDescent="0.25">
      <c r="A507" s="5" t="str">
        <f>IF(B507="","",IFERROR(VLOOKUP(B507, PLANTA_BASE!A:W, 2, FALSE), "NO ENCONTRADO EN PLANTA"))</f>
        <v>VIRTUAL</v>
      </c>
      <c r="B507" s="6" t="s">
        <v>1018</v>
      </c>
      <c r="C507" s="7" t="s">
        <v>1019</v>
      </c>
      <c r="D507" s="5" t="str">
        <f>IF(B507="","",IFERROR(VLOOKUP(B507, PLANTA_BASE!A:W, 5, FALSE), "NO ENCONTRADO EN PLANTA"))</f>
        <v>REGIONAL BOGOTA</v>
      </c>
      <c r="E507" s="5" t="str">
        <f>IF(B507="","",IFERROR(VLOOKUP(B507, PLANTA_BASE!A:W, 6, FALSE), "NO ENCONTRADO EN PLANTA"))</f>
        <v>BOGOTA CENTRO</v>
      </c>
      <c r="F507" s="7" t="str">
        <f>IF(B507="","",IFERROR(VLOOKUP(B507, PLANTA_BASE!A:W, 8, FALSE), "DOCENTE / FACILITADOR"))</f>
        <v>DOC AUX/N/V/TC/PUB Y MERC/FUN.ACADE-ADMIN</v>
      </c>
      <c r="G507" s="7" t="str">
        <f>IF(B507="","",IFERROR(VLOOKUP(B507, PLANTA_BASE!A:W, 9, FALSE), "GENERAL"))</f>
        <v>PUBLICIDAD Y MERCADEO</v>
      </c>
      <c r="H507" s="5" t="str">
        <f>IF(B507="","",IFERROR(VLOOKUP(B507, PLANTA_BASE!A:W, 17, FALSE), "GENERAL"))</f>
        <v>PUBLICIDAD Y MERCADEO</v>
      </c>
    </row>
    <row r="508" spans="1:8" ht="20.100000000000001" customHeight="1" x14ac:dyDescent="0.25">
      <c r="A508" s="2" t="str">
        <f>IF(B508="","",IFERROR(VLOOKUP(B508, PLANTA_BASE!A:W, 2, FALSE), "NO ENCONTRADO EN PLANTA"))</f>
        <v>PRESENCIAL</v>
      </c>
      <c r="B508" s="3" t="s">
        <v>1020</v>
      </c>
      <c r="C508" s="4" t="s">
        <v>1021</v>
      </c>
      <c r="D508" s="2" t="str">
        <f>IF(B508="","",IFERROR(VLOOKUP(B508, PLANTA_BASE!A:W, 5, FALSE), "NO ENCONTRADO EN PLANTA"))</f>
        <v>REGIONAL BOGOTA</v>
      </c>
      <c r="E508" s="2" t="str">
        <f>IF(B508="","",IFERROR(VLOOKUP(B508, PLANTA_BASE!A:W, 6, FALSE), "NO ENCONTRADO EN PLANTA"))</f>
        <v>BOGOTA CENTRO</v>
      </c>
      <c r="F508" s="4" t="str">
        <f>IF(B508="","",IFERROR(VLOOKUP(B508, PLANTA_BASE!A:W, 8, FALSE), "DOCENTE / FACILITADOR"))</f>
        <v>DOCENTE ASIS/N/TC/INVESTIGA/INVESTIGACIO</v>
      </c>
      <c r="G508" s="4" t="str">
        <f>IF(B508="","",IFERROR(VLOOKUP(B508, PLANTA_BASE!A:W, 9, FALSE), "GENERAL"))</f>
        <v>INVESTIGACIONES</v>
      </c>
      <c r="H508" s="2" t="str">
        <f>IF(B508="","",IFERROR(VLOOKUP(B508, PLANTA_BASE!A:W, 17, FALSE), "GENERAL"))</f>
        <v>INVESTIGACIONES</v>
      </c>
    </row>
    <row r="509" spans="1:8" ht="20.100000000000001" customHeight="1" x14ac:dyDescent="0.25">
      <c r="A509" s="5" t="str">
        <f>IF(B509="","",IFERROR(VLOOKUP(B509, PLANTA_BASE!A:W, 2, FALSE), "NO ENCONTRADO EN PLANTA"))</f>
        <v>VIRTUAL</v>
      </c>
      <c r="B509" s="6" t="s">
        <v>1022</v>
      </c>
      <c r="C509" s="7" t="s">
        <v>1023</v>
      </c>
      <c r="D509" s="5" t="str">
        <f>IF(B509="","",IFERROR(VLOOKUP(B509, PLANTA_BASE!A:W, 5, FALSE), "NO ENCONTRADO EN PLANTA"))</f>
        <v>REGIONAL BOGOTA</v>
      </c>
      <c r="E509" s="5" t="str">
        <f>IF(B509="","",IFERROR(VLOOKUP(B509, PLANTA_BASE!A:W, 6, FALSE), "NO ENCONTRADO EN PLANTA"))</f>
        <v>BOGOTA CENTRO</v>
      </c>
      <c r="F509" s="7" t="str">
        <f>IF(B509="","",IFERROR(VLOOKUP(B509, PLANTA_BASE!A:W, 8, FALSE), "DOCENTE / FACILITADOR"))</f>
        <v>DOC ASIS/N/V/TC/ING DE SISTEMAS/FUN.ACADE-ADMIN</v>
      </c>
      <c r="G509" s="7" t="str">
        <f>IF(B509="","",IFERROR(VLOOKUP(B509, PLANTA_BASE!A:W, 9, FALSE), "GENERAL"))</f>
        <v>INGENIERIA DE SISTEMAS</v>
      </c>
      <c r="H509" s="5" t="str">
        <f>IF(B509="","",IFERROR(VLOOKUP(B509, PLANTA_BASE!A:W, 17, FALSE), "GENERAL"))</f>
        <v>INGENIERIA DE SISTEMAS</v>
      </c>
    </row>
    <row r="510" spans="1:8" ht="20.100000000000001" customHeight="1" x14ac:dyDescent="0.25">
      <c r="A510" s="2" t="str">
        <f>IF(B510="","",IFERROR(VLOOKUP(B510, PLANTA_BASE!A:W, 2, FALSE), "NO ENCONTRADO EN PLANTA"))</f>
        <v>VIRTUAL</v>
      </c>
      <c r="B510" s="3" t="s">
        <v>1024</v>
      </c>
      <c r="C510" s="4" t="s">
        <v>1025</v>
      </c>
      <c r="D510" s="2" t="str">
        <f>IF(B510="","",IFERROR(VLOOKUP(B510, PLANTA_BASE!A:W, 5, FALSE), "NO ENCONTRADO EN PLANTA"))</f>
        <v>REGIONAL BOGOTA</v>
      </c>
      <c r="E510" s="2" t="str">
        <f>IF(B510="","",IFERROR(VLOOKUP(B510, PLANTA_BASE!A:W, 6, FALSE), "NO ENCONTRADO EN PLANTA"))</f>
        <v>BOGOTA CENTRO</v>
      </c>
      <c r="F510" s="4" t="str">
        <f>IF(B510="","",IFERROR(VLOOKUP(B510, PLANTA_BASE!A:W, 8, FALSE), "DOCENTE / FACILITADOR"))</f>
        <v>DOC AUX/N/V/TC/SOCIOHUMANISTI/FUN.ACADE-ADMIN</v>
      </c>
      <c r="G510" s="4" t="str">
        <f>IF(B510="","",IFERROR(VLOOKUP(B510, PLANTA_BASE!A:W, 9, FALSE), "GENERAL"))</f>
        <v>SOCIOHUMANISTICA</v>
      </c>
      <c r="H510" s="2" t="str">
        <f>IF(B510="","",IFERROR(VLOOKUP(B510, PLANTA_BASE!A:W, 17, FALSE), "GENERAL"))</f>
        <v>SOCIOHUMANISTICA</v>
      </c>
    </row>
    <row r="511" spans="1:8" ht="20.100000000000001" customHeight="1" x14ac:dyDescent="0.25">
      <c r="A511" s="5" t="str">
        <f>IF(B511="","",IFERROR(VLOOKUP(B511, PLANTA_BASE!A:W, 2, FALSE), "NO ENCONTRADO EN PLANTA"))</f>
        <v>PRESENCIAL</v>
      </c>
      <c r="B511" s="6" t="s">
        <v>1026</v>
      </c>
      <c r="C511" s="7" t="s">
        <v>1027</v>
      </c>
      <c r="D511" s="5" t="str">
        <f>IF(B511="","",IFERROR(VLOOKUP(B511, PLANTA_BASE!A:W, 5, FALSE), "NO ENCONTRADO EN PLANTA"))</f>
        <v>REGIONAL BOGOTA</v>
      </c>
      <c r="E511" s="5" t="str">
        <f>IF(B511="","",IFERROR(VLOOKUP(B511, PLANTA_BASE!A:W, 6, FALSE), "NO ENCONTRADO EN PLANTA"))</f>
        <v>BOGOTA CENTRO</v>
      </c>
      <c r="F511" s="7" t="str">
        <f>IF(B511="","",IFERROR(VLOOKUP(B511, PLANTA_BASE!A:W, 8, FALSE), "DOCENTE / FACILITADOR"))</f>
        <v>DOCENTE ASIS/N/TC/DERECHO/FUN.ACADE-ADMIN</v>
      </c>
      <c r="G511" s="7" t="str">
        <f>IF(B511="","",IFERROR(VLOOKUP(B511, PLANTA_BASE!A:W, 9, FALSE), "GENERAL"))</f>
        <v>DERECHO</v>
      </c>
      <c r="H511" s="5" t="str">
        <f>IF(B511="","",IFERROR(VLOOKUP(B511, PLANTA_BASE!A:W, 17, FALSE), "GENERAL"))</f>
        <v>DERECHO</v>
      </c>
    </row>
    <row r="512" spans="1:8" ht="20.100000000000001" customHeight="1" x14ac:dyDescent="0.25">
      <c r="A512" s="2" t="str">
        <f>IF(B512="","",IFERROR(VLOOKUP(B512, PLANTA_BASE!A:W, 2, FALSE), "NO ENCONTRADO EN PLANTA"))</f>
        <v>PRESENCIAL</v>
      </c>
      <c r="B512" s="3" t="s">
        <v>1028</v>
      </c>
      <c r="C512" s="4" t="s">
        <v>1029</v>
      </c>
      <c r="D512" s="2" t="str">
        <f>IF(B512="","",IFERROR(VLOOKUP(B512, PLANTA_BASE!A:W, 5, FALSE), "NO ENCONTRADO EN PLANTA"))</f>
        <v>REGIONAL BOGOTA</v>
      </c>
      <c r="E512" s="2" t="str">
        <f>IF(B512="","",IFERROR(VLOOKUP(B512, PLANTA_BASE!A:W, 6, FALSE), "NO ENCONTRADO EN PLANTA"))</f>
        <v>BOGOTA CENTRO</v>
      </c>
      <c r="F512" s="4" t="str">
        <f>IF(B512="","",IFERROR(VLOOKUP(B512, PLANTA_BASE!A:W, 8, FALSE), "DOCENTE / FACILITADOR"))</f>
        <v>DOCENTE ASIS/N/TC/DIS GRAFICO/FUN.ACADE-ADMIN</v>
      </c>
      <c r="G512" s="4" t="str">
        <f>IF(B512="","",IFERROR(VLOOKUP(B512, PLANTA_BASE!A:W, 9, FALSE), "GENERAL"))</f>
        <v>DISEÑO GRAFICO</v>
      </c>
      <c r="H512" s="2" t="str">
        <f>IF(B512="","",IFERROR(VLOOKUP(B512, PLANTA_BASE!A:W, 17, FALSE), "GENERAL"))</f>
        <v>DISEÑO GRAFICO</v>
      </c>
    </row>
    <row r="513" spans="1:8" ht="20.100000000000001" customHeight="1" x14ac:dyDescent="0.25">
      <c r="A513" s="5" t="str">
        <f>IF(B513="","",IFERROR(VLOOKUP(B513, PLANTA_BASE!A:W, 2, FALSE), "NO ENCONTRADO EN PLANTA"))</f>
        <v>VIRTUAL</v>
      </c>
      <c r="B513" s="6" t="s">
        <v>1030</v>
      </c>
      <c r="C513" s="7" t="s">
        <v>1031</v>
      </c>
      <c r="D513" s="5" t="str">
        <f>IF(B513="","",IFERROR(VLOOKUP(B513, PLANTA_BASE!A:W, 5, FALSE), "NO ENCONTRADO EN PLANTA"))</f>
        <v>REGIONAL BOGOTA</v>
      </c>
      <c r="E513" s="5" t="str">
        <f>IF(B513="","",IFERROR(VLOOKUP(B513, PLANTA_BASE!A:W, 6, FALSE), "NO ENCONTRADO EN PLANTA"))</f>
        <v>BOGOTA CENTRO</v>
      </c>
      <c r="F513" s="7" t="str">
        <f>IF(B513="","",IFERROR(VLOOKUP(B513, PLANTA_BASE!A:W, 8, FALSE), "DOCENTE / FACILITADOR"))</f>
        <v>DOC ASIS/N/V/TC/CONTADURIA/FUN.ACADE-ADMIN</v>
      </c>
      <c r="G513" s="7" t="str">
        <f>IF(B513="","",IFERROR(VLOOKUP(B513, PLANTA_BASE!A:W, 9, FALSE), "GENERAL"))</f>
        <v>CONTADURIA PUBLICA</v>
      </c>
      <c r="H513" s="5" t="str">
        <f>IF(B513="","",IFERROR(VLOOKUP(B513, PLANTA_BASE!A:W, 17, FALSE), "GENERAL"))</f>
        <v>CONTADURIA PUBLICA</v>
      </c>
    </row>
    <row r="514" spans="1:8" ht="20.100000000000001" customHeight="1" x14ac:dyDescent="0.25">
      <c r="A514" s="2" t="str">
        <f>IF(B514="","",IFERROR(VLOOKUP(B514, PLANTA_BASE!A:W, 2, FALSE), "NO ENCONTRADO EN PLANTA"))</f>
        <v>PRESENCIAL</v>
      </c>
      <c r="B514" s="3" t="s">
        <v>1032</v>
      </c>
      <c r="C514" s="4" t="s">
        <v>1033</v>
      </c>
      <c r="D514" s="2" t="str">
        <f>IF(B514="","",IFERROR(VLOOKUP(B514, PLANTA_BASE!A:W, 5, FALSE), "NO ENCONTRADO EN PLANTA"))</f>
        <v>REGIONAL BOGOTA</v>
      </c>
      <c r="E514" s="2" t="str">
        <f>IF(B514="","",IFERROR(VLOOKUP(B514, PLANTA_BASE!A:W, 6, FALSE), "NO ENCONTRADO EN PLANTA"))</f>
        <v>BOGOTA CENTRO</v>
      </c>
      <c r="F514" s="4" t="str">
        <f>IF(B514="","",IFERROR(VLOOKUP(B514, PLANTA_BASE!A:W, 8, FALSE), "DOCENTE / FACILITADOR"))</f>
        <v>DOCENTE AUX/N/TC/DERECHO/FUN.ACADE-ADMIN</v>
      </c>
      <c r="G514" s="4" t="str">
        <f>IF(B514="","",IFERROR(VLOOKUP(B514, PLANTA_BASE!A:W, 9, FALSE), "GENERAL"))</f>
        <v>DERECHO</v>
      </c>
      <c r="H514" s="2" t="str">
        <f>IF(B514="","",IFERROR(VLOOKUP(B514, PLANTA_BASE!A:W, 17, FALSE), "GENERAL"))</f>
        <v>DERECHO</v>
      </c>
    </row>
    <row r="515" spans="1:8" ht="20.100000000000001" customHeight="1" x14ac:dyDescent="0.25">
      <c r="A515" s="5" t="str">
        <f>IF(B515="","",IFERROR(VLOOKUP(B515, PLANTA_BASE!A:W, 2, FALSE), "NO ENCONTRADO EN PLANTA"))</f>
        <v>PRESENCIAL</v>
      </c>
      <c r="B515" s="6" t="s">
        <v>1034</v>
      </c>
      <c r="C515" s="7" t="s">
        <v>1035</v>
      </c>
      <c r="D515" s="5" t="str">
        <f>IF(B515="","",IFERROR(VLOOKUP(B515, PLANTA_BASE!A:W, 5, FALSE), "NO ENCONTRADO EN PLANTA"))</f>
        <v>REGIONAL BOGOTA</v>
      </c>
      <c r="E515" s="5" t="str">
        <f>IF(B515="","",IFERROR(VLOOKUP(B515, PLANTA_BASE!A:W, 6, FALSE), "NO ENCONTRADO EN PLANTA"))</f>
        <v>BOGOTA CENTRO</v>
      </c>
      <c r="F515" s="7" t="str">
        <f>IF(B515="","",IFERROR(VLOOKUP(B515, PLANTA_BASE!A:W, 8, FALSE), "DOCENTE / FACILITADOR"))</f>
        <v>DOCENTE ASIS/N/TC/INVESTIGA/INVESTIGACIO</v>
      </c>
      <c r="G515" s="7" t="str">
        <f>IF(B515="","",IFERROR(VLOOKUP(B515, PLANTA_BASE!A:W, 9, FALSE), "GENERAL"))</f>
        <v>INVESTIGACIONES</v>
      </c>
      <c r="H515" s="5" t="str">
        <f>IF(B515="","",IFERROR(VLOOKUP(B515, PLANTA_BASE!A:W, 17, FALSE), "GENERAL"))</f>
        <v>INVESTIGACIONES</v>
      </c>
    </row>
    <row r="516" spans="1:8" ht="20.100000000000001" customHeight="1" x14ac:dyDescent="0.25">
      <c r="A516" s="2" t="str">
        <f>IF(B516="","",IFERROR(VLOOKUP(B516, PLANTA_BASE!A:W, 2, FALSE), "NO ENCONTRADO EN PLANTA"))</f>
        <v>PRESENCIAL</v>
      </c>
      <c r="B516" s="3" t="s">
        <v>1036</v>
      </c>
      <c r="C516" s="4" t="s">
        <v>1037</v>
      </c>
      <c r="D516" s="2" t="str">
        <f>IF(B516="","",IFERROR(VLOOKUP(B516, PLANTA_BASE!A:W, 5, FALSE), "NO ENCONTRADO EN PLANTA"))</f>
        <v>REGIONAL BOGOTA</v>
      </c>
      <c r="E516" s="2" t="str">
        <f>IF(B516="","",IFERROR(VLOOKUP(B516, PLANTA_BASE!A:W, 6, FALSE), "NO ENCONTRADO EN PLANTA"))</f>
        <v>BOGOTA CENTRO</v>
      </c>
      <c r="F516" s="4" t="str">
        <f>IF(B516="","",IFERROR(VLOOKUP(B516, PLANTA_BASE!A:W, 8, FALSE), "DOCENTE / FACILITADOR"))</f>
        <v>DOCENTE ASIS/N/TC/ADM EMP/FUN.ACADE-ADMIN</v>
      </c>
      <c r="G516" s="4" t="str">
        <f>IF(B516="","",IFERROR(VLOOKUP(B516, PLANTA_BASE!A:W, 9, FALSE), "GENERAL"))</f>
        <v>ADMINISTRACION DE EMPRESAS</v>
      </c>
      <c r="H516" s="2" t="str">
        <f>IF(B516="","",IFERROR(VLOOKUP(B516, PLANTA_BASE!A:W, 17, FALSE), "GENERAL"))</f>
        <v>ADMINISTRACION DE EMPRESAS</v>
      </c>
    </row>
    <row r="517" spans="1:8" ht="20.100000000000001" customHeight="1" x14ac:dyDescent="0.25">
      <c r="A517" s="5" t="str">
        <f>IF(B517="","",IFERROR(VLOOKUP(B517, PLANTA_BASE!A:W, 2, FALSE), "NO ENCONTRADO EN PLANTA"))</f>
        <v>VIRTUAL</v>
      </c>
      <c r="B517" s="6" t="s">
        <v>1038</v>
      </c>
      <c r="C517" s="7" t="s">
        <v>1039</v>
      </c>
      <c r="D517" s="5" t="str">
        <f>IF(B517="","",IFERROR(VLOOKUP(B517, PLANTA_BASE!A:W, 5, FALSE), "NO ENCONTRADO EN PLANTA"))</f>
        <v>REGIONAL BOGOTA</v>
      </c>
      <c r="E517" s="5" t="str">
        <f>IF(B517="","",IFERROR(VLOOKUP(B517, PLANTA_BASE!A:W, 6, FALSE), "NO ENCONTRADO EN PLANTA"))</f>
        <v>BOGOTA CENTRO</v>
      </c>
      <c r="F517" s="7" t="str">
        <f>IF(B517="","",IFERROR(VLOOKUP(B517, PLANTA_BASE!A:W, 8, FALSE), "DOCENTE / FACILITADOR"))</f>
        <v>DOC ASIS/N/V/TC/CIENCIAS BASI/PROYECTOS AC</v>
      </c>
      <c r="G517" s="7" t="str">
        <f>IF(B517="","",IFERROR(VLOOKUP(B517, PLANTA_BASE!A:W, 9, FALSE), "GENERAL"))</f>
        <v>CIENCIAS BASICAS</v>
      </c>
      <c r="H517" s="5" t="str">
        <f>IF(B517="","",IFERROR(VLOOKUP(B517, PLANTA_BASE!A:W, 17, FALSE), "GENERAL"))</f>
        <v>CIENCIAS BASICAS</v>
      </c>
    </row>
    <row r="518" spans="1:8" ht="20.100000000000001" customHeight="1" x14ac:dyDescent="0.25">
      <c r="A518" s="2" t="str">
        <f>IF(B518="","",IFERROR(VLOOKUP(B518, PLANTA_BASE!A:W, 2, FALSE), "NO ENCONTRADO EN PLANTA"))</f>
        <v>PRESENCIAL</v>
      </c>
      <c r="B518" s="3" t="s">
        <v>1040</v>
      </c>
      <c r="C518" s="4" t="s">
        <v>1041</v>
      </c>
      <c r="D518" s="2" t="str">
        <f>IF(B518="","",IFERROR(VLOOKUP(B518, PLANTA_BASE!A:W, 5, FALSE), "NO ENCONTRADO EN PLANTA"))</f>
        <v>REGIONAL BOGOTA</v>
      </c>
      <c r="E518" s="2" t="str">
        <f>IF(B518="","",IFERROR(VLOOKUP(B518, PLANTA_BASE!A:W, 6, FALSE), "NO ENCONTRADO EN PLANTA"))</f>
        <v>BOGOTA CENTRO</v>
      </c>
      <c r="F518" s="4" t="str">
        <f>IF(B518="","",IFERROR(VLOOKUP(B518, PLANTA_BASE!A:W, 8, FALSE), "DOCENTE / FACILITADOR"))</f>
        <v>DOC AUX T&amp;T/N/MT/CIEN BASI</v>
      </c>
      <c r="G518" s="4" t="str">
        <f>IF(B518="","",IFERROR(VLOOKUP(B518, PLANTA_BASE!A:W, 9, FALSE), "GENERAL"))</f>
        <v>CIENCIAS BASICAS</v>
      </c>
      <c r="H518" s="2" t="str">
        <f>IF(B518="","",IFERROR(VLOOKUP(B518, PLANTA_BASE!A:W, 17, FALSE), "GENERAL"))</f>
        <v>CIENCIAS BASICAS</v>
      </c>
    </row>
    <row r="519" spans="1:8" ht="20.100000000000001" customHeight="1" x14ac:dyDescent="0.25">
      <c r="A519" s="5" t="str">
        <f>IF(B519="","",IFERROR(VLOOKUP(B519, PLANTA_BASE!A:W, 2, FALSE), "NO ENCONTRADO EN PLANTA"))</f>
        <v>VIRTUAL</v>
      </c>
      <c r="B519" s="6" t="s">
        <v>1042</v>
      </c>
      <c r="C519" s="7" t="s">
        <v>1043</v>
      </c>
      <c r="D519" s="5" t="str">
        <f>IF(B519="","",IFERROR(VLOOKUP(B519, PLANTA_BASE!A:W, 5, FALSE), "NO ENCONTRADO EN PLANTA"))</f>
        <v>REGIONAL BOGOTA</v>
      </c>
      <c r="E519" s="5" t="str">
        <f>IF(B519="","",IFERROR(VLOOKUP(B519, PLANTA_BASE!A:W, 6, FALSE), "NO ENCONTRADO EN PLANTA"))</f>
        <v>BOGOTA CENTRO</v>
      </c>
      <c r="F519" s="7" t="str">
        <f>IF(B519="","",IFERROR(VLOOKUP(B519, PLANTA_BASE!A:W, 8, FALSE), "DOCENTE / FACILITADOR"))</f>
        <v>DOC AUX/N/V/MT/CONTADURIA</v>
      </c>
      <c r="G519" s="7" t="str">
        <f>IF(B519="","",IFERROR(VLOOKUP(B519, PLANTA_BASE!A:W, 9, FALSE), "GENERAL"))</f>
        <v>CONTADURIA PUBLICA</v>
      </c>
      <c r="H519" s="5" t="str">
        <f>IF(B519="","",IFERROR(VLOOKUP(B519, PLANTA_BASE!A:W, 17, FALSE), "GENERAL"))</f>
        <v>CONTADURIA PUBLICA</v>
      </c>
    </row>
    <row r="520" spans="1:8" ht="20.100000000000001" customHeight="1" x14ac:dyDescent="0.25">
      <c r="A520" s="2" t="str">
        <f>IF(B520="","",IFERROR(VLOOKUP(B520, PLANTA_BASE!A:W, 2, FALSE), "NO ENCONTRADO EN PLANTA"))</f>
        <v>VIRTUAL</v>
      </c>
      <c r="B520" s="3" t="s">
        <v>1044</v>
      </c>
      <c r="C520" s="4" t="s">
        <v>1045</v>
      </c>
      <c r="D520" s="2" t="str">
        <f>IF(B520="","",IFERROR(VLOOKUP(B520, PLANTA_BASE!A:W, 5, FALSE), "NO ENCONTRADO EN PLANTA"))</f>
        <v>REGIONAL BOGOTA</v>
      </c>
      <c r="E520" s="2" t="str">
        <f>IF(B520="","",IFERROR(VLOOKUP(B520, PLANTA_BASE!A:W, 6, FALSE), "NO ENCONTRADO EN PLANTA"))</f>
        <v>BOGOTA CENTRO</v>
      </c>
      <c r="F520" s="4" t="str">
        <f>IF(B520="","",IFERROR(VLOOKUP(B520, PLANTA_BASE!A:W, 8, FALSE), "DOCENTE / FACILITADOR"))</f>
        <v>DOC AUX T&amp;T/N/V/MT/ESP MAR DIG</v>
      </c>
      <c r="G520" s="4" t="str">
        <f>IF(B520="","",IFERROR(VLOOKUP(B520, PLANTA_BASE!A:W, 9, FALSE), "GENERAL"))</f>
        <v>ESPECIALIZACION EN MARKETING DIGITAL</v>
      </c>
      <c r="H520" s="2" t="str">
        <f>IF(B520="","",IFERROR(VLOOKUP(B520, PLANTA_BASE!A:W, 17, FALSE), "GENERAL"))</f>
        <v>ESPECIALIZACION EN MARKETING DIGITAL</v>
      </c>
    </row>
    <row r="521" spans="1:8" ht="20.100000000000001" customHeight="1" x14ac:dyDescent="0.25">
      <c r="A521" s="5" t="str">
        <f>IF(B521="","",IFERROR(VLOOKUP(B521, PLANTA_BASE!A:W, 2, FALSE), "NO ENCONTRADO EN PLANTA"))</f>
        <v>VIRTUAL</v>
      </c>
      <c r="B521" s="6" t="s">
        <v>1046</v>
      </c>
      <c r="C521" s="7" t="s">
        <v>1047</v>
      </c>
      <c r="D521" s="5" t="str">
        <f>IF(B521="","",IFERROR(VLOOKUP(B521, PLANTA_BASE!A:W, 5, FALSE), "NO ENCONTRADO EN PLANTA"))</f>
        <v>REGIONAL BOGOTA</v>
      </c>
      <c r="E521" s="5" t="str">
        <f>IF(B521="","",IFERROR(VLOOKUP(B521, PLANTA_BASE!A:W, 6, FALSE), "NO ENCONTRADO EN PLANTA"))</f>
        <v>BOGOTA CENTRO</v>
      </c>
      <c r="F521" s="7" t="str">
        <f>IF(B521="","",IFERROR(VLOOKUP(B521, PLANTA_BASE!A:W, 8, FALSE), "DOCENTE / FACILITADOR"))</f>
        <v>DOC AUX/N/V/MT/CONTADURIA</v>
      </c>
      <c r="G521" s="7" t="str">
        <f>IF(B521="","",IFERROR(VLOOKUP(B521, PLANTA_BASE!A:W, 9, FALSE), "GENERAL"))</f>
        <v>CONTADURIA PUBLICA</v>
      </c>
      <c r="H521" s="5" t="str">
        <f>IF(B521="","",IFERROR(VLOOKUP(B521, PLANTA_BASE!A:W, 17, FALSE), "GENERAL"))</f>
        <v>CONTADURIA PUBLICA</v>
      </c>
    </row>
    <row r="522" spans="1:8" ht="20.100000000000001" customHeight="1" x14ac:dyDescent="0.25">
      <c r="A522" s="2" t="str">
        <f>IF(B522="","",IFERROR(VLOOKUP(B522, PLANTA_BASE!A:W, 2, FALSE), "NO ENCONTRADO EN PLANTA"))</f>
        <v>VIRTUAL</v>
      </c>
      <c r="B522" s="3" t="s">
        <v>1048</v>
      </c>
      <c r="C522" s="4" t="s">
        <v>1049</v>
      </c>
      <c r="D522" s="2" t="str">
        <f>IF(B522="","",IFERROR(VLOOKUP(B522, PLANTA_BASE!A:W, 5, FALSE), "NO ENCONTRADO EN PLANTA"))</f>
        <v>REGIONAL BOGOTA</v>
      </c>
      <c r="E522" s="2" t="str">
        <f>IF(B522="","",IFERROR(VLOOKUP(B522, PLANTA_BASE!A:W, 6, FALSE), "NO ENCONTRADO EN PLANTA"))</f>
        <v>BOGOTA CENTRO</v>
      </c>
      <c r="F522" s="4" t="str">
        <f>IF(B522="","",IFERROR(VLOOKUP(B522, PLANTA_BASE!A:W, 8, FALSE), "DOCENTE / FACILITADOR"))</f>
        <v>DOC ASIS/N/V/TC/ESP MARKETING POLI/FUN.A</v>
      </c>
      <c r="G522" s="4" t="str">
        <f>IF(B522="","",IFERROR(VLOOKUP(B522, PLANTA_BASE!A:W, 9, FALSE), "GENERAL"))</f>
        <v>ESPECIALIZACION MARKETING POLITICO</v>
      </c>
      <c r="H522" s="2" t="str">
        <f>IF(B522="","",IFERROR(VLOOKUP(B522, PLANTA_BASE!A:W, 17, FALSE), "GENERAL"))</f>
        <v>ESPECIALIZACION MARKETING POLITICO</v>
      </c>
    </row>
    <row r="523" spans="1:8" ht="20.100000000000001" customHeight="1" x14ac:dyDescent="0.25">
      <c r="A523" s="5" t="str">
        <f>IF(B523="","",IFERROR(VLOOKUP(B523, PLANTA_BASE!A:W, 2, FALSE), "NO ENCONTRADO EN PLANTA"))</f>
        <v>PRESENCIAL</v>
      </c>
      <c r="B523" s="6" t="s">
        <v>1050</v>
      </c>
      <c r="C523" s="7" t="s">
        <v>1051</v>
      </c>
      <c r="D523" s="5" t="str">
        <f>IF(B523="","",IFERROR(VLOOKUP(B523, PLANTA_BASE!A:W, 5, FALSE), "NO ENCONTRADO EN PLANTA"))</f>
        <v>REGIONAL BOGOTA</v>
      </c>
      <c r="E523" s="5" t="str">
        <f>IF(B523="","",IFERROR(VLOOKUP(B523, PLANTA_BASE!A:W, 6, FALSE), "NO ENCONTRADO EN PLANTA"))</f>
        <v>BOGOTA CENTRO</v>
      </c>
      <c r="F523" s="7" t="str">
        <f>IF(B523="","",IFERROR(VLOOKUP(B523, PLANTA_BASE!A:W, 8, FALSE), "DOCENTE / FACILITADOR"))</f>
        <v>DOCENTE ASIS/N/TC/DIR PROD ME AUD/FUN.ACADE-ADMIN</v>
      </c>
      <c r="G523" s="7" t="str">
        <f>IF(B523="","",IFERROR(VLOOKUP(B523, PLANTA_BASE!A:W, 9, FALSE), "GENERAL"))</f>
        <v>DIRECCION Y PRODUCCION DE MEDIOS AUDIOVISUALES</v>
      </c>
      <c r="H523" s="5" t="str">
        <f>IF(B523="","",IFERROR(VLOOKUP(B523, PLANTA_BASE!A:W, 17, FALSE), "GENERAL"))</f>
        <v>DIRECCION Y PRODUCCION DE MEDIOS AUDIOVISUALES</v>
      </c>
    </row>
    <row r="524" spans="1:8" ht="20.100000000000001" customHeight="1" x14ac:dyDescent="0.25">
      <c r="A524" s="2" t="str">
        <f>IF(B524="","",IFERROR(VLOOKUP(B524, PLANTA_BASE!A:W, 2, FALSE), "NO ENCONTRADO EN PLANTA"))</f>
        <v>VIRTUAL</v>
      </c>
      <c r="B524" s="3" t="s">
        <v>1052</v>
      </c>
      <c r="C524" s="4" t="s">
        <v>1053</v>
      </c>
      <c r="D524" s="2" t="str">
        <f>IF(B524="","",IFERROR(VLOOKUP(B524, PLANTA_BASE!A:W, 5, FALSE), "NO ENCONTRADO EN PLANTA"))</f>
        <v>REGIONAL BOGOTA</v>
      </c>
      <c r="E524" s="2" t="str">
        <f>IF(B524="","",IFERROR(VLOOKUP(B524, PLANTA_BASE!A:W, 6, FALSE), "NO ENCONTRADO EN PLANTA"))</f>
        <v>BOGOTA CENTRO</v>
      </c>
      <c r="F524" s="4" t="str">
        <f>IF(B524="","",IFERROR(VLOOKUP(B524, PLANTA_BASE!A:W, 8, FALSE), "DOCENTE / FACILITADOR"))</f>
        <v>DOC ASIS/N/V/TC/NEG INTER/FUN.ACADE-ADMIN</v>
      </c>
      <c r="G524" s="4" t="str">
        <f>IF(B524="","",IFERROR(VLOOKUP(B524, PLANTA_BASE!A:W, 9, FALSE), "GENERAL"))</f>
        <v>NEGOCIOS INTERNACIONALES</v>
      </c>
      <c r="H524" s="2" t="str">
        <f>IF(B524="","",IFERROR(VLOOKUP(B524, PLANTA_BASE!A:W, 17, FALSE), "GENERAL"))</f>
        <v>NEGOCIOS INTERNACIONALES</v>
      </c>
    </row>
    <row r="525" spans="1:8" ht="20.100000000000001" customHeight="1" x14ac:dyDescent="0.25">
      <c r="A525" s="5" t="str">
        <f>IF(B525="","",IFERROR(VLOOKUP(B525, PLANTA_BASE!A:W, 2, FALSE), "NO ENCONTRADO EN PLANTA"))</f>
        <v>PRESENCIAL</v>
      </c>
      <c r="B525" s="6" t="s">
        <v>1054</v>
      </c>
      <c r="C525" s="7" t="s">
        <v>1055</v>
      </c>
      <c r="D525" s="5" t="str">
        <f>IF(B525="","",IFERROR(VLOOKUP(B525, PLANTA_BASE!A:W, 5, FALSE), "NO ENCONTRADO EN PLANTA"))</f>
        <v>REGIONAL BOGOTA</v>
      </c>
      <c r="E525" s="5" t="str">
        <f>IF(B525="","",IFERROR(VLOOKUP(B525, PLANTA_BASE!A:W, 6, FALSE), "NO ENCONTRADO EN PLANTA"))</f>
        <v>BOGOTA CENTRO</v>
      </c>
      <c r="F525" s="7" t="str">
        <f>IF(B525="","",IFERROR(VLOOKUP(B525, PLANTA_BASE!A:W, 8, FALSE), "DOCENTE / FACILITADOR"))</f>
        <v>DOC AUX T&amp;T/N/MT/ING SISTEM</v>
      </c>
      <c r="G525" s="7" t="str">
        <f>IF(B525="","",IFERROR(VLOOKUP(B525, PLANTA_BASE!A:W, 9, FALSE), "GENERAL"))</f>
        <v>INGENIERIA DE SISTEMAS</v>
      </c>
      <c r="H525" s="5" t="str">
        <f>IF(B525="","",IFERROR(VLOOKUP(B525, PLANTA_BASE!A:W, 17, FALSE), "GENERAL"))</f>
        <v>INGENIERIA DE SISTEMAS</v>
      </c>
    </row>
    <row r="526" spans="1:8" ht="20.100000000000001" customHeight="1" x14ac:dyDescent="0.25">
      <c r="A526" s="2" t="str">
        <f>IF(B526="","",IFERROR(VLOOKUP(B526, PLANTA_BASE!A:W, 2, FALSE), "NO ENCONTRADO EN PLANTA"))</f>
        <v>PRESENCIAL</v>
      </c>
      <c r="B526" s="3" t="s">
        <v>1056</v>
      </c>
      <c r="C526" s="4" t="s">
        <v>1057</v>
      </c>
      <c r="D526" s="2" t="str">
        <f>IF(B526="","",IFERROR(VLOOKUP(B526, PLANTA_BASE!A:W, 5, FALSE), "NO ENCONTRADO EN PLANTA"))</f>
        <v>REGIONAL BOGOTA</v>
      </c>
      <c r="E526" s="2" t="str">
        <f>IF(B526="","",IFERROR(VLOOKUP(B526, PLANTA_BASE!A:W, 6, FALSE), "NO ENCONTRADO EN PLANTA"))</f>
        <v>BOGOTA CENTRO</v>
      </c>
      <c r="F526" s="4" t="str">
        <f>IF(B526="","",IFERROR(VLOOKUP(B526, PLANTA_BASE!A:W, 8, FALSE), "DOCENTE / FACILITADOR"))</f>
        <v>DOCENTE ASIS/N/MT-ADM DEP</v>
      </c>
      <c r="G526" s="4" t="str">
        <f>IF(B526="","",IFERROR(VLOOKUP(B526, PLANTA_BASE!A:W, 9, FALSE), "GENERAL"))</f>
        <v>ADMINISTRACION DEPORTIVA</v>
      </c>
      <c r="H526" s="2" t="str">
        <f>IF(B526="","",IFERROR(VLOOKUP(B526, PLANTA_BASE!A:W, 17, FALSE), "GENERAL"))</f>
        <v>ADMINISTRACION DEPORTIVA</v>
      </c>
    </row>
    <row r="527" spans="1:8" ht="20.100000000000001" customHeight="1" x14ac:dyDescent="0.25">
      <c r="A527" s="5" t="str">
        <f>IF(B527="","",IFERROR(VLOOKUP(B527, PLANTA_BASE!A:W, 2, FALSE), "NO ENCONTRADO EN PLANTA"))</f>
        <v>PRESENCIAL</v>
      </c>
      <c r="B527" s="6" t="s">
        <v>1058</v>
      </c>
      <c r="C527" s="7" t="s">
        <v>1059</v>
      </c>
      <c r="D527" s="5" t="str">
        <f>IF(B527="","",IFERROR(VLOOKUP(B527, PLANTA_BASE!A:W, 5, FALSE), "NO ENCONTRADO EN PLANTA"))</f>
        <v>REGIONAL BOGOTA</v>
      </c>
      <c r="E527" s="5" t="str">
        <f>IF(B527="","",IFERROR(VLOOKUP(B527, PLANTA_BASE!A:W, 6, FALSE), "NO ENCONTRADO EN PLANTA"))</f>
        <v>BOGOTA CENTRO</v>
      </c>
      <c r="F527" s="7" t="str">
        <f>IF(B527="","",IFERROR(VLOOKUP(B527, PLANTA_BASE!A:W, 8, FALSE), "DOCENTE / FACILITADOR"))</f>
        <v>DOCENTE ASIS/N/TC/EMPRENDIMIE/FUN.ACADE-ADMIN</v>
      </c>
      <c r="G527" s="7" t="str">
        <f>IF(B527="","",IFERROR(VLOOKUP(B527, PLANTA_BASE!A:W, 9, FALSE), "GENERAL"))</f>
        <v>EMPRENDIMIENTO</v>
      </c>
      <c r="H527" s="5" t="str">
        <f>IF(B527="","",IFERROR(VLOOKUP(B527, PLANTA_BASE!A:W, 17, FALSE), "GENERAL"))</f>
        <v>EMPRENDIMIENTO</v>
      </c>
    </row>
    <row r="528" spans="1:8" ht="20.100000000000001" customHeight="1" x14ac:dyDescent="0.25">
      <c r="A528" s="2" t="str">
        <f>IF(B528="","",IFERROR(VLOOKUP(B528, PLANTA_BASE!A:W, 2, FALSE), "NO ENCONTRADO EN PLANTA"))</f>
        <v>VIRTUAL</v>
      </c>
      <c r="B528" s="3" t="s">
        <v>1060</v>
      </c>
      <c r="C528" s="4" t="s">
        <v>1061</v>
      </c>
      <c r="D528" s="2" t="str">
        <f>IF(B528="","",IFERROR(VLOOKUP(B528, PLANTA_BASE!A:W, 5, FALSE), "NO ENCONTRADO EN PLANTA"))</f>
        <v>REGIONAL BOGOTA</v>
      </c>
      <c r="E528" s="2" t="str">
        <f>IF(B528="","",IFERROR(VLOOKUP(B528, PLANTA_BASE!A:W, 6, FALSE), "NO ENCONTRADO EN PLANTA"))</f>
        <v>BOGOTA CENTRO</v>
      </c>
      <c r="F528" s="4" t="str">
        <f>IF(B528="","",IFERROR(VLOOKUP(B528, PLANTA_BASE!A:W, 8, FALSE), "DOCENTE / FACILITADOR"))</f>
        <v>DOC ASIS/N/V/TC/ESP. GERE MARCA/FUN.ACADE-ADMIN</v>
      </c>
      <c r="G528" s="4" t="str">
        <f>IF(B528="","",IFERROR(VLOOKUP(B528, PLANTA_BASE!A:W, 9, FALSE), "GENERAL"))</f>
        <v>ESPECIALIZACION EN GERENCIA DE MARCA</v>
      </c>
      <c r="H528" s="2" t="str">
        <f>IF(B528="","",IFERROR(VLOOKUP(B528, PLANTA_BASE!A:W, 17, FALSE), "GENERAL"))</f>
        <v>ESPECIALIZACION EN GERENCIA DE MARCA</v>
      </c>
    </row>
    <row r="529" spans="1:8" ht="20.100000000000001" customHeight="1" x14ac:dyDescent="0.25">
      <c r="A529" s="5" t="str">
        <f>IF(B529="","",IFERROR(VLOOKUP(B529, PLANTA_BASE!A:W, 2, FALSE), "NO ENCONTRADO EN PLANTA"))</f>
        <v>PRESENCIAL</v>
      </c>
      <c r="B529" s="6" t="s">
        <v>1062</v>
      </c>
      <c r="C529" s="7" t="s">
        <v>1063</v>
      </c>
      <c r="D529" s="5" t="str">
        <f>IF(B529="","",IFERROR(VLOOKUP(B529, PLANTA_BASE!A:W, 5, FALSE), "NO ENCONTRADO EN PLANTA"))</f>
        <v>REGIONAL BOGOTA</v>
      </c>
      <c r="E529" s="5" t="str">
        <f>IF(B529="","",IFERROR(VLOOKUP(B529, PLANTA_BASE!A:W, 6, FALSE), "NO ENCONTRADO EN PLANTA"))</f>
        <v>BOGOTA CENTRO</v>
      </c>
      <c r="F529" s="7" t="str">
        <f>IF(B529="","",IFERROR(VLOOKUP(B529, PLANTA_BASE!A:W, 8, FALSE), "DOCENTE / FACILITADOR"))</f>
        <v>DOCENTE ASIS/N/TC/COM SOC Y PER/FUN.ACADE-ADMIN</v>
      </c>
      <c r="G529" s="7" t="str">
        <f>IF(B529="","",IFERROR(VLOOKUP(B529, PLANTA_BASE!A:W, 9, FALSE), "GENERAL"))</f>
        <v>COMUNICACION SOCIAL Y PERIODISMO</v>
      </c>
      <c r="H529" s="5" t="str">
        <f>IF(B529="","",IFERROR(VLOOKUP(B529, PLANTA_BASE!A:W, 17, FALSE), "GENERAL"))</f>
        <v>COMUNICACION SOCIAL Y PERIODISMO</v>
      </c>
    </row>
    <row r="530" spans="1:8" ht="20.100000000000001" customHeight="1" x14ac:dyDescent="0.25">
      <c r="A530" s="2" t="str">
        <f>IF(B530="","",IFERROR(VLOOKUP(B530, PLANTA_BASE!A:W, 2, FALSE), "NO ENCONTRADO EN PLANTA"))</f>
        <v>VIRTUAL</v>
      </c>
      <c r="B530" s="3" t="s">
        <v>1064</v>
      </c>
      <c r="C530" s="4" t="s">
        <v>1065</v>
      </c>
      <c r="D530" s="2" t="str">
        <f>IF(B530="","",IFERROR(VLOOKUP(B530, PLANTA_BASE!A:W, 5, FALSE), "NO ENCONTRADO EN PLANTA"))</f>
        <v>REGIONAL BOGOTA</v>
      </c>
      <c r="E530" s="2" t="str">
        <f>IF(B530="","",IFERROR(VLOOKUP(B530, PLANTA_BASE!A:W, 6, FALSE), "NO ENCONTRADO EN PLANTA"))</f>
        <v>BOGOTA SUR</v>
      </c>
      <c r="F530" s="4" t="str">
        <f>IF(B530="","",IFERROR(VLOOKUP(B530, PLANTA_BASE!A:W, 8, FALSE), "DOCENTE / FACILITADOR"))</f>
        <v>DOC AUX/N/V/TC/ING DE SISTEMAS/PROYECCION</v>
      </c>
      <c r="G530" s="4" t="str">
        <f>IF(B530="","",IFERROR(VLOOKUP(B530, PLANTA_BASE!A:W, 9, FALSE), "GENERAL"))</f>
        <v>INGENIERIA DE SISTEMAS</v>
      </c>
      <c r="H530" s="2" t="str">
        <f>IF(B530="","",IFERROR(VLOOKUP(B530, PLANTA_BASE!A:W, 17, FALSE), "GENERAL"))</f>
        <v>INGENIERIA DE SISTEMAS</v>
      </c>
    </row>
    <row r="531" spans="1:8" ht="20.100000000000001" customHeight="1" x14ac:dyDescent="0.25">
      <c r="A531" s="5" t="str">
        <f>IF(B531="","",IFERROR(VLOOKUP(B531, PLANTA_BASE!A:W, 2, FALSE), "NO ENCONTRADO EN PLANTA"))</f>
        <v>PRESENCIAL</v>
      </c>
      <c r="B531" s="6" t="s">
        <v>1066</v>
      </c>
      <c r="C531" s="7" t="s">
        <v>1067</v>
      </c>
      <c r="D531" s="5" t="str">
        <f>IF(B531="","",IFERROR(VLOOKUP(B531, PLANTA_BASE!A:W, 5, FALSE), "NO ENCONTRADO EN PLANTA"))</f>
        <v>REGIONAL BOGOTA</v>
      </c>
      <c r="E531" s="5" t="str">
        <f>IF(B531="","",IFERROR(VLOOKUP(B531, PLANTA_BASE!A:W, 6, FALSE), "NO ENCONTRADO EN PLANTA"))</f>
        <v>BOGOTA CENTRO</v>
      </c>
      <c r="F531" s="7" t="str">
        <f>IF(B531="","",IFERROR(VLOOKUP(B531, PLANTA_BASE!A:W, 8, FALSE), "DOCENTE / FACILITADOR"))</f>
        <v>DOC AUX T&amp;T/N/TC/COM SOC Y PER/FUN.ACADE-ADMIN</v>
      </c>
      <c r="G531" s="7" t="str">
        <f>IF(B531="","",IFERROR(VLOOKUP(B531, PLANTA_BASE!A:W, 9, FALSE), "GENERAL"))</f>
        <v>COMUNICACION SOCIAL Y PERIODISMO</v>
      </c>
      <c r="H531" s="5" t="str">
        <f>IF(B531="","",IFERROR(VLOOKUP(B531, PLANTA_BASE!A:W, 17, FALSE), "GENERAL"))</f>
        <v>COMUNICACION SOCIAL Y PERIODISMO</v>
      </c>
    </row>
    <row r="532" spans="1:8" ht="20.100000000000001" customHeight="1" x14ac:dyDescent="0.25">
      <c r="A532" s="2" t="str">
        <f>IF(B532="","",IFERROR(VLOOKUP(B532, PLANTA_BASE!A:W, 2, FALSE), "NO ENCONTRADO EN PLANTA"))</f>
        <v>VIRTUAL</v>
      </c>
      <c r="B532" s="3" t="s">
        <v>1068</v>
      </c>
      <c r="C532" s="4" t="s">
        <v>1069</v>
      </c>
      <c r="D532" s="2" t="str">
        <f>IF(B532="","",IFERROR(VLOOKUP(B532, PLANTA_BASE!A:W, 5, FALSE), "NO ENCONTRADO EN PLANTA"))</f>
        <v>REGIONAL BOGOTA</v>
      </c>
      <c r="E532" s="2" t="str">
        <f>IF(B532="","",IFERROR(VLOOKUP(B532, PLANTA_BASE!A:W, 6, FALSE), "NO ENCONTRADO EN PLANTA"))</f>
        <v>BOGOTA CENTRO</v>
      </c>
      <c r="F532" s="4" t="str">
        <f>IF(B532="","",IFERROR(VLOOKUP(B532, PLANTA_BASE!A:W, 8, FALSE), "DOCENTE / FACILITADOR"))</f>
        <v>DOC AUX/N/V/TC/PUB Y MERC/FUN.ACADE-ADMIN</v>
      </c>
      <c r="G532" s="4" t="str">
        <f>IF(B532="","",IFERROR(VLOOKUP(B532, PLANTA_BASE!A:W, 9, FALSE), "GENERAL"))</f>
        <v>PUBLICIDAD Y MERCADEO</v>
      </c>
      <c r="H532" s="2" t="str">
        <f>IF(B532="","",IFERROR(VLOOKUP(B532, PLANTA_BASE!A:W, 17, FALSE), "GENERAL"))</f>
        <v>PUBLICIDAD Y MERCADEO</v>
      </c>
    </row>
    <row r="533" spans="1:8" ht="20.100000000000001" customHeight="1" x14ac:dyDescent="0.25">
      <c r="A533" s="5" t="str">
        <f>IF(B533="","",IFERROR(VLOOKUP(B533, PLANTA_BASE!A:W, 2, FALSE), "NO ENCONTRADO EN PLANTA"))</f>
        <v>VIRTUAL</v>
      </c>
      <c r="B533" s="6" t="s">
        <v>1070</v>
      </c>
      <c r="C533" s="7" t="s">
        <v>1071</v>
      </c>
      <c r="D533" s="5" t="str">
        <f>IF(B533="","",IFERROR(VLOOKUP(B533, PLANTA_BASE!A:W, 5, FALSE), "NO ENCONTRADO EN PLANTA"))</f>
        <v>REGIONAL BOGOTA</v>
      </c>
      <c r="E533" s="5" t="str">
        <f>IF(B533="","",IFERROR(VLOOKUP(B533, PLANTA_BASE!A:W, 6, FALSE), "NO ENCONTRADO EN PLANTA"))</f>
        <v>BOGOTA CENTRO</v>
      </c>
      <c r="F533" s="7" t="str">
        <f>IF(B533="","",IFERROR(VLOOKUP(B533, PLANTA_BASE!A:W, 8, FALSE), "DOCENTE / FACILITADOR"))</f>
        <v>DOC AUX/N/V/TC/PUB Y MERC/FUN.ACADE-ADMIN</v>
      </c>
      <c r="G533" s="7" t="str">
        <f>IF(B533="","",IFERROR(VLOOKUP(B533, PLANTA_BASE!A:W, 9, FALSE), "GENERAL"))</f>
        <v>PUBLICIDAD Y MERCADEO</v>
      </c>
      <c r="H533" s="5" t="str">
        <f>IF(B533="","",IFERROR(VLOOKUP(B533, PLANTA_BASE!A:W, 17, FALSE), "GENERAL"))</f>
        <v>PUBLICIDAD Y MERCADEO</v>
      </c>
    </row>
    <row r="534" spans="1:8" ht="20.100000000000001" customHeight="1" x14ac:dyDescent="0.25">
      <c r="A534" s="2" t="str">
        <f>IF(B534="","",IFERROR(VLOOKUP(B534, PLANTA_BASE!A:W, 2, FALSE), "NO ENCONTRADO EN PLANTA"))</f>
        <v>VIRTUAL</v>
      </c>
      <c r="B534" s="3" t="s">
        <v>1072</v>
      </c>
      <c r="C534" s="4" t="s">
        <v>1073</v>
      </c>
      <c r="D534" s="2" t="str">
        <f>IF(B534="","",IFERROR(VLOOKUP(B534, PLANTA_BASE!A:W, 5, FALSE), "NO ENCONTRADO EN PLANTA"))</f>
        <v>REGIONAL BOGOTA</v>
      </c>
      <c r="E534" s="2" t="str">
        <f>IF(B534="","",IFERROR(VLOOKUP(B534, PLANTA_BASE!A:W, 6, FALSE), "NO ENCONTRADO EN PLANTA"))</f>
        <v>BOGOTA CENTRO</v>
      </c>
      <c r="F534" s="4" t="str">
        <f>IF(B534="","",IFERROR(VLOOKUP(B534, PLANTA_BASE!A:W, 8, FALSE), "DOCENTE / FACILITADOR"))</f>
        <v>DOC AUX/N/V/TC/PUB Y MERC/FUN.ACADE-ADMIN</v>
      </c>
      <c r="G534" s="4" t="str">
        <f>IF(B534="","",IFERROR(VLOOKUP(B534, PLANTA_BASE!A:W, 9, FALSE), "GENERAL"))</f>
        <v>PUBLICIDAD Y MERCADEO</v>
      </c>
      <c r="H534" s="2" t="str">
        <f>IF(B534="","",IFERROR(VLOOKUP(B534, PLANTA_BASE!A:W, 17, FALSE), "GENERAL"))</f>
        <v>PUBLICIDAD Y MERCADEO</v>
      </c>
    </row>
    <row r="535" spans="1:8" ht="20.100000000000001" customHeight="1" x14ac:dyDescent="0.25">
      <c r="A535" s="5" t="str">
        <f>IF(B535="","",IFERROR(VLOOKUP(B535, PLANTA_BASE!A:W, 2, FALSE), "NO ENCONTRADO EN PLANTA"))</f>
        <v>PRESENCIAL</v>
      </c>
      <c r="B535" s="6" t="s">
        <v>1074</v>
      </c>
      <c r="C535" s="7" t="s">
        <v>1075</v>
      </c>
      <c r="D535" s="5" t="str">
        <f>IF(B535="","",IFERROR(VLOOKUP(B535, PLANTA_BASE!A:W, 5, FALSE), "NO ENCONTRADO EN PLANTA"))</f>
        <v>REGIONAL BOGOTA</v>
      </c>
      <c r="E535" s="5" t="str">
        <f>IF(B535="","",IFERROR(VLOOKUP(B535, PLANTA_BASE!A:W, 6, FALSE), "NO ENCONTRADO EN PLANTA"))</f>
        <v>BOGOTA NORTE</v>
      </c>
      <c r="F535" s="7" t="str">
        <f>IF(B535="","",IFERROR(VLOOKUP(B535, PLANTA_BASE!A:W, 8, FALSE), "DOCENTE / FACILITADOR"))</f>
        <v>DOCENTE ASIS/N/TC/INVESTIGA/INVESTIGACIO</v>
      </c>
      <c r="G535" s="7" t="str">
        <f>IF(B535="","",IFERROR(VLOOKUP(B535, PLANTA_BASE!A:W, 9, FALSE), "GENERAL"))</f>
        <v>INVESTIGACIONES</v>
      </c>
      <c r="H535" s="5" t="str">
        <f>IF(B535="","",IFERROR(VLOOKUP(B535, PLANTA_BASE!A:W, 17, FALSE), "GENERAL"))</f>
        <v>INVESTIGACIONES</v>
      </c>
    </row>
    <row r="536" spans="1:8" ht="20.100000000000001" customHeight="1" x14ac:dyDescent="0.25">
      <c r="A536" s="2" t="str">
        <f>IF(B536="","",IFERROR(VLOOKUP(B536, PLANTA_BASE!A:W, 2, FALSE), "NO ENCONTRADO EN PLANTA"))</f>
        <v>PRESENCIAL</v>
      </c>
      <c r="B536" s="3" t="s">
        <v>1076</v>
      </c>
      <c r="C536" s="4" t="s">
        <v>1077</v>
      </c>
      <c r="D536" s="2" t="str">
        <f>IF(B536="","",IFERROR(VLOOKUP(B536, PLANTA_BASE!A:W, 5, FALSE), "NO ENCONTRADO EN PLANTA"))</f>
        <v>REGIONAL BOGOTA</v>
      </c>
      <c r="E536" s="2" t="str">
        <f>IF(B536="","",IFERROR(VLOOKUP(B536, PLANTA_BASE!A:W, 6, FALSE), "NO ENCONTRADO EN PLANTA"))</f>
        <v>BOGOTA CENTRO</v>
      </c>
      <c r="F536" s="4" t="str">
        <f>IF(B536="","",IFERROR(VLOOKUP(B536, PLANTA_BASE!A:W, 8, FALSE), "DOCENTE / FACILITADOR"))</f>
        <v>DOC AUX T&amp;T/N/MT/ING SISTEM</v>
      </c>
      <c r="G536" s="4" t="str">
        <f>IF(B536="","",IFERROR(VLOOKUP(B536, PLANTA_BASE!A:W, 9, FALSE), "GENERAL"))</f>
        <v>INGENIERIA DE SISTEMAS</v>
      </c>
      <c r="H536" s="2" t="str">
        <f>IF(B536="","",IFERROR(VLOOKUP(B536, PLANTA_BASE!A:W, 17, FALSE), "GENERAL"))</f>
        <v>INGENIERIA DE SISTEMAS</v>
      </c>
    </row>
    <row r="537" spans="1:8" ht="20.100000000000001" customHeight="1" x14ac:dyDescent="0.25">
      <c r="A537" s="5" t="str">
        <f>IF(B537="","",IFERROR(VLOOKUP(B537, PLANTA_BASE!A:W, 2, FALSE), "NO ENCONTRADO EN PLANTA"))</f>
        <v>VIRTUAL</v>
      </c>
      <c r="B537" s="6" t="s">
        <v>1078</v>
      </c>
      <c r="C537" s="7" t="s">
        <v>1079</v>
      </c>
      <c r="D537" s="5" t="str">
        <f>IF(B537="","",IFERROR(VLOOKUP(B537, PLANTA_BASE!A:W, 5, FALSE), "NO ENCONTRADO EN PLANTA"))</f>
        <v>REGIONAL BOGOTA</v>
      </c>
      <c r="E537" s="5" t="str">
        <f>IF(B537="","",IFERROR(VLOOKUP(B537, PLANTA_BASE!A:W, 6, FALSE), "NO ENCONTRADO EN PLANTA"))</f>
        <v>BOGOTA CENTRO</v>
      </c>
      <c r="F537" s="7" t="str">
        <f>IF(B537="","",IFERROR(VLOOKUP(B537, PLANTA_BASE!A:W, 8, FALSE), "DOCENTE / FACILITADOR"))</f>
        <v>DOC AUX T&amp;T/N/V/TC/EMPRENDIMIENTO/FUN.ACADE-ADMIN</v>
      </c>
      <c r="G537" s="7" t="str">
        <f>IF(B537="","",IFERROR(VLOOKUP(B537, PLANTA_BASE!A:W, 9, FALSE), "GENERAL"))</f>
        <v>EMPRENDIMIENTO</v>
      </c>
      <c r="H537" s="5" t="str">
        <f>IF(B537="","",IFERROR(VLOOKUP(B537, PLANTA_BASE!A:W, 17, FALSE), "GENERAL"))</f>
        <v>EMPRENDIMIENTO</v>
      </c>
    </row>
    <row r="538" spans="1:8" ht="20.100000000000001" customHeight="1" x14ac:dyDescent="0.25">
      <c r="A538" s="2" t="str">
        <f>IF(B538="","",IFERROR(VLOOKUP(B538, PLANTA_BASE!A:W, 2, FALSE), "NO ENCONTRADO EN PLANTA"))</f>
        <v>VIRTUAL</v>
      </c>
      <c r="B538" s="3" t="s">
        <v>1080</v>
      </c>
      <c r="C538" s="4" t="s">
        <v>1081</v>
      </c>
      <c r="D538" s="2" t="str">
        <f>IF(B538="","",IFERROR(VLOOKUP(B538, PLANTA_BASE!A:W, 5, FALSE), "NO ENCONTRADO EN PLANTA"))</f>
        <v>REGIONAL BOGOTA</v>
      </c>
      <c r="E538" s="2" t="str">
        <f>IF(B538="","",IFERROR(VLOOKUP(B538, PLANTA_BASE!A:W, 6, FALSE), "NO ENCONTRADO EN PLANTA"))</f>
        <v>BOGOTA CENTRO</v>
      </c>
      <c r="F538" s="4" t="str">
        <f>IF(B538="","",IFERROR(VLOOKUP(B538, PLANTA_BASE!A:W, 8, FALSE), "DOCENTE / FACILITADOR"))</f>
        <v>DOC AUX/N/V/TC/ESP. TRANSF. DIGITAL/PROY</v>
      </c>
      <c r="G538" s="4" t="str">
        <f>IF(B538="","",IFERROR(VLOOKUP(B538, PLANTA_BASE!A:W, 9, FALSE), "GENERAL"))</f>
        <v>ESPECIALIZACION DE TRANSFORMACION DIGITAL</v>
      </c>
      <c r="H538" s="2" t="str">
        <f>IF(B538="","",IFERROR(VLOOKUP(B538, PLANTA_BASE!A:W, 17, FALSE), "GENERAL"))</f>
        <v>ESPECIALIZACION DE TRANSFORMACION DIGITAL</v>
      </c>
    </row>
    <row r="539" spans="1:8" ht="20.100000000000001" customHeight="1" x14ac:dyDescent="0.25">
      <c r="A539" s="5" t="str">
        <f>IF(B539="","",IFERROR(VLOOKUP(B539, PLANTA_BASE!A:W, 2, FALSE), "NO ENCONTRADO EN PLANTA"))</f>
        <v>VIRTUAL</v>
      </c>
      <c r="B539" s="6" t="s">
        <v>1082</v>
      </c>
      <c r="C539" s="7" t="s">
        <v>1083</v>
      </c>
      <c r="D539" s="5" t="str">
        <f>IF(B539="","",IFERROR(VLOOKUP(B539, PLANTA_BASE!A:W, 5, FALSE), "NO ENCONTRADO EN PLANTA"))</f>
        <v>REGIONAL BOGOTA</v>
      </c>
      <c r="E539" s="5" t="str">
        <f>IF(B539="","",IFERROR(VLOOKUP(B539, PLANTA_BASE!A:W, 6, FALSE), "NO ENCONTRADO EN PLANTA"))</f>
        <v>BOGOTA CENTRO</v>
      </c>
      <c r="F539" s="7" t="str">
        <f>IF(B539="","",IFERROR(VLOOKUP(B539, PLANTA_BASE!A:W, 8, FALSE), "DOCENTE / FACILITADOR"))</f>
        <v>DOC AUX T&amp;T/N/V/TC/IDIOMAS/FUN.ACADE-ADMIN</v>
      </c>
      <c r="G539" s="7" t="str">
        <f>IF(B539="","",IFERROR(VLOOKUP(B539, PLANTA_BASE!A:W, 9, FALSE), "GENERAL"))</f>
        <v>IDIOMAS</v>
      </c>
      <c r="H539" s="5" t="str">
        <f>IF(B539="","",IFERROR(VLOOKUP(B539, PLANTA_BASE!A:W, 17, FALSE), "GENERAL"))</f>
        <v>IDIOMAS</v>
      </c>
    </row>
    <row r="540" spans="1:8" ht="20.100000000000001" customHeight="1" x14ac:dyDescent="0.25">
      <c r="A540" s="2" t="str">
        <f>IF(B540="","",IFERROR(VLOOKUP(B540, PLANTA_BASE!A:W, 2, FALSE), "NO ENCONTRADO EN PLANTA"))</f>
        <v>VIRTUAL</v>
      </c>
      <c r="B540" s="3" t="s">
        <v>1084</v>
      </c>
      <c r="C540" s="4" t="s">
        <v>1085</v>
      </c>
      <c r="D540" s="2" t="str">
        <f>IF(B540="","",IFERROR(VLOOKUP(B540, PLANTA_BASE!A:W, 5, FALSE), "NO ENCONTRADO EN PLANTA"))</f>
        <v>REGIONAL BOGOTA</v>
      </c>
      <c r="E540" s="2" t="str">
        <f>IF(B540="","",IFERROR(VLOOKUP(B540, PLANTA_BASE!A:W, 6, FALSE), "NO ENCONTRADO EN PLANTA"))</f>
        <v>BOGOTA CENTRO</v>
      </c>
      <c r="F540" s="4" t="str">
        <f>IF(B540="","",IFERROR(VLOOKUP(B540, PLANTA_BASE!A:W, 8, FALSE), "DOCENTE / FACILITADOR"))</f>
        <v>DOC AUX/N/V/MT/CONTADURIA</v>
      </c>
      <c r="G540" s="4" t="str">
        <f>IF(B540="","",IFERROR(VLOOKUP(B540, PLANTA_BASE!A:W, 9, FALSE), "GENERAL"))</f>
        <v>CONTADURIA PUBLICA</v>
      </c>
      <c r="H540" s="2" t="str">
        <f>IF(B540="","",IFERROR(VLOOKUP(B540, PLANTA_BASE!A:W, 17, FALSE), "GENERAL"))</f>
        <v>CONTADURIA PUBLICA</v>
      </c>
    </row>
    <row r="541" spans="1:8" ht="20.100000000000001" customHeight="1" x14ac:dyDescent="0.25">
      <c r="A541" s="5" t="str">
        <f>IF(B541="","",IFERROR(VLOOKUP(B541, PLANTA_BASE!A:W, 2, FALSE), "NO ENCONTRADO EN PLANTA"))</f>
        <v>VIRTUAL</v>
      </c>
      <c r="B541" s="6" t="s">
        <v>1086</v>
      </c>
      <c r="C541" s="7" t="s">
        <v>1087</v>
      </c>
      <c r="D541" s="5" t="str">
        <f>IF(B541="","",IFERROR(VLOOKUP(B541, PLANTA_BASE!A:W, 5, FALSE), "NO ENCONTRADO EN PLANTA"))</f>
        <v>REGIONAL BOGOTA</v>
      </c>
      <c r="E541" s="5" t="str">
        <f>IF(B541="","",IFERROR(VLOOKUP(B541, PLANTA_BASE!A:W, 6, FALSE), "NO ENCONTRADO EN PLANTA"))</f>
        <v>BOGOTA CENTRO</v>
      </c>
      <c r="F541" s="7" t="str">
        <f>IF(B541="","",IFERROR(VLOOKUP(B541, PLANTA_BASE!A:W, 8, FALSE), "DOCENTE / FACILITADOR"))</f>
        <v>DOC AUX/N/V/TC/ESP CONTRA ESTATAL/FUN.AC</v>
      </c>
      <c r="G541" s="7" t="str">
        <f>IF(B541="","",IFERROR(VLOOKUP(B541, PLANTA_BASE!A:W, 9, FALSE), "GENERAL"))</f>
        <v>ESPECIALIZACION DE CONTRATACION ESTATAL</v>
      </c>
      <c r="H541" s="5" t="str">
        <f>IF(B541="","",IFERROR(VLOOKUP(B541, PLANTA_BASE!A:W, 17, FALSE), "GENERAL"))</f>
        <v>ESPECIALIZACION DE CONTRATACION ESTATAL</v>
      </c>
    </row>
    <row r="542" spans="1:8" ht="20.100000000000001" customHeight="1" x14ac:dyDescent="0.25">
      <c r="A542" s="2" t="str">
        <f>IF(B542="","",IFERROR(VLOOKUP(B542, PLANTA_BASE!A:W, 2, FALSE), "NO ENCONTRADO EN PLANTA"))</f>
        <v>PRESENCIAL</v>
      </c>
      <c r="B542" s="3" t="s">
        <v>1088</v>
      </c>
      <c r="C542" s="4" t="s">
        <v>1089</v>
      </c>
      <c r="D542" s="2" t="str">
        <f>IF(B542="","",IFERROR(VLOOKUP(B542, PLANTA_BASE!A:W, 5, FALSE), "NO ENCONTRADO EN PLANTA"))</f>
        <v>REGIONAL BOGOTA</v>
      </c>
      <c r="E542" s="2" t="str">
        <f>IF(B542="","",IFERROR(VLOOKUP(B542, PLANTA_BASE!A:W, 6, FALSE), "NO ENCONTRADO EN PLANTA"))</f>
        <v>BOGOTA CENTRO</v>
      </c>
      <c r="F542" s="4" t="str">
        <f>IF(B542="","",IFERROR(VLOOKUP(B542, PLANTA_BASE!A:W, 8, FALSE), "DOCENTE / FACILITADOR"))</f>
        <v>DOCENTE ASIS/N/TC/EMPRENDIMIE/FUN.ACADE-ADMIN</v>
      </c>
      <c r="G542" s="4" t="str">
        <f>IF(B542="","",IFERROR(VLOOKUP(B542, PLANTA_BASE!A:W, 9, FALSE), "GENERAL"))</f>
        <v>EMPRENDIMIENTO</v>
      </c>
      <c r="H542" s="2" t="str">
        <f>IF(B542="","",IFERROR(VLOOKUP(B542, PLANTA_BASE!A:W, 17, FALSE), "GENERAL"))</f>
        <v>EMPRENDIMIENTO</v>
      </c>
    </row>
    <row r="543" spans="1:8" ht="20.100000000000001" customHeight="1" x14ac:dyDescent="0.25">
      <c r="A543" s="5" t="str">
        <f>IF(B543="","",IFERROR(VLOOKUP(B543, PLANTA_BASE!A:W, 2, FALSE), "NO ENCONTRADO EN PLANTA"))</f>
        <v>PRESENCIAL</v>
      </c>
      <c r="B543" s="6" t="s">
        <v>1090</v>
      </c>
      <c r="C543" s="7" t="s">
        <v>1091</v>
      </c>
      <c r="D543" s="5" t="str">
        <f>IF(B543="","",IFERROR(VLOOKUP(B543, PLANTA_BASE!A:W, 5, FALSE), "NO ENCONTRADO EN PLANTA"))</f>
        <v>REGIONAL CORDOBA</v>
      </c>
      <c r="E543" s="5" t="str">
        <f>IF(B543="","",IFERROR(VLOOKUP(B543, PLANTA_BASE!A:W, 6, FALSE), "NO ENCONTRADO EN PLANTA"))</f>
        <v>MONTERIA</v>
      </c>
      <c r="F543" s="7" t="str">
        <f>IF(B543="","",IFERROR(VLOOKUP(B543, PLANTA_BASE!A:W, 8, FALSE), "DOCENTE / FACILITADOR"))</f>
        <v>DOCENTE ASIS/N/TC/CONT PUBL/FUN.ACADE-ADMIN</v>
      </c>
      <c r="G543" s="7" t="str">
        <f>IF(B543="","",IFERROR(VLOOKUP(B543, PLANTA_BASE!A:W, 9, FALSE), "GENERAL"))</f>
        <v>CONTADURIA PUBLICA</v>
      </c>
      <c r="H543" s="5" t="str">
        <f>IF(B543="","",IFERROR(VLOOKUP(B543, PLANTA_BASE!A:W, 17, FALSE), "GENERAL"))</f>
        <v>CONTADURIA PUBLICA</v>
      </c>
    </row>
    <row r="544" spans="1:8" ht="20.100000000000001" customHeight="1" x14ac:dyDescent="0.25">
      <c r="A544" s="2" t="str">
        <f>IF(B544="","",IFERROR(VLOOKUP(B544, PLANTA_BASE!A:W, 2, FALSE), "NO ENCONTRADO EN PLANTA"))</f>
        <v>PRESENCIAL</v>
      </c>
      <c r="B544" s="3" t="s">
        <v>1092</v>
      </c>
      <c r="C544" s="4" t="s">
        <v>1093</v>
      </c>
      <c r="D544" s="2" t="str">
        <f>IF(B544="","",IFERROR(VLOOKUP(B544, PLANTA_BASE!A:W, 5, FALSE), "NO ENCONTRADO EN PLANTA"))</f>
        <v>REGIONAL BOGOTA</v>
      </c>
      <c r="E544" s="2" t="str">
        <f>IF(B544="","",IFERROR(VLOOKUP(B544, PLANTA_BASE!A:W, 6, FALSE), "NO ENCONTRADO EN PLANTA"))</f>
        <v>BOGOTA CENTRO</v>
      </c>
      <c r="F544" s="4" t="str">
        <f>IF(B544="","",IFERROR(VLOOKUP(B544, PLANTA_BASE!A:W, 8, FALSE), "DOCENTE / FACILITADOR"))</f>
        <v>DOCENTE ASIS/N/TC/COM SOC Y PER/FUN.ACADE-ADMIN</v>
      </c>
      <c r="G544" s="4" t="str">
        <f>IF(B544="","",IFERROR(VLOOKUP(B544, PLANTA_BASE!A:W, 9, FALSE), "GENERAL"))</f>
        <v>COMUNICACION SOCIAL Y PERIODISMO</v>
      </c>
      <c r="H544" s="2" t="str">
        <f>IF(B544="","",IFERROR(VLOOKUP(B544, PLANTA_BASE!A:W, 17, FALSE), "GENERAL"))</f>
        <v>COMUNICACION SOCIAL Y PERIODISMO</v>
      </c>
    </row>
    <row r="545" spans="1:8" ht="20.100000000000001" customHeight="1" x14ac:dyDescent="0.25">
      <c r="A545" s="5" t="str">
        <f>IF(B545="","",IFERROR(VLOOKUP(B545, PLANTA_BASE!A:W, 2, FALSE), "NO ENCONTRADO EN PLANTA"))</f>
        <v>PRESENCIAL</v>
      </c>
      <c r="B545" s="6" t="s">
        <v>1094</v>
      </c>
      <c r="C545" s="7" t="s">
        <v>1095</v>
      </c>
      <c r="D545" s="5" t="str">
        <f>IF(B545="","",IFERROR(VLOOKUP(B545, PLANTA_BASE!A:W, 5, FALSE), "NO ENCONTRADO EN PLANTA"))</f>
        <v>REGIONAL BOGOTA</v>
      </c>
      <c r="E545" s="5" t="str">
        <f>IF(B545="","",IFERROR(VLOOKUP(B545, PLANTA_BASE!A:W, 6, FALSE), "NO ENCONTRADO EN PLANTA"))</f>
        <v>BOGOTA CENTRO</v>
      </c>
      <c r="F545" s="7" t="str">
        <f>IF(B545="","",IFERROR(VLOOKUP(B545, PLANTA_BASE!A:W, 8, FALSE), "DOCENTE / FACILITADOR"))</f>
        <v>DOCENTE AUX/N/TC/DIS GRAFICO/FUN.ACADE-ADMIN</v>
      </c>
      <c r="G545" s="7" t="str">
        <f>IF(B545="","",IFERROR(VLOOKUP(B545, PLANTA_BASE!A:W, 9, FALSE), "GENERAL"))</f>
        <v>DISEÑO GRAFICO</v>
      </c>
      <c r="H545" s="5" t="str">
        <f>IF(B545="","",IFERROR(VLOOKUP(B545, PLANTA_BASE!A:W, 17, FALSE), "GENERAL"))</f>
        <v>DISEÑO GRAFICO</v>
      </c>
    </row>
    <row r="546" spans="1:8" ht="20.100000000000001" customHeight="1" x14ac:dyDescent="0.25">
      <c r="A546" s="2" t="str">
        <f>IF(B546="","",IFERROR(VLOOKUP(B546, PLANTA_BASE!A:W, 2, FALSE), "NO ENCONTRADO EN PLANTA"))</f>
        <v>PRESENCIAL</v>
      </c>
      <c r="B546" s="3" t="s">
        <v>1096</v>
      </c>
      <c r="C546" s="4" t="s">
        <v>1097</v>
      </c>
      <c r="D546" s="2" t="str">
        <f>IF(B546="","",IFERROR(VLOOKUP(B546, PLANTA_BASE!A:W, 5, FALSE), "NO ENCONTRADO EN PLANTA"))</f>
        <v>REGIONAL BOGOTA</v>
      </c>
      <c r="E546" s="2" t="str">
        <f>IF(B546="","",IFERROR(VLOOKUP(B546, PLANTA_BASE!A:W, 6, FALSE), "NO ENCONTRADO EN PLANTA"))</f>
        <v>BOGOTA CENTRO</v>
      </c>
      <c r="F546" s="4" t="str">
        <f>IF(B546="","",IFERROR(VLOOKUP(B546, PLANTA_BASE!A:W, 8, FALSE), "DOCENTE / FACILITADOR"))</f>
        <v>DOCENTE ASOC/N/TC/COM SOC Y PER/FUN.ACADE-ADMIN</v>
      </c>
      <c r="G546" s="4" t="str">
        <f>IF(B546="","",IFERROR(VLOOKUP(B546, PLANTA_BASE!A:W, 9, FALSE), "GENERAL"))</f>
        <v>COMUNICACION SOCIAL Y PERIODISMO</v>
      </c>
      <c r="H546" s="2" t="str">
        <f>IF(B546="","",IFERROR(VLOOKUP(B546, PLANTA_BASE!A:W, 17, FALSE), "GENERAL"))</f>
        <v>COMUNICACION SOCIAL Y PERIODISMO</v>
      </c>
    </row>
    <row r="547" spans="1:8" ht="20.100000000000001" customHeight="1" x14ac:dyDescent="0.25">
      <c r="A547" s="5" t="str">
        <f>IF(B547="","",IFERROR(VLOOKUP(B547, PLANTA_BASE!A:W, 2, FALSE), "NO ENCONTRADO EN PLANTA"))</f>
        <v>PRESENCIAL</v>
      </c>
      <c r="B547" s="6" t="s">
        <v>1098</v>
      </c>
      <c r="C547" s="7" t="s">
        <v>1099</v>
      </c>
      <c r="D547" s="5" t="str">
        <f>IF(B547="","",IFERROR(VLOOKUP(B547, PLANTA_BASE!A:W, 5, FALSE), "NO ENCONTRADO EN PLANTA"))</f>
        <v>REGIONAL BOGOTA</v>
      </c>
      <c r="E547" s="5" t="str">
        <f>IF(B547="","",IFERROR(VLOOKUP(B547, PLANTA_BASE!A:W, 6, FALSE), "NO ENCONTRADO EN PLANTA"))</f>
        <v>BOGOTA CENTRO</v>
      </c>
      <c r="F547" s="7" t="str">
        <f>IF(B547="","",IFERROR(VLOOKUP(B547, PLANTA_BASE!A:W, 8, FALSE), "DOCENTE / FACILITADOR"))</f>
        <v>DOCENTE ASIS/N/TC/COM SOC Y PER/FUN.ACADE-ADMIN</v>
      </c>
      <c r="G547" s="7" t="str">
        <f>IF(B547="","",IFERROR(VLOOKUP(B547, PLANTA_BASE!A:W, 9, FALSE), "GENERAL"))</f>
        <v>COMUNICACION SOCIAL Y PERIODISMO</v>
      </c>
      <c r="H547" s="5" t="str">
        <f>IF(B547="","",IFERROR(VLOOKUP(B547, PLANTA_BASE!A:W, 17, FALSE), "GENERAL"))</f>
        <v>COMUNICACION SOCIAL Y PERIODISMO</v>
      </c>
    </row>
    <row r="548" spans="1:8" ht="20.100000000000001" customHeight="1" x14ac:dyDescent="0.25">
      <c r="A548" s="2" t="str">
        <f>IF(B548="","",IFERROR(VLOOKUP(B548, PLANTA_BASE!A:W, 2, FALSE), "NO ENCONTRADO EN PLANTA"))</f>
        <v>PRESENCIAL</v>
      </c>
      <c r="B548" s="3" t="s">
        <v>1100</v>
      </c>
      <c r="C548" s="4" t="s">
        <v>1101</v>
      </c>
      <c r="D548" s="2" t="str">
        <f>IF(B548="","",IFERROR(VLOOKUP(B548, PLANTA_BASE!A:W, 5, FALSE), "NO ENCONTRADO EN PLANTA"))</f>
        <v>REGIONAL BOGOTA</v>
      </c>
      <c r="E548" s="2" t="str">
        <f>IF(B548="","",IFERROR(VLOOKUP(B548, PLANTA_BASE!A:W, 6, FALSE), "NO ENCONTRADO EN PLANTA"))</f>
        <v>BOGOTA CENTRO</v>
      </c>
      <c r="F548" s="4" t="str">
        <f>IF(B548="","",IFERROR(VLOOKUP(B548, PLANTA_BASE!A:W, 8, FALSE), "DOCENTE / FACILITADOR"))</f>
        <v>DOCENTE AUX/N/TC/COM SOC Y PER/FUN.ACADE-ADMIN</v>
      </c>
      <c r="G548" s="4" t="str">
        <f>IF(B548="","",IFERROR(VLOOKUP(B548, PLANTA_BASE!A:W, 9, FALSE), "GENERAL"))</f>
        <v>COMUNICACION SOCIAL Y PERIODISMO</v>
      </c>
      <c r="H548" s="2" t="str">
        <f>IF(B548="","",IFERROR(VLOOKUP(B548, PLANTA_BASE!A:W, 17, FALSE), "GENERAL"))</f>
        <v>COMUNICACION SOCIAL Y PERIODISMO</v>
      </c>
    </row>
    <row r="549" spans="1:8" ht="20.100000000000001" customHeight="1" x14ac:dyDescent="0.25">
      <c r="A549" s="5" t="str">
        <f>IF(B549="","",IFERROR(VLOOKUP(B549, PLANTA_BASE!A:W, 2, FALSE), "NO ENCONTRADO EN PLANTA"))</f>
        <v>PRESENCIAL</v>
      </c>
      <c r="B549" s="6" t="s">
        <v>1102</v>
      </c>
      <c r="C549" s="7" t="s">
        <v>1103</v>
      </c>
      <c r="D549" s="5" t="str">
        <f>IF(B549="","",IFERROR(VLOOKUP(B549, PLANTA_BASE!A:W, 5, FALSE), "NO ENCONTRADO EN PLANTA"))</f>
        <v>REGIONAL BOGOTA</v>
      </c>
      <c r="E549" s="5" t="str">
        <f>IF(B549="","",IFERROR(VLOOKUP(B549, PLANTA_BASE!A:W, 6, FALSE), "NO ENCONTRADO EN PLANTA"))</f>
        <v>BOGOTA CENTRO</v>
      </c>
      <c r="F549" s="7" t="str">
        <f>IF(B549="","",IFERROR(VLOOKUP(B549, PLANTA_BASE!A:W, 8, FALSE), "DOCENTE / FACILITADOR"))</f>
        <v>DOC AUX T&amp;T/N/MT/CIEN BASI</v>
      </c>
      <c r="G549" s="7" t="str">
        <f>IF(B549="","",IFERROR(VLOOKUP(B549, PLANTA_BASE!A:W, 9, FALSE), "GENERAL"))</f>
        <v>CIENCIAS BASICAS</v>
      </c>
      <c r="H549" s="5" t="str">
        <f>IF(B549="","",IFERROR(VLOOKUP(B549, PLANTA_BASE!A:W, 17, FALSE), "GENERAL"))</f>
        <v>CIENCIAS BASICAS</v>
      </c>
    </row>
    <row r="550" spans="1:8" ht="20.100000000000001" customHeight="1" x14ac:dyDescent="0.25">
      <c r="A550" s="2" t="str">
        <f>IF(B550="","",IFERROR(VLOOKUP(B550, PLANTA_BASE!A:W, 2, FALSE), "NO ENCONTRADO EN PLANTA"))</f>
        <v>PRESENCIAL</v>
      </c>
      <c r="B550" s="3" t="s">
        <v>1104</v>
      </c>
      <c r="C550" s="4" t="s">
        <v>1105</v>
      </c>
      <c r="D550" s="2" t="str">
        <f>IF(B550="","",IFERROR(VLOOKUP(B550, PLANTA_BASE!A:W, 5, FALSE), "NO ENCONTRADO EN PLANTA"))</f>
        <v>REGIONAL BOGOTA</v>
      </c>
      <c r="E550" s="2" t="str">
        <f>IF(B550="","",IFERROR(VLOOKUP(B550, PLANTA_BASE!A:W, 6, FALSE), "NO ENCONTRADO EN PLANTA"))</f>
        <v>BOGOTA CENTRO</v>
      </c>
      <c r="F550" s="4" t="str">
        <f>IF(B550="","",IFERROR(VLOOKUP(B550, PLANTA_BASE!A:W, 8, FALSE), "DOCENTE / FACILITADOR"))</f>
        <v>DOCENTE AUX/N/TC/DIS PROD MOD/FUN.ACADE-ADMIN</v>
      </c>
      <c r="G550" s="4" t="str">
        <f>IF(B550="","",IFERROR(VLOOKUP(B550, PLANTA_BASE!A:W, 9, FALSE), "GENERAL"))</f>
        <v>DISEÑO Y PRODUCCION DE MODAS</v>
      </c>
      <c r="H550" s="2" t="str">
        <f>IF(B550="","",IFERROR(VLOOKUP(B550, PLANTA_BASE!A:W, 17, FALSE), "GENERAL"))</f>
        <v>DISEÑO Y PRODUCCION DE MODAS</v>
      </c>
    </row>
    <row r="551" spans="1:8" ht="20.100000000000001" customHeight="1" x14ac:dyDescent="0.25">
      <c r="A551" s="5" t="str">
        <f>IF(B551="","",IFERROR(VLOOKUP(B551, PLANTA_BASE!A:W, 2, FALSE), "NO ENCONTRADO EN PLANTA"))</f>
        <v>PRESENCIAL</v>
      </c>
      <c r="B551" s="6" t="s">
        <v>1106</v>
      </c>
      <c r="C551" s="7" t="s">
        <v>1107</v>
      </c>
      <c r="D551" s="5" t="str">
        <f>IF(B551="","",IFERROR(VLOOKUP(B551, PLANTA_BASE!A:W, 5, FALSE), "NO ENCONTRADO EN PLANTA"))</f>
        <v>REGIONAL BOGOTA</v>
      </c>
      <c r="E551" s="5" t="str">
        <f>IF(B551="","",IFERROR(VLOOKUP(B551, PLANTA_BASE!A:W, 6, FALSE), "NO ENCONTRADO EN PLANTA"))</f>
        <v>BOGOTA CENTRO</v>
      </c>
      <c r="F551" s="7" t="str">
        <f>IF(B551="","",IFERROR(VLOOKUP(B551, PLANTA_BASE!A:W, 8, FALSE), "DOCENTE / FACILITADOR"))</f>
        <v>DOCENTE AUX/N/TC/DIS PROD MOD/FUN.ACADE-ADMIN</v>
      </c>
      <c r="G551" s="7" t="str">
        <f>IF(B551="","",IFERROR(VLOOKUP(B551, PLANTA_BASE!A:W, 9, FALSE), "GENERAL"))</f>
        <v>DISEÑO Y PRODUCCION DE MODAS</v>
      </c>
      <c r="H551" s="5" t="str">
        <f>IF(B551="","",IFERROR(VLOOKUP(B551, PLANTA_BASE!A:W, 17, FALSE), "GENERAL"))</f>
        <v>DISEÑO Y PRODUCCION DE MODAS</v>
      </c>
    </row>
    <row r="552" spans="1:8" ht="20.100000000000001" customHeight="1" x14ac:dyDescent="0.25">
      <c r="A552" s="2" t="str">
        <f>IF(B552="","",IFERROR(VLOOKUP(B552, PLANTA_BASE!A:W, 2, FALSE), "NO ENCONTRADO EN PLANTA"))</f>
        <v>PRESENCIAL</v>
      </c>
      <c r="B552" s="3" t="s">
        <v>1108</v>
      </c>
      <c r="C552" s="4" t="s">
        <v>1109</v>
      </c>
      <c r="D552" s="2" t="str">
        <f>IF(B552="","",IFERROR(VLOOKUP(B552, PLANTA_BASE!A:W, 5, FALSE), "NO ENCONTRADO EN PLANTA"))</f>
        <v>REGIONAL BOGOTA</v>
      </c>
      <c r="E552" s="2" t="str">
        <f>IF(B552="","",IFERROR(VLOOKUP(B552, PLANTA_BASE!A:W, 6, FALSE), "NO ENCONTRADO EN PLANTA"))</f>
        <v>BOGOTA CENTRO</v>
      </c>
      <c r="F552" s="4" t="str">
        <f>IF(B552="","",IFERROR(VLOOKUP(B552, PLANTA_BASE!A:W, 8, FALSE), "DOCENTE / FACILITADOR"))</f>
        <v>DOC AUX T&amp;T/N/TC/DIS PROD MOD/PROYECCIO</v>
      </c>
      <c r="G552" s="4" t="str">
        <f>IF(B552="","",IFERROR(VLOOKUP(B552, PLANTA_BASE!A:W, 9, FALSE), "GENERAL"))</f>
        <v>DISEÑO Y PRODUCCION DE MODAS</v>
      </c>
      <c r="H552" s="2" t="str">
        <f>IF(B552="","",IFERROR(VLOOKUP(B552, PLANTA_BASE!A:W, 17, FALSE), "GENERAL"))</f>
        <v>DISEÑO Y PRODUCCION DE MODAS</v>
      </c>
    </row>
    <row r="553" spans="1:8" ht="20.100000000000001" customHeight="1" x14ac:dyDescent="0.25">
      <c r="A553" s="5" t="str">
        <f>IF(B553="","",IFERROR(VLOOKUP(B553, PLANTA_BASE!A:W, 2, FALSE), "NO ENCONTRADO EN PLANTA"))</f>
        <v>PRESENCIAL</v>
      </c>
      <c r="B553" s="6" t="s">
        <v>1110</v>
      </c>
      <c r="C553" s="7" t="s">
        <v>1111</v>
      </c>
      <c r="D553" s="5" t="str">
        <f>IF(B553="","",IFERROR(VLOOKUP(B553, PLANTA_BASE!A:W, 5, FALSE), "NO ENCONTRADO EN PLANTA"))</f>
        <v>REGIONAL BOGOTA</v>
      </c>
      <c r="E553" s="5" t="str">
        <f>IF(B553="","",IFERROR(VLOOKUP(B553, PLANTA_BASE!A:W, 6, FALSE), "NO ENCONTRADO EN PLANTA"))</f>
        <v>BOGOTA SUBA</v>
      </c>
      <c r="F553" s="7" t="str">
        <f>IF(B553="","",IFERROR(VLOOKUP(B553, PLANTA_BASE!A:W, 8, FALSE), "DOCENTE / FACILITADOR"))</f>
        <v>DOCENTE ASOC/N/TC/ING SISTEM/FUN.ACADE-ADMIN</v>
      </c>
      <c r="G553" s="7" t="str">
        <f>IF(B553="","",IFERROR(VLOOKUP(B553, PLANTA_BASE!A:W, 9, FALSE), "GENERAL"))</f>
        <v>INGENIERIA DE SISTEMAS</v>
      </c>
      <c r="H553" s="5" t="str">
        <f>IF(B553="","",IFERROR(VLOOKUP(B553, PLANTA_BASE!A:W, 17, FALSE), "GENERAL"))</f>
        <v>INGENIERIA DE SISTEMAS</v>
      </c>
    </row>
    <row r="554" spans="1:8" ht="20.100000000000001" customHeight="1" x14ac:dyDescent="0.25">
      <c r="A554" s="2" t="str">
        <f>IF(B554="","",IFERROR(VLOOKUP(B554, PLANTA_BASE!A:W, 2, FALSE), "NO ENCONTRADO EN PLANTA"))</f>
        <v>PRESENCIAL</v>
      </c>
      <c r="B554" s="3" t="s">
        <v>1112</v>
      </c>
      <c r="C554" s="4" t="s">
        <v>1113</v>
      </c>
      <c r="D554" s="2" t="str">
        <f>IF(B554="","",IFERROR(VLOOKUP(B554, PLANTA_BASE!A:W, 5, FALSE), "NO ENCONTRADO EN PLANTA"))</f>
        <v>REGIONAL BOGOTA</v>
      </c>
      <c r="E554" s="2" t="str">
        <f>IF(B554="","",IFERROR(VLOOKUP(B554, PLANTA_BASE!A:W, 6, FALSE), "NO ENCONTRADO EN PLANTA"))</f>
        <v>BOGOTA CENTRO</v>
      </c>
      <c r="F554" s="4" t="str">
        <f>IF(B554="","",IFERROR(VLOOKUP(B554, PLANTA_BASE!A:W, 8, FALSE), "DOCENTE / FACILITADOR"))</f>
        <v>DOC AUX T&amp;T/N/MT/ADM SER SALU</v>
      </c>
      <c r="G554" s="4" t="str">
        <f>IF(B554="","",IFERROR(VLOOKUP(B554, PLANTA_BASE!A:W, 9, FALSE), "GENERAL"))</f>
        <v>ADMINISTRACION EN SERVICIOS DE SALUD</v>
      </c>
      <c r="H554" s="2" t="str">
        <f>IF(B554="","",IFERROR(VLOOKUP(B554, PLANTA_BASE!A:W, 17, FALSE), "GENERAL"))</f>
        <v>ADMINISTRACION EN SERVICIOS DE SALUD</v>
      </c>
    </row>
    <row r="555" spans="1:8" ht="20.100000000000001" customHeight="1" x14ac:dyDescent="0.25">
      <c r="A555" s="5" t="str">
        <f>IF(B555="","",IFERROR(VLOOKUP(B555, PLANTA_BASE!A:W, 2, FALSE), "NO ENCONTRADO EN PLANTA"))</f>
        <v>PRESENCIAL</v>
      </c>
      <c r="B555" s="6" t="s">
        <v>1114</v>
      </c>
      <c r="C555" s="7" t="s">
        <v>1115</v>
      </c>
      <c r="D555" s="5" t="str">
        <f>IF(B555="","",IFERROR(VLOOKUP(B555, PLANTA_BASE!A:W, 5, FALSE), "NO ENCONTRADO EN PLANTA"))</f>
        <v>REGIONAL BOGOTA</v>
      </c>
      <c r="E555" s="5" t="str">
        <f>IF(B555="","",IFERROR(VLOOKUP(B555, PLANTA_BASE!A:W, 6, FALSE), "NO ENCONTRADO EN PLANTA"))</f>
        <v>BOGOTA CENTRO</v>
      </c>
      <c r="F555" s="7" t="str">
        <f>IF(B555="","",IFERROR(VLOOKUP(B555, PLANTA_BASE!A:W, 8, FALSE), "DOCENTE / FACILITADOR"))</f>
        <v>DOCENTE ASOC/N/TC/INVESTIGA/INVESTIGACIO</v>
      </c>
      <c r="G555" s="7" t="str">
        <f>IF(B555="","",IFERROR(VLOOKUP(B555, PLANTA_BASE!A:W, 9, FALSE), "GENERAL"))</f>
        <v>INVESTIGACIONES</v>
      </c>
      <c r="H555" s="5" t="str">
        <f>IF(B555="","",IFERROR(VLOOKUP(B555, PLANTA_BASE!A:W, 17, FALSE), "GENERAL"))</f>
        <v>INVESTIGACIONES</v>
      </c>
    </row>
    <row r="556" spans="1:8" ht="20.100000000000001" customHeight="1" x14ac:dyDescent="0.25">
      <c r="A556" s="2" t="str">
        <f>IF(B556="","",IFERROR(VLOOKUP(B556, PLANTA_BASE!A:W, 2, FALSE), "NO ENCONTRADO EN PLANTA"))</f>
        <v>VIRTUAL</v>
      </c>
      <c r="B556" s="3" t="s">
        <v>1116</v>
      </c>
      <c r="C556" s="4" t="s">
        <v>1117</v>
      </c>
      <c r="D556" s="2" t="str">
        <f>IF(B556="","",IFERROR(VLOOKUP(B556, PLANTA_BASE!A:W, 5, FALSE), "NO ENCONTRADO EN PLANTA"))</f>
        <v>REGIONAL BOGOTA</v>
      </c>
      <c r="E556" s="2" t="str">
        <f>IF(B556="","",IFERROR(VLOOKUP(B556, PLANTA_BASE!A:W, 6, FALSE), "NO ENCONTRADO EN PLANTA"))</f>
        <v>BOGOTA CENTRO</v>
      </c>
      <c r="F556" s="4" t="str">
        <f>IF(B556="","",IFERROR(VLOOKUP(B556, PLANTA_BASE!A:W, 8, FALSE), "DOCENTE / FACILITADOR"))</f>
        <v>DOC AUX T&amp;T/N/V/TC/IDIOMAS/FUN.ACADE-ADMIN</v>
      </c>
      <c r="G556" s="4" t="str">
        <f>IF(B556="","",IFERROR(VLOOKUP(B556, PLANTA_BASE!A:W, 9, FALSE), "GENERAL"))</f>
        <v>IDIOMAS</v>
      </c>
      <c r="H556" s="2" t="str">
        <f>IF(B556="","",IFERROR(VLOOKUP(B556, PLANTA_BASE!A:W, 17, FALSE), "GENERAL"))</f>
        <v>IDIOMAS</v>
      </c>
    </row>
    <row r="557" spans="1:8" ht="20.100000000000001" customHeight="1" x14ac:dyDescent="0.25">
      <c r="A557" s="5" t="str">
        <f>IF(B557="","",IFERROR(VLOOKUP(B557, PLANTA_BASE!A:W, 2, FALSE), "NO ENCONTRADO EN PLANTA"))</f>
        <v>VIRTUAL</v>
      </c>
      <c r="B557" s="6" t="s">
        <v>1118</v>
      </c>
      <c r="C557" s="7" t="s">
        <v>1119</v>
      </c>
      <c r="D557" s="5" t="str">
        <f>IF(B557="","",IFERROR(VLOOKUP(B557, PLANTA_BASE!A:W, 5, FALSE), "NO ENCONTRADO EN PLANTA"))</f>
        <v>REGIONAL BOGOTA</v>
      </c>
      <c r="E557" s="5" t="str">
        <f>IF(B557="","",IFERROR(VLOOKUP(B557, PLANTA_BASE!A:W, 6, FALSE), "NO ENCONTRADO EN PLANTA"))</f>
        <v>BOGOTA CENTRO</v>
      </c>
      <c r="F557" s="7" t="str">
        <f>IF(B557="","",IFERROR(VLOOKUP(B557, PLANTA_BASE!A:W, 8, FALSE), "DOCENTE / FACILITADOR"))</f>
        <v>DOC ASIS/N/V/TC/ESP PROSP ESTR/FUN.ACA</v>
      </c>
      <c r="G557" s="7" t="str">
        <f>IF(B557="","",IFERROR(VLOOKUP(B557, PLANTA_BASE!A:W, 9, FALSE), "GENERAL"))</f>
        <v>ESPECIALIZACION EN PROSPECTIVA ESTRATEGICA</v>
      </c>
      <c r="H557" s="5" t="str">
        <f>IF(B557="","",IFERROR(VLOOKUP(B557, PLANTA_BASE!A:W, 17, FALSE), "GENERAL"))</f>
        <v>ESPECIALIZACION EN PROSPECTIVA ESTRATEGICA</v>
      </c>
    </row>
    <row r="558" spans="1:8" ht="20.100000000000001" customHeight="1" x14ac:dyDescent="0.25">
      <c r="A558" s="2" t="str">
        <f>IF(B558="","",IFERROR(VLOOKUP(B558, PLANTA_BASE!A:W, 2, FALSE), "NO ENCONTRADO EN PLANTA"))</f>
        <v>VIRTUAL</v>
      </c>
      <c r="B558" s="3" t="s">
        <v>1120</v>
      </c>
      <c r="C558" s="4" t="s">
        <v>1121</v>
      </c>
      <c r="D558" s="2" t="str">
        <f>IF(B558="","",IFERROR(VLOOKUP(B558, PLANTA_BASE!A:W, 5, FALSE), "NO ENCONTRADO EN PLANTA"))</f>
        <v>REGIONAL BOGOTA</v>
      </c>
      <c r="E558" s="2" t="str">
        <f>IF(B558="","",IFERROR(VLOOKUP(B558, PLANTA_BASE!A:W, 6, FALSE), "NO ENCONTRADO EN PLANTA"))</f>
        <v>BOGOTA CENTRO</v>
      </c>
      <c r="F558" s="4" t="str">
        <f>IF(B558="","",IFERROR(VLOOKUP(B558, PLANTA_BASE!A:W, 8, FALSE), "DOCENTE / FACILITADOR"))</f>
        <v>DOC ASIS/N/V/TC/ESP PAZ Y DESARR/FUN.ACADE-ADMIN</v>
      </c>
      <c r="G558" s="4" t="str">
        <f>IF(B558="","",IFERROR(VLOOKUP(B558, PLANTA_BASE!A:W, 9, FALSE), "GENERAL"))</f>
        <v>ESPECIALIZACION DE PAZ Y DESARROLLO</v>
      </c>
      <c r="H558" s="2" t="str">
        <f>IF(B558="","",IFERROR(VLOOKUP(B558, PLANTA_BASE!A:W, 17, FALSE), "GENERAL"))</f>
        <v>ESPECIALIZACION DE PAZ Y DESARROLLO</v>
      </c>
    </row>
    <row r="559" spans="1:8" ht="20.100000000000001" customHeight="1" x14ac:dyDescent="0.25">
      <c r="A559" s="5" t="str">
        <f>IF(B559="","",IFERROR(VLOOKUP(B559, PLANTA_BASE!A:W, 2, FALSE), "NO ENCONTRADO EN PLANTA"))</f>
        <v>PRESENCIAL</v>
      </c>
      <c r="B559" s="6" t="s">
        <v>1122</v>
      </c>
      <c r="C559" s="7" t="s">
        <v>1123</v>
      </c>
      <c r="D559" s="5" t="str">
        <f>IF(B559="","",IFERROR(VLOOKUP(B559, PLANTA_BASE!A:W, 5, FALSE), "NO ENCONTRADO EN PLANTA"))</f>
        <v>REGIONAL BOGOTA</v>
      </c>
      <c r="E559" s="5" t="str">
        <f>IF(B559="","",IFERROR(VLOOKUP(B559, PLANTA_BASE!A:W, 6, FALSE), "NO ENCONTRADO EN PLANTA"))</f>
        <v>BOGOTA CENTRO</v>
      </c>
      <c r="F559" s="7" t="str">
        <f>IF(B559="","",IFERROR(VLOOKUP(B559, PLANTA_BASE!A:W, 8, FALSE), "DOCENTE / FACILITADOR"))</f>
        <v>DOCENTE ASOC/N/TC/DERECHO/FUN.ACADE-ADMIN</v>
      </c>
      <c r="G559" s="7" t="str">
        <f>IF(B559="","",IFERROR(VLOOKUP(B559, PLANTA_BASE!A:W, 9, FALSE), "GENERAL"))</f>
        <v>DERECHO</v>
      </c>
      <c r="H559" s="5" t="str">
        <f>IF(B559="","",IFERROR(VLOOKUP(B559, PLANTA_BASE!A:W, 17, FALSE), "GENERAL"))</f>
        <v>DERECHO</v>
      </c>
    </row>
    <row r="560" spans="1:8" ht="20.100000000000001" customHeight="1" x14ac:dyDescent="0.25">
      <c r="A560" s="2" t="str">
        <f>IF(B560="","",IFERROR(VLOOKUP(B560, PLANTA_BASE!A:W, 2, FALSE), "NO ENCONTRADO EN PLANTA"))</f>
        <v>PRESENCIAL</v>
      </c>
      <c r="B560" s="3" t="s">
        <v>1124</v>
      </c>
      <c r="C560" s="4" t="s">
        <v>1125</v>
      </c>
      <c r="D560" s="2" t="str">
        <f>IF(B560="","",IFERROR(VLOOKUP(B560, PLANTA_BASE!A:W, 5, FALSE), "NO ENCONTRADO EN PLANTA"))</f>
        <v>REGIONAL BOGOTA</v>
      </c>
      <c r="E560" s="2" t="str">
        <f>IF(B560="","",IFERROR(VLOOKUP(B560, PLANTA_BASE!A:W, 6, FALSE), "NO ENCONTRADO EN PLANTA"))</f>
        <v>BOGOTA RESTREPO</v>
      </c>
      <c r="F560" s="4" t="str">
        <f>IF(B560="","",IFERROR(VLOOKUP(B560, PLANTA_BASE!A:W, 8, FALSE), "DOCENTE / FACILITADOR"))</f>
        <v>DOCENTE ASOC/N/TC/INVESTIGA/INVESTIGACIO</v>
      </c>
      <c r="G560" s="4" t="str">
        <f>IF(B560="","",IFERROR(VLOOKUP(B560, PLANTA_BASE!A:W, 9, FALSE), "GENERAL"))</f>
        <v>INVESTIGACIONES</v>
      </c>
      <c r="H560" s="2" t="str">
        <f>IF(B560="","",IFERROR(VLOOKUP(B560, PLANTA_BASE!A:W, 17, FALSE), "GENERAL"))</f>
        <v>INVESTIGACIONES</v>
      </c>
    </row>
    <row r="561" spans="1:8" ht="20.100000000000001" customHeight="1" x14ac:dyDescent="0.25">
      <c r="A561" s="5" t="str">
        <f>IF(B561="","",IFERROR(VLOOKUP(B561, PLANTA_BASE!A:W, 2, FALSE), "NO ENCONTRADO EN PLANTA"))</f>
        <v>PRESENCIAL</v>
      </c>
      <c r="B561" s="6" t="s">
        <v>1126</v>
      </c>
      <c r="C561" s="7" t="s">
        <v>1127</v>
      </c>
      <c r="D561" s="5" t="str">
        <f>IF(B561="","",IFERROR(VLOOKUP(B561, PLANTA_BASE!A:W, 5, FALSE), "NO ENCONTRADO EN PLANTA"))</f>
        <v>REGIONAL BOGOTA</v>
      </c>
      <c r="E561" s="5" t="str">
        <f>IF(B561="","",IFERROR(VLOOKUP(B561, PLANTA_BASE!A:W, 6, FALSE), "NO ENCONTRADO EN PLANTA"))</f>
        <v>BOGOTA CENTRO</v>
      </c>
      <c r="F561" s="7" t="str">
        <f>IF(B561="","",IFERROR(VLOOKUP(B561, PLANTA_BASE!A:W, 8, FALSE), "DOCENTE / FACILITADOR"))</f>
        <v>DOCENTE ASIS/N/TC/INVESTIGA/INVESTIGACIO</v>
      </c>
      <c r="G561" s="7" t="str">
        <f>IF(B561="","",IFERROR(VLOOKUP(B561, PLANTA_BASE!A:W, 9, FALSE), "GENERAL"))</f>
        <v>INVESTIGACIONES</v>
      </c>
      <c r="H561" s="5" t="str">
        <f>IF(B561="","",IFERROR(VLOOKUP(B561, PLANTA_BASE!A:W, 17, FALSE), "GENERAL"))</f>
        <v>INVESTIGACIONES</v>
      </c>
    </row>
    <row r="562" spans="1:8" ht="20.100000000000001" customHeight="1" x14ac:dyDescent="0.25">
      <c r="A562" s="2" t="str">
        <f>IF(B562="","",IFERROR(VLOOKUP(B562, PLANTA_BASE!A:W, 2, FALSE), "NO ENCONTRADO EN PLANTA"))</f>
        <v>VIRTUAL</v>
      </c>
      <c r="B562" s="3" t="s">
        <v>1128</v>
      </c>
      <c r="C562" s="4" t="s">
        <v>1129</v>
      </c>
      <c r="D562" s="2" t="str">
        <f>IF(B562="","",IFERROR(VLOOKUP(B562, PLANTA_BASE!A:W, 5, FALSE), "NO ENCONTRADO EN PLANTA"))</f>
        <v>REGIONAL BOGOTA</v>
      </c>
      <c r="E562" s="2" t="str">
        <f>IF(B562="","",IFERROR(VLOOKUP(B562, PLANTA_BASE!A:W, 6, FALSE), "NO ENCONTRADO EN PLANTA"))</f>
        <v>BOGOTA CENTRO</v>
      </c>
      <c r="F562" s="4" t="str">
        <f>IF(B562="","",IFERROR(VLOOKUP(B562, PLANTA_BASE!A:W, 8, FALSE), "DOCENTE / FACILITADOR"))</f>
        <v>DOC AUX/N/V/MT/ADM DE EMPRE</v>
      </c>
      <c r="G562" s="4" t="str">
        <f>IF(B562="","",IFERROR(VLOOKUP(B562, PLANTA_BASE!A:W, 9, FALSE), "GENERAL"))</f>
        <v>ADMINISTRACION DE EMPRESAS</v>
      </c>
      <c r="H562" s="2" t="str">
        <f>IF(B562="","",IFERROR(VLOOKUP(B562, PLANTA_BASE!A:W, 17, FALSE), "GENERAL"))</f>
        <v>ADMINISTRACION DE EMPRESAS</v>
      </c>
    </row>
    <row r="563" spans="1:8" ht="20.100000000000001" customHeight="1" x14ac:dyDescent="0.25">
      <c r="A563" s="5" t="str">
        <f>IF(B563="","",IFERROR(VLOOKUP(B563, PLANTA_BASE!A:W, 2, FALSE), "NO ENCONTRADO EN PLANTA"))</f>
        <v>VIRTUAL</v>
      </c>
      <c r="B563" s="6" t="s">
        <v>1130</v>
      </c>
      <c r="C563" s="7" t="s">
        <v>1131</v>
      </c>
      <c r="D563" s="5" t="str">
        <f>IF(B563="","",IFERROR(VLOOKUP(B563, PLANTA_BASE!A:W, 5, FALSE), "NO ENCONTRADO EN PLANTA"))</f>
        <v>REGIONAL BOGOTA</v>
      </c>
      <c r="E563" s="5" t="str">
        <f>IF(B563="","",IFERROR(VLOOKUP(B563, PLANTA_BASE!A:W, 6, FALSE), "NO ENCONTRADO EN PLANTA"))</f>
        <v>BOGOTA CENTRO</v>
      </c>
      <c r="F563" s="7" t="str">
        <f>IF(B563="","",IFERROR(VLOOKUP(B563, PLANTA_BASE!A:W, 8, FALSE), "DOCENTE / FACILITADOR"))</f>
        <v>DOC AUX/N/V/TC/PUB Y MERC/FUN.ACADE-ADMIN</v>
      </c>
      <c r="G563" s="7" t="str">
        <f>IF(B563="","",IFERROR(VLOOKUP(B563, PLANTA_BASE!A:W, 9, FALSE), "GENERAL"))</f>
        <v>PUBLICIDAD Y MERCADEO</v>
      </c>
      <c r="H563" s="5" t="str">
        <f>IF(B563="","",IFERROR(VLOOKUP(B563, PLANTA_BASE!A:W, 17, FALSE), "GENERAL"))</f>
        <v>PUBLICIDAD Y MERCADEO</v>
      </c>
    </row>
    <row r="564" spans="1:8" ht="20.100000000000001" customHeight="1" x14ac:dyDescent="0.25">
      <c r="A564" s="2" t="str">
        <f>IF(B564="","",IFERROR(VLOOKUP(B564, PLANTA_BASE!A:W, 2, FALSE), "NO ENCONTRADO EN PLANTA"))</f>
        <v>VIRTUAL</v>
      </c>
      <c r="B564" s="3" t="s">
        <v>1132</v>
      </c>
      <c r="C564" s="4" t="s">
        <v>1133</v>
      </c>
      <c r="D564" s="2" t="str">
        <f>IF(B564="","",IFERROR(VLOOKUP(B564, PLANTA_BASE!A:W, 5, FALSE), "NO ENCONTRADO EN PLANTA"))</f>
        <v>REGIONAL BOGOTA</v>
      </c>
      <c r="E564" s="2" t="str">
        <f>IF(B564="","",IFERROR(VLOOKUP(B564, PLANTA_BASE!A:W, 6, FALSE), "NO ENCONTRADO EN PLANTA"))</f>
        <v>BOGOTA CENTRO</v>
      </c>
      <c r="F564" s="4" t="str">
        <f>IF(B564="","",IFERROR(VLOOKUP(B564, PLANTA_BASE!A:W, 8, FALSE), "DOCENTE / FACILITADOR"))</f>
        <v>DOCENTE ASIS/N/V/TC/ESP ALTA GEREN/FUN.A</v>
      </c>
      <c r="G564" s="4" t="str">
        <f>IF(B564="","",IFERROR(VLOOKUP(B564, PLANTA_BASE!A:W, 9, FALSE), "GENERAL"))</f>
        <v>ESPECIALIZACION EN ALTA GERENCIA</v>
      </c>
      <c r="H564" s="2" t="str">
        <f>IF(B564="","",IFERROR(VLOOKUP(B564, PLANTA_BASE!A:W, 17, FALSE), "GENERAL"))</f>
        <v>ESPECIALIZACION EN ALTA GERENCIA</v>
      </c>
    </row>
    <row r="565" spans="1:8" ht="20.100000000000001" customHeight="1" x14ac:dyDescent="0.25">
      <c r="A565" s="5" t="str">
        <f>IF(B565="","",IFERROR(VLOOKUP(B565, PLANTA_BASE!A:W, 2, FALSE), "NO ENCONTRADO EN PLANTA"))</f>
        <v>VIRTUAL</v>
      </c>
      <c r="B565" s="6" t="s">
        <v>1134</v>
      </c>
      <c r="C565" s="7" t="s">
        <v>1135</v>
      </c>
      <c r="D565" s="5" t="str">
        <f>IF(B565="","",IFERROR(VLOOKUP(B565, PLANTA_BASE!A:W, 5, FALSE), "NO ENCONTRADO EN PLANTA"))</f>
        <v>REGIONAL BOGOTA</v>
      </c>
      <c r="E565" s="5" t="str">
        <f>IF(B565="","",IFERROR(VLOOKUP(B565, PLANTA_BASE!A:W, 6, FALSE), "NO ENCONTRADO EN PLANTA"))</f>
        <v>BOGOTA CENTRO</v>
      </c>
      <c r="F565" s="7" t="str">
        <f>IF(B565="","",IFERROR(VLOOKUP(B565, PLANTA_BASE!A:W, 8, FALSE), "DOCENTE / FACILITADOR"))</f>
        <v>DOC AUX T&amp;T/N/V/TC/CIENCIAS BASI/FUN.ACADE-ADMIN</v>
      </c>
      <c r="G565" s="7" t="str">
        <f>IF(B565="","",IFERROR(VLOOKUP(B565, PLANTA_BASE!A:W, 9, FALSE), "GENERAL"))</f>
        <v>CIENCIAS BASICAS</v>
      </c>
      <c r="H565" s="5" t="str">
        <f>IF(B565="","",IFERROR(VLOOKUP(B565, PLANTA_BASE!A:W, 17, FALSE), "GENERAL"))</f>
        <v>CIENCIAS BASICAS</v>
      </c>
    </row>
    <row r="566" spans="1:8" ht="20.100000000000001" customHeight="1" x14ac:dyDescent="0.25">
      <c r="A566" s="2" t="str">
        <f>IF(B566="","",IFERROR(VLOOKUP(B566, PLANTA_BASE!A:W, 2, FALSE), "NO ENCONTRADO EN PLANTA"))</f>
        <v>VIRTUAL</v>
      </c>
      <c r="B566" s="3" t="s">
        <v>1136</v>
      </c>
      <c r="C566" s="4" t="s">
        <v>1137</v>
      </c>
      <c r="D566" s="2" t="str">
        <f>IF(B566="","",IFERROR(VLOOKUP(B566, PLANTA_BASE!A:W, 5, FALSE), "NO ENCONTRADO EN PLANTA"))</f>
        <v>REGIONAL BOGOTA</v>
      </c>
      <c r="E566" s="2" t="str">
        <f>IF(B566="","",IFERROR(VLOOKUP(B566, PLANTA_BASE!A:W, 6, FALSE), "NO ENCONTRADO EN PLANTA"))</f>
        <v>BOGOTA CENTRO</v>
      </c>
      <c r="F566" s="4" t="str">
        <f>IF(B566="","",IFERROR(VLOOKUP(B566, PLANTA_BASE!A:W, 8, FALSE), "DOCENTE / FACILITADOR"))</f>
        <v>DOC ASIS/N/V/TC/ING DE SISTEMAS/FUN.ACADE-ADMIN</v>
      </c>
      <c r="G566" s="4" t="str">
        <f>IF(B566="","",IFERROR(VLOOKUP(B566, PLANTA_BASE!A:W, 9, FALSE), "GENERAL"))</f>
        <v>INGENIERIA DE SISTEMAS</v>
      </c>
      <c r="H566" s="2" t="str">
        <f>IF(B566="","",IFERROR(VLOOKUP(B566, PLANTA_BASE!A:W, 17, FALSE), "GENERAL"))</f>
        <v>INGENIERIA DE SISTEMAS</v>
      </c>
    </row>
    <row r="567" spans="1:8" ht="20.100000000000001" customHeight="1" x14ac:dyDescent="0.25">
      <c r="A567" s="5" t="str">
        <f>IF(B567="","",IFERROR(VLOOKUP(B567, PLANTA_BASE!A:W, 2, FALSE), "NO ENCONTRADO EN PLANTA"))</f>
        <v>VIRTUAL</v>
      </c>
      <c r="B567" s="6" t="s">
        <v>1138</v>
      </c>
      <c r="C567" s="7" t="s">
        <v>1139</v>
      </c>
      <c r="D567" s="5" t="str">
        <f>IF(B567="","",IFERROR(VLOOKUP(B567, PLANTA_BASE!A:W, 5, FALSE), "NO ENCONTRADO EN PLANTA"))</f>
        <v>REGIONAL BOGOTA</v>
      </c>
      <c r="E567" s="5" t="str">
        <f>IF(B567="","",IFERROR(VLOOKUP(B567, PLANTA_BASE!A:W, 6, FALSE), "NO ENCONTRADO EN PLANTA"))</f>
        <v>BOGOTA CENTRO</v>
      </c>
      <c r="F567" s="7" t="str">
        <f>IF(B567="","",IFERROR(VLOOKUP(B567, PLANTA_BASE!A:W, 8, FALSE), "DOCENTE / FACILITADOR"))</f>
        <v>DOC ASOC/N/V/TC/INVESTIGACIONES/INVESTIG</v>
      </c>
      <c r="G567" s="7" t="str">
        <f>IF(B567="","",IFERROR(VLOOKUP(B567, PLANTA_BASE!A:W, 9, FALSE), "GENERAL"))</f>
        <v>INVESTIGACIONES</v>
      </c>
      <c r="H567" s="5" t="str">
        <f>IF(B567="","",IFERROR(VLOOKUP(B567, PLANTA_BASE!A:W, 17, FALSE), "GENERAL"))</f>
        <v>INVESTIGACIONES</v>
      </c>
    </row>
    <row r="568" spans="1:8" ht="20.100000000000001" customHeight="1" x14ac:dyDescent="0.25">
      <c r="A568" s="2" t="str">
        <f>IF(B568="","",IFERROR(VLOOKUP(B568, PLANTA_BASE!A:W, 2, FALSE), "NO ENCONTRADO EN PLANTA"))</f>
        <v>PRESENCIAL</v>
      </c>
      <c r="B568" s="3" t="s">
        <v>1140</v>
      </c>
      <c r="C568" s="4" t="s">
        <v>1141</v>
      </c>
      <c r="D568" s="2" t="str">
        <f>IF(B568="","",IFERROR(VLOOKUP(B568, PLANTA_BASE!A:W, 5, FALSE), "NO ENCONTRADO EN PLANTA"))</f>
        <v>REGIONAL BOGOTA</v>
      </c>
      <c r="E568" s="2" t="str">
        <f>IF(B568="","",IFERROR(VLOOKUP(B568, PLANTA_BASE!A:W, 6, FALSE), "NO ENCONTRADO EN PLANTA"))</f>
        <v>BOGOTA CENTRO</v>
      </c>
      <c r="F568" s="4" t="str">
        <f>IF(B568="","",IFERROR(VLOOKUP(B568, PLANTA_BASE!A:W, 8, FALSE), "DOCENTE / FACILITADOR"))</f>
        <v>DOCENTE ASOC/N/TC/INVESTIGA/INVESTIGACIO</v>
      </c>
      <c r="G568" s="4" t="str">
        <f>IF(B568="","",IFERROR(VLOOKUP(B568, PLANTA_BASE!A:W, 9, FALSE), "GENERAL"))</f>
        <v>INVESTIGACIONES</v>
      </c>
      <c r="H568" s="2" t="str">
        <f>IF(B568="","",IFERROR(VLOOKUP(B568, PLANTA_BASE!A:W, 17, FALSE), "GENERAL"))</f>
        <v>INVESTIGACIONES</v>
      </c>
    </row>
    <row r="569" spans="1:8" ht="20.100000000000001" customHeight="1" x14ac:dyDescent="0.25">
      <c r="A569" s="5" t="str">
        <f>IF(B569="","",IFERROR(VLOOKUP(B569, PLANTA_BASE!A:W, 2, FALSE), "NO ENCONTRADO EN PLANTA"))</f>
        <v>PRESENCIAL</v>
      </c>
      <c r="B569" s="6" t="s">
        <v>1142</v>
      </c>
      <c r="C569" s="7" t="s">
        <v>1143</v>
      </c>
      <c r="D569" s="5" t="str">
        <f>IF(B569="","",IFERROR(VLOOKUP(B569, PLANTA_BASE!A:W, 5, FALSE), "NO ENCONTRADO EN PLANTA"))</f>
        <v>REGIONAL BOGOTA</v>
      </c>
      <c r="E569" s="5" t="str">
        <f>IF(B569="","",IFERROR(VLOOKUP(B569, PLANTA_BASE!A:W, 6, FALSE), "NO ENCONTRADO EN PLANTA"))</f>
        <v>BOGOTA CENTRO</v>
      </c>
      <c r="F569" s="7" t="str">
        <f>IF(B569="","",IFERROR(VLOOKUP(B569, PLANTA_BASE!A:W, 8, FALSE), "DOCENTE / FACILITADOR"))</f>
        <v>DOCENTE ASIS/N/TC/ING ELECTRO/FUN.ACADE-ADMIN</v>
      </c>
      <c r="G569" s="7" t="str">
        <f>IF(B569="","",IFERROR(VLOOKUP(B569, PLANTA_BASE!A:W, 9, FALSE), "GENERAL"))</f>
        <v>INGENIERIA ELECTRONICA</v>
      </c>
      <c r="H569" s="5" t="str">
        <f>IF(B569="","",IFERROR(VLOOKUP(B569, PLANTA_BASE!A:W, 17, FALSE), "GENERAL"))</f>
        <v>INGENIERIA ELECTRONICA</v>
      </c>
    </row>
    <row r="570" spans="1:8" ht="20.100000000000001" customHeight="1" x14ac:dyDescent="0.25">
      <c r="A570" s="2" t="str">
        <f>IF(B570="","",IFERROR(VLOOKUP(B570, PLANTA_BASE!A:W, 2, FALSE), "NO ENCONTRADO EN PLANTA"))</f>
        <v>PRESENCIAL</v>
      </c>
      <c r="B570" s="3" t="s">
        <v>1144</v>
      </c>
      <c r="C570" s="4" t="s">
        <v>1145</v>
      </c>
      <c r="D570" s="2" t="str">
        <f>IF(B570="","",IFERROR(VLOOKUP(B570, PLANTA_BASE!A:W, 5, FALSE), "NO ENCONTRADO EN PLANTA"))</f>
        <v>REGIONAL BOGOTA</v>
      </c>
      <c r="E570" s="2" t="str">
        <f>IF(B570="","",IFERROR(VLOOKUP(B570, PLANTA_BASE!A:W, 6, FALSE), "NO ENCONTRADO EN PLANTA"))</f>
        <v>BOGOTA CENTRO</v>
      </c>
      <c r="F570" s="4" t="str">
        <f>IF(B570="","",IFERROR(VLOOKUP(B570, PLANTA_BASE!A:W, 8, FALSE), "DOCENTE / FACILITADOR"))</f>
        <v>DOCENTE ASIS/N/TC/NEGO INTER/FUN.ACADE-ADMIN</v>
      </c>
      <c r="G570" s="4" t="str">
        <f>IF(B570="","",IFERROR(VLOOKUP(B570, PLANTA_BASE!A:W, 9, FALSE), "GENERAL"))</f>
        <v>NEGOCIOS INTERNACIONALES</v>
      </c>
      <c r="H570" s="2" t="str">
        <f>IF(B570="","",IFERROR(VLOOKUP(B570, PLANTA_BASE!A:W, 17, FALSE), "GENERAL"))</f>
        <v>NEGOCIOS INTERNACIONALES</v>
      </c>
    </row>
    <row r="571" spans="1:8" ht="20.100000000000001" customHeight="1" x14ac:dyDescent="0.25">
      <c r="A571" s="5" t="str">
        <f>IF(B571="","",IFERROR(VLOOKUP(B571, PLANTA_BASE!A:W, 2, FALSE), "NO ENCONTRADO EN PLANTA"))</f>
        <v>VIRTUAL</v>
      </c>
      <c r="B571" s="6" t="s">
        <v>1146</v>
      </c>
      <c r="C571" s="7" t="s">
        <v>1147</v>
      </c>
      <c r="D571" s="5" t="str">
        <f>IF(B571="","",IFERROR(VLOOKUP(B571, PLANTA_BASE!A:W, 5, FALSE), "NO ENCONTRADO EN PLANTA"))</f>
        <v>REGIONAL BOGOTA</v>
      </c>
      <c r="E571" s="5" t="str">
        <f>IF(B571="","",IFERROR(VLOOKUP(B571, PLANTA_BASE!A:W, 6, FALSE), "NO ENCONTRADO EN PLANTA"))</f>
        <v>BOGOTA CENTRO</v>
      </c>
      <c r="F571" s="7" t="str">
        <f>IF(B571="","",IFERROR(VLOOKUP(B571, PLANTA_BASE!A:W, 8, FALSE), "DOCENTE / FACILITADOR"))</f>
        <v>DOC ASIS/N/V/TC/CONTADURIA/FUN.ACADE-ADMIN</v>
      </c>
      <c r="G571" s="7" t="str">
        <f>IF(B571="","",IFERROR(VLOOKUP(B571, PLANTA_BASE!A:W, 9, FALSE), "GENERAL"))</f>
        <v>CONTADURIA PUBLICA</v>
      </c>
      <c r="H571" s="5" t="str">
        <f>IF(B571="","",IFERROR(VLOOKUP(B571, PLANTA_BASE!A:W, 17, FALSE), "GENERAL"))</f>
        <v>CONTADURIA PUBLICA</v>
      </c>
    </row>
    <row r="572" spans="1:8" ht="20.100000000000001" customHeight="1" x14ac:dyDescent="0.25">
      <c r="A572" s="2" t="str">
        <f>IF(B572="","",IFERROR(VLOOKUP(B572, PLANTA_BASE!A:W, 2, FALSE), "NO ENCONTRADO EN PLANTA"))</f>
        <v>VIRTUAL</v>
      </c>
      <c r="B572" s="3" t="s">
        <v>1148</v>
      </c>
      <c r="C572" s="4" t="s">
        <v>1149</v>
      </c>
      <c r="D572" s="2" t="str">
        <f>IF(B572="","",IFERROR(VLOOKUP(B572, PLANTA_BASE!A:W, 5, FALSE), "NO ENCONTRADO EN PLANTA"))</f>
        <v>REGIONAL BOGOTA</v>
      </c>
      <c r="E572" s="2" t="str">
        <f>IF(B572="","",IFERROR(VLOOKUP(B572, PLANTA_BASE!A:W, 6, FALSE), "NO ENCONTRADO EN PLANTA"))</f>
        <v>BOGOTA CENTRO</v>
      </c>
      <c r="F572" s="4" t="str">
        <f>IF(B572="","",IFERROR(VLOOKUP(B572, PLANTA_BASE!A:W, 8, FALSE), "DOCENTE / FACILITADOR"))</f>
        <v>DOC AUX T&amp;T/N/V/TC/DIR PROD ME AUD/PROYE</v>
      </c>
      <c r="G572" s="4" t="str">
        <f>IF(B572="","",IFERROR(VLOOKUP(B572, PLANTA_BASE!A:W, 9, FALSE), "GENERAL"))</f>
        <v>DIRECCION Y PRODUCCION DE MEDIOS AUDIOVISUALES</v>
      </c>
      <c r="H572" s="2" t="str">
        <f>IF(B572="","",IFERROR(VLOOKUP(B572, PLANTA_BASE!A:W, 17, FALSE), "GENERAL"))</f>
        <v>DIRECCION Y PRODUCCION DE MEDIOS AUDIOVISUALES</v>
      </c>
    </row>
    <row r="573" spans="1:8" ht="20.100000000000001" customHeight="1" x14ac:dyDescent="0.25">
      <c r="A573" s="5" t="str">
        <f>IF(B573="","",IFERROR(VLOOKUP(B573, PLANTA_BASE!A:W, 2, FALSE), "NO ENCONTRADO EN PLANTA"))</f>
        <v>VIRTUAL</v>
      </c>
      <c r="B573" s="6" t="s">
        <v>1150</v>
      </c>
      <c r="C573" s="7" t="s">
        <v>1151</v>
      </c>
      <c r="D573" s="5" t="str">
        <f>IF(B573="","",IFERROR(VLOOKUP(B573, PLANTA_BASE!A:W, 5, FALSE), "NO ENCONTRADO EN PLANTA"))</f>
        <v>REGIONAL BOGOTA</v>
      </c>
      <c r="E573" s="5" t="str">
        <f>IF(B573="","",IFERROR(VLOOKUP(B573, PLANTA_BASE!A:W, 6, FALSE), "NO ENCONTRADO EN PLANTA"))</f>
        <v>BOGOTA CENTRO</v>
      </c>
      <c r="F573" s="7" t="str">
        <f>IF(B573="","",IFERROR(VLOOKUP(B573, PLANTA_BASE!A:W, 8, FALSE), "DOCENTE / FACILITADOR"))</f>
        <v>DOC AUX T&amp;T/N/V/TC/DIR PROD ME AUD/FUN.ACADE-ADMIN</v>
      </c>
      <c r="G573" s="7" t="str">
        <f>IF(B573="","",IFERROR(VLOOKUP(B573, PLANTA_BASE!A:W, 9, FALSE), "GENERAL"))</f>
        <v>DIRECCION Y PRODUCCION DE MEDIOS AUDIOVISUALES</v>
      </c>
      <c r="H573" s="5" t="str">
        <f>IF(B573="","",IFERROR(VLOOKUP(B573, PLANTA_BASE!A:W, 17, FALSE), "GENERAL"))</f>
        <v>DIRECCION Y PRODUCCION DE MEDIOS AUDIOVISUALES</v>
      </c>
    </row>
    <row r="574" spans="1:8" ht="20.100000000000001" customHeight="1" x14ac:dyDescent="0.25">
      <c r="A574" s="2" t="str">
        <f>IF(B574="","",IFERROR(VLOOKUP(B574, PLANTA_BASE!A:W, 2, FALSE), "NO ENCONTRADO EN PLANTA"))</f>
        <v>PRESENCIAL</v>
      </c>
      <c r="B574" s="3" t="s">
        <v>1152</v>
      </c>
      <c r="C574" s="4" t="s">
        <v>1153</v>
      </c>
      <c r="D574" s="2" t="str">
        <f>IF(B574="","",IFERROR(VLOOKUP(B574, PLANTA_BASE!A:W, 5, FALSE), "NO ENCONTRADO EN PLANTA"))</f>
        <v>REGIONAL BOGOTA</v>
      </c>
      <c r="E574" s="2" t="str">
        <f>IF(B574="","",IFERROR(VLOOKUP(B574, PLANTA_BASE!A:W, 6, FALSE), "NO ENCONTRADO EN PLANTA"))</f>
        <v>BOGOTA CENTRO</v>
      </c>
      <c r="F574" s="4" t="str">
        <f>IF(B574="","",IFERROR(VLOOKUP(B574, PLANTA_BASE!A:W, 8, FALSE), "DOCENTE / FACILITADOR"))</f>
        <v>DOCENTE ASIS/N/TC/ADM DEP/FUN.ACADE-ADMIN</v>
      </c>
      <c r="G574" s="4" t="str">
        <f>IF(B574="","",IFERROR(VLOOKUP(B574, PLANTA_BASE!A:W, 9, FALSE), "GENERAL"))</f>
        <v>ADMINISTRACION DEPORTIVA</v>
      </c>
      <c r="H574" s="2" t="str">
        <f>IF(B574="","",IFERROR(VLOOKUP(B574, PLANTA_BASE!A:W, 17, FALSE), "GENERAL"))</f>
        <v>ADMINISTRACION DEPORTIVA</v>
      </c>
    </row>
    <row r="575" spans="1:8" ht="20.100000000000001" customHeight="1" x14ac:dyDescent="0.25">
      <c r="A575" s="5" t="str">
        <f>IF(B575="","",IFERROR(VLOOKUP(B575, PLANTA_BASE!A:W, 2, FALSE), "NO ENCONTRADO EN PLANTA"))</f>
        <v>PRESENCIAL</v>
      </c>
      <c r="B575" s="6" t="s">
        <v>1154</v>
      </c>
      <c r="C575" s="7" t="s">
        <v>1155</v>
      </c>
      <c r="D575" s="5" t="str">
        <f>IF(B575="","",IFERROR(VLOOKUP(B575, PLANTA_BASE!A:W, 5, FALSE), "NO ENCONTRADO EN PLANTA"))</f>
        <v>REGIONAL BOGOTA</v>
      </c>
      <c r="E575" s="5" t="str">
        <f>IF(B575="","",IFERROR(VLOOKUP(B575, PLANTA_BASE!A:W, 6, FALSE), "NO ENCONTRADO EN PLANTA"))</f>
        <v>BOGOTA CENTRO</v>
      </c>
      <c r="F575" s="7" t="str">
        <f>IF(B575="","",IFERROR(VLOOKUP(B575, PLANTA_BASE!A:W, 8, FALSE), "DOCENTE / FACILITADOR"))</f>
        <v>DOCENTE ASOC/N/TC/ING ELECTRO/FUN.ACADE-ADMIN</v>
      </c>
      <c r="G575" s="7" t="str">
        <f>IF(B575="","",IFERROR(VLOOKUP(B575, PLANTA_BASE!A:W, 9, FALSE), "GENERAL"))</f>
        <v>INGENIERIA ELECTRONICA</v>
      </c>
      <c r="H575" s="5" t="str">
        <f>IF(B575="","",IFERROR(VLOOKUP(B575, PLANTA_BASE!A:W, 17, FALSE), "GENERAL"))</f>
        <v>INGENIERIA ELECTRONICA</v>
      </c>
    </row>
    <row r="576" spans="1:8" ht="20.100000000000001" customHeight="1" x14ac:dyDescent="0.25">
      <c r="A576" s="2" t="str">
        <f>IF(B576="","",IFERROR(VLOOKUP(B576, PLANTA_BASE!A:W, 2, FALSE), "NO ENCONTRADO EN PLANTA"))</f>
        <v>PRESENCIAL</v>
      </c>
      <c r="B576" s="3" t="s">
        <v>1156</v>
      </c>
      <c r="C576" s="4" t="s">
        <v>1157</v>
      </c>
      <c r="D576" s="2" t="str">
        <f>IF(B576="","",IFERROR(VLOOKUP(B576, PLANTA_BASE!A:W, 5, FALSE), "NO ENCONTRADO EN PLANTA"))</f>
        <v>REGIONAL BOGOTA</v>
      </c>
      <c r="E576" s="2" t="str">
        <f>IF(B576="","",IFERROR(VLOOKUP(B576, PLANTA_BASE!A:W, 6, FALSE), "NO ENCONTRADO EN PLANTA"))</f>
        <v>BOGOTA CENTRO</v>
      </c>
      <c r="F576" s="4" t="str">
        <f>IF(B576="","",IFERROR(VLOOKUP(B576, PLANTA_BASE!A:W, 8, FALSE), "DOCENTE / FACILITADOR"))</f>
        <v>DOC AUX T&amp;T/N/TC/ING SISTEM/FUN.ACADE-ADMIN</v>
      </c>
      <c r="G576" s="4" t="str">
        <f>IF(B576="","",IFERROR(VLOOKUP(B576, PLANTA_BASE!A:W, 9, FALSE), "GENERAL"))</f>
        <v>INGENIERIA DE SISTEMAS</v>
      </c>
      <c r="H576" s="2" t="str">
        <f>IF(B576="","",IFERROR(VLOOKUP(B576, PLANTA_BASE!A:W, 17, FALSE), "GENERAL"))</f>
        <v>INGENIERIA DE SISTEMAS</v>
      </c>
    </row>
    <row r="577" spans="1:8" ht="20.100000000000001" customHeight="1" x14ac:dyDescent="0.25">
      <c r="A577" s="5" t="str">
        <f>IF(B577="","",IFERROR(VLOOKUP(B577, PLANTA_BASE!A:W, 2, FALSE), "NO ENCONTRADO EN PLANTA"))</f>
        <v>VIRTUAL</v>
      </c>
      <c r="B577" s="6" t="s">
        <v>1158</v>
      </c>
      <c r="C577" s="7" t="s">
        <v>1159</v>
      </c>
      <c r="D577" s="5" t="str">
        <f>IF(B577="","",IFERROR(VLOOKUP(B577, PLANTA_BASE!A:W, 5, FALSE), "NO ENCONTRADO EN PLANTA"))</f>
        <v>REGIONAL BOGOTA</v>
      </c>
      <c r="E577" s="5" t="str">
        <f>IF(B577="","",IFERROR(VLOOKUP(B577, PLANTA_BASE!A:W, 6, FALSE), "NO ENCONTRADO EN PLANTA"))</f>
        <v>BOGOTA CENTRO</v>
      </c>
      <c r="F577" s="7" t="str">
        <f>IF(B577="","",IFERROR(VLOOKUP(B577, PLANTA_BASE!A:W, 8, FALSE), "DOCENTE / FACILITADOR"))</f>
        <v>DOC ASIS/N/V/TC/CONTADURIA/FUN.ACADE-ADMIN</v>
      </c>
      <c r="G577" s="7" t="str">
        <f>IF(B577="","",IFERROR(VLOOKUP(B577, PLANTA_BASE!A:W, 9, FALSE), "GENERAL"))</f>
        <v>CONTADURIA PUBLICA</v>
      </c>
      <c r="H577" s="5" t="str">
        <f>IF(B577="","",IFERROR(VLOOKUP(B577, PLANTA_BASE!A:W, 17, FALSE), "GENERAL"))</f>
        <v>CONTADURIA PUBLICA</v>
      </c>
    </row>
    <row r="578" spans="1:8" ht="20.100000000000001" customHeight="1" x14ac:dyDescent="0.25">
      <c r="A578" s="2" t="str">
        <f>IF(B578="","",IFERROR(VLOOKUP(B578, PLANTA_BASE!A:W, 2, FALSE), "NO ENCONTRADO EN PLANTA"))</f>
        <v>PRESENCIAL</v>
      </c>
      <c r="B578" s="3" t="s">
        <v>1160</v>
      </c>
      <c r="C578" s="4" t="s">
        <v>1161</v>
      </c>
      <c r="D578" s="2" t="str">
        <f>IF(B578="","",IFERROR(VLOOKUP(B578, PLANTA_BASE!A:W, 5, FALSE), "NO ENCONTRADO EN PLANTA"))</f>
        <v>REGIONAL BOGOTA</v>
      </c>
      <c r="E578" s="2" t="str">
        <f>IF(B578="","",IFERROR(VLOOKUP(B578, PLANTA_BASE!A:W, 6, FALSE), "NO ENCONTRADO EN PLANTA"))</f>
        <v>BOGOTA CENTRO</v>
      </c>
      <c r="F578" s="4" t="str">
        <f>IF(B578="","",IFERROR(VLOOKUP(B578, PLANTA_BASE!A:W, 8, FALSE), "DOCENTE / FACILITADOR"))</f>
        <v>DOCENTE ASIS/N/TC/ING ELECTRO/PROYECCION</v>
      </c>
      <c r="G578" s="4" t="str">
        <f>IF(B578="","",IFERROR(VLOOKUP(B578, PLANTA_BASE!A:W, 9, FALSE), "GENERAL"))</f>
        <v>INGENIERIA ELECTRONICA</v>
      </c>
      <c r="H578" s="2" t="str">
        <f>IF(B578="","",IFERROR(VLOOKUP(B578, PLANTA_BASE!A:W, 17, FALSE), "GENERAL"))</f>
        <v>INGENIERIA ELECTRONICA</v>
      </c>
    </row>
    <row r="579" spans="1:8" ht="20.100000000000001" customHeight="1" x14ac:dyDescent="0.25">
      <c r="A579" s="5" t="str">
        <f>IF(B579="","",IFERROR(VLOOKUP(B579, PLANTA_BASE!A:W, 2, FALSE), "NO ENCONTRADO EN PLANTA"))</f>
        <v>VIRTUAL</v>
      </c>
      <c r="B579" s="6" t="s">
        <v>1162</v>
      </c>
      <c r="C579" s="7" t="s">
        <v>1163</v>
      </c>
      <c r="D579" s="5" t="str">
        <f>IF(B579="","",IFERROR(VLOOKUP(B579, PLANTA_BASE!A:W, 5, FALSE), "NO ENCONTRADO EN PLANTA"))</f>
        <v>REGIONAL BOGOTA</v>
      </c>
      <c r="E579" s="5" t="str">
        <f>IF(B579="","",IFERROR(VLOOKUP(B579, PLANTA_BASE!A:W, 6, FALSE), "NO ENCONTRADO EN PLANTA"))</f>
        <v>BOGOTA CENTRO</v>
      </c>
      <c r="F579" s="7" t="str">
        <f>IF(B579="","",IFERROR(VLOOKUP(B579, PLANTA_BASE!A:W, 8, FALSE), "DOCENTE / FACILITADOR"))</f>
        <v>DOC ASIS/N/V/TC/CONTADURIA/FUN.ACADE-ADMIN</v>
      </c>
      <c r="G579" s="7" t="str">
        <f>IF(B579="","",IFERROR(VLOOKUP(B579, PLANTA_BASE!A:W, 9, FALSE), "GENERAL"))</f>
        <v>CONTADURIA PUBLICA</v>
      </c>
      <c r="H579" s="5" t="str">
        <f>IF(B579="","",IFERROR(VLOOKUP(B579, PLANTA_BASE!A:W, 17, FALSE), "GENERAL"))</f>
        <v>CONTADURIA PUBLICA</v>
      </c>
    </row>
    <row r="580" spans="1:8" ht="20.100000000000001" customHeight="1" x14ac:dyDescent="0.25">
      <c r="A580" s="2" t="str">
        <f>IF(B580="","",IFERROR(VLOOKUP(B580, PLANTA_BASE!A:W, 2, FALSE), "NO ENCONTRADO EN PLANTA"))</f>
        <v>PRESENCIAL</v>
      </c>
      <c r="B580" s="3" t="s">
        <v>1164</v>
      </c>
      <c r="C580" s="4" t="s">
        <v>1165</v>
      </c>
      <c r="D580" s="2" t="str">
        <f>IF(B580="","",IFERROR(VLOOKUP(B580, PLANTA_BASE!A:W, 5, FALSE), "NO ENCONTRADO EN PLANTA"))</f>
        <v>REGIONAL BOGOTA</v>
      </c>
      <c r="E580" s="2" t="str">
        <f>IF(B580="","",IFERROR(VLOOKUP(B580, PLANTA_BASE!A:W, 6, FALSE), "NO ENCONTRADO EN PLANTA"))</f>
        <v>BOGOTA CENTRO</v>
      </c>
      <c r="F580" s="4" t="str">
        <f>IF(B580="","",IFERROR(VLOOKUP(B580, PLANTA_BASE!A:W, 8, FALSE), "DOCENTE / FACILITADOR"))</f>
        <v>DOC AUX T&amp;T/N/TC/EMPRENDIMIE/FUN.ACADE-ADMIN</v>
      </c>
      <c r="G580" s="4" t="str">
        <f>IF(B580="","",IFERROR(VLOOKUP(B580, PLANTA_BASE!A:W, 9, FALSE), "GENERAL"))</f>
        <v>EMPRENDIMIENTO</v>
      </c>
      <c r="H580" s="2" t="str">
        <f>IF(B580="","",IFERROR(VLOOKUP(B580, PLANTA_BASE!A:W, 17, FALSE), "GENERAL"))</f>
        <v>EMPRENDIMIENTO</v>
      </c>
    </row>
    <row r="581" spans="1:8" ht="20.100000000000001" customHeight="1" x14ac:dyDescent="0.25">
      <c r="A581" s="5" t="str">
        <f>IF(B581="","",IFERROR(VLOOKUP(B581, PLANTA_BASE!A:W, 2, FALSE), "NO ENCONTRADO EN PLANTA"))</f>
        <v>PRESENCIAL</v>
      </c>
      <c r="B581" s="6" t="s">
        <v>1166</v>
      </c>
      <c r="C581" s="7" t="s">
        <v>1167</v>
      </c>
      <c r="D581" s="5" t="str">
        <f>IF(B581="","",IFERROR(VLOOKUP(B581, PLANTA_BASE!A:W, 5, FALSE), "NO ENCONTRADO EN PLANTA"))</f>
        <v>REGIONAL BOGOTA</v>
      </c>
      <c r="E581" s="5" t="str">
        <f>IF(B581="","",IFERROR(VLOOKUP(B581, PLANTA_BASE!A:W, 6, FALSE), "NO ENCONTRADO EN PLANTA"))</f>
        <v>BOGOTA NORTE</v>
      </c>
      <c r="F581" s="7" t="str">
        <f>IF(B581="","",IFERROR(VLOOKUP(B581, PLANTA_BASE!A:W, 8, FALSE), "DOCENTE / FACILITADOR"))</f>
        <v>DOCENTE ASIS/N/TC/INVESTIGA/INVESTIGACIO</v>
      </c>
      <c r="G581" s="7" t="str">
        <f>IF(B581="","",IFERROR(VLOOKUP(B581, PLANTA_BASE!A:W, 9, FALSE), "GENERAL"))</f>
        <v>INVESTIGACIONES</v>
      </c>
      <c r="H581" s="5" t="str">
        <f>IF(B581="","",IFERROR(VLOOKUP(B581, PLANTA_BASE!A:W, 17, FALSE), "GENERAL"))</f>
        <v>INVESTIGACIONES</v>
      </c>
    </row>
    <row r="582" spans="1:8" ht="20.100000000000001" customHeight="1" x14ac:dyDescent="0.25">
      <c r="A582" s="2" t="str">
        <f>IF(B582="","",IFERROR(VLOOKUP(B582, PLANTA_BASE!A:W, 2, FALSE), "NO ENCONTRADO EN PLANTA"))</f>
        <v>PRESENCIAL</v>
      </c>
      <c r="B582" s="3" t="s">
        <v>1168</v>
      </c>
      <c r="C582" s="4" t="s">
        <v>1169</v>
      </c>
      <c r="D582" s="2" t="str">
        <f>IF(B582="","",IFERROR(VLOOKUP(B582, PLANTA_BASE!A:W, 5, FALSE), "NO ENCONTRADO EN PLANTA"))</f>
        <v>REGIONAL BOGOTA</v>
      </c>
      <c r="E582" s="2" t="str">
        <f>IF(B582="","",IFERROR(VLOOKUP(B582, PLANTA_BASE!A:W, 6, FALSE), "NO ENCONTRADO EN PLANTA"))</f>
        <v>BOGOTA CENTRO</v>
      </c>
      <c r="F582" s="4" t="str">
        <f>IF(B582="","",IFERROR(VLOOKUP(B582, PLANTA_BASE!A:W, 8, FALSE), "DOCENTE / FACILITADOR"))</f>
        <v>DOCENTE AUX/N/TC/EMPRENDIMIE/FUN.ACADE-ADMIN</v>
      </c>
      <c r="G582" s="4" t="str">
        <f>IF(B582="","",IFERROR(VLOOKUP(B582, PLANTA_BASE!A:W, 9, FALSE), "GENERAL"))</f>
        <v>EMPRENDIMIENTO</v>
      </c>
      <c r="H582" s="2" t="str">
        <f>IF(B582="","",IFERROR(VLOOKUP(B582, PLANTA_BASE!A:W, 17, FALSE), "GENERAL"))</f>
        <v>EMPRENDIMIENTO</v>
      </c>
    </row>
    <row r="583" spans="1:8" ht="20.100000000000001" customHeight="1" x14ac:dyDescent="0.25">
      <c r="A583" s="5" t="str">
        <f>IF(B583="","",IFERROR(VLOOKUP(B583, PLANTA_BASE!A:W, 2, FALSE), "NO ENCONTRADO EN PLANTA"))</f>
        <v>VIRTUAL</v>
      </c>
      <c r="B583" s="6" t="s">
        <v>1170</v>
      </c>
      <c r="C583" s="7" t="s">
        <v>1171</v>
      </c>
      <c r="D583" s="5" t="str">
        <f>IF(B583="","",IFERROR(VLOOKUP(B583, PLANTA_BASE!A:W, 5, FALSE), "NO ENCONTRADO EN PLANTA"))</f>
        <v>REGIONAL BOGOTA</v>
      </c>
      <c r="E583" s="5" t="str">
        <f>IF(B583="","",IFERROR(VLOOKUP(B583, PLANTA_BASE!A:W, 6, FALSE), "NO ENCONTRADO EN PLANTA"))</f>
        <v>BOGOTA CENTRO</v>
      </c>
      <c r="F583" s="7" t="str">
        <f>IF(B583="","",IFERROR(VLOOKUP(B583, PLANTA_BASE!A:W, 8, FALSE), "DOCENTE / FACILITADOR"))</f>
        <v>DOC ASIS/N/V/TC/EMPRENDIMIENTO/FUN.ACADE-ADMIN</v>
      </c>
      <c r="G583" s="7" t="str">
        <f>IF(B583="","",IFERROR(VLOOKUP(B583, PLANTA_BASE!A:W, 9, FALSE), "GENERAL"))</f>
        <v>EMPRENDIMIENTO</v>
      </c>
      <c r="H583" s="5" t="str">
        <f>IF(B583="","",IFERROR(VLOOKUP(B583, PLANTA_BASE!A:W, 17, FALSE), "GENERAL"))</f>
        <v>EMPRENDIMIENTO</v>
      </c>
    </row>
    <row r="584" spans="1:8" ht="20.100000000000001" customHeight="1" x14ac:dyDescent="0.25">
      <c r="A584" s="2" t="str">
        <f>IF(B584="","",IFERROR(VLOOKUP(B584, PLANTA_BASE!A:W, 2, FALSE), "NO ENCONTRADO EN PLANTA"))</f>
        <v>PRESENCIAL</v>
      </c>
      <c r="B584" s="3" t="s">
        <v>1172</v>
      </c>
      <c r="C584" s="4" t="s">
        <v>1173</v>
      </c>
      <c r="D584" s="2" t="str">
        <f>IF(B584="","",IFERROR(VLOOKUP(B584, PLANTA_BASE!A:W, 5, FALSE), "NO ENCONTRADO EN PLANTA"))</f>
        <v>REGIONAL BOGOTA</v>
      </c>
      <c r="E584" s="2" t="str">
        <f>IF(B584="","",IFERROR(VLOOKUP(B584, PLANTA_BASE!A:W, 6, FALSE), "NO ENCONTRADO EN PLANTA"))</f>
        <v>BOGOTA CENTRO</v>
      </c>
      <c r="F584" s="4" t="str">
        <f>IF(B584="","",IFERROR(VLOOKUP(B584, PLANTA_BASE!A:W, 8, FALSE), "DOCENTE / FACILITADOR"))</f>
        <v>DOCENTE ASIS/N/TC/DIS GRAFICO/FUN.ACADE-ADMIN</v>
      </c>
      <c r="G584" s="4" t="str">
        <f>IF(B584="","",IFERROR(VLOOKUP(B584, PLANTA_BASE!A:W, 9, FALSE), "GENERAL"))</f>
        <v>DISEÑO GRAFICO</v>
      </c>
      <c r="H584" s="2" t="str">
        <f>IF(B584="","",IFERROR(VLOOKUP(B584, PLANTA_BASE!A:W, 17, FALSE), "GENERAL"))</f>
        <v>DISEÑO GRAFICO</v>
      </c>
    </row>
    <row r="585" spans="1:8" ht="20.100000000000001" customHeight="1" x14ac:dyDescent="0.25">
      <c r="A585" s="5" t="str">
        <f>IF(B585="","",IFERROR(VLOOKUP(B585, PLANTA_BASE!A:W, 2, FALSE), "NO ENCONTRADO EN PLANTA"))</f>
        <v>PRESENCIAL</v>
      </c>
      <c r="B585" s="6" t="s">
        <v>1174</v>
      </c>
      <c r="C585" s="7" t="s">
        <v>1175</v>
      </c>
      <c r="D585" s="5" t="str">
        <f>IF(B585="","",IFERROR(VLOOKUP(B585, PLANTA_BASE!A:W, 5, FALSE), "NO ENCONTRADO EN PLANTA"))</f>
        <v>REGIONAL BOGOTA</v>
      </c>
      <c r="E585" s="5" t="str">
        <f>IF(B585="","",IFERROR(VLOOKUP(B585, PLANTA_BASE!A:W, 6, FALSE), "NO ENCONTRADO EN PLANTA"))</f>
        <v>BOGOTA CENTRO</v>
      </c>
      <c r="F585" s="7" t="str">
        <f>IF(B585="","",IFERROR(VLOOKUP(B585, PLANTA_BASE!A:W, 8, FALSE), "DOCENTE / FACILITADOR"))</f>
        <v>DOC AUX T&amp;T/N/TC/CIEN BASI/FUN.ACADE-ADMIN</v>
      </c>
      <c r="G585" s="7" t="str">
        <f>IF(B585="","",IFERROR(VLOOKUP(B585, PLANTA_BASE!A:W, 9, FALSE), "GENERAL"))</f>
        <v>CIENCIAS BASICAS</v>
      </c>
      <c r="H585" s="5" t="str">
        <f>IF(B585="","",IFERROR(VLOOKUP(B585, PLANTA_BASE!A:W, 17, FALSE), "GENERAL"))</f>
        <v>CIENCIAS BASICAS</v>
      </c>
    </row>
    <row r="586" spans="1:8" ht="20.100000000000001" customHeight="1" x14ac:dyDescent="0.25">
      <c r="A586" s="2" t="str">
        <f>IF(B586="","",IFERROR(VLOOKUP(B586, PLANTA_BASE!A:W, 2, FALSE), "NO ENCONTRADO EN PLANTA"))</f>
        <v>VIRTUAL</v>
      </c>
      <c r="B586" s="3" t="s">
        <v>1176</v>
      </c>
      <c r="C586" s="4" t="s">
        <v>1177</v>
      </c>
      <c r="D586" s="2" t="str">
        <f>IF(B586="","",IFERROR(VLOOKUP(B586, PLANTA_BASE!A:W, 5, FALSE), "NO ENCONTRADO EN PLANTA"))</f>
        <v>REGIONAL BOGOTA</v>
      </c>
      <c r="E586" s="2" t="str">
        <f>IF(B586="","",IFERROR(VLOOKUP(B586, PLANTA_BASE!A:W, 6, FALSE), "NO ENCONTRADO EN PLANTA"))</f>
        <v>BOGOTA CENTRO</v>
      </c>
      <c r="F586" s="4" t="str">
        <f>IF(B586="","",IFERROR(VLOOKUP(B586, PLANTA_BASE!A:W, 8, FALSE), "DOCENTE / FACILITADOR"))</f>
        <v>DOC ASIS/N/V/MT/CIENCIAS BASI</v>
      </c>
      <c r="G586" s="4" t="str">
        <f>IF(B586="","",IFERROR(VLOOKUP(B586, PLANTA_BASE!A:W, 9, FALSE), "GENERAL"))</f>
        <v>CIENCIAS BASICAS</v>
      </c>
      <c r="H586" s="2" t="str">
        <f>IF(B586="","",IFERROR(VLOOKUP(B586, PLANTA_BASE!A:W, 17, FALSE), "GENERAL"))</f>
        <v>CIENCIAS BASICAS</v>
      </c>
    </row>
    <row r="587" spans="1:8" ht="20.100000000000001" customHeight="1" x14ac:dyDescent="0.25">
      <c r="A587" s="5" t="str">
        <f>IF(B587="","",IFERROR(VLOOKUP(B587, PLANTA_BASE!A:W, 2, FALSE), "NO ENCONTRADO EN PLANTA"))</f>
        <v>PRESENCIAL</v>
      </c>
      <c r="B587" s="6" t="s">
        <v>1178</v>
      </c>
      <c r="C587" s="7" t="s">
        <v>1179</v>
      </c>
      <c r="D587" s="5" t="str">
        <f>IF(B587="","",IFERROR(VLOOKUP(B587, PLANTA_BASE!A:W, 5, FALSE), "NO ENCONTRADO EN PLANTA"))</f>
        <v>REGIONAL BOGOTA</v>
      </c>
      <c r="E587" s="5" t="str">
        <f>IF(B587="","",IFERROR(VLOOKUP(B587, PLANTA_BASE!A:W, 6, FALSE), "NO ENCONTRADO EN PLANTA"))</f>
        <v>BOGOTA CENTRO</v>
      </c>
      <c r="F587" s="7" t="str">
        <f>IF(B587="","",IFERROR(VLOOKUP(B587, PLANTA_BASE!A:W, 8, FALSE), "DOCENTE / FACILITADOR"))</f>
        <v>DOC ASIS/N/TC/EMPRENDIMIENTO/FUN.ACADE-ADMIN</v>
      </c>
      <c r="G587" s="7" t="str">
        <f>IF(B587="","",IFERROR(VLOOKUP(B587, PLANTA_BASE!A:W, 9, FALSE), "GENERAL"))</f>
        <v>EMPRENDIMIENTO</v>
      </c>
      <c r="H587" s="5" t="str">
        <f>IF(B587="","",IFERROR(VLOOKUP(B587, PLANTA_BASE!A:W, 17, FALSE), "GENERAL"))</f>
        <v>EMPRENDIMIENTO</v>
      </c>
    </row>
    <row r="588" spans="1:8" ht="20.100000000000001" customHeight="1" x14ac:dyDescent="0.25">
      <c r="A588" s="2" t="str">
        <f>IF(B588="","",IFERROR(VLOOKUP(B588, PLANTA_BASE!A:W, 2, FALSE), "NO ENCONTRADO EN PLANTA"))</f>
        <v>VIRTUAL</v>
      </c>
      <c r="B588" s="3" t="s">
        <v>1180</v>
      </c>
      <c r="C588" s="4" t="s">
        <v>1181</v>
      </c>
      <c r="D588" s="2" t="str">
        <f>IF(B588="","",IFERROR(VLOOKUP(B588, PLANTA_BASE!A:W, 5, FALSE), "NO ENCONTRADO EN PLANTA"))</f>
        <v>REGIONAL BOGOTA</v>
      </c>
      <c r="E588" s="2" t="str">
        <f>IF(B588="","",IFERROR(VLOOKUP(B588, PLANTA_BASE!A:W, 6, FALSE), "NO ENCONTRADO EN PLANTA"))</f>
        <v>BOGOTA CENTRO</v>
      </c>
      <c r="F588" s="4" t="str">
        <f>IF(B588="","",IFERROR(VLOOKUP(B588, PLANTA_BASE!A:W, 8, FALSE), "DOCENTE / FACILITADOR"))</f>
        <v>DOC ASIS/N/V/TC/IDIOMAS/FUN.ACADE-ADMIN</v>
      </c>
      <c r="G588" s="4" t="str">
        <f>IF(B588="","",IFERROR(VLOOKUP(B588, PLANTA_BASE!A:W, 9, FALSE), "GENERAL"))</f>
        <v>IDIOMAS</v>
      </c>
      <c r="H588" s="2" t="str">
        <f>IF(B588="","",IFERROR(VLOOKUP(B588, PLANTA_BASE!A:W, 17, FALSE), "GENERAL"))</f>
        <v>IDIOMAS</v>
      </c>
    </row>
    <row r="589" spans="1:8" ht="20.100000000000001" customHeight="1" x14ac:dyDescent="0.25">
      <c r="A589" s="5" t="str">
        <f>IF(B589="","",IFERROR(VLOOKUP(B589, PLANTA_BASE!A:W, 2, FALSE), "NO ENCONTRADO EN PLANTA"))</f>
        <v>PRESENCIAL</v>
      </c>
      <c r="B589" s="6" t="s">
        <v>1182</v>
      </c>
      <c r="C589" s="7" t="s">
        <v>1183</v>
      </c>
      <c r="D589" s="5" t="str">
        <f>IF(B589="","",IFERROR(VLOOKUP(B589, PLANTA_BASE!A:W, 5, FALSE), "NO ENCONTRADO EN PLANTA"))</f>
        <v>REGIONAL BOGOTA</v>
      </c>
      <c r="E589" s="5" t="str">
        <f>IF(B589="","",IFERROR(VLOOKUP(B589, PLANTA_BASE!A:W, 6, FALSE), "NO ENCONTRADO EN PLANTA"))</f>
        <v>BOGOTA CENTRO</v>
      </c>
      <c r="F589" s="7" t="str">
        <f>IF(B589="","",IFERROR(VLOOKUP(B589, PLANTA_BASE!A:W, 8, FALSE), "DOCENTE / FACILITADOR"))</f>
        <v>DOCENTE ASIS/N/TC/DIS GRAFICO/FUN.ACADE-ADMIN</v>
      </c>
      <c r="G589" s="7" t="str">
        <f>IF(B589="","",IFERROR(VLOOKUP(B589, PLANTA_BASE!A:W, 9, FALSE), "GENERAL"))</f>
        <v>DISEÑO GRAFICO</v>
      </c>
      <c r="H589" s="5" t="str">
        <f>IF(B589="","",IFERROR(VLOOKUP(B589, PLANTA_BASE!A:W, 17, FALSE), "GENERAL"))</f>
        <v>DISEÑO GRAFICO</v>
      </c>
    </row>
    <row r="590" spans="1:8" ht="20.100000000000001" customHeight="1" x14ac:dyDescent="0.25">
      <c r="A590" s="2" t="str">
        <f>IF(B590="","",IFERROR(VLOOKUP(B590, PLANTA_BASE!A:W, 2, FALSE), "NO ENCONTRADO EN PLANTA"))</f>
        <v>VIRTUAL</v>
      </c>
      <c r="B590" s="3" t="s">
        <v>1184</v>
      </c>
      <c r="C590" s="4" t="s">
        <v>1185</v>
      </c>
      <c r="D590" s="2" t="str">
        <f>IF(B590="","",IFERROR(VLOOKUP(B590, PLANTA_BASE!A:W, 5, FALSE), "NO ENCONTRADO EN PLANTA"))</f>
        <v>REGIONAL BOGOTA</v>
      </c>
      <c r="E590" s="2" t="str">
        <f>IF(B590="","",IFERROR(VLOOKUP(B590, PLANTA_BASE!A:W, 6, FALSE), "NO ENCONTRADO EN PLANTA"))</f>
        <v>BOGOTA CENTRO</v>
      </c>
      <c r="F590" s="4" t="str">
        <f>IF(B590="","",IFERROR(VLOOKUP(B590, PLANTA_BASE!A:W, 8, FALSE), "DOCENTE / FACILITADOR"))</f>
        <v>DOC AUX T&amp;T/N/V/MT/PUB Y MERC</v>
      </c>
      <c r="G590" s="4" t="str">
        <f>IF(B590="","",IFERROR(VLOOKUP(B590, PLANTA_BASE!A:W, 9, FALSE), "GENERAL"))</f>
        <v>PUBLICIDAD Y MERCADEO</v>
      </c>
      <c r="H590" s="2" t="str">
        <f>IF(B590="","",IFERROR(VLOOKUP(B590, PLANTA_BASE!A:W, 17, FALSE), "GENERAL"))</f>
        <v>PUBLICIDAD Y MERCADEO</v>
      </c>
    </row>
    <row r="591" spans="1:8" ht="20.100000000000001" customHeight="1" x14ac:dyDescent="0.25">
      <c r="A591" s="5" t="str">
        <f>IF(B591="","",IFERROR(VLOOKUP(B591, PLANTA_BASE!A:W, 2, FALSE), "NO ENCONTRADO EN PLANTA"))</f>
        <v>PRESENCIAL</v>
      </c>
      <c r="B591" s="6" t="s">
        <v>1186</v>
      </c>
      <c r="C591" s="7" t="s">
        <v>1187</v>
      </c>
      <c r="D591" s="5" t="str">
        <f>IF(B591="","",IFERROR(VLOOKUP(B591, PLANTA_BASE!A:W, 5, FALSE), "NO ENCONTRADO EN PLANTA"))</f>
        <v>REGIONAL BOGOTA</v>
      </c>
      <c r="E591" s="5" t="str">
        <f>IF(B591="","",IFERROR(VLOOKUP(B591, PLANTA_BASE!A:W, 6, FALSE), "NO ENCONTRADO EN PLANTA"))</f>
        <v>BOGOTA CENTRO</v>
      </c>
      <c r="F591" s="7" t="str">
        <f>IF(B591="","",IFERROR(VLOOKUP(B591, PLANTA_BASE!A:W, 8, FALSE), "DOCENTE / FACILITADOR"))</f>
        <v>DOC AUX T&amp;T/N/TC/DIS GRAFICO/FUN.ACADE-ADMIN</v>
      </c>
      <c r="G591" s="7" t="str">
        <f>IF(B591="","",IFERROR(VLOOKUP(B591, PLANTA_BASE!A:W, 9, FALSE), "GENERAL"))</f>
        <v>DISEÑO GRAFICO</v>
      </c>
      <c r="H591" s="5" t="str">
        <f>IF(B591="","",IFERROR(VLOOKUP(B591, PLANTA_BASE!A:W, 17, FALSE), "GENERAL"))</f>
        <v>DISEÑO GRAFICO</v>
      </c>
    </row>
    <row r="592" spans="1:8" ht="20.100000000000001" customHeight="1" x14ac:dyDescent="0.25">
      <c r="A592" s="2" t="str">
        <f>IF(B592="","",IFERROR(VLOOKUP(B592, PLANTA_BASE!A:W, 2, FALSE), "NO ENCONTRADO EN PLANTA"))</f>
        <v>VIRTUAL</v>
      </c>
      <c r="B592" s="3" t="s">
        <v>1188</v>
      </c>
      <c r="C592" s="4" t="s">
        <v>1189</v>
      </c>
      <c r="D592" s="2" t="str">
        <f>IF(B592="","",IFERROR(VLOOKUP(B592, PLANTA_BASE!A:W, 5, FALSE), "NO ENCONTRADO EN PLANTA"))</f>
        <v>REGIONAL BOGOTA</v>
      </c>
      <c r="E592" s="2" t="str">
        <f>IF(B592="","",IFERROR(VLOOKUP(B592, PLANTA_BASE!A:W, 6, FALSE), "NO ENCONTRADO EN PLANTA"))</f>
        <v>BOGOTA CENTRO</v>
      </c>
      <c r="F592" s="4" t="str">
        <f>IF(B592="","",IFERROR(VLOOKUP(B592, PLANTA_BASE!A:W, 8, FALSE), "DOCENTE / FACILITADOR"))</f>
        <v>DOC AUX/N/V/TC/ESP GER DE PROY/FUN.ACA</v>
      </c>
      <c r="G592" s="4" t="str">
        <f>IF(B592="","",IFERROR(VLOOKUP(B592, PLANTA_BASE!A:W, 9, FALSE), "GENERAL"))</f>
        <v>ESPECIALIZACION EN GERENCIA DE PROYECTOS</v>
      </c>
      <c r="H592" s="2" t="str">
        <f>IF(B592="","",IFERROR(VLOOKUP(B592, PLANTA_BASE!A:W, 17, FALSE), "GENERAL"))</f>
        <v>ESPECIALIZACION EN GERENCIA DE PROYECTOS</v>
      </c>
    </row>
    <row r="593" spans="1:8" ht="20.100000000000001" customHeight="1" x14ac:dyDescent="0.25">
      <c r="A593" s="5" t="str">
        <f>IF(B593="","",IFERROR(VLOOKUP(B593, PLANTA_BASE!A:W, 2, FALSE), "NO ENCONTRADO EN PLANTA"))</f>
        <v>PRESENCIAL</v>
      </c>
      <c r="B593" s="6" t="s">
        <v>1190</v>
      </c>
      <c r="C593" s="7" t="s">
        <v>1191</v>
      </c>
      <c r="D593" s="5" t="str">
        <f>IF(B593="","",IFERROR(VLOOKUP(B593, PLANTA_BASE!A:W, 5, FALSE), "NO ENCONTRADO EN PLANTA"))</f>
        <v>REGIONAL BOGOTA</v>
      </c>
      <c r="E593" s="5" t="str">
        <f>IF(B593="","",IFERROR(VLOOKUP(B593, PLANTA_BASE!A:W, 6, FALSE), "NO ENCONTRADO EN PLANTA"))</f>
        <v>BOGOTA CENTRO</v>
      </c>
      <c r="F593" s="7" t="str">
        <f>IF(B593="","",IFERROR(VLOOKUP(B593, PLANTA_BASE!A:W, 8, FALSE), "DOCENTE / FACILITADOR"))</f>
        <v>DOCENTE AUX/N/TC/DIS PROD MOD/FUN.ACADE-ADMIN</v>
      </c>
      <c r="G593" s="7" t="str">
        <f>IF(B593="","",IFERROR(VLOOKUP(B593, PLANTA_BASE!A:W, 9, FALSE), "GENERAL"))</f>
        <v>DISEÑO Y PRODUCCION DE MODAS</v>
      </c>
      <c r="H593" s="5" t="str">
        <f>IF(B593="","",IFERROR(VLOOKUP(B593, PLANTA_BASE!A:W, 17, FALSE), "GENERAL"))</f>
        <v>DISEÑO Y PRODUCCION DE MODAS</v>
      </c>
    </row>
    <row r="594" spans="1:8" ht="20.100000000000001" customHeight="1" x14ac:dyDescent="0.25">
      <c r="A594" s="2" t="str">
        <f>IF(B594="","",IFERROR(VLOOKUP(B594, PLANTA_BASE!A:W, 2, FALSE), "NO ENCONTRADO EN PLANTA"))</f>
        <v>PRESENCIAL</v>
      </c>
      <c r="B594" s="3" t="s">
        <v>1192</v>
      </c>
      <c r="C594" s="4" t="s">
        <v>1193</v>
      </c>
      <c r="D594" s="2" t="str">
        <f>IF(B594="","",IFERROR(VLOOKUP(B594, PLANTA_BASE!A:W, 5, FALSE), "NO ENCONTRADO EN PLANTA"))</f>
        <v>REGIONAL BOGOTA</v>
      </c>
      <c r="E594" s="2" t="str">
        <f>IF(B594="","",IFERROR(VLOOKUP(B594, PLANTA_BASE!A:W, 6, FALSE), "NO ENCONTRADO EN PLANTA"))</f>
        <v>BOGOTA CENTRO</v>
      </c>
      <c r="F594" s="4" t="str">
        <f>IF(B594="","",IFERROR(VLOOKUP(B594, PLANTA_BASE!A:W, 8, FALSE), "DOCENTE / FACILITADOR"))</f>
        <v>DOCENTE ASOC/N/TC/INVESTIGACIONES/INVEST</v>
      </c>
      <c r="G594" s="4" t="str">
        <f>IF(B594="","",IFERROR(VLOOKUP(B594, PLANTA_BASE!A:W, 9, FALSE), "GENERAL"))</f>
        <v>INVESTIGACIONES</v>
      </c>
      <c r="H594" s="2" t="str">
        <f>IF(B594="","",IFERROR(VLOOKUP(B594, PLANTA_BASE!A:W, 17, FALSE), "GENERAL"))</f>
        <v>INVESTIGACIONES</v>
      </c>
    </row>
    <row r="595" spans="1:8" ht="20.100000000000001" customHeight="1" x14ac:dyDescent="0.25">
      <c r="A595" s="5" t="str">
        <f>IF(B595="","",IFERROR(VLOOKUP(B595, PLANTA_BASE!A:W, 2, FALSE), "NO ENCONTRADO EN PLANTA"))</f>
        <v>PRESENCIAL</v>
      </c>
      <c r="B595" s="6" t="s">
        <v>1194</v>
      </c>
      <c r="C595" s="7" t="s">
        <v>1195</v>
      </c>
      <c r="D595" s="5" t="str">
        <f>IF(B595="","",IFERROR(VLOOKUP(B595, PLANTA_BASE!A:W, 5, FALSE), "NO ENCONTRADO EN PLANTA"))</f>
        <v>REGIONAL BOGOTA</v>
      </c>
      <c r="E595" s="5" t="str">
        <f>IF(B595="","",IFERROR(VLOOKUP(B595, PLANTA_BASE!A:W, 6, FALSE), "NO ENCONTRADO EN PLANTA"))</f>
        <v>BOGOTA CENTRO</v>
      </c>
      <c r="F595" s="7" t="str">
        <f>IF(B595="","",IFERROR(VLOOKUP(B595, PLANTA_BASE!A:W, 8, FALSE), "DOCENTE / FACILITADOR"))</f>
        <v>DOCENTE ASIS/N/TC/INVESTIGA/INVESTIGACIO</v>
      </c>
      <c r="G595" s="7" t="str">
        <f>IF(B595="","",IFERROR(VLOOKUP(B595, PLANTA_BASE!A:W, 9, FALSE), "GENERAL"))</f>
        <v>INVESTIGACIONES</v>
      </c>
      <c r="H595" s="5" t="str">
        <f>IF(B595="","",IFERROR(VLOOKUP(B595, PLANTA_BASE!A:W, 17, FALSE), "GENERAL"))</f>
        <v>INVESTIGACIONES</v>
      </c>
    </row>
    <row r="596" spans="1:8" ht="20.100000000000001" customHeight="1" x14ac:dyDescent="0.25">
      <c r="A596" s="2" t="str">
        <f>IF(B596="","",IFERROR(VLOOKUP(B596, PLANTA_BASE!A:W, 2, FALSE), "NO ENCONTRADO EN PLANTA"))</f>
        <v>VIRTUAL</v>
      </c>
      <c r="B596" s="3" t="s">
        <v>1196</v>
      </c>
      <c r="C596" s="4" t="s">
        <v>1197</v>
      </c>
      <c r="D596" s="2" t="str">
        <f>IF(B596="","",IFERROR(VLOOKUP(B596, PLANTA_BASE!A:W, 5, FALSE), "NO ENCONTRADO EN PLANTA"))</f>
        <v>REGIONAL BOGOTA</v>
      </c>
      <c r="E596" s="2" t="str">
        <f>IF(B596="","",IFERROR(VLOOKUP(B596, PLANTA_BASE!A:W, 6, FALSE), "NO ENCONTRADO EN PLANTA"))</f>
        <v>BOGOTA CENTRO</v>
      </c>
      <c r="F596" s="4" t="str">
        <f>IF(B596="","",IFERROR(VLOOKUP(B596, PLANTA_BASE!A:W, 8, FALSE), "DOCENTE / FACILITADOR"))</f>
        <v>DOC AUX T&amp;T/N/V/TC/ADM DE EMPRE/FUN.ACADE-ADMIN</v>
      </c>
      <c r="G596" s="4" t="str">
        <f>IF(B596="","",IFERROR(VLOOKUP(B596, PLANTA_BASE!A:W, 9, FALSE), "GENERAL"))</f>
        <v>ADMINISTRACION DE EMPRESAS</v>
      </c>
      <c r="H596" s="2" t="str">
        <f>IF(B596="","",IFERROR(VLOOKUP(B596, PLANTA_BASE!A:W, 17, FALSE), "GENERAL"))</f>
        <v>ADMINISTRACION DE EMPRESAS</v>
      </c>
    </row>
    <row r="597" spans="1:8" ht="20.100000000000001" customHeight="1" x14ac:dyDescent="0.25">
      <c r="A597" s="5" t="str">
        <f>IF(B597="","",IFERROR(VLOOKUP(B597, PLANTA_BASE!A:W, 2, FALSE), "NO ENCONTRADO EN PLANTA"))</f>
        <v>PRESENCIAL</v>
      </c>
      <c r="B597" s="6" t="s">
        <v>1198</v>
      </c>
      <c r="C597" s="7" t="s">
        <v>1199</v>
      </c>
      <c r="D597" s="5" t="str">
        <f>IF(B597="","",IFERROR(VLOOKUP(B597, PLANTA_BASE!A:W, 5, FALSE), "NO ENCONTRADO EN PLANTA"))</f>
        <v>REGIONAL BOGOTA</v>
      </c>
      <c r="E597" s="5" t="str">
        <f>IF(B597="","",IFERROR(VLOOKUP(B597, PLANTA_BASE!A:W, 6, FALSE), "NO ENCONTRADO EN PLANTA"))</f>
        <v>BOGOTA CENTRO</v>
      </c>
      <c r="F597" s="7" t="str">
        <f>IF(B597="","",IFERROR(VLOOKUP(B597, PLANTA_BASE!A:W, 8, FALSE), "DOCENTE / FACILITADOR"))</f>
        <v>DOCENTE ASIS/N/TC/DIS GRAFICO/FUN.ACADE-ADMIN</v>
      </c>
      <c r="G597" s="7" t="str">
        <f>IF(B597="","",IFERROR(VLOOKUP(B597, PLANTA_BASE!A:W, 9, FALSE), "GENERAL"))</f>
        <v>DISEÑO GRAFICO</v>
      </c>
      <c r="H597" s="5" t="str">
        <f>IF(B597="","",IFERROR(VLOOKUP(B597, PLANTA_BASE!A:W, 17, FALSE), "GENERAL"))</f>
        <v>DISEÑO GRAFICO</v>
      </c>
    </row>
    <row r="598" spans="1:8" ht="20.100000000000001" customHeight="1" x14ac:dyDescent="0.25">
      <c r="A598" s="2" t="str">
        <f>IF(B598="","",IFERROR(VLOOKUP(B598, PLANTA_BASE!A:W, 2, FALSE), "NO ENCONTRADO EN PLANTA"))</f>
        <v>VIRTUAL</v>
      </c>
      <c r="B598" s="3" t="s">
        <v>1200</v>
      </c>
      <c r="C598" s="4" t="s">
        <v>1201</v>
      </c>
      <c r="D598" s="2" t="str">
        <f>IF(B598="","",IFERROR(VLOOKUP(B598, PLANTA_BASE!A:W, 5, FALSE), "NO ENCONTRADO EN PLANTA"))</f>
        <v>REGIONAL BOGOTA</v>
      </c>
      <c r="E598" s="2" t="str">
        <f>IF(B598="","",IFERROR(VLOOKUP(B598, PLANTA_BASE!A:W, 6, FALSE), "NO ENCONTRADO EN PLANTA"))</f>
        <v>BOGOTA CENTRO</v>
      </c>
      <c r="F598" s="4" t="str">
        <f>IF(B598="","",IFERROR(VLOOKUP(B598, PLANTA_BASE!A:W, 8, FALSE), "DOCENTE / FACILITADOR"))</f>
        <v>DOC AUX T&amp;T/N/V/TC/DIR PROD ME AUD/FUN.ACADE-ADMIN</v>
      </c>
      <c r="G598" s="4" t="str">
        <f>IF(B598="","",IFERROR(VLOOKUP(B598, PLANTA_BASE!A:W, 9, FALSE), "GENERAL"))</f>
        <v>DIRECCION Y PRODUCCION DE MEDIOS AUDIOVISUALES</v>
      </c>
      <c r="H598" s="2" t="str">
        <f>IF(B598="","",IFERROR(VLOOKUP(B598, PLANTA_BASE!A:W, 17, FALSE), "GENERAL"))</f>
        <v>DIRECCION Y PRODUCCION DE MEDIOS AUDIOVISUALES</v>
      </c>
    </row>
    <row r="599" spans="1:8" ht="20.100000000000001" customHeight="1" x14ac:dyDescent="0.25">
      <c r="A599" s="5" t="str">
        <f>IF(B599="","",IFERROR(VLOOKUP(B599, PLANTA_BASE!A:W, 2, FALSE), "NO ENCONTRADO EN PLANTA"))</f>
        <v>VIRTUAL</v>
      </c>
      <c r="B599" s="6" t="s">
        <v>1202</v>
      </c>
      <c r="C599" s="7" t="s">
        <v>1203</v>
      </c>
      <c r="D599" s="5" t="str">
        <f>IF(B599="","",IFERROR(VLOOKUP(B599, PLANTA_BASE!A:W, 5, FALSE), "NO ENCONTRADO EN PLANTA"))</f>
        <v>REGIONAL BOGOTA</v>
      </c>
      <c r="E599" s="5" t="str">
        <f>IF(B599="","",IFERROR(VLOOKUP(B599, PLANTA_BASE!A:W, 6, FALSE), "NO ENCONTRADO EN PLANTA"))</f>
        <v>BOGOTA CENTRO</v>
      </c>
      <c r="F599" s="7" t="str">
        <f>IF(B599="","",IFERROR(VLOOKUP(B599, PLANTA_BASE!A:W, 8, FALSE), "DOCENTE / FACILITADOR"))</f>
        <v>DOC AUX/N/V/TC/INVESTIGACIONES/INVESTIGACI</v>
      </c>
      <c r="G599" s="7" t="str">
        <f>IF(B599="","",IFERROR(VLOOKUP(B599, PLANTA_BASE!A:W, 9, FALSE), "GENERAL"))</f>
        <v>INVESTIGACIONES</v>
      </c>
      <c r="H599" s="5" t="str">
        <f>IF(B599="","",IFERROR(VLOOKUP(B599, PLANTA_BASE!A:W, 17, FALSE), "GENERAL"))</f>
        <v>INVESTIGACIONES</v>
      </c>
    </row>
    <row r="600" spans="1:8" ht="20.100000000000001" customHeight="1" x14ac:dyDescent="0.25">
      <c r="A600" s="2" t="str">
        <f>IF(B600="","",IFERROR(VLOOKUP(B600, PLANTA_BASE!A:W, 2, FALSE), "NO ENCONTRADO EN PLANTA"))</f>
        <v>PRESENCIAL</v>
      </c>
      <c r="B600" s="3" t="s">
        <v>1204</v>
      </c>
      <c r="C600" s="4" t="s">
        <v>1205</v>
      </c>
      <c r="D600" s="2" t="str">
        <f>IF(B600="","",IFERROR(VLOOKUP(B600, PLANTA_BASE!A:W, 5, FALSE), "NO ENCONTRADO EN PLANTA"))</f>
        <v>REGIONAL BOGOTA</v>
      </c>
      <c r="E600" s="2" t="str">
        <f>IF(B600="","",IFERROR(VLOOKUP(B600, PLANTA_BASE!A:W, 6, FALSE), "NO ENCONTRADO EN PLANTA"))</f>
        <v>BOGOTA CENTRO</v>
      </c>
      <c r="F600" s="4" t="str">
        <f>IF(B600="","",IFERROR(VLOOKUP(B600, PLANTA_BASE!A:W, 8, FALSE), "DOCENTE / FACILITADOR"))</f>
        <v>DOCENTE AUX/N/TC/CONT PUBL/FUN.ACADE-ADMIN</v>
      </c>
      <c r="G600" s="4" t="str">
        <f>IF(B600="","",IFERROR(VLOOKUP(B600, PLANTA_BASE!A:W, 9, FALSE), "GENERAL"))</f>
        <v>CONTADURIA PUBLICA</v>
      </c>
      <c r="H600" s="2" t="str">
        <f>IF(B600="","",IFERROR(VLOOKUP(B600, PLANTA_BASE!A:W, 17, FALSE), "GENERAL"))</f>
        <v>CONTADURIA PUBLICA</v>
      </c>
    </row>
    <row r="601" spans="1:8" ht="20.100000000000001" customHeight="1" x14ac:dyDescent="0.25">
      <c r="A601" s="5" t="str">
        <f>IF(B601="","",IFERROR(VLOOKUP(B601, PLANTA_BASE!A:W, 2, FALSE), "NO ENCONTRADO EN PLANTA"))</f>
        <v>PRESENCIAL</v>
      </c>
      <c r="B601" s="6" t="s">
        <v>1206</v>
      </c>
      <c r="C601" s="7" t="s">
        <v>1207</v>
      </c>
      <c r="D601" s="5" t="str">
        <f>IF(B601="","",IFERROR(VLOOKUP(B601, PLANTA_BASE!A:W, 5, FALSE), "NO ENCONTRADO EN PLANTA"))</f>
        <v>REGIONAL BOGOTA</v>
      </c>
      <c r="E601" s="5" t="str">
        <f>IF(B601="","",IFERROR(VLOOKUP(B601, PLANTA_BASE!A:W, 6, FALSE), "NO ENCONTRADO EN PLANTA"))</f>
        <v>BOGOTA CENTRO</v>
      </c>
      <c r="F601" s="7" t="str">
        <f>IF(B601="","",IFERROR(VLOOKUP(B601, PLANTA_BASE!A:W, 8, FALSE), "DOCENTE / FACILITADOR"))</f>
        <v>DOCENTE ASIS/N/TC/ADM EMP/FUN.ACADE-ADMIN</v>
      </c>
      <c r="G601" s="7" t="str">
        <f>IF(B601="","",IFERROR(VLOOKUP(B601, PLANTA_BASE!A:W, 9, FALSE), "GENERAL"))</f>
        <v>ADMINISTRACION DE EMPRESAS</v>
      </c>
      <c r="H601" s="5" t="str">
        <f>IF(B601="","",IFERROR(VLOOKUP(B601, PLANTA_BASE!A:W, 17, FALSE), "GENERAL"))</f>
        <v>ADMINISTRACION DE EMPRESAS</v>
      </c>
    </row>
    <row r="602" spans="1:8" ht="20.100000000000001" customHeight="1" x14ac:dyDescent="0.25">
      <c r="A602" s="2" t="str">
        <f>IF(B602="","",IFERROR(VLOOKUP(B602, PLANTA_BASE!A:W, 2, FALSE), "NO ENCONTRADO EN PLANTA"))</f>
        <v>PRESENCIAL</v>
      </c>
      <c r="B602" s="3" t="s">
        <v>1208</v>
      </c>
      <c r="C602" s="4" t="s">
        <v>1209</v>
      </c>
      <c r="D602" s="2" t="str">
        <f>IF(B602="","",IFERROR(VLOOKUP(B602, PLANTA_BASE!A:W, 5, FALSE), "NO ENCONTRADO EN PLANTA"))</f>
        <v>REGIONAL BOGOTA</v>
      </c>
      <c r="E602" s="2" t="str">
        <f>IF(B602="","",IFERROR(VLOOKUP(B602, PLANTA_BASE!A:W, 6, FALSE), "NO ENCONTRADO EN PLANTA"))</f>
        <v>BOGOTA SUR</v>
      </c>
      <c r="F602" s="4" t="str">
        <f>IF(B602="","",IFERROR(VLOOKUP(B602, PLANTA_BASE!A:W, 8, FALSE), "DOCENTE / FACILITADOR"))</f>
        <v>DOC AUX T&amp;T/N/TC/ADM EMP/FUN.ACADE-ADMIN</v>
      </c>
      <c r="G602" s="4" t="str">
        <f>IF(B602="","",IFERROR(VLOOKUP(B602, PLANTA_BASE!A:W, 9, FALSE), "GENERAL"))</f>
        <v>ADMINISTRACION DE EMPRESAS</v>
      </c>
      <c r="H602" s="2" t="str">
        <f>IF(B602="","",IFERROR(VLOOKUP(B602, PLANTA_BASE!A:W, 17, FALSE), "GENERAL"))</f>
        <v>ADMINISTRACION DE EMPRESAS</v>
      </c>
    </row>
    <row r="603" spans="1:8" ht="20.100000000000001" customHeight="1" x14ac:dyDescent="0.25">
      <c r="A603" s="5" t="str">
        <f>IF(B603="","",IFERROR(VLOOKUP(B603, PLANTA_BASE!A:W, 2, FALSE), "NO ENCONTRADO EN PLANTA"))</f>
        <v>PRESENCIAL</v>
      </c>
      <c r="B603" s="6" t="s">
        <v>1210</v>
      </c>
      <c r="C603" s="7" t="s">
        <v>1211</v>
      </c>
      <c r="D603" s="5" t="str">
        <f>IF(B603="","",IFERROR(VLOOKUP(B603, PLANTA_BASE!A:W, 5, FALSE), "NO ENCONTRADO EN PLANTA"))</f>
        <v>REGIONAL BOGOTA</v>
      </c>
      <c r="E603" s="5" t="str">
        <f>IF(B603="","",IFERROR(VLOOKUP(B603, PLANTA_BASE!A:W, 6, FALSE), "NO ENCONTRADO EN PLANTA"))</f>
        <v>BOGOTA CENTRO</v>
      </c>
      <c r="F603" s="7" t="str">
        <f>IF(B603="","",IFERROR(VLOOKUP(B603, PLANTA_BASE!A:W, 8, FALSE), "DOCENTE / FACILITADOR"))</f>
        <v>DOCENTE ASIS/N/TC/DIS PROD MOD/PROYECTOS</v>
      </c>
      <c r="G603" s="7" t="str">
        <f>IF(B603="","",IFERROR(VLOOKUP(B603, PLANTA_BASE!A:W, 9, FALSE), "GENERAL"))</f>
        <v>DISEÑO Y PRODUCCION DE MODAS</v>
      </c>
      <c r="H603" s="5" t="str">
        <f>IF(B603="","",IFERROR(VLOOKUP(B603, PLANTA_BASE!A:W, 17, FALSE), "GENERAL"))</f>
        <v>DISEÑO Y PRODUCCION DE MODAS</v>
      </c>
    </row>
    <row r="604" spans="1:8" ht="20.100000000000001" customHeight="1" x14ac:dyDescent="0.25">
      <c r="A604" s="2" t="str">
        <f>IF(B604="","",IFERROR(VLOOKUP(B604, PLANTA_BASE!A:W, 2, FALSE), "NO ENCONTRADO EN PLANTA"))</f>
        <v>PRESENCIAL</v>
      </c>
      <c r="B604" s="3" t="s">
        <v>1212</v>
      </c>
      <c r="C604" s="4" t="s">
        <v>1213</v>
      </c>
      <c r="D604" s="2" t="str">
        <f>IF(B604="","",IFERROR(VLOOKUP(B604, PLANTA_BASE!A:W, 5, FALSE), "NO ENCONTRADO EN PLANTA"))</f>
        <v>REGIONAL BOGOTA</v>
      </c>
      <c r="E604" s="2" t="str">
        <f>IF(B604="","",IFERROR(VLOOKUP(B604, PLANTA_BASE!A:W, 6, FALSE), "NO ENCONTRADO EN PLANTA"))</f>
        <v>BOGOTA CENTRO</v>
      </c>
      <c r="F604" s="4" t="str">
        <f>IF(B604="","",IFERROR(VLOOKUP(B604, PLANTA_BASE!A:W, 8, FALSE), "DOCENTE / FACILITADOR"))</f>
        <v>DOCENTE ASIS/N/TC/ADM EMP/PROYECCION SOC</v>
      </c>
      <c r="G604" s="4" t="str">
        <f>IF(B604="","",IFERROR(VLOOKUP(B604, PLANTA_BASE!A:W, 9, FALSE), "GENERAL"))</f>
        <v>ADMINISTRACION DE EMPRESAS</v>
      </c>
      <c r="H604" s="2" t="str">
        <f>IF(B604="","",IFERROR(VLOOKUP(B604, PLANTA_BASE!A:W, 17, FALSE), "GENERAL"))</f>
        <v>ADMINISTRACION DE EMPRESAS</v>
      </c>
    </row>
    <row r="605" spans="1:8" ht="20.100000000000001" customHeight="1" x14ac:dyDescent="0.25">
      <c r="A605" s="5" t="str">
        <f>IF(B605="","",IFERROR(VLOOKUP(B605, PLANTA_BASE!A:W, 2, FALSE), "NO ENCONTRADO EN PLANTA"))</f>
        <v>VIRTUAL</v>
      </c>
      <c r="B605" s="6" t="s">
        <v>1214</v>
      </c>
      <c r="C605" s="7" t="s">
        <v>1215</v>
      </c>
      <c r="D605" s="5" t="str">
        <f>IF(B605="","",IFERROR(VLOOKUP(B605, PLANTA_BASE!A:W, 5, FALSE), "NO ENCONTRADO EN PLANTA"))</f>
        <v>REGIONAL BOGOTA</v>
      </c>
      <c r="E605" s="5" t="str">
        <f>IF(B605="","",IFERROR(VLOOKUP(B605, PLANTA_BASE!A:W, 6, FALSE), "NO ENCONTRADO EN PLANTA"))</f>
        <v>BOGOTA CENTRO</v>
      </c>
      <c r="F605" s="7" t="str">
        <f>IF(B605="","",IFERROR(VLOOKUP(B605, PLANTA_BASE!A:W, 8, FALSE), "DOCENTE / FACILITADOR"))</f>
        <v>DOC AUX/N/V/TC/ESP INTE NEGO/PROYECCION</v>
      </c>
      <c r="G605" s="7" t="str">
        <f>IF(B605="","",IFERROR(VLOOKUP(B605, PLANTA_BASE!A:W, 9, FALSE), "GENERAL"))</f>
        <v>ESPECIALIZACION EN INTELIGENCIA DE NEGOCIOS</v>
      </c>
      <c r="H605" s="5" t="str">
        <f>IF(B605="","",IFERROR(VLOOKUP(B605, PLANTA_BASE!A:W, 17, FALSE), "GENERAL"))</f>
        <v>ESPECIALIZACION EN INTELIGENCIA DE NEGOCIOS</v>
      </c>
    </row>
    <row r="606" spans="1:8" ht="20.100000000000001" customHeight="1" x14ac:dyDescent="0.25">
      <c r="A606" s="2" t="str">
        <f>IF(B606="","",IFERROR(VLOOKUP(B606, PLANTA_BASE!A:W, 2, FALSE), "NO ENCONTRADO EN PLANTA"))</f>
        <v>PRESENCIAL</v>
      </c>
      <c r="B606" s="3" t="s">
        <v>1216</v>
      </c>
      <c r="C606" s="4" t="s">
        <v>1217</v>
      </c>
      <c r="D606" s="2" t="str">
        <f>IF(B606="","",IFERROR(VLOOKUP(B606, PLANTA_BASE!A:W, 5, FALSE), "NO ENCONTRADO EN PLANTA"))</f>
        <v>REGIONAL BOGOTA</v>
      </c>
      <c r="E606" s="2" t="str">
        <f>IF(B606="","",IFERROR(VLOOKUP(B606, PLANTA_BASE!A:W, 6, FALSE), "NO ENCONTRADO EN PLANTA"))</f>
        <v>BOGOTA CENTRO</v>
      </c>
      <c r="F606" s="4" t="str">
        <f>IF(B606="","",IFERROR(VLOOKUP(B606, PLANTA_BASE!A:W, 8, FALSE), "DOCENTE / FACILITADOR"))</f>
        <v>DOC AUX T&amp;T/N/TC/DIR PROD ME AUD/FUN.ACADE-ADMIN</v>
      </c>
      <c r="G606" s="4" t="str">
        <f>IF(B606="","",IFERROR(VLOOKUP(B606, PLANTA_BASE!A:W, 9, FALSE), "GENERAL"))</f>
        <v>DIRECCION Y PRODUCCION DE MEDIOS AUDIOVISUALES</v>
      </c>
      <c r="H606" s="2" t="str">
        <f>IF(B606="","",IFERROR(VLOOKUP(B606, PLANTA_BASE!A:W, 17, FALSE), "GENERAL"))</f>
        <v>DIRECCION Y PRODUCCION DE MEDIOS AUDIOVISUALES</v>
      </c>
    </row>
    <row r="607" spans="1:8" ht="20.100000000000001" customHeight="1" x14ac:dyDescent="0.25">
      <c r="A607" s="5" t="str">
        <f>IF(B607="","",IFERROR(VLOOKUP(B607, PLANTA_BASE!A:W, 2, FALSE), "NO ENCONTRADO EN PLANTA"))</f>
        <v>VIRTUAL</v>
      </c>
      <c r="B607" s="6" t="s">
        <v>1218</v>
      </c>
      <c r="C607" s="7" t="s">
        <v>1219</v>
      </c>
      <c r="D607" s="5" t="str">
        <f>IF(B607="","",IFERROR(VLOOKUP(B607, PLANTA_BASE!A:W, 5, FALSE), "NO ENCONTRADO EN PLANTA"))</f>
        <v>REGIONAL BOGOTA</v>
      </c>
      <c r="E607" s="5" t="str">
        <f>IF(B607="","",IFERROR(VLOOKUP(B607, PLANTA_BASE!A:W, 6, FALSE), "NO ENCONTRADO EN PLANTA"))</f>
        <v>BOGOTA CENTRO</v>
      </c>
      <c r="F607" s="7" t="str">
        <f>IF(B607="","",IFERROR(VLOOKUP(B607, PLANTA_BASE!A:W, 8, FALSE), "DOCENTE / FACILITADOR"))</f>
        <v>DOC ASIS/N/V/MT/CIENCIAS BASI</v>
      </c>
      <c r="G607" s="7" t="str">
        <f>IF(B607="","",IFERROR(VLOOKUP(B607, PLANTA_BASE!A:W, 9, FALSE), "GENERAL"))</f>
        <v>CIENCIAS BASICAS</v>
      </c>
      <c r="H607" s="5" t="str">
        <f>IF(B607="","",IFERROR(VLOOKUP(B607, PLANTA_BASE!A:W, 17, FALSE), "GENERAL"))</f>
        <v>CIENCIAS BASICAS</v>
      </c>
    </row>
    <row r="608" spans="1:8" ht="20.100000000000001" customHeight="1" x14ac:dyDescent="0.25">
      <c r="A608" s="2" t="str">
        <f>IF(B608="","",IFERROR(VLOOKUP(B608, PLANTA_BASE!A:W, 2, FALSE), "NO ENCONTRADO EN PLANTA"))</f>
        <v>PRESENCIAL</v>
      </c>
      <c r="B608" s="3" t="s">
        <v>1220</v>
      </c>
      <c r="C608" s="4" t="s">
        <v>1221</v>
      </c>
      <c r="D608" s="2" t="str">
        <f>IF(B608="","",IFERROR(VLOOKUP(B608, PLANTA_BASE!A:W, 5, FALSE), "NO ENCONTRADO EN PLANTA"))</f>
        <v>REGIONAL BOGOTA</v>
      </c>
      <c r="E608" s="2" t="str">
        <f>IF(B608="","",IFERROR(VLOOKUP(B608, PLANTA_BASE!A:W, 6, FALSE), "NO ENCONTRADO EN PLANTA"))</f>
        <v>BOGOTA CENTRO</v>
      </c>
      <c r="F608" s="4" t="str">
        <f>IF(B608="","",IFERROR(VLOOKUP(B608, PLANTA_BASE!A:W, 8, FALSE), "DOCENTE / FACILITADOR"))</f>
        <v>DOCENTE AUX/N/TC/DERECHO/FUN.ACADE-ADMIN</v>
      </c>
      <c r="G608" s="4" t="str">
        <f>IF(B608="","",IFERROR(VLOOKUP(B608, PLANTA_BASE!A:W, 9, FALSE), "GENERAL"))</f>
        <v>DERECHO</v>
      </c>
      <c r="H608" s="2" t="str">
        <f>IF(B608="","",IFERROR(VLOOKUP(B608, PLANTA_BASE!A:W, 17, FALSE), "GENERAL"))</f>
        <v>DERECHO</v>
      </c>
    </row>
    <row r="609" spans="1:8" ht="20.100000000000001" customHeight="1" x14ac:dyDescent="0.25">
      <c r="A609" s="5" t="str">
        <f>IF(B609="","",IFERROR(VLOOKUP(B609, PLANTA_BASE!A:W, 2, FALSE), "NO ENCONTRADO EN PLANTA"))</f>
        <v>VIRTUAL</v>
      </c>
      <c r="B609" s="6" t="s">
        <v>1222</v>
      </c>
      <c r="C609" s="7" t="s">
        <v>1223</v>
      </c>
      <c r="D609" s="5" t="str">
        <f>IF(B609="","",IFERROR(VLOOKUP(B609, PLANTA_BASE!A:W, 5, FALSE), "NO ENCONTRADO EN PLANTA"))</f>
        <v>REGIONAL BOGOTA</v>
      </c>
      <c r="E609" s="5" t="str">
        <f>IF(B609="","",IFERROR(VLOOKUP(B609, PLANTA_BASE!A:W, 6, FALSE), "NO ENCONTRADO EN PLANTA"))</f>
        <v>BOGOTA CENTRO</v>
      </c>
      <c r="F609" s="7" t="str">
        <f>IF(B609="","",IFERROR(VLOOKUP(B609, PLANTA_BASE!A:W, 8, FALSE), "DOCENTE / FACILITADOR"))</f>
        <v>DOC AUX T&amp;T/N/V/TC/IDIOMAS/FUN.ACADE-ADMIN</v>
      </c>
      <c r="G609" s="7" t="str">
        <f>IF(B609="","",IFERROR(VLOOKUP(B609, PLANTA_BASE!A:W, 9, FALSE), "GENERAL"))</f>
        <v>IDIOMAS</v>
      </c>
      <c r="H609" s="5" t="str">
        <f>IF(B609="","",IFERROR(VLOOKUP(B609, PLANTA_BASE!A:W, 17, FALSE), "GENERAL"))</f>
        <v>IDIOMAS</v>
      </c>
    </row>
    <row r="610" spans="1:8" ht="20.100000000000001" customHeight="1" x14ac:dyDescent="0.25">
      <c r="A610" s="2" t="str">
        <f>IF(B610="","",IFERROR(VLOOKUP(B610, PLANTA_BASE!A:W, 2, FALSE), "NO ENCONTRADO EN PLANTA"))</f>
        <v>PRESENCIAL</v>
      </c>
      <c r="B610" s="3" t="s">
        <v>1224</v>
      </c>
      <c r="C610" s="4" t="s">
        <v>1225</v>
      </c>
      <c r="D610" s="2" t="str">
        <f>IF(B610="","",IFERROR(VLOOKUP(B610, PLANTA_BASE!A:W, 5, FALSE), "NO ENCONTRADO EN PLANTA"))</f>
        <v>REGIONAL BOGOTA</v>
      </c>
      <c r="E610" s="2" t="str">
        <f>IF(B610="","",IFERROR(VLOOKUP(B610, PLANTA_BASE!A:W, 6, FALSE), "NO ENCONTRADO EN PLANTA"))</f>
        <v>BOGOTA NORTE</v>
      </c>
      <c r="F610" s="4" t="str">
        <f>IF(B610="","",IFERROR(VLOOKUP(B610, PLANTA_BASE!A:W, 8, FALSE), "DOCENTE / FACILITADOR"))</f>
        <v>DOCENTE ASIS/N/TC/INVESTIGA/INVESTIGACIO</v>
      </c>
      <c r="G610" s="4" t="str">
        <f>IF(B610="","",IFERROR(VLOOKUP(B610, PLANTA_BASE!A:W, 9, FALSE), "GENERAL"))</f>
        <v>INVESTIGACIONES</v>
      </c>
      <c r="H610" s="2" t="str">
        <f>IF(B610="","",IFERROR(VLOOKUP(B610, PLANTA_BASE!A:W, 17, FALSE), "GENERAL"))</f>
        <v>INVESTIGACIONES</v>
      </c>
    </row>
    <row r="611" spans="1:8" ht="20.100000000000001" customHeight="1" x14ac:dyDescent="0.25">
      <c r="A611" s="5" t="str">
        <f>IF(B611="","",IFERROR(VLOOKUP(B611, PLANTA_BASE!A:W, 2, FALSE), "NO ENCONTRADO EN PLANTA"))</f>
        <v>VIRTUAL</v>
      </c>
      <c r="B611" s="6" t="s">
        <v>1226</v>
      </c>
      <c r="C611" s="7" t="s">
        <v>1227</v>
      </c>
      <c r="D611" s="5" t="str">
        <f>IF(B611="","",IFERROR(VLOOKUP(B611, PLANTA_BASE!A:W, 5, FALSE), "NO ENCONTRADO EN PLANTA"))</f>
        <v>REGIONAL BOGOTA</v>
      </c>
      <c r="E611" s="5" t="str">
        <f>IF(B611="","",IFERROR(VLOOKUP(B611, PLANTA_BASE!A:W, 6, FALSE), "NO ENCONTRADO EN PLANTA"))</f>
        <v>BOGOTA CENTRO</v>
      </c>
      <c r="F611" s="7" t="str">
        <f>IF(B611="","",IFERROR(VLOOKUP(B611, PLANTA_BASE!A:W, 8, FALSE), "DOCENTE / FACILITADOR"))</f>
        <v>DOC AUX/N/V/MT/NEG INTER</v>
      </c>
      <c r="G611" s="7" t="str">
        <f>IF(B611="","",IFERROR(VLOOKUP(B611, PLANTA_BASE!A:W, 9, FALSE), "GENERAL"))</f>
        <v>NEGOCIOS INTERNACIONALES</v>
      </c>
      <c r="H611" s="5" t="str">
        <f>IF(B611="","",IFERROR(VLOOKUP(B611, PLANTA_BASE!A:W, 17, FALSE), "GENERAL"))</f>
        <v>NEGOCIOS INTERNACIONALES</v>
      </c>
    </row>
    <row r="612" spans="1:8" ht="20.100000000000001" customHeight="1" x14ac:dyDescent="0.25">
      <c r="A612" s="2" t="str">
        <f>IF(B612="","",IFERROR(VLOOKUP(B612, PLANTA_BASE!A:W, 2, FALSE), "NO ENCONTRADO EN PLANTA"))</f>
        <v>PRESENCIAL</v>
      </c>
      <c r="B612" s="3" t="s">
        <v>1228</v>
      </c>
      <c r="C612" s="4" t="s">
        <v>1229</v>
      </c>
      <c r="D612" s="2" t="str">
        <f>IF(B612="","",IFERROR(VLOOKUP(B612, PLANTA_BASE!A:W, 5, FALSE), "NO ENCONTRADO EN PLANTA"))</f>
        <v>REGIONAL BOGOTA</v>
      </c>
      <c r="E612" s="2" t="str">
        <f>IF(B612="","",IFERROR(VLOOKUP(B612, PLANTA_BASE!A:W, 6, FALSE), "NO ENCONTRADO EN PLANTA"))</f>
        <v>BOGOTA CENTRO</v>
      </c>
      <c r="F612" s="4" t="str">
        <f>IF(B612="","",IFERROR(VLOOKUP(B612, PLANTA_BASE!A:W, 8, FALSE), "DOCENTE / FACILITADOR"))</f>
        <v>DOC AUX T&amp;T/N/TC/DIS PROD MOD/FUN.ACADE-ADMIN</v>
      </c>
      <c r="G612" s="4" t="str">
        <f>IF(B612="","",IFERROR(VLOOKUP(B612, PLANTA_BASE!A:W, 9, FALSE), "GENERAL"))</f>
        <v>DISEÑO Y PRODUCCION DE MODAS</v>
      </c>
      <c r="H612" s="2" t="str">
        <f>IF(B612="","",IFERROR(VLOOKUP(B612, PLANTA_BASE!A:W, 17, FALSE), "GENERAL"))</f>
        <v>DISEÑO Y PRODUCCION DE MODAS</v>
      </c>
    </row>
    <row r="613" spans="1:8" ht="20.100000000000001" customHeight="1" x14ac:dyDescent="0.25">
      <c r="A613" s="5" t="str">
        <f>IF(B613="","",IFERROR(VLOOKUP(B613, PLANTA_BASE!A:W, 2, FALSE), "NO ENCONTRADO EN PLANTA"))</f>
        <v>PRESENCIAL</v>
      </c>
      <c r="B613" s="6" t="s">
        <v>1230</v>
      </c>
      <c r="C613" s="7" t="s">
        <v>1231</v>
      </c>
      <c r="D613" s="5" t="str">
        <f>IF(B613="","",IFERROR(VLOOKUP(B613, PLANTA_BASE!A:W, 5, FALSE), "NO ENCONTRADO EN PLANTA"))</f>
        <v>REGIONAL BOGOTA</v>
      </c>
      <c r="E613" s="5" t="str">
        <f>IF(B613="","",IFERROR(VLOOKUP(B613, PLANTA_BASE!A:W, 6, FALSE), "NO ENCONTRADO EN PLANTA"))</f>
        <v>BOGOTA CENTRO</v>
      </c>
      <c r="F613" s="7" t="str">
        <f>IF(B613="","",IFERROR(VLOOKUP(B613, PLANTA_BASE!A:W, 8, FALSE), "DOCENTE / FACILITADOR"))</f>
        <v>DOCENTE ASIS/N/TC/DIS GRAFICO/FUN.ACADE-ADMIN</v>
      </c>
      <c r="G613" s="7" t="str">
        <f>IF(B613="","",IFERROR(VLOOKUP(B613, PLANTA_BASE!A:W, 9, FALSE), "GENERAL"))</f>
        <v>DISEÑO GRAFICO</v>
      </c>
      <c r="H613" s="5" t="str">
        <f>IF(B613="","",IFERROR(VLOOKUP(B613, PLANTA_BASE!A:W, 17, FALSE), "GENERAL"))</f>
        <v>DISEÑO GRAFICO</v>
      </c>
    </row>
    <row r="614" spans="1:8" ht="20.100000000000001" customHeight="1" x14ac:dyDescent="0.25">
      <c r="A614" s="2" t="str">
        <f>IF(B614="","",IFERROR(VLOOKUP(B614, PLANTA_BASE!A:W, 2, FALSE), "NO ENCONTRADO EN PLANTA"))</f>
        <v>PRESENCIAL</v>
      </c>
      <c r="B614" s="3" t="s">
        <v>1232</v>
      </c>
      <c r="C614" s="4" t="s">
        <v>1233</v>
      </c>
      <c r="D614" s="2" t="str">
        <f>IF(B614="","",IFERROR(VLOOKUP(B614, PLANTA_BASE!A:W, 5, FALSE), "NO ENCONTRADO EN PLANTA"))</f>
        <v>REGIONAL BOGOTA</v>
      </c>
      <c r="E614" s="2" t="str">
        <f>IF(B614="","",IFERROR(VLOOKUP(B614, PLANTA_BASE!A:W, 6, FALSE), "NO ENCONTRADO EN PLANTA"))</f>
        <v>BOGOTA CENTRO</v>
      </c>
      <c r="F614" s="4" t="str">
        <f>IF(B614="","",IFERROR(VLOOKUP(B614, PLANTA_BASE!A:W, 8, FALSE), "DOCENTE / FACILITADOR"))</f>
        <v>DOCENTE AUX/N/TC/EMPRENDIMIE/FUN.ACADE-ADMIN</v>
      </c>
      <c r="G614" s="4" t="str">
        <f>IF(B614="","",IFERROR(VLOOKUP(B614, PLANTA_BASE!A:W, 9, FALSE), "GENERAL"))</f>
        <v>EMPRENDIMIENTO</v>
      </c>
      <c r="H614" s="2" t="str">
        <f>IF(B614="","",IFERROR(VLOOKUP(B614, PLANTA_BASE!A:W, 17, FALSE), "GENERAL"))</f>
        <v>EMPRENDIMIENTO</v>
      </c>
    </row>
    <row r="615" spans="1:8" ht="20.100000000000001" customHeight="1" x14ac:dyDescent="0.25">
      <c r="A615" s="5" t="str">
        <f>IF(B615="","",IFERROR(VLOOKUP(B615, PLANTA_BASE!A:W, 2, FALSE), "NO ENCONTRADO EN PLANTA"))</f>
        <v>PRESENCIAL</v>
      </c>
      <c r="B615" s="6" t="s">
        <v>1234</v>
      </c>
      <c r="C615" s="7" t="s">
        <v>1235</v>
      </c>
      <c r="D615" s="5" t="str">
        <f>IF(B615="","",IFERROR(VLOOKUP(B615, PLANTA_BASE!A:W, 5, FALSE), "NO ENCONTRADO EN PLANTA"))</f>
        <v>REGIONAL BOGOTA</v>
      </c>
      <c r="E615" s="5" t="str">
        <f>IF(B615="","",IFERROR(VLOOKUP(B615, PLANTA_BASE!A:W, 6, FALSE), "NO ENCONTRADO EN PLANTA"))</f>
        <v>BOGOTA CENTRO</v>
      </c>
      <c r="F615" s="7" t="str">
        <f>IF(B615="","",IFERROR(VLOOKUP(B615, PLANTA_BASE!A:W, 8, FALSE), "DOCENTE / FACILITADOR"))</f>
        <v>DOC AUX T&amp;T/N/TC/CIEN BASI/FUN.ACADE-ADMIN</v>
      </c>
      <c r="G615" s="7" t="str">
        <f>IF(B615="","",IFERROR(VLOOKUP(B615, PLANTA_BASE!A:W, 9, FALSE), "GENERAL"))</f>
        <v>CIENCIAS BASICAS</v>
      </c>
      <c r="H615" s="5" t="str">
        <f>IF(B615="","",IFERROR(VLOOKUP(B615, PLANTA_BASE!A:W, 17, FALSE), "GENERAL"))</f>
        <v>CIENCIAS BASICAS</v>
      </c>
    </row>
    <row r="616" spans="1:8" ht="20.100000000000001" customHeight="1" x14ac:dyDescent="0.25">
      <c r="A616" s="2" t="str">
        <f>IF(B616="","",IFERROR(VLOOKUP(B616, PLANTA_BASE!A:W, 2, FALSE), "NO ENCONTRADO EN PLANTA"))</f>
        <v>PRESENCIAL</v>
      </c>
      <c r="B616" s="3" t="s">
        <v>1236</v>
      </c>
      <c r="C616" s="4" t="s">
        <v>1237</v>
      </c>
      <c r="D616" s="2" t="str">
        <f>IF(B616="","",IFERROR(VLOOKUP(B616, PLANTA_BASE!A:W, 5, FALSE), "NO ENCONTRADO EN PLANTA"))</f>
        <v>REGIONAL BOGOTA</v>
      </c>
      <c r="E616" s="2" t="str">
        <f>IF(B616="","",IFERROR(VLOOKUP(B616, PLANTA_BASE!A:W, 6, FALSE), "NO ENCONTRADO EN PLANTA"))</f>
        <v>BOGOTA CENTRO</v>
      </c>
      <c r="F616" s="4" t="str">
        <f>IF(B616="","",IFERROR(VLOOKUP(B616, PLANTA_BASE!A:W, 8, FALSE), "DOCENTE / FACILITADOR"))</f>
        <v>DOC AUX T&amp;T/N/TC/DIS GRAFICO/FUN.ACADE-ADMIN</v>
      </c>
      <c r="G616" s="4" t="str">
        <f>IF(B616="","",IFERROR(VLOOKUP(B616, PLANTA_BASE!A:W, 9, FALSE), "GENERAL"))</f>
        <v>DISEÑO GRAFICO</v>
      </c>
      <c r="H616" s="2" t="str">
        <f>IF(B616="","",IFERROR(VLOOKUP(B616, PLANTA_BASE!A:W, 17, FALSE), "GENERAL"))</f>
        <v>DISEÑO GRAFICO</v>
      </c>
    </row>
    <row r="617" spans="1:8" ht="20.100000000000001" customHeight="1" x14ac:dyDescent="0.25">
      <c r="A617" s="5" t="str">
        <f>IF(B617="","",IFERROR(VLOOKUP(B617, PLANTA_BASE!A:W, 2, FALSE), "NO ENCONTRADO EN PLANTA"))</f>
        <v>VIRTUAL</v>
      </c>
      <c r="B617" s="6" t="s">
        <v>1238</v>
      </c>
      <c r="C617" s="7" t="s">
        <v>1239</v>
      </c>
      <c r="D617" s="5" t="str">
        <f>IF(B617="","",IFERROR(VLOOKUP(B617, PLANTA_BASE!A:W, 5, FALSE), "NO ENCONTRADO EN PLANTA"))</f>
        <v>REGIONAL BOGOTA</v>
      </c>
      <c r="E617" s="5" t="str">
        <f>IF(B617="","",IFERROR(VLOOKUP(B617, PLANTA_BASE!A:W, 6, FALSE), "NO ENCONTRADO EN PLANTA"))</f>
        <v>BOGOTA CENTRO</v>
      </c>
      <c r="F617" s="7" t="str">
        <f>IF(B617="","",IFERROR(VLOOKUP(B617, PLANTA_BASE!A:W, 8, FALSE), "DOCENTE / FACILITADOR"))</f>
        <v>DOC AUX/N/V/MT/CONTADURIA</v>
      </c>
      <c r="G617" s="7" t="str">
        <f>IF(B617="","",IFERROR(VLOOKUP(B617, PLANTA_BASE!A:W, 9, FALSE), "GENERAL"))</f>
        <v>CONTADURIA PUBLICA</v>
      </c>
      <c r="H617" s="5" t="str">
        <f>IF(B617="","",IFERROR(VLOOKUP(B617, PLANTA_BASE!A:W, 17, FALSE), "GENERAL"))</f>
        <v>CONTADURIA PUBLICA</v>
      </c>
    </row>
    <row r="618" spans="1:8" ht="20.100000000000001" customHeight="1" x14ac:dyDescent="0.25">
      <c r="A618" s="2" t="str">
        <f>IF(B618="","",IFERROR(VLOOKUP(B618, PLANTA_BASE!A:W, 2, FALSE), "NO ENCONTRADO EN PLANTA"))</f>
        <v>PRESENCIAL</v>
      </c>
      <c r="B618" s="3" t="s">
        <v>1240</v>
      </c>
      <c r="C618" s="4" t="s">
        <v>1241</v>
      </c>
      <c r="D618" s="2" t="str">
        <f>IF(B618="","",IFERROR(VLOOKUP(B618, PLANTA_BASE!A:W, 5, FALSE), "NO ENCONTRADO EN PLANTA"))</f>
        <v>REGIONAL BOGOTA</v>
      </c>
      <c r="E618" s="2" t="str">
        <f>IF(B618="","",IFERROR(VLOOKUP(B618, PLANTA_BASE!A:W, 6, FALSE), "NO ENCONTRADO EN PLANTA"))</f>
        <v>BOGOTA CENTRO</v>
      </c>
      <c r="F618" s="4" t="str">
        <f>IF(B618="","",IFERROR(VLOOKUP(B618, PLANTA_BASE!A:W, 8, FALSE), "DOCENTE / FACILITADOR"))</f>
        <v>DOC AUX T&amp;T/N/MT/ADM SER SALU</v>
      </c>
      <c r="G618" s="4" t="str">
        <f>IF(B618="","",IFERROR(VLOOKUP(B618, PLANTA_BASE!A:W, 9, FALSE), "GENERAL"))</f>
        <v>ADMINISTRACION EN SERVICIOS DE SALUD</v>
      </c>
      <c r="H618" s="2" t="str">
        <f>IF(B618="","",IFERROR(VLOOKUP(B618, PLANTA_BASE!A:W, 17, FALSE), "GENERAL"))</f>
        <v>ADMINISTRACION EN SERVICIOS DE SALUD</v>
      </c>
    </row>
    <row r="619" spans="1:8" ht="20.100000000000001" customHeight="1" x14ac:dyDescent="0.25">
      <c r="A619" s="5" t="str">
        <f>IF(B619="","",IFERROR(VLOOKUP(B619, PLANTA_BASE!A:W, 2, FALSE), "NO ENCONTRADO EN PLANTA"))</f>
        <v>VIRTUAL</v>
      </c>
      <c r="B619" s="6" t="s">
        <v>1242</v>
      </c>
      <c r="C619" s="7" t="s">
        <v>1243</v>
      </c>
      <c r="D619" s="5" t="str">
        <f>IF(B619="","",IFERROR(VLOOKUP(B619, PLANTA_BASE!A:W, 5, FALSE), "NO ENCONTRADO EN PLANTA"))</f>
        <v>REGIONAL BOGOTA</v>
      </c>
      <c r="E619" s="5" t="str">
        <f>IF(B619="","",IFERROR(VLOOKUP(B619, PLANTA_BASE!A:W, 6, FALSE), "NO ENCONTRADO EN PLANTA"))</f>
        <v>BOGOTA CENTRO</v>
      </c>
      <c r="F619" s="7" t="str">
        <f>IF(B619="","",IFERROR(VLOOKUP(B619, PLANTA_BASE!A:W, 8, FALSE), "DOCENTE / FACILITADOR"))</f>
        <v>DOC ASOC/N/V/TC/ESP PAZ Y DESARR/FUN.ACADE-ADMIN</v>
      </c>
      <c r="G619" s="7" t="str">
        <f>IF(B619="","",IFERROR(VLOOKUP(B619, PLANTA_BASE!A:W, 9, FALSE), "GENERAL"))</f>
        <v>ESPECIALIZACION DE PAZ Y DESARROLLO</v>
      </c>
      <c r="H619" s="5" t="str">
        <f>IF(B619="","",IFERROR(VLOOKUP(B619, PLANTA_BASE!A:W, 17, FALSE), "GENERAL"))</f>
        <v>ESPECIALIZACION DE PAZ Y DESARROLLO</v>
      </c>
    </row>
    <row r="620" spans="1:8" ht="20.100000000000001" customHeight="1" x14ac:dyDescent="0.25">
      <c r="A620" s="2" t="str">
        <f>IF(B620="","",IFERROR(VLOOKUP(B620, PLANTA_BASE!A:W, 2, FALSE), "NO ENCONTRADO EN PLANTA"))</f>
        <v>VIRTUAL</v>
      </c>
      <c r="B620" s="3" t="s">
        <v>1244</v>
      </c>
      <c r="C620" s="4" t="s">
        <v>1245</v>
      </c>
      <c r="D620" s="2" t="str">
        <f>IF(B620="","",IFERROR(VLOOKUP(B620, PLANTA_BASE!A:W, 5, FALSE), "NO ENCONTRADO EN PLANTA"))</f>
        <v>REGIONAL BOGOTA</v>
      </c>
      <c r="E620" s="2" t="str">
        <f>IF(B620="","",IFERROR(VLOOKUP(B620, PLANTA_BASE!A:W, 6, FALSE), "NO ENCONTRADO EN PLANTA"))</f>
        <v>BOGOTA CENTRO</v>
      </c>
      <c r="F620" s="4" t="str">
        <f>IF(B620="","",IFERROR(VLOOKUP(B620, PLANTA_BASE!A:W, 8, FALSE), "DOCENTE / FACILITADOR"))</f>
        <v>DOC ASIS/N/V/MT/CONTADURIA</v>
      </c>
      <c r="G620" s="4" t="str">
        <f>IF(B620="","",IFERROR(VLOOKUP(B620, PLANTA_BASE!A:W, 9, FALSE), "GENERAL"))</f>
        <v>CONTADURIA PUBLICA</v>
      </c>
      <c r="H620" s="2" t="str">
        <f>IF(B620="","",IFERROR(VLOOKUP(B620, PLANTA_BASE!A:W, 17, FALSE), "GENERAL"))</f>
        <v>CONTADURIA PUBLICA</v>
      </c>
    </row>
    <row r="621" spans="1:8" ht="20.100000000000001" customHeight="1" x14ac:dyDescent="0.25">
      <c r="A621" s="5" t="str">
        <f>IF(B621="","",IFERROR(VLOOKUP(B621, PLANTA_BASE!A:W, 2, FALSE), "NO ENCONTRADO EN PLANTA"))</f>
        <v>PRESENCIAL</v>
      </c>
      <c r="B621" s="6" t="s">
        <v>1246</v>
      </c>
      <c r="C621" s="7" t="s">
        <v>1247</v>
      </c>
      <c r="D621" s="5" t="str">
        <f>IF(B621="","",IFERROR(VLOOKUP(B621, PLANTA_BASE!A:W, 5, FALSE), "NO ENCONTRADO EN PLANTA"))</f>
        <v>REGIONAL BOGOTA</v>
      </c>
      <c r="E621" s="5" t="str">
        <f>IF(B621="","",IFERROR(VLOOKUP(B621, PLANTA_BASE!A:W, 6, FALSE), "NO ENCONTRADO EN PLANTA"))</f>
        <v>BOGOTA CENTRO</v>
      </c>
      <c r="F621" s="7" t="str">
        <f>IF(B621="","",IFERROR(VLOOKUP(B621, PLANTA_BASE!A:W, 8, FALSE), "DOCENTE / FACILITADOR"))</f>
        <v>DOCENTE ASIS/N/TC/ADM SER SALU/FUN.ACADE-ADMIN</v>
      </c>
      <c r="G621" s="7" t="str">
        <f>IF(B621="","",IFERROR(VLOOKUP(B621, PLANTA_BASE!A:W, 9, FALSE), "GENERAL"))</f>
        <v>ADMINISTRACION EN SERVICIOS DE SALUD</v>
      </c>
      <c r="H621" s="5" t="str">
        <f>IF(B621="","",IFERROR(VLOOKUP(B621, PLANTA_BASE!A:W, 17, FALSE), "GENERAL"))</f>
        <v>ADMINISTRACION EN SERVICIOS DE SALUD</v>
      </c>
    </row>
    <row r="622" spans="1:8" ht="20.100000000000001" customHeight="1" x14ac:dyDescent="0.25">
      <c r="A622" s="2" t="str">
        <f>IF(B622="","",IFERROR(VLOOKUP(B622, PLANTA_BASE!A:W, 2, FALSE), "NO ENCONTRADO EN PLANTA"))</f>
        <v>PRESENCIAL</v>
      </c>
      <c r="B622" s="3" t="s">
        <v>1248</v>
      </c>
      <c r="C622" s="4" t="s">
        <v>1249</v>
      </c>
      <c r="D622" s="2" t="str">
        <f>IF(B622="","",IFERROR(VLOOKUP(B622, PLANTA_BASE!A:W, 5, FALSE), "NO ENCONTRADO EN PLANTA"))</f>
        <v>REGIONAL BOGOTA</v>
      </c>
      <c r="E622" s="2" t="str">
        <f>IF(B622="","",IFERROR(VLOOKUP(B622, PLANTA_BASE!A:W, 6, FALSE), "NO ENCONTRADO EN PLANTA"))</f>
        <v>BOGOTA CENTRO</v>
      </c>
      <c r="F622" s="4" t="str">
        <f>IF(B622="","",IFERROR(VLOOKUP(B622, PLANTA_BASE!A:W, 8, FALSE), "DOCENTE / FACILITADOR"))</f>
        <v>DOCENTE AUX/N/MT/ING SISTEM</v>
      </c>
      <c r="G622" s="4" t="str">
        <f>IF(B622="","",IFERROR(VLOOKUP(B622, PLANTA_BASE!A:W, 9, FALSE), "GENERAL"))</f>
        <v>INGENIERIA DE SISTEMAS</v>
      </c>
      <c r="H622" s="2" t="str">
        <f>IF(B622="","",IFERROR(VLOOKUP(B622, PLANTA_BASE!A:W, 17, FALSE), "GENERAL"))</f>
        <v>INGENIERIA DE SISTEMAS</v>
      </c>
    </row>
    <row r="623" spans="1:8" ht="20.100000000000001" customHeight="1" x14ac:dyDescent="0.25">
      <c r="A623" s="5" t="str">
        <f>IF(B623="","",IFERROR(VLOOKUP(B623, PLANTA_BASE!A:W, 2, FALSE), "NO ENCONTRADO EN PLANTA"))</f>
        <v>PRESENCIAL</v>
      </c>
      <c r="B623" s="6" t="s">
        <v>1250</v>
      </c>
      <c r="C623" s="7" t="s">
        <v>1251</v>
      </c>
      <c r="D623" s="5" t="str">
        <f>IF(B623="","",IFERROR(VLOOKUP(B623, PLANTA_BASE!A:W, 5, FALSE), "NO ENCONTRADO EN PLANTA"))</f>
        <v>REGIONAL BOGOTA</v>
      </c>
      <c r="E623" s="5" t="str">
        <f>IF(B623="","",IFERROR(VLOOKUP(B623, PLANTA_BASE!A:W, 6, FALSE), "NO ENCONTRADO EN PLANTA"))</f>
        <v>BOGOTA CENTRO</v>
      </c>
      <c r="F623" s="7" t="str">
        <f>IF(B623="","",IFERROR(VLOOKUP(B623, PLANTA_BASE!A:W, 8, FALSE), "DOCENTE / FACILITADOR"))</f>
        <v>DOC AUX T&amp;T/N/TC/ING SISTEM/FUN.ACADE-ADMIN</v>
      </c>
      <c r="G623" s="7" t="str">
        <f>IF(B623="","",IFERROR(VLOOKUP(B623, PLANTA_BASE!A:W, 9, FALSE), "GENERAL"))</f>
        <v>INGENIERIA DE SISTEMAS</v>
      </c>
      <c r="H623" s="5" t="str">
        <f>IF(B623="","",IFERROR(VLOOKUP(B623, PLANTA_BASE!A:W, 17, FALSE), "GENERAL"))</f>
        <v>INGENIERIA DE SISTEMAS</v>
      </c>
    </row>
    <row r="624" spans="1:8" ht="20.100000000000001" customHeight="1" x14ac:dyDescent="0.25">
      <c r="A624" s="2" t="str">
        <f>IF(B624="","",IFERROR(VLOOKUP(B624, PLANTA_BASE!A:W, 2, FALSE), "NO ENCONTRADO EN PLANTA"))</f>
        <v>PRESENCIAL</v>
      </c>
      <c r="B624" s="3" t="s">
        <v>1252</v>
      </c>
      <c r="C624" s="4" t="s">
        <v>1253</v>
      </c>
      <c r="D624" s="2" t="str">
        <f>IF(B624="","",IFERROR(VLOOKUP(B624, PLANTA_BASE!A:W, 5, FALSE), "NO ENCONTRADO EN PLANTA"))</f>
        <v>REGIONAL BOGOTA</v>
      </c>
      <c r="E624" s="2" t="str">
        <f>IF(B624="","",IFERROR(VLOOKUP(B624, PLANTA_BASE!A:W, 6, FALSE), "NO ENCONTRADO EN PLANTA"))</f>
        <v>BOGOTA CENTRO</v>
      </c>
      <c r="F624" s="4" t="str">
        <f>IF(B624="","",IFERROR(VLOOKUP(B624, PLANTA_BASE!A:W, 8, FALSE), "DOCENTE / FACILITADOR"))</f>
        <v>DOCENTE ASIS/N/MT-ADM SER SALU</v>
      </c>
      <c r="G624" s="4" t="str">
        <f>IF(B624="","",IFERROR(VLOOKUP(B624, PLANTA_BASE!A:W, 9, FALSE), "GENERAL"))</f>
        <v>ADMINISTRACION EN SERVICIOS DE SALUD</v>
      </c>
      <c r="H624" s="2" t="str">
        <f>IF(B624="","",IFERROR(VLOOKUP(B624, PLANTA_BASE!A:W, 17, FALSE), "GENERAL"))</f>
        <v>ADMINISTRACION EN SERVICIOS DE SALUD</v>
      </c>
    </row>
    <row r="625" spans="1:8" ht="20.100000000000001" customHeight="1" x14ac:dyDescent="0.25">
      <c r="A625" s="5" t="str">
        <f>IF(B625="","",IFERROR(VLOOKUP(B625, PLANTA_BASE!A:W, 2, FALSE), "NO ENCONTRADO EN PLANTA"))</f>
        <v>PRESENCIAL</v>
      </c>
      <c r="B625" s="6" t="s">
        <v>1254</v>
      </c>
      <c r="C625" s="7" t="s">
        <v>1255</v>
      </c>
      <c r="D625" s="5" t="str">
        <f>IF(B625="","",IFERROR(VLOOKUP(B625, PLANTA_BASE!A:W, 5, FALSE), "NO ENCONTRADO EN PLANTA"))</f>
        <v>REGIONAL BOGOTA</v>
      </c>
      <c r="E625" s="5" t="str">
        <f>IF(B625="","",IFERROR(VLOOKUP(B625, PLANTA_BASE!A:W, 6, FALSE), "NO ENCONTRADO EN PLANTA"))</f>
        <v>BOGOTA FONTIBON</v>
      </c>
      <c r="F625" s="7" t="str">
        <f>IF(B625="","",IFERROR(VLOOKUP(B625, PLANTA_BASE!A:W, 8, FALSE), "DOCENTE / FACILITADOR"))</f>
        <v>DOCENTE AUX/N/MT/CONT PUBL</v>
      </c>
      <c r="G625" s="7" t="str">
        <f>IF(B625="","",IFERROR(VLOOKUP(B625, PLANTA_BASE!A:W, 9, FALSE), "GENERAL"))</f>
        <v>CONTADURIA PUBLICA</v>
      </c>
      <c r="H625" s="5" t="str">
        <f>IF(B625="","",IFERROR(VLOOKUP(B625, PLANTA_BASE!A:W, 17, FALSE), "GENERAL"))</f>
        <v>CONTADURIA PUBLICA</v>
      </c>
    </row>
    <row r="626" spans="1:8" ht="20.100000000000001" customHeight="1" x14ac:dyDescent="0.25">
      <c r="A626" s="2" t="str">
        <f>IF(B626="","",IFERROR(VLOOKUP(B626, PLANTA_BASE!A:W, 2, FALSE), "NO ENCONTRADO EN PLANTA"))</f>
        <v>PRESENCIAL</v>
      </c>
      <c r="B626" s="3" t="s">
        <v>1256</v>
      </c>
      <c r="C626" s="4" t="s">
        <v>1257</v>
      </c>
      <c r="D626" s="2" t="str">
        <f>IF(B626="","",IFERROR(VLOOKUP(B626, PLANTA_BASE!A:W, 5, FALSE), "NO ENCONTRADO EN PLANTA"))</f>
        <v>REGIONAL BOGOTA</v>
      </c>
      <c r="E626" s="2" t="str">
        <f>IF(B626="","",IFERROR(VLOOKUP(B626, PLANTA_BASE!A:W, 6, FALSE), "NO ENCONTRADO EN PLANTA"))</f>
        <v>BOGOTA CENTRO</v>
      </c>
      <c r="F626" s="4" t="str">
        <f>IF(B626="","",IFERROR(VLOOKUP(B626, PLANTA_BASE!A:W, 8, FALSE), "DOCENTE / FACILITADOR"))</f>
        <v>DOCENTE ASOC/N/TC/INVESTIGA/INVESTIGACIO</v>
      </c>
      <c r="G626" s="4" t="str">
        <f>IF(B626="","",IFERROR(VLOOKUP(B626, PLANTA_BASE!A:W, 9, FALSE), "GENERAL"))</f>
        <v>INVESTIGACIONES</v>
      </c>
      <c r="H626" s="2" t="str">
        <f>IF(B626="","",IFERROR(VLOOKUP(B626, PLANTA_BASE!A:W, 17, FALSE), "GENERAL"))</f>
        <v>INVESTIGACIONES</v>
      </c>
    </row>
    <row r="627" spans="1:8" ht="20.100000000000001" customHeight="1" x14ac:dyDescent="0.25">
      <c r="A627" s="5" t="str">
        <f>IF(B627="","",IFERROR(VLOOKUP(B627, PLANTA_BASE!A:W, 2, FALSE), "NO ENCONTRADO EN PLANTA"))</f>
        <v>VIRTUAL</v>
      </c>
      <c r="B627" s="6" t="s">
        <v>1258</v>
      </c>
      <c r="C627" s="7" t="s">
        <v>1259</v>
      </c>
      <c r="D627" s="5" t="str">
        <f>IF(B627="","",IFERROR(VLOOKUP(B627, PLANTA_BASE!A:W, 5, FALSE), "NO ENCONTRADO EN PLANTA"))</f>
        <v>REGIONAL BOGOTA</v>
      </c>
      <c r="E627" s="5" t="str">
        <f>IF(B627="","",IFERROR(VLOOKUP(B627, PLANTA_BASE!A:W, 6, FALSE), "NO ENCONTRADO EN PLANTA"))</f>
        <v>BOGOTA CENTRO</v>
      </c>
      <c r="F627" s="7" t="str">
        <f>IF(B627="","",IFERROR(VLOOKUP(B627, PLANTA_BASE!A:W, 8, FALSE), "DOCENTE / FACILITADOR"))</f>
        <v>DOC AUX T&amp;T/N/V/TC/EMPRENDIMIENTO/FUN.ACADE-ADMIN</v>
      </c>
      <c r="G627" s="7" t="str">
        <f>IF(B627="","",IFERROR(VLOOKUP(B627, PLANTA_BASE!A:W, 9, FALSE), "GENERAL"))</f>
        <v>EMPRENDIMIENTO</v>
      </c>
      <c r="H627" s="5" t="str">
        <f>IF(B627="","",IFERROR(VLOOKUP(B627, PLANTA_BASE!A:W, 17, FALSE), "GENERAL"))</f>
        <v>EMPRENDIMIENTO</v>
      </c>
    </row>
    <row r="628" spans="1:8" ht="20.100000000000001" customHeight="1" x14ac:dyDescent="0.25">
      <c r="A628" s="2" t="str">
        <f>IF(B628="","",IFERROR(VLOOKUP(B628, PLANTA_BASE!A:W, 2, FALSE), "NO ENCONTRADO EN PLANTA"))</f>
        <v>PRESENCIAL</v>
      </c>
      <c r="B628" s="3" t="s">
        <v>1260</v>
      </c>
      <c r="C628" s="4" t="s">
        <v>1261</v>
      </c>
      <c r="D628" s="2" t="str">
        <f>IF(B628="","",IFERROR(VLOOKUP(B628, PLANTA_BASE!A:W, 5, FALSE), "NO ENCONTRADO EN PLANTA"))</f>
        <v>REGIONAL BOGOTA</v>
      </c>
      <c r="E628" s="2" t="str">
        <f>IF(B628="","",IFERROR(VLOOKUP(B628, PLANTA_BASE!A:W, 6, FALSE), "NO ENCONTRADO EN PLANTA"))</f>
        <v>BOGOTA CENTRO</v>
      </c>
      <c r="F628" s="4" t="str">
        <f>IF(B628="","",IFERROR(VLOOKUP(B628, PLANTA_BASE!A:W, 8, FALSE), "DOCENTE / FACILITADOR"))</f>
        <v>DOC AUX T&amp;T/N/TC/DIS GRAFICO/FUN.ACADE-ADMIN</v>
      </c>
      <c r="G628" s="4" t="str">
        <f>IF(B628="","",IFERROR(VLOOKUP(B628, PLANTA_BASE!A:W, 9, FALSE), "GENERAL"))</f>
        <v>DISEÑO GRAFICO</v>
      </c>
      <c r="H628" s="2" t="str">
        <f>IF(B628="","",IFERROR(VLOOKUP(B628, PLANTA_BASE!A:W, 17, FALSE), "GENERAL"))</f>
        <v>DISEÑO GRAFICO</v>
      </c>
    </row>
    <row r="629" spans="1:8" ht="20.100000000000001" customHeight="1" x14ac:dyDescent="0.25">
      <c r="A629" s="5" t="str">
        <f>IF(B629="","",IFERROR(VLOOKUP(B629, PLANTA_BASE!A:W, 2, FALSE), "NO ENCONTRADO EN PLANTA"))</f>
        <v>PRESENCIAL</v>
      </c>
      <c r="B629" s="6" t="s">
        <v>1262</v>
      </c>
      <c r="C629" s="7" t="s">
        <v>1263</v>
      </c>
      <c r="D629" s="5" t="str">
        <f>IF(B629="","",IFERROR(VLOOKUP(B629, PLANTA_BASE!A:W, 5, FALSE), "NO ENCONTRADO EN PLANTA"))</f>
        <v>REGIONAL BOGOTA</v>
      </c>
      <c r="E629" s="5" t="str">
        <f>IF(B629="","",IFERROR(VLOOKUP(B629, PLANTA_BASE!A:W, 6, FALSE), "NO ENCONTRADO EN PLANTA"))</f>
        <v>BOGOTA CENTRO</v>
      </c>
      <c r="F629" s="7" t="str">
        <f>IF(B629="","",IFERROR(VLOOKUP(B629, PLANTA_BASE!A:W, 8, FALSE), "DOCENTE / FACILITADOR"))</f>
        <v>DOCENTE ASOC/N/TC/INVESTIGACIONES/INVEST</v>
      </c>
      <c r="G629" s="7" t="str">
        <f>IF(B629="","",IFERROR(VLOOKUP(B629, PLANTA_BASE!A:W, 9, FALSE), "GENERAL"))</f>
        <v>INVESTIGACIONES</v>
      </c>
      <c r="H629" s="5" t="str">
        <f>IF(B629="","",IFERROR(VLOOKUP(B629, PLANTA_BASE!A:W, 17, FALSE), "GENERAL"))</f>
        <v>INVESTIGACIONES</v>
      </c>
    </row>
    <row r="630" spans="1:8" ht="20.100000000000001" customHeight="1" x14ac:dyDescent="0.25">
      <c r="A630" s="2" t="str">
        <f>IF(B630="","",IFERROR(VLOOKUP(B630, PLANTA_BASE!A:W, 2, FALSE), "NO ENCONTRADO EN PLANTA"))</f>
        <v>PRESENCIAL</v>
      </c>
      <c r="B630" s="3" t="s">
        <v>1264</v>
      </c>
      <c r="C630" s="4" t="s">
        <v>1265</v>
      </c>
      <c r="D630" s="2" t="str">
        <f>IF(B630="","",IFERROR(VLOOKUP(B630, PLANTA_BASE!A:W, 5, FALSE), "NO ENCONTRADO EN PLANTA"))</f>
        <v>REGIONAL BOGOTA</v>
      </c>
      <c r="E630" s="2" t="str">
        <f>IF(B630="","",IFERROR(VLOOKUP(B630, PLANTA_BASE!A:W, 6, FALSE), "NO ENCONTRADO EN PLANTA"))</f>
        <v>BOGOTA CENTRO</v>
      </c>
      <c r="F630" s="4" t="str">
        <f>IF(B630="","",IFERROR(VLOOKUP(B630, PLANTA_BASE!A:W, 8, FALSE), "DOCENTE / FACILITADOR"))</f>
        <v>DOCENTE ASIS/N/TC/DIS GRAFICO/FUN.ACADE-ADMIN</v>
      </c>
      <c r="G630" s="4" t="str">
        <f>IF(B630="","",IFERROR(VLOOKUP(B630, PLANTA_BASE!A:W, 9, FALSE), "GENERAL"))</f>
        <v>DISEÑO GRAFICO</v>
      </c>
      <c r="H630" s="2" t="str">
        <f>IF(B630="","",IFERROR(VLOOKUP(B630, PLANTA_BASE!A:W, 17, FALSE), "GENERAL"))</f>
        <v>DISEÑO GRAFICO</v>
      </c>
    </row>
    <row r="631" spans="1:8" ht="20.100000000000001" customHeight="1" x14ac:dyDescent="0.25">
      <c r="A631" s="5" t="str">
        <f>IF(B631="","",IFERROR(VLOOKUP(B631, PLANTA_BASE!A:W, 2, FALSE), "NO ENCONTRADO EN PLANTA"))</f>
        <v>VIRTUAL</v>
      </c>
      <c r="B631" s="6" t="s">
        <v>1266</v>
      </c>
      <c r="C631" s="7" t="s">
        <v>1267</v>
      </c>
      <c r="D631" s="5" t="str">
        <f>IF(B631="","",IFERROR(VLOOKUP(B631, PLANTA_BASE!A:W, 5, FALSE), "NO ENCONTRADO EN PLANTA"))</f>
        <v>REGIONAL BOGOTA</v>
      </c>
      <c r="E631" s="5" t="str">
        <f>IF(B631="","",IFERROR(VLOOKUP(B631, PLANTA_BASE!A:W, 6, FALSE), "NO ENCONTRADO EN PLANTA"))</f>
        <v>BOGOTA CENTRO</v>
      </c>
      <c r="F631" s="7" t="str">
        <f>IF(B631="","",IFERROR(VLOOKUP(B631, PLANTA_BASE!A:W, 8, FALSE), "DOCENTE / FACILITADOR"))</f>
        <v>DOC AUX T&amp;T/N/V/TC/ESP DYD VIDEOJUEGOS/F</v>
      </c>
      <c r="G631" s="7" t="str">
        <f>IF(B631="","",IFERROR(VLOOKUP(B631, PLANTA_BASE!A:W, 9, FALSE), "GENERAL"))</f>
        <v>ESPECIALIZACION DISEÑO Y DESARROLLO VIDEOJUEGOS</v>
      </c>
      <c r="H631" s="5" t="str">
        <f>IF(B631="","",IFERROR(VLOOKUP(B631, PLANTA_BASE!A:W, 17, FALSE), "GENERAL"))</f>
        <v>ESPECIALIZACION DISEÑO Y DESARROLLO VIDEOJUEGOS</v>
      </c>
    </row>
    <row r="632" spans="1:8" ht="20.100000000000001" customHeight="1" x14ac:dyDescent="0.25">
      <c r="A632" s="2" t="str">
        <f>IF(B632="","",IFERROR(VLOOKUP(B632, PLANTA_BASE!A:W, 2, FALSE), "NO ENCONTRADO EN PLANTA"))</f>
        <v>PRESENCIAL</v>
      </c>
      <c r="B632" s="3" t="s">
        <v>1268</v>
      </c>
      <c r="C632" s="4" t="s">
        <v>1269</v>
      </c>
      <c r="D632" s="2" t="str">
        <f>IF(B632="","",IFERROR(VLOOKUP(B632, PLANTA_BASE!A:W, 5, FALSE), "NO ENCONTRADO EN PLANTA"))</f>
        <v>REGIONAL BOGOTA</v>
      </c>
      <c r="E632" s="2" t="str">
        <f>IF(B632="","",IFERROR(VLOOKUP(B632, PLANTA_BASE!A:W, 6, FALSE), "NO ENCONTRADO EN PLANTA"))</f>
        <v>BOGOTA CENTRO</v>
      </c>
      <c r="F632" s="4" t="str">
        <f>IF(B632="","",IFERROR(VLOOKUP(B632, PLANTA_BASE!A:W, 8, FALSE), "DOCENTE / FACILITADOR"))</f>
        <v>DOC AUX T&amp;T/N/TC/COM SOC Y PER/FUN.ACADE-ADMIN</v>
      </c>
      <c r="G632" s="4" t="str">
        <f>IF(B632="","",IFERROR(VLOOKUP(B632, PLANTA_BASE!A:W, 9, FALSE), "GENERAL"))</f>
        <v>COMUNICACION SOCIAL Y PERIODISMO</v>
      </c>
      <c r="H632" s="2" t="str">
        <f>IF(B632="","",IFERROR(VLOOKUP(B632, PLANTA_BASE!A:W, 17, FALSE), "GENERAL"))</f>
        <v>COMUNICACION SOCIAL Y PERIODISMO</v>
      </c>
    </row>
    <row r="633" spans="1:8" ht="20.100000000000001" customHeight="1" x14ac:dyDescent="0.25">
      <c r="A633" s="5" t="str">
        <f>IF(B633="","",IFERROR(VLOOKUP(B633, PLANTA_BASE!A:W, 2, FALSE), "NO ENCONTRADO EN PLANTA"))</f>
        <v>PRESENCIAL</v>
      </c>
      <c r="B633" s="6" t="s">
        <v>1270</v>
      </c>
      <c r="C633" s="7" t="s">
        <v>1271</v>
      </c>
      <c r="D633" s="5" t="str">
        <f>IF(B633="","",IFERROR(VLOOKUP(B633, PLANTA_BASE!A:W, 5, FALSE), "NO ENCONTRADO EN PLANTA"))</f>
        <v>REGIONAL BOGOTA</v>
      </c>
      <c r="E633" s="5" t="str">
        <f>IF(B633="","",IFERROR(VLOOKUP(B633, PLANTA_BASE!A:W, 6, FALSE), "NO ENCONTRADO EN PLANTA"))</f>
        <v>BOGOTA CENTRO</v>
      </c>
      <c r="F633" s="7" t="str">
        <f>IF(B633="","",IFERROR(VLOOKUP(B633, PLANTA_BASE!A:W, 8, FALSE), "DOCENTE / FACILITADOR"))</f>
        <v>DOC AUX T&amp;T/N/TC/CIEN BASI/FUN.ACADE-ADMIN</v>
      </c>
      <c r="G633" s="7" t="str">
        <f>IF(B633="","",IFERROR(VLOOKUP(B633, PLANTA_BASE!A:W, 9, FALSE), "GENERAL"))</f>
        <v>CIENCIAS BASICAS</v>
      </c>
      <c r="H633" s="5" t="str">
        <f>IF(B633="","",IFERROR(VLOOKUP(B633, PLANTA_BASE!A:W, 17, FALSE), "GENERAL"))</f>
        <v>CIENCIAS BASICAS</v>
      </c>
    </row>
    <row r="634" spans="1:8" ht="20.100000000000001" customHeight="1" x14ac:dyDescent="0.25">
      <c r="A634" s="2" t="str">
        <f>IF(B634="","",IFERROR(VLOOKUP(B634, PLANTA_BASE!A:W, 2, FALSE), "NO ENCONTRADO EN PLANTA"))</f>
        <v>PRESENCIAL</v>
      </c>
      <c r="B634" s="3" t="s">
        <v>1272</v>
      </c>
      <c r="C634" s="4" t="s">
        <v>1273</v>
      </c>
      <c r="D634" s="2" t="str">
        <f>IF(B634="","",IFERROR(VLOOKUP(B634, PLANTA_BASE!A:W, 5, FALSE), "NO ENCONTRADO EN PLANTA"))</f>
        <v>REGIONAL BOGOTA</v>
      </c>
      <c r="E634" s="2" t="str">
        <f>IF(B634="","",IFERROR(VLOOKUP(B634, PLANTA_BASE!A:W, 6, FALSE), "NO ENCONTRADO EN PLANTA"))</f>
        <v>BOGOTA CENTRO</v>
      </c>
      <c r="F634" s="4" t="str">
        <f>IF(B634="","",IFERROR(VLOOKUP(B634, PLANTA_BASE!A:W, 8, FALSE), "DOCENTE / FACILITADOR"))</f>
        <v>DOC AUX T&amp;T/N/TC/COM SOC Y PER/FUN.ACADE-ADMIN</v>
      </c>
      <c r="G634" s="4" t="str">
        <f>IF(B634="","",IFERROR(VLOOKUP(B634, PLANTA_BASE!A:W, 9, FALSE), "GENERAL"))</f>
        <v>COMUNICACION SOCIAL Y PERIODISMO</v>
      </c>
      <c r="H634" s="2" t="str">
        <f>IF(B634="","",IFERROR(VLOOKUP(B634, PLANTA_BASE!A:W, 17, FALSE), "GENERAL"))</f>
        <v>COMUNICACION SOCIAL Y PERIODISMO</v>
      </c>
    </row>
    <row r="635" spans="1:8" ht="20.100000000000001" customHeight="1" x14ac:dyDescent="0.25">
      <c r="A635" s="5" t="str">
        <f>IF(B635="","",IFERROR(VLOOKUP(B635, PLANTA_BASE!A:W, 2, FALSE), "NO ENCONTRADO EN PLANTA"))</f>
        <v>VIRTUAL</v>
      </c>
      <c r="B635" s="6" t="s">
        <v>1274</v>
      </c>
      <c r="C635" s="7" t="s">
        <v>1275</v>
      </c>
      <c r="D635" s="5" t="str">
        <f>IF(B635="","",IFERROR(VLOOKUP(B635, PLANTA_BASE!A:W, 5, FALSE), "NO ENCONTRADO EN PLANTA"))</f>
        <v>REGIONAL BOGOTA</v>
      </c>
      <c r="E635" s="5" t="str">
        <f>IF(B635="","",IFERROR(VLOOKUP(B635, PLANTA_BASE!A:W, 6, FALSE), "NO ENCONTRADO EN PLANTA"))</f>
        <v>BOGOTA CENTRO</v>
      </c>
      <c r="F635" s="7" t="str">
        <f>IF(B635="","",IFERROR(VLOOKUP(B635, PLANTA_BASE!A:W, 8, FALSE), "DOCENTE / FACILITADOR"))</f>
        <v>DOC AUX T&amp;T/N/V/TC/SOCIOHUMANISTI/PROYECTO</v>
      </c>
      <c r="G635" s="7" t="str">
        <f>IF(B635="","",IFERROR(VLOOKUP(B635, PLANTA_BASE!A:W, 9, FALSE), "GENERAL"))</f>
        <v>SOCIOHUMANISTICA</v>
      </c>
      <c r="H635" s="5" t="str">
        <f>IF(B635="","",IFERROR(VLOOKUP(B635, PLANTA_BASE!A:W, 17, FALSE), "GENERAL"))</f>
        <v>SOCIOHUMANISTICA</v>
      </c>
    </row>
    <row r="636" spans="1:8" ht="20.100000000000001" customHeight="1" x14ac:dyDescent="0.25">
      <c r="A636" s="2" t="str">
        <f>IF(B636="","",IFERROR(VLOOKUP(B636, PLANTA_BASE!A:W, 2, FALSE), "NO ENCONTRADO EN PLANTA"))</f>
        <v>PRESENCIAL</v>
      </c>
      <c r="B636" s="3" t="s">
        <v>1276</v>
      </c>
      <c r="C636" s="4" t="s">
        <v>1277</v>
      </c>
      <c r="D636" s="2" t="str">
        <f>IF(B636="","",IFERROR(VLOOKUP(B636, PLANTA_BASE!A:W, 5, FALSE), "NO ENCONTRADO EN PLANTA"))</f>
        <v>REGIONAL BOGOTA</v>
      </c>
      <c r="E636" s="2" t="str">
        <f>IF(B636="","",IFERROR(VLOOKUP(B636, PLANTA_BASE!A:W, 6, FALSE), "NO ENCONTRADO EN PLANTA"))</f>
        <v>BOGOTA CENTRO</v>
      </c>
      <c r="F636" s="4" t="str">
        <f>IF(B636="","",IFERROR(VLOOKUP(B636, PLANTA_BASE!A:W, 8, FALSE), "DOCENTE / FACILITADOR"))</f>
        <v>DOCENTE AUX/N/TC/DIS GRAFICO/PROYECCION</v>
      </c>
      <c r="G636" s="4" t="str">
        <f>IF(B636="","",IFERROR(VLOOKUP(B636, PLANTA_BASE!A:W, 9, FALSE), "GENERAL"))</f>
        <v>DISEÑO GRAFICO</v>
      </c>
      <c r="H636" s="2" t="str">
        <f>IF(B636="","",IFERROR(VLOOKUP(B636, PLANTA_BASE!A:W, 17, FALSE), "GENERAL"))</f>
        <v>DISEÑO GRAFICO</v>
      </c>
    </row>
    <row r="637" spans="1:8" ht="20.100000000000001" customHeight="1" x14ac:dyDescent="0.25">
      <c r="A637" s="5" t="str">
        <f>IF(B637="","",IFERROR(VLOOKUP(B637, PLANTA_BASE!A:W, 2, FALSE), "NO ENCONTRADO EN PLANTA"))</f>
        <v>PRESENCIAL</v>
      </c>
      <c r="B637" s="6" t="s">
        <v>1278</v>
      </c>
      <c r="C637" s="7" t="s">
        <v>1279</v>
      </c>
      <c r="D637" s="5" t="str">
        <f>IF(B637="","",IFERROR(VLOOKUP(B637, PLANTA_BASE!A:W, 5, FALSE), "NO ENCONTRADO EN PLANTA"))</f>
        <v>REGIONAL BOGOTA</v>
      </c>
      <c r="E637" s="5" t="str">
        <f>IF(B637="","",IFERROR(VLOOKUP(B637, PLANTA_BASE!A:W, 6, FALSE), "NO ENCONTRADO EN PLANTA"))</f>
        <v>BOGOTA CENTRO</v>
      </c>
      <c r="F637" s="7" t="str">
        <f>IF(B637="","",IFERROR(VLOOKUP(B637, PLANTA_BASE!A:W, 8, FALSE), "DOCENTE / FACILITADOR"))</f>
        <v>DOCENTE ASIS/N/TC/EMPRENDIMIE/FUN.ACADE-ADMIN</v>
      </c>
      <c r="G637" s="7" t="str">
        <f>IF(B637="","",IFERROR(VLOOKUP(B637, PLANTA_BASE!A:W, 9, FALSE), "GENERAL"))</f>
        <v>EMPRENDIMIENTO</v>
      </c>
      <c r="H637" s="5" t="str">
        <f>IF(B637="","",IFERROR(VLOOKUP(B637, PLANTA_BASE!A:W, 17, FALSE), "GENERAL"))</f>
        <v>EMPRENDIMIENTO</v>
      </c>
    </row>
    <row r="638" spans="1:8" ht="20.100000000000001" customHeight="1" x14ac:dyDescent="0.25">
      <c r="A638" s="2" t="str">
        <f>IF(B638="","",IFERROR(VLOOKUP(B638, PLANTA_BASE!A:W, 2, FALSE), "NO ENCONTRADO EN PLANTA"))</f>
        <v>VIRTUAL</v>
      </c>
      <c r="B638" s="3" t="s">
        <v>1280</v>
      </c>
      <c r="C638" s="4" t="s">
        <v>1281</v>
      </c>
      <c r="D638" s="2" t="str">
        <f>IF(B638="","",IFERROR(VLOOKUP(B638, PLANTA_BASE!A:W, 5, FALSE), "NO ENCONTRADO EN PLANTA"))</f>
        <v>REGIONAL BOGOTA</v>
      </c>
      <c r="E638" s="2" t="str">
        <f>IF(B638="","",IFERROR(VLOOKUP(B638, PLANTA_BASE!A:W, 6, FALSE), "NO ENCONTRADO EN PLANTA"))</f>
        <v>BOGOTA CENTRO</v>
      </c>
      <c r="F638" s="4" t="str">
        <f>IF(B638="","",IFERROR(VLOOKUP(B638, PLANTA_BASE!A:W, 8, FALSE), "DOCENTE / FACILITADOR"))</f>
        <v>DOC AUX/N/V/MT/CONTADURIA</v>
      </c>
      <c r="G638" s="4" t="str">
        <f>IF(B638="","",IFERROR(VLOOKUP(B638, PLANTA_BASE!A:W, 9, FALSE), "GENERAL"))</f>
        <v>CONTADURIA PUBLICA</v>
      </c>
      <c r="H638" s="2" t="str">
        <f>IF(B638="","",IFERROR(VLOOKUP(B638, PLANTA_BASE!A:W, 17, FALSE), "GENERAL"))</f>
        <v>CONTADURIA PUBLICA</v>
      </c>
    </row>
    <row r="639" spans="1:8" ht="20.100000000000001" customHeight="1" x14ac:dyDescent="0.25">
      <c r="A639" s="5" t="str">
        <f>IF(B639="","",IFERROR(VLOOKUP(B639, PLANTA_BASE!A:W, 2, FALSE), "NO ENCONTRADO EN PLANTA"))</f>
        <v>PRESENCIAL</v>
      </c>
      <c r="B639" s="6" t="s">
        <v>1282</v>
      </c>
      <c r="C639" s="7" t="s">
        <v>1283</v>
      </c>
      <c r="D639" s="5" t="str">
        <f>IF(B639="","",IFERROR(VLOOKUP(B639, PLANTA_BASE!A:W, 5, FALSE), "NO ENCONTRADO EN PLANTA"))</f>
        <v>REGIONAL BOGOTA</v>
      </c>
      <c r="E639" s="5" t="str">
        <f>IF(B639="","",IFERROR(VLOOKUP(B639, PLANTA_BASE!A:W, 6, FALSE), "NO ENCONTRADO EN PLANTA"))</f>
        <v>BOGOTA CENTRO</v>
      </c>
      <c r="F639" s="7" t="str">
        <f>IF(B639="","",IFERROR(VLOOKUP(B639, PLANTA_BASE!A:W, 8, FALSE), "DOCENTE / FACILITADOR"))</f>
        <v>DOCENTE ASIS/N/TC/INVESTIGA/INVESTIGACIO</v>
      </c>
      <c r="G639" s="7" t="str">
        <f>IF(B639="","",IFERROR(VLOOKUP(B639, PLANTA_BASE!A:W, 9, FALSE), "GENERAL"))</f>
        <v>INVESTIGACIONES</v>
      </c>
      <c r="H639" s="5" t="str">
        <f>IF(B639="","",IFERROR(VLOOKUP(B639, PLANTA_BASE!A:W, 17, FALSE), "GENERAL"))</f>
        <v>INVESTIGACIONES</v>
      </c>
    </row>
    <row r="640" spans="1:8" ht="20.100000000000001" customHeight="1" x14ac:dyDescent="0.25">
      <c r="A640" s="2" t="str">
        <f>IF(B640="","",IFERROR(VLOOKUP(B640, PLANTA_BASE!A:W, 2, FALSE), "NO ENCONTRADO EN PLANTA"))</f>
        <v>PRESENCIAL</v>
      </c>
      <c r="B640" s="3" t="s">
        <v>1284</v>
      </c>
      <c r="C640" s="4" t="s">
        <v>1285</v>
      </c>
      <c r="D640" s="2" t="str">
        <f>IF(B640="","",IFERROR(VLOOKUP(B640, PLANTA_BASE!A:W, 5, FALSE), "NO ENCONTRADO EN PLANTA"))</f>
        <v>REGIONAL BOGOTA</v>
      </c>
      <c r="E640" s="2" t="str">
        <f>IF(B640="","",IFERROR(VLOOKUP(B640, PLANTA_BASE!A:W, 6, FALSE), "NO ENCONTRADO EN PLANTA"))</f>
        <v>BOGOTA CENTRO</v>
      </c>
      <c r="F640" s="4" t="str">
        <f>IF(B640="","",IFERROR(VLOOKUP(B640, PLANTA_BASE!A:W, 8, FALSE), "DOCENTE / FACILITADOR"))</f>
        <v>DOCENTE ASIS/N/TC/DIS GRAFICO/FUN.ACADE-ADMIN</v>
      </c>
      <c r="G640" s="4" t="str">
        <f>IF(B640="","",IFERROR(VLOOKUP(B640, PLANTA_BASE!A:W, 9, FALSE), "GENERAL"))</f>
        <v>DISEÑO GRAFICO</v>
      </c>
      <c r="H640" s="2" t="str">
        <f>IF(B640="","",IFERROR(VLOOKUP(B640, PLANTA_BASE!A:W, 17, FALSE), "GENERAL"))</f>
        <v>DISEÑO GRAFICO</v>
      </c>
    </row>
    <row r="641" spans="1:8" ht="20.100000000000001" customHeight="1" x14ac:dyDescent="0.25">
      <c r="A641" s="5" t="str">
        <f>IF(B641="","",IFERROR(VLOOKUP(B641, PLANTA_BASE!A:W, 2, FALSE), "NO ENCONTRADO EN PLANTA"))</f>
        <v>PRESENCIAL</v>
      </c>
      <c r="B641" s="6" t="s">
        <v>1286</v>
      </c>
      <c r="C641" s="7" t="s">
        <v>1287</v>
      </c>
      <c r="D641" s="5" t="str">
        <f>IF(B641="","",IFERROR(VLOOKUP(B641, PLANTA_BASE!A:W, 5, FALSE), "NO ENCONTRADO EN PLANTA"))</f>
        <v>REGIONAL BOGOTA</v>
      </c>
      <c r="E641" s="5" t="str">
        <f>IF(B641="","",IFERROR(VLOOKUP(B641, PLANTA_BASE!A:W, 6, FALSE), "NO ENCONTRADO EN PLANTA"))</f>
        <v>BOGOTA CENTRO</v>
      </c>
      <c r="F641" s="7" t="str">
        <f>IF(B641="","",IFERROR(VLOOKUP(B641, PLANTA_BASE!A:W, 8, FALSE), "DOCENTE / FACILITADOR"))</f>
        <v>DOC AUX T&amp;T/N/TC/DIS PROD MOD/FUN.ACADE-ADMIN</v>
      </c>
      <c r="G641" s="7" t="str">
        <f>IF(B641="","",IFERROR(VLOOKUP(B641, PLANTA_BASE!A:W, 9, FALSE), "GENERAL"))</f>
        <v>DISEÑO Y PRODUCCION DE MODAS</v>
      </c>
      <c r="H641" s="5" t="str">
        <f>IF(B641="","",IFERROR(VLOOKUP(B641, PLANTA_BASE!A:W, 17, FALSE), "GENERAL"))</f>
        <v>DISEÑO Y PRODUCCION DE MODAS</v>
      </c>
    </row>
    <row r="642" spans="1:8" ht="20.100000000000001" customHeight="1" x14ac:dyDescent="0.25">
      <c r="A642" s="2" t="str">
        <f>IF(B642="","",IFERROR(VLOOKUP(B642, PLANTA_BASE!A:W, 2, FALSE), "NO ENCONTRADO EN PLANTA"))</f>
        <v>PRESENCIAL</v>
      </c>
      <c r="B642" s="3" t="s">
        <v>1288</v>
      </c>
      <c r="C642" s="4" t="s">
        <v>1289</v>
      </c>
      <c r="D642" s="2" t="str">
        <f>IF(B642="","",IFERROR(VLOOKUP(B642, PLANTA_BASE!A:W, 5, FALSE), "NO ENCONTRADO EN PLANTA"))</f>
        <v>REGIONAL BOGOTA</v>
      </c>
      <c r="E642" s="2" t="str">
        <f>IF(B642="","",IFERROR(VLOOKUP(B642, PLANTA_BASE!A:W, 6, FALSE), "NO ENCONTRADO EN PLANTA"))</f>
        <v>BOGOTA CENTRO</v>
      </c>
      <c r="F642" s="4" t="str">
        <f>IF(B642="","",IFERROR(VLOOKUP(B642, PLANTA_BASE!A:W, 8, FALSE), "DOCENTE / FACILITADOR"))</f>
        <v>DOC AUX T&amp;T/N/TC/DIR PROD ME AUD/FUN.ACADE-ADMIN</v>
      </c>
      <c r="G642" s="4" t="str">
        <f>IF(B642="","",IFERROR(VLOOKUP(B642, PLANTA_BASE!A:W, 9, FALSE), "GENERAL"))</f>
        <v>DIRECCION Y PRODUCCION DE MEDIOS AUDIOVISUALES</v>
      </c>
      <c r="H642" s="2" t="str">
        <f>IF(B642="","",IFERROR(VLOOKUP(B642, PLANTA_BASE!A:W, 17, FALSE), "GENERAL"))</f>
        <v>DIRECCION Y PRODUCCION DE MEDIOS AUDIOVISUALES</v>
      </c>
    </row>
    <row r="643" spans="1:8" ht="20.100000000000001" customHeight="1" x14ac:dyDescent="0.25">
      <c r="A643" s="5" t="str">
        <f>IF(B643="","",IFERROR(VLOOKUP(B643, PLANTA_BASE!A:W, 2, FALSE), "NO ENCONTRADO EN PLANTA"))</f>
        <v>VIRTUAL</v>
      </c>
      <c r="B643" s="6" t="s">
        <v>1290</v>
      </c>
      <c r="C643" s="7" t="s">
        <v>1291</v>
      </c>
      <c r="D643" s="5" t="str">
        <f>IF(B643="","",IFERROR(VLOOKUP(B643, PLANTA_BASE!A:W, 5, FALSE), "NO ENCONTRADO EN PLANTA"))</f>
        <v>REGIONAL BOGOTA</v>
      </c>
      <c r="E643" s="5" t="str">
        <f>IF(B643="","",IFERROR(VLOOKUP(B643, PLANTA_BASE!A:W, 6, FALSE), "NO ENCONTRADO EN PLANTA"))</f>
        <v>BOGOTA CENTRO</v>
      </c>
      <c r="F643" s="7" t="str">
        <f>IF(B643="","",IFERROR(VLOOKUP(B643, PLANTA_BASE!A:W, 8, FALSE), "DOCENTE / FACILITADOR"))</f>
        <v>DOC ASIS/N/V/TC/IDIOMAS/FUN.ACADE-ADMIN</v>
      </c>
      <c r="G643" s="7" t="str">
        <f>IF(B643="","",IFERROR(VLOOKUP(B643, PLANTA_BASE!A:W, 9, FALSE), "GENERAL"))</f>
        <v>IDIOMAS</v>
      </c>
      <c r="H643" s="5" t="str">
        <f>IF(B643="","",IFERROR(VLOOKUP(B643, PLANTA_BASE!A:W, 17, FALSE), "GENERAL"))</f>
        <v>IDIOMAS</v>
      </c>
    </row>
    <row r="644" spans="1:8" ht="20.100000000000001" customHeight="1" x14ac:dyDescent="0.25">
      <c r="A644" s="2" t="str">
        <f>IF(B644="","",IFERROR(VLOOKUP(B644, PLANTA_BASE!A:W, 2, FALSE), "NO ENCONTRADO EN PLANTA"))</f>
        <v>PRESENCIAL</v>
      </c>
      <c r="B644" s="3" t="s">
        <v>1292</v>
      </c>
      <c r="C644" s="4" t="s">
        <v>1293</v>
      </c>
      <c r="D644" s="2" t="str">
        <f>IF(B644="","",IFERROR(VLOOKUP(B644, PLANTA_BASE!A:W, 5, FALSE), "NO ENCONTRADO EN PLANTA"))</f>
        <v>REGIONAL BOGOTA</v>
      </c>
      <c r="E644" s="2" t="str">
        <f>IF(B644="","",IFERROR(VLOOKUP(B644, PLANTA_BASE!A:W, 6, FALSE), "NO ENCONTRADO EN PLANTA"))</f>
        <v>BOGOTA CENTRO</v>
      </c>
      <c r="F644" s="4" t="str">
        <f>IF(B644="","",IFERROR(VLOOKUP(B644, PLANTA_BASE!A:W, 8, FALSE), "DOCENTE / FACILITADOR"))</f>
        <v>DOC AUX T&amp;T/N/TC/DIS PROD MOD/FUN.ACADE-ADMIN</v>
      </c>
      <c r="G644" s="4" t="str">
        <f>IF(B644="","",IFERROR(VLOOKUP(B644, PLANTA_BASE!A:W, 9, FALSE), "GENERAL"))</f>
        <v>DISEÑO Y PRODUCCION DE MODAS</v>
      </c>
      <c r="H644" s="2" t="str">
        <f>IF(B644="","",IFERROR(VLOOKUP(B644, PLANTA_BASE!A:W, 17, FALSE), "GENERAL"))</f>
        <v>DISEÑO Y PRODUCCION DE MODAS</v>
      </c>
    </row>
    <row r="645" spans="1:8" ht="20.100000000000001" customHeight="1" x14ac:dyDescent="0.25">
      <c r="A645" s="5" t="str">
        <f>IF(B645="","",IFERROR(VLOOKUP(B645, PLANTA_BASE!A:W, 2, FALSE), "NO ENCONTRADO EN PLANTA"))</f>
        <v>PRESENCIAL</v>
      </c>
      <c r="B645" s="6" t="s">
        <v>1294</v>
      </c>
      <c r="C645" s="7" t="s">
        <v>1295</v>
      </c>
      <c r="D645" s="5" t="str">
        <f>IF(B645="","",IFERROR(VLOOKUP(B645, PLANTA_BASE!A:W, 5, FALSE), "NO ENCONTRADO EN PLANTA"))</f>
        <v>REGIONAL BOGOTA</v>
      </c>
      <c r="E645" s="5" t="str">
        <f>IF(B645="","",IFERROR(VLOOKUP(B645, PLANTA_BASE!A:W, 6, FALSE), "NO ENCONTRADO EN PLANTA"))</f>
        <v>BOGOTA CENTRO</v>
      </c>
      <c r="F645" s="7" t="str">
        <f>IF(B645="","",IFERROR(VLOOKUP(B645, PLANTA_BASE!A:W, 8, FALSE), "DOCENTE / FACILITADOR"))</f>
        <v>DOCENTE AUX/N/TC/EMPRENDIMIE/FUN.ACADE-ADMIN</v>
      </c>
      <c r="G645" s="7" t="str">
        <f>IF(B645="","",IFERROR(VLOOKUP(B645, PLANTA_BASE!A:W, 9, FALSE), "GENERAL"))</f>
        <v>EMPRENDIMIENTO</v>
      </c>
      <c r="H645" s="5" t="str">
        <f>IF(B645="","",IFERROR(VLOOKUP(B645, PLANTA_BASE!A:W, 17, FALSE), "GENERAL"))</f>
        <v>EMPRENDIMIENTO</v>
      </c>
    </row>
    <row r="646" spans="1:8" ht="20.100000000000001" customHeight="1" x14ac:dyDescent="0.25">
      <c r="A646" s="2" t="str">
        <f>IF(B646="","",IFERROR(VLOOKUP(B646, PLANTA_BASE!A:W, 2, FALSE), "NO ENCONTRADO EN PLANTA"))</f>
        <v>VIRTUAL</v>
      </c>
      <c r="B646" s="3" t="s">
        <v>1296</v>
      </c>
      <c r="C646" s="4" t="s">
        <v>1297</v>
      </c>
      <c r="D646" s="2" t="str">
        <f>IF(B646="","",IFERROR(VLOOKUP(B646, PLANTA_BASE!A:W, 5, FALSE), "NO ENCONTRADO EN PLANTA"))</f>
        <v>REGIONAL BOGOTA</v>
      </c>
      <c r="E646" s="2" t="str">
        <f>IF(B646="","",IFERROR(VLOOKUP(B646, PLANTA_BASE!A:W, 6, FALSE), "NO ENCONTRADO EN PLANTA"))</f>
        <v>BOGOTA CENTRO</v>
      </c>
      <c r="F646" s="4" t="str">
        <f>IF(B646="","",IFERROR(VLOOKUP(B646, PLANTA_BASE!A:W, 8, FALSE), "DOCENTE / FACILITADOR"))</f>
        <v>DOCENTE AUX/N/V/TC/EMPRENDIMIE/FUN.ACADE-ADMIN</v>
      </c>
      <c r="G646" s="4" t="str">
        <f>IF(B646="","",IFERROR(VLOOKUP(B646, PLANTA_BASE!A:W, 9, FALSE), "GENERAL"))</f>
        <v>EMPRENDIMIENTO</v>
      </c>
      <c r="H646" s="2" t="str">
        <f>IF(B646="","",IFERROR(VLOOKUP(B646, PLANTA_BASE!A:W, 17, FALSE), "GENERAL"))</f>
        <v>EMPRENDIMIENTO</v>
      </c>
    </row>
    <row r="647" spans="1:8" ht="20.100000000000001" customHeight="1" x14ac:dyDescent="0.25">
      <c r="A647" s="5" t="str">
        <f>IF(B647="","",IFERROR(VLOOKUP(B647, PLANTA_BASE!A:W, 2, FALSE), "NO ENCONTRADO EN PLANTA"))</f>
        <v>VIRTUAL</v>
      </c>
      <c r="B647" s="6" t="s">
        <v>1298</v>
      </c>
      <c r="C647" s="7" t="s">
        <v>1299</v>
      </c>
      <c r="D647" s="5" t="str">
        <f>IF(B647="","",IFERROR(VLOOKUP(B647, PLANTA_BASE!A:W, 5, FALSE), "NO ENCONTRADO EN PLANTA"))</f>
        <v>REGIONAL BOGOTA</v>
      </c>
      <c r="E647" s="5" t="str">
        <f>IF(B647="","",IFERROR(VLOOKUP(B647, PLANTA_BASE!A:W, 6, FALSE), "NO ENCONTRADO EN PLANTA"))</f>
        <v>BOGOTA CENTRO</v>
      </c>
      <c r="F647" s="7" t="str">
        <f>IF(B647="","",IFERROR(VLOOKUP(B647, PLANTA_BASE!A:W, 8, FALSE), "DOCENTE / FACILITADOR"))</f>
        <v>DOC ASIS/N/V/TC/EMPRENDIMIENTO/FUN.ACADE-ADMIN</v>
      </c>
      <c r="G647" s="7" t="str">
        <f>IF(B647="","",IFERROR(VLOOKUP(B647, PLANTA_BASE!A:W, 9, FALSE), "GENERAL"))</f>
        <v>EMPRENDIMIENTO</v>
      </c>
      <c r="H647" s="5" t="str">
        <f>IF(B647="","",IFERROR(VLOOKUP(B647, PLANTA_BASE!A:W, 17, FALSE), "GENERAL"))</f>
        <v>EMPRENDIMIENTO</v>
      </c>
    </row>
    <row r="648" spans="1:8" ht="20.100000000000001" customHeight="1" x14ac:dyDescent="0.25">
      <c r="A648" s="2" t="str">
        <f>IF(B648="","",IFERROR(VLOOKUP(B648, PLANTA_BASE!A:W, 2, FALSE), "NO ENCONTRADO EN PLANTA"))</f>
        <v>PRESENCIAL</v>
      </c>
      <c r="B648" s="3" t="s">
        <v>1300</v>
      </c>
      <c r="C648" s="4" t="s">
        <v>1301</v>
      </c>
      <c r="D648" s="2" t="str">
        <f>IF(B648="","",IFERROR(VLOOKUP(B648, PLANTA_BASE!A:W, 5, FALSE), "NO ENCONTRADO EN PLANTA"))</f>
        <v>REGIONAL BOGOTA</v>
      </c>
      <c r="E648" s="2" t="str">
        <f>IF(B648="","",IFERROR(VLOOKUP(B648, PLANTA_BASE!A:W, 6, FALSE), "NO ENCONTRADO EN PLANTA"))</f>
        <v>BOGOTA CENTRO</v>
      </c>
      <c r="F648" s="4" t="str">
        <f>IF(B648="","",IFERROR(VLOOKUP(B648, PLANTA_BASE!A:W, 8, FALSE), "DOCENTE / FACILITADOR"))</f>
        <v>DOCENTE ASIS/N/TC/ING SISTEM/FUN.ACADE-ADMIN</v>
      </c>
      <c r="G648" s="4" t="str">
        <f>IF(B648="","",IFERROR(VLOOKUP(B648, PLANTA_BASE!A:W, 9, FALSE), "GENERAL"))</f>
        <v>INGENIERIA DE SISTEMAS</v>
      </c>
      <c r="H648" s="2" t="str">
        <f>IF(B648="","",IFERROR(VLOOKUP(B648, PLANTA_BASE!A:W, 17, FALSE), "GENERAL"))</f>
        <v>INGENIERIA DE SISTEMAS</v>
      </c>
    </row>
    <row r="649" spans="1:8" ht="20.100000000000001" customHeight="1" x14ac:dyDescent="0.25">
      <c r="A649" s="5" t="str">
        <f>IF(B649="","",IFERROR(VLOOKUP(B649, PLANTA_BASE!A:W, 2, FALSE), "NO ENCONTRADO EN PLANTA"))</f>
        <v>VIRTUAL</v>
      </c>
      <c r="B649" s="6" t="s">
        <v>1302</v>
      </c>
      <c r="C649" s="7" t="s">
        <v>1303</v>
      </c>
      <c r="D649" s="5" t="str">
        <f>IF(B649="","",IFERROR(VLOOKUP(B649, PLANTA_BASE!A:W, 5, FALSE), "NO ENCONTRADO EN PLANTA"))</f>
        <v>REGIONAL BOGOTA</v>
      </c>
      <c r="E649" s="5" t="str">
        <f>IF(B649="","",IFERROR(VLOOKUP(B649, PLANTA_BASE!A:W, 6, FALSE), "NO ENCONTRADO EN PLANTA"))</f>
        <v>BOGOTA CENTRO</v>
      </c>
      <c r="F649" s="7" t="str">
        <f>IF(B649="","",IFERROR(VLOOKUP(B649, PLANTA_BASE!A:W, 8, FALSE), "DOCENTE / FACILITADOR"))</f>
        <v>DOC AUX/N/V/TC/IDIOMAS/FUN.ACADE-ADMIN</v>
      </c>
      <c r="G649" s="7" t="str">
        <f>IF(B649="","",IFERROR(VLOOKUP(B649, PLANTA_BASE!A:W, 9, FALSE), "GENERAL"))</f>
        <v>IDIOMAS</v>
      </c>
      <c r="H649" s="5" t="str">
        <f>IF(B649="","",IFERROR(VLOOKUP(B649, PLANTA_BASE!A:W, 17, FALSE), "GENERAL"))</f>
        <v>IDIOMAS</v>
      </c>
    </row>
    <row r="650" spans="1:8" ht="20.100000000000001" customHeight="1" x14ac:dyDescent="0.25">
      <c r="A650" s="2" t="str">
        <f>IF(B650="","",IFERROR(VLOOKUP(B650, PLANTA_BASE!A:W, 2, FALSE), "NO ENCONTRADO EN PLANTA"))</f>
        <v>VIRTUAL</v>
      </c>
      <c r="B650" s="3" t="s">
        <v>1304</v>
      </c>
      <c r="C650" s="4" t="s">
        <v>1305</v>
      </c>
      <c r="D650" s="2" t="str">
        <f>IF(B650="","",IFERROR(VLOOKUP(B650, PLANTA_BASE!A:W, 5, FALSE), "NO ENCONTRADO EN PLANTA"))</f>
        <v>REGIONAL BOGOTA</v>
      </c>
      <c r="E650" s="2" t="str">
        <f>IF(B650="","",IFERROR(VLOOKUP(B650, PLANTA_BASE!A:W, 6, FALSE), "NO ENCONTRADO EN PLANTA"))</f>
        <v>BOGOTA CENTRO</v>
      </c>
      <c r="F650" s="4" t="str">
        <f>IF(B650="","",IFERROR(VLOOKUP(B650, PLANTA_BASE!A:W, 8, FALSE), "DOCENTE / FACILITADOR"))</f>
        <v>DOC AUX/N/V/TC/CONTADURIA/FUN.ACADE-ADMIN</v>
      </c>
      <c r="G650" s="4" t="str">
        <f>IF(B650="","",IFERROR(VLOOKUP(B650, PLANTA_BASE!A:W, 9, FALSE), "GENERAL"))</f>
        <v>CONTADURIA PUBLICA</v>
      </c>
      <c r="H650" s="2" t="str">
        <f>IF(B650="","",IFERROR(VLOOKUP(B650, PLANTA_BASE!A:W, 17, FALSE), "GENERAL"))</f>
        <v>CONTADURIA PUBLICA</v>
      </c>
    </row>
    <row r="651" spans="1:8" ht="20.100000000000001" customHeight="1" x14ac:dyDescent="0.25">
      <c r="A651" s="5" t="str">
        <f>IF(B651="","",IFERROR(VLOOKUP(B651, PLANTA_BASE!A:W, 2, FALSE), "NO ENCONTRADO EN PLANTA"))</f>
        <v>VIRTUAL</v>
      </c>
      <c r="B651" s="6" t="s">
        <v>1306</v>
      </c>
      <c r="C651" s="7" t="s">
        <v>1307</v>
      </c>
      <c r="D651" s="5" t="str">
        <f>IF(B651="","",IFERROR(VLOOKUP(B651, PLANTA_BASE!A:W, 5, FALSE), "NO ENCONTRADO EN PLANTA"))</f>
        <v>REGIONAL BOGOTA</v>
      </c>
      <c r="E651" s="5" t="str">
        <f>IF(B651="","",IFERROR(VLOOKUP(B651, PLANTA_BASE!A:W, 6, FALSE), "NO ENCONTRADO EN PLANTA"))</f>
        <v>BOGOTA CENTRO</v>
      </c>
      <c r="F651" s="7" t="str">
        <f>IF(B651="","",IFERROR(VLOOKUP(B651, PLANTA_BASE!A:W, 8, FALSE), "DOCENTE / FACILITADOR"))</f>
        <v>DOC AUX/N/V/TC/CONTADURIA/FUN.ACADE-ADMIN</v>
      </c>
      <c r="G651" s="7" t="str">
        <f>IF(B651="","",IFERROR(VLOOKUP(B651, PLANTA_BASE!A:W, 9, FALSE), "GENERAL"))</f>
        <v>CONTADURIA PUBLICA</v>
      </c>
      <c r="H651" s="5" t="str">
        <f>IF(B651="","",IFERROR(VLOOKUP(B651, PLANTA_BASE!A:W, 17, FALSE), "GENERAL"))</f>
        <v>CONTADURIA PUBLICA</v>
      </c>
    </row>
    <row r="652" spans="1:8" ht="20.100000000000001" customHeight="1" x14ac:dyDescent="0.25">
      <c r="A652" s="2" t="str">
        <f>IF(B652="","",IFERROR(VLOOKUP(B652, PLANTA_BASE!A:W, 2, FALSE), "NO ENCONTRADO EN PLANTA"))</f>
        <v>VIRTUAL</v>
      </c>
      <c r="B652" s="3" t="s">
        <v>1308</v>
      </c>
      <c r="C652" s="4" t="s">
        <v>1309</v>
      </c>
      <c r="D652" s="2" t="str">
        <f>IF(B652="","",IFERROR(VLOOKUP(B652, PLANTA_BASE!A:W, 5, FALSE), "NO ENCONTRADO EN PLANTA"))</f>
        <v>REGIONAL BOGOTA</v>
      </c>
      <c r="E652" s="2" t="str">
        <f>IF(B652="","",IFERROR(VLOOKUP(B652, PLANTA_BASE!A:W, 6, FALSE), "NO ENCONTRADO EN PLANTA"))</f>
        <v>BOGOTA CENTRO</v>
      </c>
      <c r="F652" s="4" t="str">
        <f>IF(B652="","",IFERROR(VLOOKUP(B652, PLANTA_BASE!A:W, 8, FALSE), "DOCENTE / FACILITADOR"))</f>
        <v>DOC AUX/N/V/TC/ESP SEG SALUD TRAB/FUN.A</v>
      </c>
      <c r="G652" s="4" t="str">
        <f>IF(B652="","",IFERROR(VLOOKUP(B652, PLANTA_BASE!A:W, 9, FALSE), "GENERAL"))</f>
        <v>ESPECIALIZACION EN SEGURIDAD Y SALUD EN EL TRABAJO</v>
      </c>
      <c r="H652" s="2" t="str">
        <f>IF(B652="","",IFERROR(VLOOKUP(B652, PLANTA_BASE!A:W, 17, FALSE), "GENERAL"))</f>
        <v>ESPECIALIZACION EN SEGURIDAD Y SALUD EN EL TRABAJO</v>
      </c>
    </row>
    <row r="653" spans="1:8" ht="20.100000000000001" customHeight="1" x14ac:dyDescent="0.25">
      <c r="A653" s="5" t="str">
        <f>IF(B653="","",IFERROR(VLOOKUP(B653, PLANTA_BASE!A:W, 2, FALSE), "NO ENCONTRADO EN PLANTA"))</f>
        <v>VIRTUAL</v>
      </c>
      <c r="B653" s="6" t="s">
        <v>1310</v>
      </c>
      <c r="C653" s="7" t="s">
        <v>1311</v>
      </c>
      <c r="D653" s="5" t="str">
        <f>IF(B653="","",IFERROR(VLOOKUP(B653, PLANTA_BASE!A:W, 5, FALSE), "NO ENCONTRADO EN PLANTA"))</f>
        <v>REGIONAL BOGOTA</v>
      </c>
      <c r="E653" s="5" t="str">
        <f>IF(B653="","",IFERROR(VLOOKUP(B653, PLANTA_BASE!A:W, 6, FALSE), "NO ENCONTRADO EN PLANTA"))</f>
        <v>BOGOTA CENTRO</v>
      </c>
      <c r="F653" s="7" t="str">
        <f>IF(B653="","",IFERROR(VLOOKUP(B653, PLANTA_BASE!A:W, 8, FALSE), "DOCENTE / FACILITADOR"))</f>
        <v>DOC AUX T&amp;T/N/V/TC/IDIOMAS/FUN.ACADE-ADMIN</v>
      </c>
      <c r="G653" s="7" t="str">
        <f>IF(B653="","",IFERROR(VLOOKUP(B653, PLANTA_BASE!A:W, 9, FALSE), "GENERAL"))</f>
        <v>IDIOMAS</v>
      </c>
      <c r="H653" s="5" t="str">
        <f>IF(B653="","",IFERROR(VLOOKUP(B653, PLANTA_BASE!A:W, 17, FALSE), "GENERAL"))</f>
        <v>IDIOMAS</v>
      </c>
    </row>
    <row r="654" spans="1:8" ht="20.100000000000001" customHeight="1" x14ac:dyDescent="0.25">
      <c r="A654" s="2" t="str">
        <f>IF(B654="","",IFERROR(VLOOKUP(B654, PLANTA_BASE!A:W, 2, FALSE), "NO ENCONTRADO EN PLANTA"))</f>
        <v>VIRTUAL</v>
      </c>
      <c r="B654" s="3" t="s">
        <v>1312</v>
      </c>
      <c r="C654" s="4" t="s">
        <v>1313</v>
      </c>
      <c r="D654" s="2" t="str">
        <f>IF(B654="","",IFERROR(VLOOKUP(B654, PLANTA_BASE!A:W, 5, FALSE), "NO ENCONTRADO EN PLANTA"))</f>
        <v>REGIONAL BOGOTA</v>
      </c>
      <c r="E654" s="2" t="str">
        <f>IF(B654="","",IFERROR(VLOOKUP(B654, PLANTA_BASE!A:W, 6, FALSE), "NO ENCONTRADO EN PLANTA"))</f>
        <v>BOGOTA CENTRO</v>
      </c>
      <c r="F654" s="4" t="str">
        <f>IF(B654="","",IFERROR(VLOOKUP(B654, PLANTA_BASE!A:W, 8, FALSE), "DOCENTE / FACILITADOR"))</f>
        <v>DOC ASOC/N/V/TC/INVESTIGACIONES/INVESTIG</v>
      </c>
      <c r="G654" s="4" t="str">
        <f>IF(B654="","",IFERROR(VLOOKUP(B654, PLANTA_BASE!A:W, 9, FALSE), "GENERAL"))</f>
        <v>INVESTIGACIONES</v>
      </c>
      <c r="H654" s="2" t="str">
        <f>IF(B654="","",IFERROR(VLOOKUP(B654, PLANTA_BASE!A:W, 17, FALSE), "GENERAL"))</f>
        <v>INVESTIGACIONES</v>
      </c>
    </row>
    <row r="655" spans="1:8" ht="20.100000000000001" customHeight="1" x14ac:dyDescent="0.25">
      <c r="A655" s="5" t="str">
        <f>IF(B655="","",IFERROR(VLOOKUP(B655, PLANTA_BASE!A:W, 2, FALSE), "NO ENCONTRADO EN PLANTA"))</f>
        <v>PRESENCIAL</v>
      </c>
      <c r="B655" s="6" t="s">
        <v>1314</v>
      </c>
      <c r="C655" s="7" t="s">
        <v>1315</v>
      </c>
      <c r="D655" s="5" t="str">
        <f>IF(B655="","",IFERROR(VLOOKUP(B655, PLANTA_BASE!A:W, 5, FALSE), "NO ENCONTRADO EN PLANTA"))</f>
        <v>REGIONAL BOGOTA</v>
      </c>
      <c r="E655" s="5" t="str">
        <f>IF(B655="","",IFERROR(VLOOKUP(B655, PLANTA_BASE!A:W, 6, FALSE), "NO ENCONTRADO EN PLANTA"))</f>
        <v>BOGOTA CENTRO</v>
      </c>
      <c r="F655" s="7" t="str">
        <f>IF(B655="","",IFERROR(VLOOKUP(B655, PLANTA_BASE!A:W, 8, FALSE), "DOCENTE / FACILITADOR"))</f>
        <v>DOCENTE ASIS/N/TC/DIS GRAFICO/FUN.ACADE-ADMIN</v>
      </c>
      <c r="G655" s="7" t="str">
        <f>IF(B655="","",IFERROR(VLOOKUP(B655, PLANTA_BASE!A:W, 9, FALSE), "GENERAL"))</f>
        <v>DISEÑO GRAFICO</v>
      </c>
      <c r="H655" s="5" t="str">
        <f>IF(B655="","",IFERROR(VLOOKUP(B655, PLANTA_BASE!A:W, 17, FALSE), "GENERAL"))</f>
        <v>DISEÑO GRAFICO</v>
      </c>
    </row>
    <row r="656" spans="1:8" ht="20.100000000000001" customHeight="1" x14ac:dyDescent="0.25">
      <c r="A656" s="2" t="str">
        <f>IF(B656="","",IFERROR(VLOOKUP(B656, PLANTA_BASE!A:W, 2, FALSE), "NO ENCONTRADO EN PLANTA"))</f>
        <v>PRESENCIAL</v>
      </c>
      <c r="B656" s="3" t="s">
        <v>1316</v>
      </c>
      <c r="C656" s="4" t="s">
        <v>1317</v>
      </c>
      <c r="D656" s="2" t="str">
        <f>IF(B656="","",IFERROR(VLOOKUP(B656, PLANTA_BASE!A:W, 5, FALSE), "NO ENCONTRADO EN PLANTA"))</f>
        <v>REGIONAL BOGOTA</v>
      </c>
      <c r="E656" s="2" t="str">
        <f>IF(B656="","",IFERROR(VLOOKUP(B656, PLANTA_BASE!A:W, 6, FALSE), "NO ENCONTRADO EN PLANTA"))</f>
        <v>BOGOTA CENTRO</v>
      </c>
      <c r="F656" s="4" t="str">
        <f>IF(B656="","",IFERROR(VLOOKUP(B656, PLANTA_BASE!A:W, 8, FALSE), "DOCENTE / FACILITADOR"))</f>
        <v>DOCENTE AUX/N/TC/DIS GRAFICO/FUN.ACADE-ADMIN</v>
      </c>
      <c r="G656" s="4" t="str">
        <f>IF(B656="","",IFERROR(VLOOKUP(B656, PLANTA_BASE!A:W, 9, FALSE), "GENERAL"))</f>
        <v>DISEÑO GRAFICO</v>
      </c>
      <c r="H656" s="2" t="str">
        <f>IF(B656="","",IFERROR(VLOOKUP(B656, PLANTA_BASE!A:W, 17, FALSE), "GENERAL"))</f>
        <v>DISEÑO GRAFICO</v>
      </c>
    </row>
    <row r="657" spans="1:8" ht="20.100000000000001" customHeight="1" x14ac:dyDescent="0.25">
      <c r="A657" s="5" t="str">
        <f>IF(B657="","",IFERROR(VLOOKUP(B657, PLANTA_BASE!A:W, 2, FALSE), "NO ENCONTRADO EN PLANTA"))</f>
        <v>PRESENCIAL</v>
      </c>
      <c r="B657" s="6" t="s">
        <v>1318</v>
      </c>
      <c r="C657" s="7" t="s">
        <v>1319</v>
      </c>
      <c r="D657" s="5" t="str">
        <f>IF(B657="","",IFERROR(VLOOKUP(B657, PLANTA_BASE!A:W, 5, FALSE), "NO ENCONTRADO EN PLANTA"))</f>
        <v>REGIONAL BOGOTA</v>
      </c>
      <c r="E657" s="5" t="str">
        <f>IF(B657="","",IFERROR(VLOOKUP(B657, PLANTA_BASE!A:W, 6, FALSE), "NO ENCONTRADO EN PLANTA"))</f>
        <v>BOGOTA CENTRO</v>
      </c>
      <c r="F657" s="7" t="str">
        <f>IF(B657="","",IFERROR(VLOOKUP(B657, PLANTA_BASE!A:W, 8, FALSE), "DOCENTE / FACILITADOR"))</f>
        <v>DOCENTE AUX/N/TC/DIS PROD MOD/FUN.ACADE-ADMIN</v>
      </c>
      <c r="G657" s="7" t="str">
        <f>IF(B657="","",IFERROR(VLOOKUP(B657, PLANTA_BASE!A:W, 9, FALSE), "GENERAL"))</f>
        <v>DISEÑO Y PRODUCCION DE MODAS</v>
      </c>
      <c r="H657" s="5" t="str">
        <f>IF(B657="","",IFERROR(VLOOKUP(B657, PLANTA_BASE!A:W, 17, FALSE), "GENERAL"))</f>
        <v>DISEÑO Y PRODUCCION DE MODAS</v>
      </c>
    </row>
    <row r="658" spans="1:8" ht="20.100000000000001" customHeight="1" x14ac:dyDescent="0.25">
      <c r="A658" s="2" t="str">
        <f>IF(B658="","",IFERROR(VLOOKUP(B658, PLANTA_BASE!A:W, 2, FALSE), "NO ENCONTRADO EN PLANTA"))</f>
        <v>PRESENCIAL</v>
      </c>
      <c r="B658" s="3" t="s">
        <v>1320</v>
      </c>
      <c r="C658" s="4" t="s">
        <v>1321</v>
      </c>
      <c r="D658" s="2" t="str">
        <f>IF(B658="","",IFERROR(VLOOKUP(B658, PLANTA_BASE!A:W, 5, FALSE), "NO ENCONTRADO EN PLANTA"))</f>
        <v>REGIONAL BOGOTA</v>
      </c>
      <c r="E658" s="2" t="str">
        <f>IF(B658="","",IFERROR(VLOOKUP(B658, PLANTA_BASE!A:W, 6, FALSE), "NO ENCONTRADO EN PLANTA"))</f>
        <v>BOGOTA CENTRO</v>
      </c>
      <c r="F658" s="4" t="str">
        <f>IF(B658="","",IFERROR(VLOOKUP(B658, PLANTA_BASE!A:W, 8, FALSE), "DOCENTE / FACILITADOR"))</f>
        <v>DOCENTE AUX/N/TC/EMPRENDIMIE/FUN.ACADE-ADMIN</v>
      </c>
      <c r="G658" s="4" t="str">
        <f>IF(B658="","",IFERROR(VLOOKUP(B658, PLANTA_BASE!A:W, 9, FALSE), "GENERAL"))</f>
        <v>EMPRENDIMIENTO</v>
      </c>
      <c r="H658" s="2" t="str">
        <f>IF(B658="","",IFERROR(VLOOKUP(B658, PLANTA_BASE!A:W, 17, FALSE), "GENERAL"))</f>
        <v>EMPRENDIMIENTO</v>
      </c>
    </row>
    <row r="659" spans="1:8" ht="20.100000000000001" customHeight="1" x14ac:dyDescent="0.25">
      <c r="A659" s="5" t="str">
        <f>IF(B659="","",IFERROR(VLOOKUP(B659, PLANTA_BASE!A:W, 2, FALSE), "NO ENCONTRADO EN PLANTA"))</f>
        <v>PRESENCIAL</v>
      </c>
      <c r="B659" s="6" t="s">
        <v>1322</v>
      </c>
      <c r="C659" s="7" t="s">
        <v>1323</v>
      </c>
      <c r="D659" s="5" t="str">
        <f>IF(B659="","",IFERROR(VLOOKUP(B659, PLANTA_BASE!A:W, 5, FALSE), "NO ENCONTRADO EN PLANTA"))</f>
        <v>REGIONAL BOGOTA</v>
      </c>
      <c r="E659" s="5" t="str">
        <f>IF(B659="","",IFERROR(VLOOKUP(B659, PLANTA_BASE!A:W, 6, FALSE), "NO ENCONTRADO EN PLANTA"))</f>
        <v>BOGOTA CENTRO</v>
      </c>
      <c r="F659" s="7" t="str">
        <f>IF(B659="","",IFERROR(VLOOKUP(B659, PLANTA_BASE!A:W, 8, FALSE), "DOCENTE / FACILITADOR"))</f>
        <v>DOC AUX T&amp;T/N/TC/DIS PROD MOD/FUN.ACADE-ADMIN</v>
      </c>
      <c r="G659" s="7" t="str">
        <f>IF(B659="","",IFERROR(VLOOKUP(B659, PLANTA_BASE!A:W, 9, FALSE), "GENERAL"))</f>
        <v>DISEÑO Y PRODUCCION DE MODAS</v>
      </c>
      <c r="H659" s="5" t="str">
        <f>IF(B659="","",IFERROR(VLOOKUP(B659, PLANTA_BASE!A:W, 17, FALSE), "GENERAL"))</f>
        <v>DISEÑO Y PRODUCCION DE MODAS</v>
      </c>
    </row>
    <row r="660" spans="1:8" ht="20.100000000000001" customHeight="1" x14ac:dyDescent="0.25">
      <c r="A660" s="2" t="str">
        <f>IF(B660="","",IFERROR(VLOOKUP(B660, PLANTA_BASE!A:W, 2, FALSE), "NO ENCONTRADO EN PLANTA"))</f>
        <v>PRESENCIAL</v>
      </c>
      <c r="B660" s="3" t="s">
        <v>1324</v>
      </c>
      <c r="C660" s="4" t="s">
        <v>1325</v>
      </c>
      <c r="D660" s="2" t="str">
        <f>IF(B660="","",IFERROR(VLOOKUP(B660, PLANTA_BASE!A:W, 5, FALSE), "NO ENCONTRADO EN PLANTA"))</f>
        <v>REGIONAL BOGOTA</v>
      </c>
      <c r="E660" s="2" t="str">
        <f>IF(B660="","",IFERROR(VLOOKUP(B660, PLANTA_BASE!A:W, 6, FALSE), "NO ENCONTRADO EN PLANTA"))</f>
        <v>BOGOTA CENTRO</v>
      </c>
      <c r="F660" s="4" t="str">
        <f>IF(B660="","",IFERROR(VLOOKUP(B660, PLANTA_BASE!A:W, 8, FALSE), "DOCENTE / FACILITADOR"))</f>
        <v>DOCENTE ASOC/N/TC/INVESTIGA/INVESTIGACIO</v>
      </c>
      <c r="G660" s="4" t="str">
        <f>IF(B660="","",IFERROR(VLOOKUP(B660, PLANTA_BASE!A:W, 9, FALSE), "GENERAL"))</f>
        <v>INVESTIGACIONES</v>
      </c>
      <c r="H660" s="2" t="str">
        <f>IF(B660="","",IFERROR(VLOOKUP(B660, PLANTA_BASE!A:W, 17, FALSE), "GENERAL"))</f>
        <v>INVESTIGACIONES</v>
      </c>
    </row>
    <row r="661" spans="1:8" ht="20.100000000000001" customHeight="1" x14ac:dyDescent="0.25">
      <c r="A661" s="5" t="str">
        <f>IF(B661="","",IFERROR(VLOOKUP(B661, PLANTA_BASE!A:W, 2, FALSE), "NO ENCONTRADO EN PLANTA"))</f>
        <v>PRESENCIAL</v>
      </c>
      <c r="B661" s="6" t="s">
        <v>1326</v>
      </c>
      <c r="C661" s="7" t="s">
        <v>1327</v>
      </c>
      <c r="D661" s="5" t="str">
        <f>IF(B661="","",IFERROR(VLOOKUP(B661, PLANTA_BASE!A:W, 5, FALSE), "NO ENCONTRADO EN PLANTA"))</f>
        <v>REGIONAL BOGOTA</v>
      </c>
      <c r="E661" s="5" t="str">
        <f>IF(B661="","",IFERROR(VLOOKUP(B661, PLANTA_BASE!A:W, 6, FALSE), "NO ENCONTRADO EN PLANTA"))</f>
        <v>BOGOTA CENTRO</v>
      </c>
      <c r="F661" s="7" t="str">
        <f>IF(B661="","",IFERROR(VLOOKUP(B661, PLANTA_BASE!A:W, 8, FALSE), "DOCENTE / FACILITADOR"))</f>
        <v>DOC AUX T&amp;T/N/TC/DIS PROD MOD/FUN.ACADE-ADMIN</v>
      </c>
      <c r="G661" s="7" t="str">
        <f>IF(B661="","",IFERROR(VLOOKUP(B661, PLANTA_BASE!A:W, 9, FALSE), "GENERAL"))</f>
        <v>DISEÑO Y PRODUCCION DE MODAS</v>
      </c>
      <c r="H661" s="5" t="str">
        <f>IF(B661="","",IFERROR(VLOOKUP(B661, PLANTA_BASE!A:W, 17, FALSE), "GENERAL"))</f>
        <v>DISEÑO Y PRODUCCION DE MODAS</v>
      </c>
    </row>
    <row r="662" spans="1:8" ht="20.100000000000001" customHeight="1" x14ac:dyDescent="0.25">
      <c r="A662" s="2" t="str">
        <f>IF(B662="","",IFERROR(VLOOKUP(B662, PLANTA_BASE!A:W, 2, FALSE), "NO ENCONTRADO EN PLANTA"))</f>
        <v>PRESENCIAL</v>
      </c>
      <c r="B662" s="3" t="s">
        <v>1328</v>
      </c>
      <c r="C662" s="4" t="s">
        <v>1329</v>
      </c>
      <c r="D662" s="2" t="str">
        <f>IF(B662="","",IFERROR(VLOOKUP(B662, PLANTA_BASE!A:W, 5, FALSE), "NO ENCONTRADO EN PLANTA"))</f>
        <v>REGIONAL BOGOTA</v>
      </c>
      <c r="E662" s="2" t="str">
        <f>IF(B662="","",IFERROR(VLOOKUP(B662, PLANTA_BASE!A:W, 6, FALSE), "NO ENCONTRADO EN PLANTA"))</f>
        <v>BOGOTA CENTRO</v>
      </c>
      <c r="F662" s="4" t="str">
        <f>IF(B662="","",IFERROR(VLOOKUP(B662, PLANTA_BASE!A:W, 8, FALSE), "DOCENTE / FACILITADOR"))</f>
        <v>DOCENTE ASIS/N/TC/DIS PROD MOD/FUN.ACADE-ADMIN</v>
      </c>
      <c r="G662" s="4" t="str">
        <f>IF(B662="","",IFERROR(VLOOKUP(B662, PLANTA_BASE!A:W, 9, FALSE), "GENERAL"))</f>
        <v>DISEÑO Y PRODUCCION DE MODAS</v>
      </c>
      <c r="H662" s="2" t="str">
        <f>IF(B662="","",IFERROR(VLOOKUP(B662, PLANTA_BASE!A:W, 17, FALSE), "GENERAL"))</f>
        <v>DISEÑO Y PRODUCCION DE MODAS</v>
      </c>
    </row>
    <row r="663" spans="1:8" ht="20.100000000000001" customHeight="1" x14ac:dyDescent="0.25">
      <c r="A663" s="5" t="str">
        <f>IF(B663="","",IFERROR(VLOOKUP(B663, PLANTA_BASE!A:W, 2, FALSE), "NO ENCONTRADO EN PLANTA"))</f>
        <v>PRESENCIAL</v>
      </c>
      <c r="B663" s="6" t="s">
        <v>1330</v>
      </c>
      <c r="C663" s="7" t="s">
        <v>1331</v>
      </c>
      <c r="D663" s="5" t="str">
        <f>IF(B663="","",IFERROR(VLOOKUP(B663, PLANTA_BASE!A:W, 5, FALSE), "NO ENCONTRADO EN PLANTA"))</f>
        <v>REGIONAL BOGOTA</v>
      </c>
      <c r="E663" s="5" t="str">
        <f>IF(B663="","",IFERROR(VLOOKUP(B663, PLANTA_BASE!A:W, 6, FALSE), "NO ENCONTRADO EN PLANTA"))</f>
        <v>BOGOTA CENTRO</v>
      </c>
      <c r="F663" s="7" t="str">
        <f>IF(B663="","",IFERROR(VLOOKUP(B663, PLANTA_BASE!A:W, 8, FALSE), "DOCENTE / FACILITADOR"))</f>
        <v>DOCENTE AUX/N/TC/DIS PROD MOD/PROYECTOS</v>
      </c>
      <c r="G663" s="7" t="str">
        <f>IF(B663="","",IFERROR(VLOOKUP(B663, PLANTA_BASE!A:W, 9, FALSE), "GENERAL"))</f>
        <v>DISEÑO Y PRODUCCION DE MODAS</v>
      </c>
      <c r="H663" s="5" t="str">
        <f>IF(B663="","",IFERROR(VLOOKUP(B663, PLANTA_BASE!A:W, 17, FALSE), "GENERAL"))</f>
        <v>DISEÑO Y PRODUCCION DE MODAS</v>
      </c>
    </row>
    <row r="664" spans="1:8" ht="20.100000000000001" customHeight="1" x14ac:dyDescent="0.25">
      <c r="A664" s="2" t="str">
        <f>IF(B664="","",IFERROR(VLOOKUP(B664, PLANTA_BASE!A:W, 2, FALSE), "NO ENCONTRADO EN PLANTA"))</f>
        <v>PRESENCIAL</v>
      </c>
      <c r="B664" s="3" t="s">
        <v>1332</v>
      </c>
      <c r="C664" s="4" t="s">
        <v>1333</v>
      </c>
      <c r="D664" s="2" t="str">
        <f>IF(B664="","",IFERROR(VLOOKUP(B664, PLANTA_BASE!A:W, 5, FALSE), "NO ENCONTRADO EN PLANTA"))</f>
        <v>REGIONAL BOGOTA</v>
      </c>
      <c r="E664" s="2" t="str">
        <f>IF(B664="","",IFERROR(VLOOKUP(B664, PLANTA_BASE!A:W, 6, FALSE), "NO ENCONTRADO EN PLANTA"))</f>
        <v>BOGOTA CENTRO</v>
      </c>
      <c r="F664" s="4" t="str">
        <f>IF(B664="","",IFERROR(VLOOKUP(B664, PLANTA_BASE!A:W, 8, FALSE), "DOCENTE / FACILITADOR"))</f>
        <v>DOCENTE ASIS/N/TC/ING SISTEM/FUN.ACADE-ADMIN</v>
      </c>
      <c r="G664" s="4" t="str">
        <f>IF(B664="","",IFERROR(VLOOKUP(B664, PLANTA_BASE!A:W, 9, FALSE), "GENERAL"))</f>
        <v>INGENIERIA DE SISTEMAS</v>
      </c>
      <c r="H664" s="2" t="str">
        <f>IF(B664="","",IFERROR(VLOOKUP(B664, PLANTA_BASE!A:W, 17, FALSE), "GENERAL"))</f>
        <v>INGENIERIA DE SISTEMAS</v>
      </c>
    </row>
    <row r="665" spans="1:8" ht="20.100000000000001" customHeight="1" x14ac:dyDescent="0.25">
      <c r="A665" s="5" t="str">
        <f>IF(B665="","",IFERROR(VLOOKUP(B665, PLANTA_BASE!A:W, 2, FALSE), "NO ENCONTRADO EN PLANTA"))</f>
        <v>PRESENCIAL</v>
      </c>
      <c r="B665" s="6" t="s">
        <v>1334</v>
      </c>
      <c r="C665" s="7" t="s">
        <v>1335</v>
      </c>
      <c r="D665" s="5" t="str">
        <f>IF(B665="","",IFERROR(VLOOKUP(B665, PLANTA_BASE!A:W, 5, FALSE), "NO ENCONTRADO EN PLANTA"))</f>
        <v>REGIONAL BOGOTA</v>
      </c>
      <c r="E665" s="5" t="str">
        <f>IF(B665="","",IFERROR(VLOOKUP(B665, PLANTA_BASE!A:W, 6, FALSE), "NO ENCONTRADO EN PLANTA"))</f>
        <v>BOGOTA CENTRO</v>
      </c>
      <c r="F665" s="7" t="str">
        <f>IF(B665="","",IFERROR(VLOOKUP(B665, PLANTA_BASE!A:W, 8, FALSE), "DOCENTE / FACILITADOR"))</f>
        <v>DOC AUX T&amp;T/N/TC/DIS PROD MOD/FUN.ACADE-ADMIN</v>
      </c>
      <c r="G665" s="7" t="str">
        <f>IF(B665="","",IFERROR(VLOOKUP(B665, PLANTA_BASE!A:W, 9, FALSE), "GENERAL"))</f>
        <v>DISEÑO Y PRODUCCION DE MODAS</v>
      </c>
      <c r="H665" s="5" t="str">
        <f>IF(B665="","",IFERROR(VLOOKUP(B665, PLANTA_BASE!A:W, 17, FALSE), "GENERAL"))</f>
        <v>DISEÑO Y PRODUCCION DE MODAS</v>
      </c>
    </row>
    <row r="666" spans="1:8" ht="20.100000000000001" customHeight="1" x14ac:dyDescent="0.25">
      <c r="A666" s="2" t="str">
        <f>IF(B666="","",IFERROR(VLOOKUP(B666, PLANTA_BASE!A:W, 2, FALSE), "NO ENCONTRADO EN PLANTA"))</f>
        <v>VIRTUAL</v>
      </c>
      <c r="B666" s="3" t="s">
        <v>1336</v>
      </c>
      <c r="C666" s="4" t="s">
        <v>1337</v>
      </c>
      <c r="D666" s="2" t="str">
        <f>IF(B666="","",IFERROR(VLOOKUP(B666, PLANTA_BASE!A:W, 5, FALSE), "NO ENCONTRADO EN PLANTA"))</f>
        <v>REGIONAL BOGOTA</v>
      </c>
      <c r="E666" s="2" t="str">
        <f>IF(B666="","",IFERROR(VLOOKUP(B666, PLANTA_BASE!A:W, 6, FALSE), "NO ENCONTRADO EN PLANTA"))</f>
        <v>BOGOTA CENTRO</v>
      </c>
      <c r="F666" s="4" t="str">
        <f>IF(B666="","",IFERROR(VLOOKUP(B666, PLANTA_BASE!A:W, 8, FALSE), "DOCENTE / FACILITADOR"))</f>
        <v>DOC ASIS/N/V/TC/CIENCIAS BASI/FUN.ACADE-ADMIN</v>
      </c>
      <c r="G666" s="4" t="str">
        <f>IF(B666="","",IFERROR(VLOOKUP(B666, PLANTA_BASE!A:W, 9, FALSE), "GENERAL"))</f>
        <v>CIENCIAS BASICAS</v>
      </c>
      <c r="H666" s="2" t="str">
        <f>IF(B666="","",IFERROR(VLOOKUP(B666, PLANTA_BASE!A:W, 17, FALSE), "GENERAL"))</f>
        <v>CIENCIAS BASICAS</v>
      </c>
    </row>
    <row r="667" spans="1:8" ht="20.100000000000001" customHeight="1" x14ac:dyDescent="0.25">
      <c r="A667" s="5" t="str">
        <f>IF(B667="","",IFERROR(VLOOKUP(B667, PLANTA_BASE!A:W, 2, FALSE), "NO ENCONTRADO EN PLANTA"))</f>
        <v>VIRTUAL</v>
      </c>
      <c r="B667" s="6" t="s">
        <v>1338</v>
      </c>
      <c r="C667" s="7" t="s">
        <v>1339</v>
      </c>
      <c r="D667" s="5" t="str">
        <f>IF(B667="","",IFERROR(VLOOKUP(B667, PLANTA_BASE!A:W, 5, FALSE), "NO ENCONTRADO EN PLANTA"))</f>
        <v>REGIONAL BOGOTA</v>
      </c>
      <c r="E667" s="5" t="str">
        <f>IF(B667="","",IFERROR(VLOOKUP(B667, PLANTA_BASE!A:W, 6, FALSE), "NO ENCONTRADO EN PLANTA"))</f>
        <v>BOGOTA CENTRO</v>
      </c>
      <c r="F667" s="7" t="str">
        <f>IF(B667="","",IFERROR(VLOOKUP(B667, PLANTA_BASE!A:W, 8, FALSE), "DOCENTE / FACILITADOR"))</f>
        <v>DOC ASIS/N/V/TC/ESP EN IA/FUN.ACAD</v>
      </c>
      <c r="G667" s="7" t="str">
        <f>IF(B667="","",IFERROR(VLOOKUP(B667, PLANTA_BASE!A:W, 9, FALSE), "GENERAL"))</f>
        <v>ESPECIALIZACION EN IA</v>
      </c>
      <c r="H667" s="5" t="str">
        <f>IF(B667="","",IFERROR(VLOOKUP(B667, PLANTA_BASE!A:W, 17, FALSE), "GENERAL"))</f>
        <v>ESPECIALIZACION EN IA</v>
      </c>
    </row>
    <row r="668" spans="1:8" ht="20.100000000000001" customHeight="1" x14ac:dyDescent="0.25">
      <c r="A668" s="2" t="str">
        <f>IF(B668="","",IFERROR(VLOOKUP(B668, PLANTA_BASE!A:W, 2, FALSE), "NO ENCONTRADO EN PLANTA"))</f>
        <v>PRESENCIAL</v>
      </c>
      <c r="B668" s="3" t="s">
        <v>1340</v>
      </c>
      <c r="C668" s="4" t="s">
        <v>1341</v>
      </c>
      <c r="D668" s="2" t="str">
        <f>IF(B668="","",IFERROR(VLOOKUP(B668, PLANTA_BASE!A:W, 5, FALSE), "NO ENCONTRADO EN PLANTA"))</f>
        <v>REGIONAL BOGOTA</v>
      </c>
      <c r="E668" s="2" t="str">
        <f>IF(B668="","",IFERROR(VLOOKUP(B668, PLANTA_BASE!A:W, 6, FALSE), "NO ENCONTRADO EN PLANTA"))</f>
        <v>BOGOTA SUR</v>
      </c>
      <c r="F668" s="4" t="str">
        <f>IF(B668="","",IFERROR(VLOOKUP(B668, PLANTA_BASE!A:W, 8, FALSE), "DOCENTE / FACILITADOR"))</f>
        <v>DOCENTE AUX/N/MT/CIEN BASI</v>
      </c>
      <c r="G668" s="4" t="str">
        <f>IF(B668="","",IFERROR(VLOOKUP(B668, PLANTA_BASE!A:W, 9, FALSE), "GENERAL"))</f>
        <v>CIENCIAS BASICAS</v>
      </c>
      <c r="H668" s="2" t="str">
        <f>IF(B668="","",IFERROR(VLOOKUP(B668, PLANTA_BASE!A:W, 17, FALSE), "GENERAL"))</f>
        <v>CIENCIAS BASICAS</v>
      </c>
    </row>
    <row r="669" spans="1:8" ht="20.100000000000001" customHeight="1" x14ac:dyDescent="0.25">
      <c r="A669" s="5" t="str">
        <f>IF(B669="","",IFERROR(VLOOKUP(B669, PLANTA_BASE!A:W, 2, FALSE), "NO ENCONTRADO EN PLANTA"))</f>
        <v>PRESENCIAL</v>
      </c>
      <c r="B669" s="6" t="s">
        <v>1342</v>
      </c>
      <c r="C669" s="7" t="s">
        <v>1343</v>
      </c>
      <c r="D669" s="5" t="str">
        <f>IF(B669="","",IFERROR(VLOOKUP(B669, PLANTA_BASE!A:W, 5, FALSE), "NO ENCONTRADO EN PLANTA"))</f>
        <v>REGIONAL BOGOTA</v>
      </c>
      <c r="E669" s="5" t="str">
        <f>IF(B669="","",IFERROR(VLOOKUP(B669, PLANTA_BASE!A:W, 6, FALSE), "NO ENCONTRADO EN PLANTA"))</f>
        <v>BOGOTA CENTRO</v>
      </c>
      <c r="F669" s="7" t="str">
        <f>IF(B669="","",IFERROR(VLOOKUP(B669, PLANTA_BASE!A:W, 8, FALSE), "DOCENTE / FACILITADOR"))</f>
        <v>DOC AUX T&amp;T/N/TC/INVESTIGA/INVESTIGACIO</v>
      </c>
      <c r="G669" s="7" t="str">
        <f>IF(B669="","",IFERROR(VLOOKUP(B669, PLANTA_BASE!A:W, 9, FALSE), "GENERAL"))</f>
        <v>INVESTIGACIONES</v>
      </c>
      <c r="H669" s="5" t="str">
        <f>IF(B669="","",IFERROR(VLOOKUP(B669, PLANTA_BASE!A:W, 17, FALSE), "GENERAL"))</f>
        <v>INVESTIGACIONES</v>
      </c>
    </row>
    <row r="670" spans="1:8" ht="20.100000000000001" customHeight="1" x14ac:dyDescent="0.25">
      <c r="A670" s="2" t="str">
        <f>IF(B670="","",IFERROR(VLOOKUP(B670, PLANTA_BASE!A:W, 2, FALSE), "NO ENCONTRADO EN PLANTA"))</f>
        <v>PRESENCIAL</v>
      </c>
      <c r="B670" s="3" t="s">
        <v>1344</v>
      </c>
      <c r="C670" s="4" t="s">
        <v>1345</v>
      </c>
      <c r="D670" s="2" t="str">
        <f>IF(B670="","",IFERROR(VLOOKUP(B670, PLANTA_BASE!A:W, 5, FALSE), "NO ENCONTRADO EN PLANTA"))</f>
        <v>REGIONAL BOGOTA</v>
      </c>
      <c r="E670" s="2" t="str">
        <f>IF(B670="","",IFERROR(VLOOKUP(B670, PLANTA_BASE!A:W, 6, FALSE), "NO ENCONTRADO EN PLANTA"))</f>
        <v>BOGOTA CENTRO</v>
      </c>
      <c r="F670" s="4" t="str">
        <f>IF(B670="","",IFERROR(VLOOKUP(B670, PLANTA_BASE!A:W, 8, FALSE), "DOCENTE / FACILITADOR"))</f>
        <v>DOCENTE ASIS/N/MT-ADM EM</v>
      </c>
      <c r="G670" s="4" t="str">
        <f>IF(B670="","",IFERROR(VLOOKUP(B670, PLANTA_BASE!A:W, 9, FALSE), "GENERAL"))</f>
        <v>ADMINISTRACION DE EMPRESAS</v>
      </c>
      <c r="H670" s="2" t="str">
        <f>IF(B670="","",IFERROR(VLOOKUP(B670, PLANTA_BASE!A:W, 17, FALSE), "GENERAL"))</f>
        <v>ADMINISTRACION DE EMPRESAS</v>
      </c>
    </row>
    <row r="671" spans="1:8" ht="20.100000000000001" customHeight="1" x14ac:dyDescent="0.25">
      <c r="A671" s="5" t="str">
        <f>IF(B671="","",IFERROR(VLOOKUP(B671, PLANTA_BASE!A:W, 2, FALSE), "NO ENCONTRADO EN PLANTA"))</f>
        <v>PRESENCIAL</v>
      </c>
      <c r="B671" s="6" t="s">
        <v>1346</v>
      </c>
      <c r="C671" s="7" t="s">
        <v>1347</v>
      </c>
      <c r="D671" s="5" t="str">
        <f>IF(B671="","",IFERROR(VLOOKUP(B671, PLANTA_BASE!A:W, 5, FALSE), "NO ENCONTRADO EN PLANTA"))</f>
        <v>REGIONAL BOGOTA</v>
      </c>
      <c r="E671" s="5" t="str">
        <f>IF(B671="","",IFERROR(VLOOKUP(B671, PLANTA_BASE!A:W, 6, FALSE), "NO ENCONTRADO EN PLANTA"))</f>
        <v>BOGOTA CENTRO</v>
      </c>
      <c r="F671" s="7" t="str">
        <f>IF(B671="","",IFERROR(VLOOKUP(B671, PLANTA_BASE!A:W, 8, FALSE), "DOCENTE / FACILITADOR"))</f>
        <v>DOCENTE AUX/N/TC/ING SISTEM/FUN.ACADE-ADMIN</v>
      </c>
      <c r="G671" s="7" t="str">
        <f>IF(B671="","",IFERROR(VLOOKUP(B671, PLANTA_BASE!A:W, 9, FALSE), "GENERAL"))</f>
        <v>INGENIERIA DE SISTEMAS</v>
      </c>
      <c r="H671" s="5" t="str">
        <f>IF(B671="","",IFERROR(VLOOKUP(B671, PLANTA_BASE!A:W, 17, FALSE), "GENERAL"))</f>
        <v>INGENIERIA DE SISTEMAS</v>
      </c>
    </row>
    <row r="672" spans="1:8" ht="20.100000000000001" customHeight="1" x14ac:dyDescent="0.25">
      <c r="A672" s="2" t="str">
        <f>IF(B672="","",IFERROR(VLOOKUP(B672, PLANTA_BASE!A:W, 2, FALSE), "NO ENCONTRADO EN PLANTA"))</f>
        <v>PRESENCIAL</v>
      </c>
      <c r="B672" s="3" t="s">
        <v>1348</v>
      </c>
      <c r="C672" s="4" t="s">
        <v>1349</v>
      </c>
      <c r="D672" s="2" t="str">
        <f>IF(B672="","",IFERROR(VLOOKUP(B672, PLANTA_BASE!A:W, 5, FALSE), "NO ENCONTRADO EN PLANTA"))</f>
        <v>REGIONAL BOGOTA</v>
      </c>
      <c r="E672" s="2" t="str">
        <f>IF(B672="","",IFERROR(VLOOKUP(B672, PLANTA_BASE!A:W, 6, FALSE), "NO ENCONTRADO EN PLANTA"))</f>
        <v>BOGOTA CENTRO</v>
      </c>
      <c r="F672" s="4" t="str">
        <f>IF(B672="","",IFERROR(VLOOKUP(B672, PLANTA_BASE!A:W, 8, FALSE), "DOCENTE / FACILITADOR"))</f>
        <v>DOCENTE AUX/N/TC/EMPRENDIMIE/FUN.ACADE-ADMIN</v>
      </c>
      <c r="G672" s="4" t="str">
        <f>IF(B672="","",IFERROR(VLOOKUP(B672, PLANTA_BASE!A:W, 9, FALSE), "GENERAL"))</f>
        <v>EMPRENDIMIENTO</v>
      </c>
      <c r="H672" s="2" t="str">
        <f>IF(B672="","",IFERROR(VLOOKUP(B672, PLANTA_BASE!A:W, 17, FALSE), "GENERAL"))</f>
        <v>EMPRENDIMIENTO</v>
      </c>
    </row>
    <row r="673" spans="1:8" ht="20.100000000000001" customHeight="1" x14ac:dyDescent="0.25">
      <c r="A673" s="5" t="str">
        <f>IF(B673="","",IFERROR(VLOOKUP(B673, PLANTA_BASE!A:W, 2, FALSE), "NO ENCONTRADO EN PLANTA"))</f>
        <v>PRESENCIAL</v>
      </c>
      <c r="B673" s="6" t="s">
        <v>1350</v>
      </c>
      <c r="C673" s="7" t="s">
        <v>1351</v>
      </c>
      <c r="D673" s="5" t="str">
        <f>IF(B673="","",IFERROR(VLOOKUP(B673, PLANTA_BASE!A:W, 5, FALSE), "NO ENCONTRADO EN PLANTA"))</f>
        <v>REGIONAL BOGOTA</v>
      </c>
      <c r="E673" s="5" t="str">
        <f>IF(B673="","",IFERROR(VLOOKUP(B673, PLANTA_BASE!A:W, 6, FALSE), "NO ENCONTRADO EN PLANTA"))</f>
        <v>BOGOTA CENTRO</v>
      </c>
      <c r="F673" s="7" t="str">
        <f>IF(B673="","",IFERROR(VLOOKUP(B673, PLANTA_BASE!A:W, 8, FALSE), "DOCENTE / FACILITADOR"))</f>
        <v>DOCENTE ASIS/N/MT/CONT PUBL</v>
      </c>
      <c r="G673" s="7" t="str">
        <f>IF(B673="","",IFERROR(VLOOKUP(B673, PLANTA_BASE!A:W, 9, FALSE), "GENERAL"))</f>
        <v>CONTADURIA PUBLICA</v>
      </c>
      <c r="H673" s="5" t="str">
        <f>IF(B673="","",IFERROR(VLOOKUP(B673, PLANTA_BASE!A:W, 17, FALSE), "GENERAL"))</f>
        <v>CONTADURIA PUBLICA</v>
      </c>
    </row>
    <row r="674" spans="1:8" ht="20.100000000000001" customHeight="1" x14ac:dyDescent="0.25">
      <c r="A674" s="2" t="str">
        <f>IF(B674="","",IFERROR(VLOOKUP(B674, PLANTA_BASE!A:W, 2, FALSE), "NO ENCONTRADO EN PLANTA"))</f>
        <v>PRESENCIAL</v>
      </c>
      <c r="B674" s="3" t="s">
        <v>1352</v>
      </c>
      <c r="C674" s="4" t="s">
        <v>1353</v>
      </c>
      <c r="D674" s="2" t="str">
        <f>IF(B674="","",IFERROR(VLOOKUP(B674, PLANTA_BASE!A:W, 5, FALSE), "NO ENCONTRADO EN PLANTA"))</f>
        <v>REGIONAL BOGOTA</v>
      </c>
      <c r="E674" s="2" t="str">
        <f>IF(B674="","",IFERROR(VLOOKUP(B674, PLANTA_BASE!A:W, 6, FALSE), "NO ENCONTRADO EN PLANTA"))</f>
        <v>BOGOTA CENTRO</v>
      </c>
      <c r="F674" s="4" t="str">
        <f>IF(B674="","",IFERROR(VLOOKUP(B674, PLANTA_BASE!A:W, 8, FALSE), "DOCENTE / FACILITADOR"))</f>
        <v>DOC AUX T&amp;T/N/TC/EMPRENDIMIE/FUN.ACADE-ADMIN</v>
      </c>
      <c r="G674" s="4" t="str">
        <f>IF(B674="","",IFERROR(VLOOKUP(B674, PLANTA_BASE!A:W, 9, FALSE), "GENERAL"))</f>
        <v>EMPRENDIMIENTO</v>
      </c>
      <c r="H674" s="2" t="str">
        <f>IF(B674="","",IFERROR(VLOOKUP(B674, PLANTA_BASE!A:W, 17, FALSE), "GENERAL"))</f>
        <v>EMPRENDIMIENTO</v>
      </c>
    </row>
    <row r="675" spans="1:8" ht="20.100000000000001" customHeight="1" x14ac:dyDescent="0.25">
      <c r="A675" s="5" t="str">
        <f>IF(B675="","",IFERROR(VLOOKUP(B675, PLANTA_BASE!A:W, 2, FALSE), "NO ENCONTRADO EN PLANTA"))</f>
        <v>PRESENCIAL</v>
      </c>
      <c r="B675" s="6" t="s">
        <v>1354</v>
      </c>
      <c r="C675" s="7" t="s">
        <v>1355</v>
      </c>
      <c r="D675" s="5" t="str">
        <f>IF(B675="","",IFERROR(VLOOKUP(B675, PLANTA_BASE!A:W, 5, FALSE), "NO ENCONTRADO EN PLANTA"))</f>
        <v>REGIONAL BOGOTA</v>
      </c>
      <c r="E675" s="5" t="str">
        <f>IF(B675="","",IFERROR(VLOOKUP(B675, PLANTA_BASE!A:W, 6, FALSE), "NO ENCONTRADO EN PLANTA"))</f>
        <v>BOGOTA CENTRO</v>
      </c>
      <c r="F675" s="7" t="str">
        <f>IF(B675="","",IFERROR(VLOOKUP(B675, PLANTA_BASE!A:W, 8, FALSE), "DOCENTE / FACILITADOR"))</f>
        <v>DOC AUX T&amp;T/N/TC/CONT PUBL/FUN.ACADE-ADMIN</v>
      </c>
      <c r="G675" s="7" t="str">
        <f>IF(B675="","",IFERROR(VLOOKUP(B675, PLANTA_BASE!A:W, 9, FALSE), "GENERAL"))</f>
        <v>CONTADURIA PUBLICA</v>
      </c>
      <c r="H675" s="5" t="str">
        <f>IF(B675="","",IFERROR(VLOOKUP(B675, PLANTA_BASE!A:W, 17, FALSE), "GENERAL"))</f>
        <v>CONTADURIA PUBLICA</v>
      </c>
    </row>
    <row r="676" spans="1:8" ht="20.100000000000001" customHeight="1" x14ac:dyDescent="0.25">
      <c r="A676" s="2" t="str">
        <f>IF(B676="","",IFERROR(VLOOKUP(B676, PLANTA_BASE!A:W, 2, FALSE), "NO ENCONTRADO EN PLANTA"))</f>
        <v>PRESENCIAL</v>
      </c>
      <c r="B676" s="3" t="s">
        <v>1356</v>
      </c>
      <c r="C676" s="4" t="s">
        <v>1357</v>
      </c>
      <c r="D676" s="2" t="str">
        <f>IF(B676="","",IFERROR(VLOOKUP(B676, PLANTA_BASE!A:W, 5, FALSE), "NO ENCONTRADO EN PLANTA"))</f>
        <v>REGIONAL BOGOTA</v>
      </c>
      <c r="E676" s="2" t="str">
        <f>IF(B676="","",IFERROR(VLOOKUP(B676, PLANTA_BASE!A:W, 6, FALSE), "NO ENCONTRADO EN PLANTA"))</f>
        <v>BOGOTA CENTRO</v>
      </c>
      <c r="F676" s="4" t="str">
        <f>IF(B676="","",IFERROR(VLOOKUP(B676, PLANTA_BASE!A:W, 8, FALSE), "DOCENTE / FACILITADOR"))</f>
        <v>DOCENTE AUX/N/TC/EMPRENDIMIE/FUN.ACADE-ADMIN</v>
      </c>
      <c r="G676" s="4" t="str">
        <f>IF(B676="","",IFERROR(VLOOKUP(B676, PLANTA_BASE!A:W, 9, FALSE), "GENERAL"))</f>
        <v>EMPRENDIMIENTO</v>
      </c>
      <c r="H676" s="2" t="str">
        <f>IF(B676="","",IFERROR(VLOOKUP(B676, PLANTA_BASE!A:W, 17, FALSE), "GENERAL"))</f>
        <v>EMPRENDIMIENTO</v>
      </c>
    </row>
    <row r="677" spans="1:8" ht="20.100000000000001" customHeight="1" x14ac:dyDescent="0.25">
      <c r="A677" s="5" t="str">
        <f>IF(B677="","",IFERROR(VLOOKUP(B677, PLANTA_BASE!A:W, 2, FALSE), "NO ENCONTRADO EN PLANTA"))</f>
        <v>VIRTUAL</v>
      </c>
      <c r="B677" s="6" t="s">
        <v>1358</v>
      </c>
      <c r="C677" s="7" t="s">
        <v>1359</v>
      </c>
      <c r="D677" s="5" t="str">
        <f>IF(B677="","",IFERROR(VLOOKUP(B677, PLANTA_BASE!A:W, 5, FALSE), "NO ENCONTRADO EN PLANTA"))</f>
        <v>REGIONAL BOGOTA</v>
      </c>
      <c r="E677" s="5" t="str">
        <f>IF(B677="","",IFERROR(VLOOKUP(B677, PLANTA_BASE!A:W, 6, FALSE), "NO ENCONTRADO EN PLANTA"))</f>
        <v>BOGOTA CENTRO</v>
      </c>
      <c r="F677" s="7" t="str">
        <f>IF(B677="","",IFERROR(VLOOKUP(B677, PLANTA_BASE!A:W, 8, FALSE), "DOCENTE / FACILITADOR"))</f>
        <v>DOC AUX T&amp;T/N/V/TC/SOCIOHUMANISTI/FUN.ACADE-ADMIN</v>
      </c>
      <c r="G677" s="7" t="str">
        <f>IF(B677="","",IFERROR(VLOOKUP(B677, PLANTA_BASE!A:W, 9, FALSE), "GENERAL"))</f>
        <v>SOCIOHUMANISTICA</v>
      </c>
      <c r="H677" s="5" t="str">
        <f>IF(B677="","",IFERROR(VLOOKUP(B677, PLANTA_BASE!A:W, 17, FALSE), "GENERAL"))</f>
        <v>SOCIOHUMANISTICA</v>
      </c>
    </row>
    <row r="678" spans="1:8" ht="20.100000000000001" customHeight="1" x14ac:dyDescent="0.25">
      <c r="A678" s="2" t="str">
        <f>IF(B678="","",IFERROR(VLOOKUP(B678, PLANTA_BASE!A:W, 2, FALSE), "NO ENCONTRADO EN PLANTA"))</f>
        <v>VIRTUAL</v>
      </c>
      <c r="B678" s="3" t="s">
        <v>1360</v>
      </c>
      <c r="C678" s="4" t="s">
        <v>1361</v>
      </c>
      <c r="D678" s="2" t="str">
        <f>IF(B678="","",IFERROR(VLOOKUP(B678, PLANTA_BASE!A:W, 5, FALSE), "NO ENCONTRADO EN PLANTA"))</f>
        <v>REGIONAL BOGOTA</v>
      </c>
      <c r="E678" s="2" t="str">
        <f>IF(B678="","",IFERROR(VLOOKUP(B678, PLANTA_BASE!A:W, 6, FALSE), "NO ENCONTRADO EN PLANTA"))</f>
        <v>BOGOTA CENTRO</v>
      </c>
      <c r="F678" s="4" t="str">
        <f>IF(B678="","",IFERROR(VLOOKUP(B678, PLANTA_BASE!A:W, 8, FALSE), "DOCENTE / FACILITADOR"))</f>
        <v>DOC AUX/N/V/MT/CONTADURIA</v>
      </c>
      <c r="G678" s="4" t="str">
        <f>IF(B678="","",IFERROR(VLOOKUP(B678, PLANTA_BASE!A:W, 9, FALSE), "GENERAL"))</f>
        <v>CONTADURIA PUBLICA</v>
      </c>
      <c r="H678" s="2" t="str">
        <f>IF(B678="","",IFERROR(VLOOKUP(B678, PLANTA_BASE!A:W, 17, FALSE), "GENERAL"))</f>
        <v>CONTADURIA PUBLICA</v>
      </c>
    </row>
    <row r="679" spans="1:8" ht="20.100000000000001" customHeight="1" x14ac:dyDescent="0.25">
      <c r="A679" s="5" t="str">
        <f>IF(B679="","",IFERROR(VLOOKUP(B679, PLANTA_BASE!A:W, 2, FALSE), "NO ENCONTRADO EN PLANTA"))</f>
        <v>PRESENCIAL</v>
      </c>
      <c r="B679" s="6" t="s">
        <v>1362</v>
      </c>
      <c r="C679" s="7" t="s">
        <v>1363</v>
      </c>
      <c r="D679" s="5" t="str">
        <f>IF(B679="","",IFERROR(VLOOKUP(B679, PLANTA_BASE!A:W, 5, FALSE), "NO ENCONTRADO EN PLANTA"))</f>
        <v>REGIONAL BOGOTA</v>
      </c>
      <c r="E679" s="5" t="str">
        <f>IF(B679="","",IFERROR(VLOOKUP(B679, PLANTA_BASE!A:W, 6, FALSE), "NO ENCONTRADO EN PLANTA"))</f>
        <v>BOGOTA CENTRO</v>
      </c>
      <c r="F679" s="7" t="str">
        <f>IF(B679="","",IFERROR(VLOOKUP(B679, PLANTA_BASE!A:W, 8, FALSE), "DOCENTE / FACILITADOR"))</f>
        <v>DOCENTE AUX/N/MT/ING SISTEM</v>
      </c>
      <c r="G679" s="7" t="str">
        <f>IF(B679="","",IFERROR(VLOOKUP(B679, PLANTA_BASE!A:W, 9, FALSE), "GENERAL"))</f>
        <v>INGENIERIA DE SISTEMAS</v>
      </c>
      <c r="H679" s="5" t="str">
        <f>IF(B679="","",IFERROR(VLOOKUP(B679, PLANTA_BASE!A:W, 17, FALSE), "GENERAL"))</f>
        <v>INGENIERIA DE SISTEMAS</v>
      </c>
    </row>
    <row r="680" spans="1:8" ht="20.100000000000001" customHeight="1" x14ac:dyDescent="0.25">
      <c r="A680" s="2" t="str">
        <f>IF(B680="","",IFERROR(VLOOKUP(B680, PLANTA_BASE!A:W, 2, FALSE), "NO ENCONTRADO EN PLANTA"))</f>
        <v>PRESENCIAL</v>
      </c>
      <c r="B680" s="3" t="s">
        <v>1364</v>
      </c>
      <c r="C680" s="4" t="s">
        <v>1365</v>
      </c>
      <c r="D680" s="2" t="str">
        <f>IF(B680="","",IFERROR(VLOOKUP(B680, PLANTA_BASE!A:W, 5, FALSE), "NO ENCONTRADO EN PLANTA"))</f>
        <v>REGIONAL BOGOTA</v>
      </c>
      <c r="E680" s="2" t="str">
        <f>IF(B680="","",IFERROR(VLOOKUP(B680, PLANTA_BASE!A:W, 6, FALSE), "NO ENCONTRADO EN PLANTA"))</f>
        <v>BOGOTA CENTRO</v>
      </c>
      <c r="F680" s="4" t="str">
        <f>IF(B680="","",IFERROR(VLOOKUP(B680, PLANTA_BASE!A:W, 8, FALSE), "DOCENTE / FACILITADOR"))</f>
        <v>DOCENTE AUX/N/TC/DIR PROD ME AUD/FUN.ACADE-ADMIN</v>
      </c>
      <c r="G680" s="4" t="str">
        <f>IF(B680="","",IFERROR(VLOOKUP(B680, PLANTA_BASE!A:W, 9, FALSE), "GENERAL"))</f>
        <v>DIRECCION Y PRODUCCION DE MEDIOS AUDIOVISUALES</v>
      </c>
      <c r="H680" s="2" t="str">
        <f>IF(B680="","",IFERROR(VLOOKUP(B680, PLANTA_BASE!A:W, 17, FALSE), "GENERAL"))</f>
        <v>DIRECCION Y PRODUCCION DE MEDIOS AUDIOVISUALES</v>
      </c>
    </row>
    <row r="681" spans="1:8" ht="20.100000000000001" customHeight="1" x14ac:dyDescent="0.25">
      <c r="A681" s="5" t="str">
        <f>IF(B681="","",IFERROR(VLOOKUP(B681, PLANTA_BASE!A:W, 2, FALSE), "NO ENCONTRADO EN PLANTA"))</f>
        <v>PRESENCIAL</v>
      </c>
      <c r="B681" s="6" t="s">
        <v>1366</v>
      </c>
      <c r="C681" s="7" t="s">
        <v>1367</v>
      </c>
      <c r="D681" s="5" t="str">
        <f>IF(B681="","",IFERROR(VLOOKUP(B681, PLANTA_BASE!A:W, 5, FALSE), "NO ENCONTRADO EN PLANTA"))</f>
        <v>REGIONAL BOGOTA</v>
      </c>
      <c r="E681" s="5" t="str">
        <f>IF(B681="","",IFERROR(VLOOKUP(B681, PLANTA_BASE!A:W, 6, FALSE), "NO ENCONTRADO EN PLANTA"))</f>
        <v>BOGOTA CENTRO</v>
      </c>
      <c r="F681" s="7" t="str">
        <f>IF(B681="","",IFERROR(VLOOKUP(B681, PLANTA_BASE!A:W, 8, FALSE), "DOCENTE / FACILITADOR"))</f>
        <v>DOCENTE AUX/N/TC/ADM EMP/FUN.ACADE-ADMIN</v>
      </c>
      <c r="G681" s="7" t="str">
        <f>IF(B681="","",IFERROR(VLOOKUP(B681, PLANTA_BASE!A:W, 9, FALSE), "GENERAL"))</f>
        <v>ADMINISTRACION DE EMPRESAS</v>
      </c>
      <c r="H681" s="5" t="str">
        <f>IF(B681="","",IFERROR(VLOOKUP(B681, PLANTA_BASE!A:W, 17, FALSE), "GENERAL"))</f>
        <v>ADMINISTRACION DE EMPRESAS</v>
      </c>
    </row>
    <row r="682" spans="1:8" ht="20.100000000000001" customHeight="1" x14ac:dyDescent="0.25">
      <c r="A682" s="2" t="str">
        <f>IF(B682="","",IFERROR(VLOOKUP(B682, PLANTA_BASE!A:W, 2, FALSE), "NO ENCONTRADO EN PLANTA"))</f>
        <v>PRESENCIAL</v>
      </c>
      <c r="B682" s="3" t="s">
        <v>1368</v>
      </c>
      <c r="C682" s="4" t="s">
        <v>1369</v>
      </c>
      <c r="D682" s="2" t="str">
        <f>IF(B682="","",IFERROR(VLOOKUP(B682, PLANTA_BASE!A:W, 5, FALSE), "NO ENCONTRADO EN PLANTA"))</f>
        <v>REGIONAL BOGOTA</v>
      </c>
      <c r="E682" s="2" t="str">
        <f>IF(B682="","",IFERROR(VLOOKUP(B682, PLANTA_BASE!A:W, 6, FALSE), "NO ENCONTRADO EN PLANTA"))</f>
        <v>BOGOTA CENTRO</v>
      </c>
      <c r="F682" s="4" t="str">
        <f>IF(B682="","",IFERROR(VLOOKUP(B682, PLANTA_BASE!A:W, 8, FALSE), "DOCENTE / FACILITADOR"))</f>
        <v>DOC AUX T&amp;T/N/TC/DIR PROD ME AUD/FUN.ACADE-ADMIN</v>
      </c>
      <c r="G682" s="4" t="str">
        <f>IF(B682="","",IFERROR(VLOOKUP(B682, PLANTA_BASE!A:W, 9, FALSE), "GENERAL"))</f>
        <v>DIRECCION Y PRODUCCION DE MEDIOS AUDIOVISUALES</v>
      </c>
      <c r="H682" s="2" t="str">
        <f>IF(B682="","",IFERROR(VLOOKUP(B682, PLANTA_BASE!A:W, 17, FALSE), "GENERAL"))</f>
        <v>DIRECCION Y PRODUCCION DE MEDIOS AUDIOVISUALES</v>
      </c>
    </row>
    <row r="683" spans="1:8" ht="20.100000000000001" customHeight="1" x14ac:dyDescent="0.25">
      <c r="A683" s="5" t="str">
        <f>IF(B683="","",IFERROR(VLOOKUP(B683, PLANTA_BASE!A:W, 2, FALSE), "NO ENCONTRADO EN PLANTA"))</f>
        <v>VIRTUAL</v>
      </c>
      <c r="B683" s="6" t="s">
        <v>1370</v>
      </c>
      <c r="C683" s="7" t="s">
        <v>1371</v>
      </c>
      <c r="D683" s="5" t="str">
        <f>IF(B683="","",IFERROR(VLOOKUP(B683, PLANTA_BASE!A:W, 5, FALSE), "NO ENCONTRADO EN PLANTA"))</f>
        <v>REGIONAL BOGOTA</v>
      </c>
      <c r="E683" s="5" t="str">
        <f>IF(B683="","",IFERROR(VLOOKUP(B683, PLANTA_BASE!A:W, 6, FALSE), "NO ENCONTRADO EN PLANTA"))</f>
        <v>BOGOTA CENTRO</v>
      </c>
      <c r="F683" s="7" t="str">
        <f>IF(B683="","",IFERROR(VLOOKUP(B683, PLANTA_BASE!A:W, 8, FALSE), "DOCENTE / FACILITADOR"))</f>
        <v>DOC ASIS/N/V/TC/ESP CONTRA ESTATAL/FUN.A</v>
      </c>
      <c r="G683" s="7" t="str">
        <f>IF(B683="","",IFERROR(VLOOKUP(B683, PLANTA_BASE!A:W, 9, FALSE), "GENERAL"))</f>
        <v>ESPECIALIZACION DE CONTRATACION ESTATAL</v>
      </c>
      <c r="H683" s="5" t="str">
        <f>IF(B683="","",IFERROR(VLOOKUP(B683, PLANTA_BASE!A:W, 17, FALSE), "GENERAL"))</f>
        <v>ESPECIALIZACION DE CONTRATACION ESTATAL</v>
      </c>
    </row>
    <row r="684" spans="1:8" ht="20.100000000000001" customHeight="1" x14ac:dyDescent="0.25">
      <c r="A684" s="2" t="str">
        <f>IF(B684="","",IFERROR(VLOOKUP(B684, PLANTA_BASE!A:W, 2, FALSE), "NO ENCONTRADO EN PLANTA"))</f>
        <v>PRESENCIAL</v>
      </c>
      <c r="B684" s="3" t="s">
        <v>1372</v>
      </c>
      <c r="C684" s="4" t="s">
        <v>1373</v>
      </c>
      <c r="D684" s="2" t="str">
        <f>IF(B684="","",IFERROR(VLOOKUP(B684, PLANTA_BASE!A:W, 5, FALSE), "NO ENCONTRADO EN PLANTA"))</f>
        <v>REGIONAL BOGOTA</v>
      </c>
      <c r="E684" s="2" t="str">
        <f>IF(B684="","",IFERROR(VLOOKUP(B684, PLANTA_BASE!A:W, 6, FALSE), "NO ENCONTRADO EN PLANTA"))</f>
        <v>BOGOTA CENTRO</v>
      </c>
      <c r="F684" s="4" t="str">
        <f>IF(B684="","",IFERROR(VLOOKUP(B684, PLANTA_BASE!A:W, 8, FALSE), "DOCENTE / FACILITADOR"))</f>
        <v>DOC AUX T&amp;T/N/TC/EMPRENDIMIE/FUN.ACADE-ADMIN</v>
      </c>
      <c r="G684" s="4" t="str">
        <f>IF(B684="","",IFERROR(VLOOKUP(B684, PLANTA_BASE!A:W, 9, FALSE), "GENERAL"))</f>
        <v>EMPRENDIMIENTO</v>
      </c>
      <c r="H684" s="2" t="str">
        <f>IF(B684="","",IFERROR(VLOOKUP(B684, PLANTA_BASE!A:W, 17, FALSE), "GENERAL"))</f>
        <v>EMPRENDIMIENTO</v>
      </c>
    </row>
    <row r="685" spans="1:8" ht="20.100000000000001" customHeight="1" x14ac:dyDescent="0.25">
      <c r="A685" s="5" t="str">
        <f>IF(B685="","",IFERROR(VLOOKUP(B685, PLANTA_BASE!A:W, 2, FALSE), "NO ENCONTRADO EN PLANTA"))</f>
        <v>PRESENCIAL</v>
      </c>
      <c r="B685" s="6" t="s">
        <v>1374</v>
      </c>
      <c r="C685" s="7" t="s">
        <v>1375</v>
      </c>
      <c r="D685" s="5" t="str">
        <f>IF(B685="","",IFERROR(VLOOKUP(B685, PLANTA_BASE!A:W, 5, FALSE), "NO ENCONTRADO EN PLANTA"))</f>
        <v>REGIONAL BOGOTA</v>
      </c>
      <c r="E685" s="5" t="str">
        <f>IF(B685="","",IFERROR(VLOOKUP(B685, PLANTA_BASE!A:W, 6, FALSE), "NO ENCONTRADO EN PLANTA"))</f>
        <v>BOGOTA CENTRO</v>
      </c>
      <c r="F685" s="7" t="str">
        <f>IF(B685="","",IFERROR(VLOOKUP(B685, PLANTA_BASE!A:W, 8, FALSE), "DOCENTE / FACILITADOR"))</f>
        <v>DOC AUX T&amp;T/N/TC/DIR PROD ME AUD/FUN.ACADE-ADMIN</v>
      </c>
      <c r="G685" s="7" t="str">
        <f>IF(B685="","",IFERROR(VLOOKUP(B685, PLANTA_BASE!A:W, 9, FALSE), "GENERAL"))</f>
        <v>DIRECCION Y PRODUCCION DE MEDIOS AUDIOVISUALES</v>
      </c>
      <c r="H685" s="5" t="str">
        <f>IF(B685="","",IFERROR(VLOOKUP(B685, PLANTA_BASE!A:W, 17, FALSE), "GENERAL"))</f>
        <v>DIRECCION Y PRODUCCION DE MEDIOS AUDIOVISUALES</v>
      </c>
    </row>
    <row r="686" spans="1:8" ht="20.100000000000001" customHeight="1" x14ac:dyDescent="0.25">
      <c r="A686" s="2" t="str">
        <f>IF(B686="","",IFERROR(VLOOKUP(B686, PLANTA_BASE!A:W, 2, FALSE), "NO ENCONTRADO EN PLANTA"))</f>
        <v>PRESENCIAL</v>
      </c>
      <c r="B686" s="3" t="s">
        <v>1376</v>
      </c>
      <c r="C686" s="4" t="s">
        <v>1377</v>
      </c>
      <c r="D686" s="2" t="str">
        <f>IF(B686="","",IFERROR(VLOOKUP(B686, PLANTA_BASE!A:W, 5, FALSE), "NO ENCONTRADO EN PLANTA"))</f>
        <v>REGIONAL BOGOTA</v>
      </c>
      <c r="E686" s="2" t="str">
        <f>IF(B686="","",IFERROR(VLOOKUP(B686, PLANTA_BASE!A:W, 6, FALSE), "NO ENCONTRADO EN PLANTA"))</f>
        <v>BOGOTA CENTRO</v>
      </c>
      <c r="F686" s="4" t="str">
        <f>IF(B686="","",IFERROR(VLOOKUP(B686, PLANTA_BASE!A:W, 8, FALSE), "DOCENTE / FACILITADOR"))</f>
        <v>DOC AUX T&amp;T/N/TC/COM SOC Y PER/FUN.ACADE-ADMIN</v>
      </c>
      <c r="G686" s="4" t="str">
        <f>IF(B686="","",IFERROR(VLOOKUP(B686, PLANTA_BASE!A:W, 9, FALSE), "GENERAL"))</f>
        <v>COMUNICACION SOCIAL Y PERIODISMO</v>
      </c>
      <c r="H686" s="2" t="str">
        <f>IF(B686="","",IFERROR(VLOOKUP(B686, PLANTA_BASE!A:W, 17, FALSE), "GENERAL"))</f>
        <v>COMUNICACION SOCIAL Y PERIODISMO</v>
      </c>
    </row>
    <row r="687" spans="1:8" ht="20.100000000000001" customHeight="1" x14ac:dyDescent="0.25">
      <c r="A687" s="5" t="str">
        <f>IF(B687="","",IFERROR(VLOOKUP(B687, PLANTA_BASE!A:W, 2, FALSE), "NO ENCONTRADO EN PLANTA"))</f>
        <v>PRESENCIAL</v>
      </c>
      <c r="B687" s="6" t="s">
        <v>1378</v>
      </c>
      <c r="C687" s="7" t="s">
        <v>1379</v>
      </c>
      <c r="D687" s="5" t="str">
        <f>IF(B687="","",IFERROR(VLOOKUP(B687, PLANTA_BASE!A:W, 5, FALSE), "NO ENCONTRADO EN PLANTA"))</f>
        <v>REGIONAL BOGOTA</v>
      </c>
      <c r="E687" s="5" t="str">
        <f>IF(B687="","",IFERROR(VLOOKUP(B687, PLANTA_BASE!A:W, 6, FALSE), "NO ENCONTRADO EN PLANTA"))</f>
        <v>BOGOTA CENTRO</v>
      </c>
      <c r="F687" s="7" t="str">
        <f>IF(B687="","",IFERROR(VLOOKUP(B687, PLANTA_BASE!A:W, 8, FALSE), "DOCENTE / FACILITADOR"))</f>
        <v>DOC AUX T&amp;T/N/TC/DIR PROD ME AUD/FUN.ACADE-ADMIN</v>
      </c>
      <c r="G687" s="7" t="str">
        <f>IF(B687="","",IFERROR(VLOOKUP(B687, PLANTA_BASE!A:W, 9, FALSE), "GENERAL"))</f>
        <v>DIRECCION Y PRODUCCION DE MEDIOS AUDIOVISUALES</v>
      </c>
      <c r="H687" s="5" t="str">
        <f>IF(B687="","",IFERROR(VLOOKUP(B687, PLANTA_BASE!A:W, 17, FALSE), "GENERAL"))</f>
        <v>DIRECCION Y PRODUCCION DE MEDIOS AUDIOVISUALES</v>
      </c>
    </row>
    <row r="688" spans="1:8" ht="20.100000000000001" customHeight="1" x14ac:dyDescent="0.25">
      <c r="A688" s="2" t="str">
        <f>IF(B688="","",IFERROR(VLOOKUP(B688, PLANTA_BASE!A:W, 2, FALSE), "NO ENCONTRADO EN PLANTA"))</f>
        <v>PRESENCIAL</v>
      </c>
      <c r="B688" s="3" t="s">
        <v>1380</v>
      </c>
      <c r="C688" s="4" t="s">
        <v>1381</v>
      </c>
      <c r="D688" s="2" t="str">
        <f>IF(B688="","",IFERROR(VLOOKUP(B688, PLANTA_BASE!A:W, 5, FALSE), "NO ENCONTRADO EN PLANTA"))</f>
        <v>REGIONAL BOGOTA</v>
      </c>
      <c r="E688" s="2" t="str">
        <f>IF(B688="","",IFERROR(VLOOKUP(B688, PLANTA_BASE!A:W, 6, FALSE), "NO ENCONTRADO EN PLANTA"))</f>
        <v>BOGOTA CENTRO</v>
      </c>
      <c r="F688" s="4" t="str">
        <f>IF(B688="","",IFERROR(VLOOKUP(B688, PLANTA_BASE!A:W, 8, FALSE), "DOCENTE / FACILITADOR"))</f>
        <v>DOCENTE AUX/N/TC/COM SOC Y PER/FUN.ACADE-ADMIN</v>
      </c>
      <c r="G688" s="4" t="str">
        <f>IF(B688="","",IFERROR(VLOOKUP(B688, PLANTA_BASE!A:W, 9, FALSE), "GENERAL"))</f>
        <v>COMUNICACION SOCIAL Y PERIODISMO</v>
      </c>
      <c r="H688" s="2" t="str">
        <f>IF(B688="","",IFERROR(VLOOKUP(B688, PLANTA_BASE!A:W, 17, FALSE), "GENERAL"))</f>
        <v>COMUNICACION SOCIAL Y PERIODISMO</v>
      </c>
    </row>
    <row r="689" spans="1:8" ht="20.100000000000001" customHeight="1" x14ac:dyDescent="0.25">
      <c r="A689" s="5" t="str">
        <f>IF(B689="","",IFERROR(VLOOKUP(B689, PLANTA_BASE!A:W, 2, FALSE), "NO ENCONTRADO EN PLANTA"))</f>
        <v>PRESENCIAL</v>
      </c>
      <c r="B689" s="6" t="s">
        <v>1382</v>
      </c>
      <c r="C689" s="7" t="s">
        <v>1383</v>
      </c>
      <c r="D689" s="5" t="str">
        <f>IF(B689="","",IFERROR(VLOOKUP(B689, PLANTA_BASE!A:W, 5, FALSE), "NO ENCONTRADO EN PLANTA"))</f>
        <v>REGIONAL BOGOTA</v>
      </c>
      <c r="E689" s="5" t="str">
        <f>IF(B689="","",IFERROR(VLOOKUP(B689, PLANTA_BASE!A:W, 6, FALSE), "NO ENCONTRADO EN PLANTA"))</f>
        <v>BOGOTA FONTIBON</v>
      </c>
      <c r="F689" s="7" t="str">
        <f>IF(B689="","",IFERROR(VLOOKUP(B689, PLANTA_BASE!A:W, 8, FALSE), "DOCENTE / FACILITADOR"))</f>
        <v>DOCENTE AUX/N/TC/ADM EMP/PROYECCION SOCI</v>
      </c>
      <c r="G689" s="7" t="str">
        <f>IF(B689="","",IFERROR(VLOOKUP(B689, PLANTA_BASE!A:W, 9, FALSE), "GENERAL"))</f>
        <v>ADMINISTRACION DE EMPRESAS</v>
      </c>
      <c r="H689" s="5" t="str">
        <f>IF(B689="","",IFERROR(VLOOKUP(B689, PLANTA_BASE!A:W, 17, FALSE), "GENERAL"))</f>
        <v>ADMINISTRACION DE EMPRESAS</v>
      </c>
    </row>
    <row r="690" spans="1:8" ht="20.100000000000001" customHeight="1" x14ac:dyDescent="0.25">
      <c r="A690" s="2" t="str">
        <f>IF(B690="","",IFERROR(VLOOKUP(B690, PLANTA_BASE!A:W, 2, FALSE), "NO ENCONTRADO EN PLANTA"))</f>
        <v>PRESENCIAL</v>
      </c>
      <c r="B690" s="3" t="s">
        <v>1384</v>
      </c>
      <c r="C690" s="4" t="s">
        <v>1385</v>
      </c>
      <c r="D690" s="2" t="str">
        <f>IF(B690="","",IFERROR(VLOOKUP(B690, PLANTA_BASE!A:W, 5, FALSE), "NO ENCONTRADO EN PLANTA"))</f>
        <v>REGIONAL BOGOTA</v>
      </c>
      <c r="E690" s="2" t="str">
        <f>IF(B690="","",IFERROR(VLOOKUP(B690, PLANTA_BASE!A:W, 6, FALSE), "NO ENCONTRADO EN PLANTA"))</f>
        <v>BOGOTA CENTRO</v>
      </c>
      <c r="F690" s="4" t="str">
        <f>IF(B690="","",IFERROR(VLOOKUP(B690, PLANTA_BASE!A:W, 8, FALSE), "DOCENTE / FACILITADOR"))</f>
        <v>DOC AUX T&amp;T/N/TC/DIR PROD ME AUD/FUN.ACADE-ADMIN</v>
      </c>
      <c r="G690" s="4" t="str">
        <f>IF(B690="","",IFERROR(VLOOKUP(B690, PLANTA_BASE!A:W, 9, FALSE), "GENERAL"))</f>
        <v>DIRECCION Y PRODUCCION DE MEDIOS AUDIOVISUALES</v>
      </c>
      <c r="H690" s="2" t="str">
        <f>IF(B690="","",IFERROR(VLOOKUP(B690, PLANTA_BASE!A:W, 17, FALSE), "GENERAL"))</f>
        <v>DIRECCION Y PRODUCCION DE MEDIOS AUDIOVISUALES</v>
      </c>
    </row>
    <row r="691" spans="1:8" ht="20.100000000000001" customHeight="1" x14ac:dyDescent="0.25">
      <c r="A691" s="5" t="str">
        <f>IF(B691="","",IFERROR(VLOOKUP(B691, PLANTA_BASE!A:W, 2, FALSE), "NO ENCONTRADO EN PLANTA"))</f>
        <v>PRESENCIAL</v>
      </c>
      <c r="B691" s="6" t="s">
        <v>1386</v>
      </c>
      <c r="C691" s="7" t="s">
        <v>1387</v>
      </c>
      <c r="D691" s="5" t="str">
        <f>IF(B691="","",IFERROR(VLOOKUP(B691, PLANTA_BASE!A:W, 5, FALSE), "NO ENCONTRADO EN PLANTA"))</f>
        <v>REGIONAL BOGOTA</v>
      </c>
      <c r="E691" s="5" t="str">
        <f>IF(B691="","",IFERROR(VLOOKUP(B691, PLANTA_BASE!A:W, 6, FALSE), "NO ENCONTRADO EN PLANTA"))</f>
        <v>BOGOTA CENTRO</v>
      </c>
      <c r="F691" s="7" t="str">
        <f>IF(B691="","",IFERROR(VLOOKUP(B691, PLANTA_BASE!A:W, 8, FALSE), "DOCENTE / FACILITADOR"))</f>
        <v>DOC AUX T&amp;T/N/TC/DIR PROD ME AUD/FUN.ACADE-ADMIN</v>
      </c>
      <c r="G691" s="7" t="str">
        <f>IF(B691="","",IFERROR(VLOOKUP(B691, PLANTA_BASE!A:W, 9, FALSE), "GENERAL"))</f>
        <v>DIRECCION Y PRODUCCION DE MEDIOS AUDIOVISUALES</v>
      </c>
      <c r="H691" s="5" t="str">
        <f>IF(B691="","",IFERROR(VLOOKUP(B691, PLANTA_BASE!A:W, 17, FALSE), "GENERAL"))</f>
        <v>DIRECCION Y PRODUCCION DE MEDIOS AUDIOVISUALES</v>
      </c>
    </row>
    <row r="692" spans="1:8" ht="20.100000000000001" customHeight="1" x14ac:dyDescent="0.25">
      <c r="A692" s="2" t="str">
        <f>IF(B692="","",IFERROR(VLOOKUP(B692, PLANTA_BASE!A:W, 2, FALSE), "NO ENCONTRADO EN PLANTA"))</f>
        <v>PRESENCIAL</v>
      </c>
      <c r="B692" s="3" t="s">
        <v>1388</v>
      </c>
      <c r="C692" s="4" t="s">
        <v>1389</v>
      </c>
      <c r="D692" s="2" t="str">
        <f>IF(B692="","",IFERROR(VLOOKUP(B692, PLANTA_BASE!A:W, 5, FALSE), "NO ENCONTRADO EN PLANTA"))</f>
        <v>REGIONAL BOGOTA</v>
      </c>
      <c r="E692" s="2" t="str">
        <f>IF(B692="","",IFERROR(VLOOKUP(B692, PLANTA_BASE!A:W, 6, FALSE), "NO ENCONTRADO EN PLANTA"))</f>
        <v>BOGOTA CENTRO</v>
      </c>
      <c r="F692" s="4" t="str">
        <f>IF(B692="","",IFERROR(VLOOKUP(B692, PLANTA_BASE!A:W, 8, FALSE), "DOCENTE / FACILITADOR"))</f>
        <v>DOCENTE AUX/N/TC/EMPRENDIMIE/FUN.ACADE-ADMIN</v>
      </c>
      <c r="G692" s="4" t="str">
        <f>IF(B692="","",IFERROR(VLOOKUP(B692, PLANTA_BASE!A:W, 9, FALSE), "GENERAL"))</f>
        <v>EMPRENDIMIENTO</v>
      </c>
      <c r="H692" s="2" t="str">
        <f>IF(B692="","",IFERROR(VLOOKUP(B692, PLANTA_BASE!A:W, 17, FALSE), "GENERAL"))</f>
        <v>EMPRENDIMIENTO</v>
      </c>
    </row>
    <row r="693" spans="1:8" ht="20.100000000000001" customHeight="1" x14ac:dyDescent="0.25">
      <c r="A693" s="5" t="str">
        <f>IF(B693="","",IFERROR(VLOOKUP(B693, PLANTA_BASE!A:W, 2, FALSE), "NO ENCONTRADO EN PLANTA"))</f>
        <v>PRESENCIAL</v>
      </c>
      <c r="B693" s="6" t="s">
        <v>1390</v>
      </c>
      <c r="C693" s="7" t="s">
        <v>1391</v>
      </c>
      <c r="D693" s="5" t="str">
        <f>IF(B693="","",IFERROR(VLOOKUP(B693, PLANTA_BASE!A:W, 5, FALSE), "NO ENCONTRADO EN PLANTA"))</f>
        <v>REGIONAL BOGOTA</v>
      </c>
      <c r="E693" s="5" t="str">
        <f>IF(B693="","",IFERROR(VLOOKUP(B693, PLANTA_BASE!A:W, 6, FALSE), "NO ENCONTRADO EN PLANTA"))</f>
        <v>BOGOTA CENTRO</v>
      </c>
      <c r="F693" s="7" t="str">
        <f>IF(B693="","",IFERROR(VLOOKUP(B693, PLANTA_BASE!A:W, 8, FALSE), "DOCENTE / FACILITADOR"))</f>
        <v>DOCENTE TITU/N/TC/INVESTIGA/INVESTIGACIO</v>
      </c>
      <c r="G693" s="7" t="str">
        <f>IF(B693="","",IFERROR(VLOOKUP(B693, PLANTA_BASE!A:W, 9, FALSE), "GENERAL"))</f>
        <v>INVESTIGACIONES</v>
      </c>
      <c r="H693" s="5" t="str">
        <f>IF(B693="","",IFERROR(VLOOKUP(B693, PLANTA_BASE!A:W, 17, FALSE), "GENERAL"))</f>
        <v>INVESTIGACIONES</v>
      </c>
    </row>
    <row r="694" spans="1:8" ht="20.100000000000001" customHeight="1" x14ac:dyDescent="0.25">
      <c r="A694" s="2" t="str">
        <f>IF(B694="","",IFERROR(VLOOKUP(B694, PLANTA_BASE!A:W, 2, FALSE), "NO ENCONTRADO EN PLANTA"))</f>
        <v>PRESENCIAL</v>
      </c>
      <c r="B694" s="3" t="s">
        <v>1392</v>
      </c>
      <c r="C694" s="4" t="s">
        <v>1393</v>
      </c>
      <c r="D694" s="2" t="str">
        <f>IF(B694="","",IFERROR(VLOOKUP(B694, PLANTA_BASE!A:W, 5, FALSE), "NO ENCONTRADO EN PLANTA"))</f>
        <v>REGIONAL BOGOTA</v>
      </c>
      <c r="E694" s="2" t="str">
        <f>IF(B694="","",IFERROR(VLOOKUP(B694, PLANTA_BASE!A:W, 6, FALSE), "NO ENCONTRADO EN PLANTA"))</f>
        <v>BOGOTA SUR</v>
      </c>
      <c r="F694" s="4" t="str">
        <f>IF(B694="","",IFERROR(VLOOKUP(B694, PLANTA_BASE!A:W, 8, FALSE), "DOCENTE / FACILITADOR"))</f>
        <v>DOC AUX T&amp;T/N/MT/ADM EM</v>
      </c>
      <c r="G694" s="4" t="str">
        <f>IF(B694="","",IFERROR(VLOOKUP(B694, PLANTA_BASE!A:W, 9, FALSE), "GENERAL"))</f>
        <v>ADMINISTRACION DE EMPRESAS</v>
      </c>
      <c r="H694" s="2" t="str">
        <f>IF(B694="","",IFERROR(VLOOKUP(B694, PLANTA_BASE!A:W, 17, FALSE), "GENERAL"))</f>
        <v>ADMINISTRACION DE EMPRESAS</v>
      </c>
    </row>
    <row r="695" spans="1:8" ht="20.100000000000001" customHeight="1" x14ac:dyDescent="0.25">
      <c r="A695" s="5" t="str">
        <f>IF(B695="","",IFERROR(VLOOKUP(B695, PLANTA_BASE!A:W, 2, FALSE), "NO ENCONTRADO EN PLANTA"))</f>
        <v>PRESENCIAL</v>
      </c>
      <c r="B695" s="6" t="s">
        <v>1394</v>
      </c>
      <c r="C695" s="7" t="s">
        <v>1395</v>
      </c>
      <c r="D695" s="5" t="str">
        <f>IF(B695="","",IFERROR(VLOOKUP(B695, PLANTA_BASE!A:W, 5, FALSE), "NO ENCONTRADO EN PLANTA"))</f>
        <v>REGIONAL BOGOTA</v>
      </c>
      <c r="E695" s="5" t="str">
        <f>IF(B695="","",IFERROR(VLOOKUP(B695, PLANTA_BASE!A:W, 6, FALSE), "NO ENCONTRADO EN PLANTA"))</f>
        <v>BOGOTA CENTRO</v>
      </c>
      <c r="F695" s="7" t="str">
        <f>IF(B695="","",IFERROR(VLOOKUP(B695, PLANTA_BASE!A:W, 8, FALSE), "DOCENTE / FACILITADOR"))</f>
        <v>DOC AUX T&amp;T/N/TC/ING ELECTRO/FUN.ACADE-ADMIN</v>
      </c>
      <c r="G695" s="7" t="str">
        <f>IF(B695="","",IFERROR(VLOOKUP(B695, PLANTA_BASE!A:W, 9, FALSE), "GENERAL"))</f>
        <v>INGENIERIA ELECTRONICA</v>
      </c>
      <c r="H695" s="5" t="str">
        <f>IF(B695="","",IFERROR(VLOOKUP(B695, PLANTA_BASE!A:W, 17, FALSE), "GENERAL"))</f>
        <v>INGENIERIA ELECTRONICA</v>
      </c>
    </row>
    <row r="696" spans="1:8" ht="20.100000000000001" customHeight="1" x14ac:dyDescent="0.25">
      <c r="A696" s="2" t="str">
        <f>IF(B696="","",IFERROR(VLOOKUP(B696, PLANTA_BASE!A:W, 2, FALSE), "NO ENCONTRADO EN PLANTA"))</f>
        <v>PRESENCIAL</v>
      </c>
      <c r="B696" s="3" t="s">
        <v>1396</v>
      </c>
      <c r="C696" s="4" t="s">
        <v>1397</v>
      </c>
      <c r="D696" s="2" t="str">
        <f>IF(B696="","",IFERROR(VLOOKUP(B696, PLANTA_BASE!A:W, 5, FALSE), "NO ENCONTRADO EN PLANTA"))</f>
        <v>REGIONAL BOGOTA</v>
      </c>
      <c r="E696" s="2" t="str">
        <f>IF(B696="","",IFERROR(VLOOKUP(B696, PLANTA_BASE!A:W, 6, FALSE), "NO ENCONTRADO EN PLANTA"))</f>
        <v>BOGOTA CENTRO</v>
      </c>
      <c r="F696" s="4" t="str">
        <f>IF(B696="","",IFERROR(VLOOKUP(B696, PLANTA_BASE!A:W, 8, FALSE), "DOCENTE / FACILITADOR"))</f>
        <v>DOCENTE ASIS/N/TC/NEGO INTER/FUN.ACADE-ADMIN</v>
      </c>
      <c r="G696" s="4" t="str">
        <f>IF(B696="","",IFERROR(VLOOKUP(B696, PLANTA_BASE!A:W, 9, FALSE), "GENERAL"))</f>
        <v>NEGOCIOS INTERNACIONALES</v>
      </c>
      <c r="H696" s="2" t="str">
        <f>IF(B696="","",IFERROR(VLOOKUP(B696, PLANTA_BASE!A:W, 17, FALSE), "GENERAL"))</f>
        <v>NEGOCIOS INTERNACIONALES</v>
      </c>
    </row>
    <row r="697" spans="1:8" ht="20.100000000000001" customHeight="1" x14ac:dyDescent="0.25">
      <c r="A697" s="5" t="str">
        <f>IF(B697="","",IFERROR(VLOOKUP(B697, PLANTA_BASE!A:W, 2, FALSE), "NO ENCONTRADO EN PLANTA"))</f>
        <v>PRESENCIAL</v>
      </c>
      <c r="B697" s="6" t="s">
        <v>1398</v>
      </c>
      <c r="C697" s="7" t="s">
        <v>1399</v>
      </c>
      <c r="D697" s="5" t="str">
        <f>IF(B697="","",IFERROR(VLOOKUP(B697, PLANTA_BASE!A:W, 5, FALSE), "NO ENCONTRADO EN PLANTA"))</f>
        <v>REGIONAL BOGOTA</v>
      </c>
      <c r="E697" s="5" t="str">
        <f>IF(B697="","",IFERROR(VLOOKUP(B697, PLANTA_BASE!A:W, 6, FALSE), "NO ENCONTRADO EN PLANTA"))</f>
        <v>BOGOTA CENTRO</v>
      </c>
      <c r="F697" s="7" t="str">
        <f>IF(B697="","",IFERROR(VLOOKUP(B697, PLANTA_BASE!A:W, 8, FALSE), "DOCENTE / FACILITADOR"))</f>
        <v>DOCENTE AUX/N/TC/COM SOC Y PER/FUN.ACADE-ADMIN</v>
      </c>
      <c r="G697" s="7" t="str">
        <f>IF(B697="","",IFERROR(VLOOKUP(B697, PLANTA_BASE!A:W, 9, FALSE), "GENERAL"))</f>
        <v>COMUNICACION SOCIAL Y PERIODISMO</v>
      </c>
      <c r="H697" s="5" t="str">
        <f>IF(B697="","",IFERROR(VLOOKUP(B697, PLANTA_BASE!A:W, 17, FALSE), "GENERAL"))</f>
        <v>COMUNICACION SOCIAL Y PERIODISMO</v>
      </c>
    </row>
    <row r="698" spans="1:8" ht="20.100000000000001" customHeight="1" x14ac:dyDescent="0.25">
      <c r="A698" s="2" t="str">
        <f>IF(B698="","",IFERROR(VLOOKUP(B698, PLANTA_BASE!A:W, 2, FALSE), "NO ENCONTRADO EN PLANTA"))</f>
        <v>VIRTUAL</v>
      </c>
      <c r="B698" s="3" t="s">
        <v>1400</v>
      </c>
      <c r="C698" s="4" t="s">
        <v>1401</v>
      </c>
      <c r="D698" s="2" t="str">
        <f>IF(B698="","",IFERROR(VLOOKUP(B698, PLANTA_BASE!A:W, 5, FALSE), "NO ENCONTRADO EN PLANTA"))</f>
        <v>REGIONAL BOGOTA</v>
      </c>
      <c r="E698" s="2" t="str">
        <f>IF(B698="","",IFERROR(VLOOKUP(B698, PLANTA_BASE!A:W, 6, FALSE), "NO ENCONTRADO EN PLANTA"))</f>
        <v>BOGOTA CENTRO</v>
      </c>
      <c r="F698" s="4" t="str">
        <f>IF(B698="","",IFERROR(VLOOKUP(B698, PLANTA_BASE!A:W, 8, FALSE), "DOCENTE / FACILITADOR"))</f>
        <v>DOC ASIS/N/V/TC/ESP GER EDUC/FUN.ACADE-A</v>
      </c>
      <c r="G698" s="4" t="str">
        <f>IF(B698="","",IFERROR(VLOOKUP(B698, PLANTA_BASE!A:W, 9, FALSE), "GENERAL"))</f>
        <v>ESPECIALIZACION EN GERENCIA EDUCATIVA</v>
      </c>
      <c r="H698" s="2" t="str">
        <f>IF(B698="","",IFERROR(VLOOKUP(B698, PLANTA_BASE!A:W, 17, FALSE), "GENERAL"))</f>
        <v>ESPECIALIZACION EN GERENCIA EDUCATIVA</v>
      </c>
    </row>
    <row r="699" spans="1:8" ht="20.100000000000001" customHeight="1" x14ac:dyDescent="0.25">
      <c r="A699" s="5" t="str">
        <f>IF(B699="","",IFERROR(VLOOKUP(B699, PLANTA_BASE!A:W, 2, FALSE), "NO ENCONTRADO EN PLANTA"))</f>
        <v>PRESENCIAL</v>
      </c>
      <c r="B699" s="6" t="s">
        <v>1402</v>
      </c>
      <c r="C699" s="7" t="s">
        <v>1403</v>
      </c>
      <c r="D699" s="5" t="str">
        <f>IF(B699="","",IFERROR(VLOOKUP(B699, PLANTA_BASE!A:W, 5, FALSE), "NO ENCONTRADO EN PLANTA"))</f>
        <v>REGIONAL BOGOTA</v>
      </c>
      <c r="E699" s="5" t="str">
        <f>IF(B699="","",IFERROR(VLOOKUP(B699, PLANTA_BASE!A:W, 6, FALSE), "NO ENCONTRADO EN PLANTA"))</f>
        <v>BOGOTA CENTRO</v>
      </c>
      <c r="F699" s="7" t="str">
        <f>IF(B699="","",IFERROR(VLOOKUP(B699, PLANTA_BASE!A:W, 8, FALSE), "DOCENTE / FACILITADOR"))</f>
        <v>DOC AUX T&amp;T/N/TC/DIR PROD ME AUD/FUN.ACADE-ADMIN</v>
      </c>
      <c r="G699" s="7" t="str">
        <f>IF(B699="","",IFERROR(VLOOKUP(B699, PLANTA_BASE!A:W, 9, FALSE), "GENERAL"))</f>
        <v>DIRECCION Y PRODUCCION DE MEDIOS AUDIOVISUALES</v>
      </c>
      <c r="H699" s="5" t="str">
        <f>IF(B699="","",IFERROR(VLOOKUP(B699, PLANTA_BASE!A:W, 17, FALSE), "GENERAL"))</f>
        <v>DIRECCION Y PRODUCCION DE MEDIOS AUDIOVISUALES</v>
      </c>
    </row>
    <row r="700" spans="1:8" ht="20.100000000000001" customHeight="1" x14ac:dyDescent="0.25">
      <c r="A700" s="2" t="str">
        <f>IF(B700="","",IFERROR(VLOOKUP(B700, PLANTA_BASE!A:W, 2, FALSE), "NO ENCONTRADO EN PLANTA"))</f>
        <v>PRESENCIAL</v>
      </c>
      <c r="B700" s="3" t="s">
        <v>1404</v>
      </c>
      <c r="C700" s="4" t="s">
        <v>1405</v>
      </c>
      <c r="D700" s="2" t="str">
        <f>IF(B700="","",IFERROR(VLOOKUP(B700, PLANTA_BASE!A:W, 5, FALSE), "NO ENCONTRADO EN PLANTA"))</f>
        <v>REGIONAL BOGOTA</v>
      </c>
      <c r="E700" s="2" t="str">
        <f>IF(B700="","",IFERROR(VLOOKUP(B700, PLANTA_BASE!A:W, 6, FALSE), "NO ENCONTRADO EN PLANTA"))</f>
        <v>BOGOTA CENTRO</v>
      </c>
      <c r="F700" s="4" t="str">
        <f>IF(B700="","",IFERROR(VLOOKUP(B700, PLANTA_BASE!A:W, 8, FALSE), "DOCENTE / FACILITADOR"))</f>
        <v>DOC AUX T&amp;T/N/TC/DIS GRAFICO/FUN.ACADE-ADMIN</v>
      </c>
      <c r="G700" s="4" t="str">
        <f>IF(B700="","",IFERROR(VLOOKUP(B700, PLANTA_BASE!A:W, 9, FALSE), "GENERAL"))</f>
        <v>DISEÑO GRAFICO</v>
      </c>
      <c r="H700" s="2" t="str">
        <f>IF(B700="","",IFERROR(VLOOKUP(B700, PLANTA_BASE!A:W, 17, FALSE), "GENERAL"))</f>
        <v>DISEÑO GRAFICO</v>
      </c>
    </row>
    <row r="701" spans="1:8" ht="20.100000000000001" customHeight="1" x14ac:dyDescent="0.25">
      <c r="A701" s="5" t="str">
        <f>IF(B701="","",IFERROR(VLOOKUP(B701, PLANTA_BASE!A:W, 2, FALSE), "NO ENCONTRADO EN PLANTA"))</f>
        <v>PRESENCIAL</v>
      </c>
      <c r="B701" s="6" t="s">
        <v>1406</v>
      </c>
      <c r="C701" s="7" t="s">
        <v>1407</v>
      </c>
      <c r="D701" s="5" t="str">
        <f>IF(B701="","",IFERROR(VLOOKUP(B701, PLANTA_BASE!A:W, 5, FALSE), "NO ENCONTRADO EN PLANTA"))</f>
        <v>REGIONAL BOGOTA</v>
      </c>
      <c r="E701" s="5" t="str">
        <f>IF(B701="","",IFERROR(VLOOKUP(B701, PLANTA_BASE!A:W, 6, FALSE), "NO ENCONTRADO EN PLANTA"))</f>
        <v>BOGOTA CENTRO</v>
      </c>
      <c r="F701" s="7" t="str">
        <f>IF(B701="","",IFERROR(VLOOKUP(B701, PLANTA_BASE!A:W, 8, FALSE), "DOCENTE / FACILITADOR"))</f>
        <v>DOCENTE ASIS/N/TC/DERECHO/FUN.ACADE-ADMIN</v>
      </c>
      <c r="G701" s="7" t="str">
        <f>IF(B701="","",IFERROR(VLOOKUP(B701, PLANTA_BASE!A:W, 9, FALSE), "GENERAL"))</f>
        <v>DERECHO</v>
      </c>
      <c r="H701" s="5" t="str">
        <f>IF(B701="","",IFERROR(VLOOKUP(B701, PLANTA_BASE!A:W, 17, FALSE), "GENERAL"))</f>
        <v>DERECHO</v>
      </c>
    </row>
    <row r="702" spans="1:8" ht="20.100000000000001" customHeight="1" x14ac:dyDescent="0.25">
      <c r="A702" s="2" t="str">
        <f>IF(B702="","",IFERROR(VLOOKUP(B702, PLANTA_BASE!A:W, 2, FALSE), "NO ENCONTRADO EN PLANTA"))</f>
        <v>PRESENCIAL</v>
      </c>
      <c r="B702" s="3" t="s">
        <v>1408</v>
      </c>
      <c r="C702" s="4" t="s">
        <v>1409</v>
      </c>
      <c r="D702" s="2" t="str">
        <f>IF(B702="","",IFERROR(VLOOKUP(B702, PLANTA_BASE!A:W, 5, FALSE), "NO ENCONTRADO EN PLANTA"))</f>
        <v>REGIONAL BOGOTA</v>
      </c>
      <c r="E702" s="2" t="str">
        <f>IF(B702="","",IFERROR(VLOOKUP(B702, PLANTA_BASE!A:W, 6, FALSE), "NO ENCONTRADO EN PLANTA"))</f>
        <v>BOGOTA CENTRO</v>
      </c>
      <c r="F702" s="4" t="str">
        <f>IF(B702="","",IFERROR(VLOOKUP(B702, PLANTA_BASE!A:W, 8, FALSE), "DOCENTE / FACILITADOR"))</f>
        <v>DOCENTE AUX/N/TC/ADM EMP/FUN.ACADE-ADMIN</v>
      </c>
      <c r="G702" s="4" t="str">
        <f>IF(B702="","",IFERROR(VLOOKUP(B702, PLANTA_BASE!A:W, 9, FALSE), "GENERAL"))</f>
        <v>ADMINISTRACION DE EMPRESAS</v>
      </c>
      <c r="H702" s="2" t="str">
        <f>IF(B702="","",IFERROR(VLOOKUP(B702, PLANTA_BASE!A:W, 17, FALSE), "GENERAL"))</f>
        <v>ADMINISTRACION DE EMPRESAS</v>
      </c>
    </row>
    <row r="703" spans="1:8" ht="20.100000000000001" customHeight="1" x14ac:dyDescent="0.25">
      <c r="A703" s="5" t="str">
        <f>IF(B703="","",IFERROR(VLOOKUP(B703, PLANTA_BASE!A:W, 2, FALSE), "NO ENCONTRADO EN PLANTA"))</f>
        <v>PRESENCIAL</v>
      </c>
      <c r="B703" s="6" t="s">
        <v>1410</v>
      </c>
      <c r="C703" s="7" t="s">
        <v>1411</v>
      </c>
      <c r="D703" s="5" t="str">
        <f>IF(B703="","",IFERROR(VLOOKUP(B703, PLANTA_BASE!A:W, 5, FALSE), "NO ENCONTRADO EN PLANTA"))</f>
        <v>REGIONAL BOGOTA</v>
      </c>
      <c r="E703" s="5" t="str">
        <f>IF(B703="","",IFERROR(VLOOKUP(B703, PLANTA_BASE!A:W, 6, FALSE), "NO ENCONTRADO EN PLANTA"))</f>
        <v>BOGOTA CENTRO</v>
      </c>
      <c r="F703" s="7" t="str">
        <f>IF(B703="","",IFERROR(VLOOKUP(B703, PLANTA_BASE!A:W, 8, FALSE), "DOCENTE / FACILITADOR"))</f>
        <v>DOCENTE ASIS/N/TC/DIS GRAFICO/FUN.ACADE-ADMIN</v>
      </c>
      <c r="G703" s="7" t="str">
        <f>IF(B703="","",IFERROR(VLOOKUP(B703, PLANTA_BASE!A:W, 9, FALSE), "GENERAL"))</f>
        <v>DISEÑO GRAFICO</v>
      </c>
      <c r="H703" s="5" t="str">
        <f>IF(B703="","",IFERROR(VLOOKUP(B703, PLANTA_BASE!A:W, 17, FALSE), "GENERAL"))</f>
        <v>DISEÑO GRAFICO</v>
      </c>
    </row>
    <row r="704" spans="1:8" ht="20.100000000000001" customHeight="1" x14ac:dyDescent="0.25">
      <c r="A704" s="2" t="str">
        <f>IF(B704="","",IFERROR(VLOOKUP(B704, PLANTA_BASE!A:W, 2, FALSE), "NO ENCONTRADO EN PLANTA"))</f>
        <v>VIRTUAL</v>
      </c>
      <c r="B704" s="3" t="s">
        <v>1412</v>
      </c>
      <c r="C704" s="4" t="s">
        <v>1413</v>
      </c>
      <c r="D704" s="2" t="str">
        <f>IF(B704="","",IFERROR(VLOOKUP(B704, PLANTA_BASE!A:W, 5, FALSE), "NO ENCONTRADO EN PLANTA"))</f>
        <v>REGIONAL BOGOTA</v>
      </c>
      <c r="E704" s="2" t="str">
        <f>IF(B704="","",IFERROR(VLOOKUP(B704, PLANTA_BASE!A:W, 6, FALSE), "NO ENCONTRADO EN PLANTA"))</f>
        <v>BOGOTA CENTRO</v>
      </c>
      <c r="F704" s="4" t="str">
        <f>IF(B704="","",IFERROR(VLOOKUP(B704, PLANTA_BASE!A:W, 8, FALSE), "DOCENTE / FACILITADOR"))</f>
        <v>DOC AUX/N/V/MT/SOCIOHUMANISTI</v>
      </c>
      <c r="G704" s="4" t="str">
        <f>IF(B704="","",IFERROR(VLOOKUP(B704, PLANTA_BASE!A:W, 9, FALSE), "GENERAL"))</f>
        <v>SOCIOHUMANISTICA</v>
      </c>
      <c r="H704" s="2" t="str">
        <f>IF(B704="","",IFERROR(VLOOKUP(B704, PLANTA_BASE!A:W, 17, FALSE), "GENERAL"))</f>
        <v>SOCIOHUMANISTICA</v>
      </c>
    </row>
    <row r="705" spans="1:8" ht="20.100000000000001" customHeight="1" x14ac:dyDescent="0.25">
      <c r="A705" s="5" t="str">
        <f>IF(B705="","",IFERROR(VLOOKUP(B705, PLANTA_BASE!A:W, 2, FALSE), "NO ENCONTRADO EN PLANTA"))</f>
        <v>PRESENCIAL</v>
      </c>
      <c r="B705" s="6" t="s">
        <v>1414</v>
      </c>
      <c r="C705" s="7" t="s">
        <v>1415</v>
      </c>
      <c r="D705" s="5" t="str">
        <f>IF(B705="","",IFERROR(VLOOKUP(B705, PLANTA_BASE!A:W, 5, FALSE), "NO ENCONTRADO EN PLANTA"))</f>
        <v>REGIONAL BOGOTA</v>
      </c>
      <c r="E705" s="5" t="str">
        <f>IF(B705="","",IFERROR(VLOOKUP(B705, PLANTA_BASE!A:W, 6, FALSE), "NO ENCONTRADO EN PLANTA"))</f>
        <v>BOGOTA CENTRO</v>
      </c>
      <c r="F705" s="7" t="str">
        <f>IF(B705="","",IFERROR(VLOOKUP(B705, PLANTA_BASE!A:W, 8, FALSE), "DOCENTE / FACILITADOR"))</f>
        <v>DOC AUX T&amp;T/N/MT/MAR DIG</v>
      </c>
      <c r="G705" s="7" t="str">
        <f>IF(B705="","",IFERROR(VLOOKUP(B705, PLANTA_BASE!A:W, 9, FALSE), "GENERAL"))</f>
        <v>MARKETING DIGITAL</v>
      </c>
      <c r="H705" s="5" t="str">
        <f>IF(B705="","",IFERROR(VLOOKUP(B705, PLANTA_BASE!A:W, 17, FALSE), "GENERAL"))</f>
        <v>MARKETING DIGITAL</v>
      </c>
    </row>
    <row r="706" spans="1:8" ht="20.100000000000001" customHeight="1" x14ac:dyDescent="0.25">
      <c r="A706" s="2" t="str">
        <f>IF(B706="","",IFERROR(VLOOKUP(B706, PLANTA_BASE!A:W, 2, FALSE), "NO ENCONTRADO EN PLANTA"))</f>
        <v>VIRTUAL</v>
      </c>
      <c r="B706" s="3" t="s">
        <v>1416</v>
      </c>
      <c r="C706" s="4" t="s">
        <v>1417</v>
      </c>
      <c r="D706" s="2" t="str">
        <f>IF(B706="","",IFERROR(VLOOKUP(B706, PLANTA_BASE!A:W, 5, FALSE), "NO ENCONTRADO EN PLANTA"))</f>
        <v>REGIONAL BOGOTA</v>
      </c>
      <c r="E706" s="2" t="str">
        <f>IF(B706="","",IFERROR(VLOOKUP(B706, PLANTA_BASE!A:W, 6, FALSE), "NO ENCONTRADO EN PLANTA"))</f>
        <v>BOGOTA CENTRO</v>
      </c>
      <c r="F706" s="4" t="str">
        <f>IF(B706="","",IFERROR(VLOOKUP(B706, PLANTA_BASE!A:W, 8, FALSE), "DOCENTE / FACILITADOR"))</f>
        <v>DOC ASIS/N/V/TC/SOCIOHUMANISTI/FUN.ACADE-ADMIN</v>
      </c>
      <c r="G706" s="4" t="str">
        <f>IF(B706="","",IFERROR(VLOOKUP(B706, PLANTA_BASE!A:W, 9, FALSE), "GENERAL"))</f>
        <v>SOCIOHUMANISTICA</v>
      </c>
      <c r="H706" s="2" t="str">
        <f>IF(B706="","",IFERROR(VLOOKUP(B706, PLANTA_BASE!A:W, 17, FALSE), "GENERAL"))</f>
        <v>SOCIOHUMANISTICA</v>
      </c>
    </row>
    <row r="707" spans="1:8" ht="20.100000000000001" customHeight="1" x14ac:dyDescent="0.25">
      <c r="A707" s="5" t="str">
        <f>IF(B707="","",IFERROR(VLOOKUP(B707, PLANTA_BASE!A:W, 2, FALSE), "NO ENCONTRADO EN PLANTA"))</f>
        <v>PRESENCIAL</v>
      </c>
      <c r="B707" s="6" t="s">
        <v>1418</v>
      </c>
      <c r="C707" s="7" t="s">
        <v>1419</v>
      </c>
      <c r="D707" s="5" t="str">
        <f>IF(B707="","",IFERROR(VLOOKUP(B707, PLANTA_BASE!A:W, 5, FALSE), "NO ENCONTRADO EN PLANTA"))</f>
        <v>REGIONAL BOGOTA</v>
      </c>
      <c r="E707" s="5" t="str">
        <f>IF(B707="","",IFERROR(VLOOKUP(B707, PLANTA_BASE!A:W, 6, FALSE), "NO ENCONTRADO EN PLANTA"))</f>
        <v>BOGOTA CENTRO</v>
      </c>
      <c r="F707" s="7" t="str">
        <f>IF(B707="","",IFERROR(VLOOKUP(B707, PLANTA_BASE!A:W, 8, FALSE), "DOCENTE / FACILITADOR"))</f>
        <v>DOCENTE ASIS/N/TC/COM SOC Y PER/FUN.ACADE-ADMIN</v>
      </c>
      <c r="G707" s="7" t="str">
        <f>IF(B707="","",IFERROR(VLOOKUP(B707, PLANTA_BASE!A:W, 9, FALSE), "GENERAL"))</f>
        <v>COMUNICACION SOCIAL Y PERIODISMO</v>
      </c>
      <c r="H707" s="5" t="str">
        <f>IF(B707="","",IFERROR(VLOOKUP(B707, PLANTA_BASE!A:W, 17, FALSE), "GENERAL"))</f>
        <v>COMUNICACION SOCIAL Y PERIODISMO</v>
      </c>
    </row>
    <row r="708" spans="1:8" ht="20.100000000000001" customHeight="1" x14ac:dyDescent="0.25">
      <c r="A708" s="2" t="str">
        <f>IF(B708="","",IFERROR(VLOOKUP(B708, PLANTA_BASE!A:W, 2, FALSE), "NO ENCONTRADO EN PLANTA"))</f>
        <v>PRESENCIAL</v>
      </c>
      <c r="B708" s="3" t="s">
        <v>1420</v>
      </c>
      <c r="C708" s="4" t="s">
        <v>1421</v>
      </c>
      <c r="D708" s="2" t="str">
        <f>IF(B708="","",IFERROR(VLOOKUP(B708, PLANTA_BASE!A:W, 5, FALSE), "NO ENCONTRADO EN PLANTA"))</f>
        <v>REGIONAL BOGOTA</v>
      </c>
      <c r="E708" s="2" t="str">
        <f>IF(B708="","",IFERROR(VLOOKUP(B708, PLANTA_BASE!A:W, 6, FALSE), "NO ENCONTRADO EN PLANTA"))</f>
        <v>BOGOTA CENTRO</v>
      </c>
      <c r="F708" s="4" t="str">
        <f>IF(B708="","",IFERROR(VLOOKUP(B708, PLANTA_BASE!A:W, 8, FALSE), "DOCENTE / FACILITADOR"))</f>
        <v>DOCENTE AUX/N/TC/ADM EMP/FUN.ACADE-ADMIN</v>
      </c>
      <c r="G708" s="4" t="str">
        <f>IF(B708="","",IFERROR(VLOOKUP(B708, PLANTA_BASE!A:W, 9, FALSE), "GENERAL"))</f>
        <v>ADMINISTRACION DE EMPRESAS</v>
      </c>
      <c r="H708" s="2" t="str">
        <f>IF(B708="","",IFERROR(VLOOKUP(B708, PLANTA_BASE!A:W, 17, FALSE), "GENERAL"))</f>
        <v>ADMINISTRACION DE EMPRESAS</v>
      </c>
    </row>
    <row r="709" spans="1:8" ht="20.100000000000001" customHeight="1" x14ac:dyDescent="0.25">
      <c r="A709" s="5" t="str">
        <f>IF(B709="","",IFERROR(VLOOKUP(B709, PLANTA_BASE!A:W, 2, FALSE), "NO ENCONTRADO EN PLANTA"))</f>
        <v>PRESENCIAL</v>
      </c>
      <c r="B709" s="6" t="s">
        <v>1422</v>
      </c>
      <c r="C709" s="7" t="s">
        <v>1423</v>
      </c>
      <c r="D709" s="5" t="str">
        <f>IF(B709="","",IFERROR(VLOOKUP(B709, PLANTA_BASE!A:W, 5, FALSE), "NO ENCONTRADO EN PLANTA"))</f>
        <v>REGIONAL BOGOTA</v>
      </c>
      <c r="E709" s="5" t="str">
        <f>IF(B709="","",IFERROR(VLOOKUP(B709, PLANTA_BASE!A:W, 6, FALSE), "NO ENCONTRADO EN PLANTA"))</f>
        <v>BOGOTA SUBA</v>
      </c>
      <c r="F709" s="7" t="str">
        <f>IF(B709="","",IFERROR(VLOOKUP(B709, PLANTA_BASE!A:W, 8, FALSE), "DOCENTE / FACILITADOR"))</f>
        <v>DOC AUX T&amp;T/N/MT/ING SISTEM</v>
      </c>
      <c r="G709" s="7" t="str">
        <f>IF(B709="","",IFERROR(VLOOKUP(B709, PLANTA_BASE!A:W, 9, FALSE), "GENERAL"))</f>
        <v>INGENIERIA DE SISTEMAS</v>
      </c>
      <c r="H709" s="5" t="str">
        <f>IF(B709="","",IFERROR(VLOOKUP(B709, PLANTA_BASE!A:W, 17, FALSE), "GENERAL"))</f>
        <v>INGENIERIA DE SISTEMAS</v>
      </c>
    </row>
    <row r="710" spans="1:8" ht="20.100000000000001" customHeight="1" x14ac:dyDescent="0.25">
      <c r="A710" s="2" t="str">
        <f>IF(B710="","",IFERROR(VLOOKUP(B710, PLANTA_BASE!A:W, 2, FALSE), "NO ENCONTRADO EN PLANTA"))</f>
        <v>PRESENCIAL</v>
      </c>
      <c r="B710" s="3" t="s">
        <v>1424</v>
      </c>
      <c r="C710" s="4" t="s">
        <v>1425</v>
      </c>
      <c r="D710" s="2" t="str">
        <f>IF(B710="","",IFERROR(VLOOKUP(B710, PLANTA_BASE!A:W, 5, FALSE), "NO ENCONTRADO EN PLANTA"))</f>
        <v>REGIONAL BOGOTA</v>
      </c>
      <c r="E710" s="2" t="str">
        <f>IF(B710="","",IFERROR(VLOOKUP(B710, PLANTA_BASE!A:W, 6, FALSE), "NO ENCONTRADO EN PLANTA"))</f>
        <v>BOGOTA CENTRO</v>
      </c>
      <c r="F710" s="4" t="str">
        <f>IF(B710="","",IFERROR(VLOOKUP(B710, PLANTA_BASE!A:W, 8, FALSE), "DOCENTE / FACILITADOR"))</f>
        <v>DOC AUX T&amp;T/N/MT/CIEN BASI</v>
      </c>
      <c r="G710" s="4" t="str">
        <f>IF(B710="","",IFERROR(VLOOKUP(B710, PLANTA_BASE!A:W, 9, FALSE), "GENERAL"))</f>
        <v>CIENCIAS BASICAS</v>
      </c>
      <c r="H710" s="2" t="str">
        <f>IF(B710="","",IFERROR(VLOOKUP(B710, PLANTA_BASE!A:W, 17, FALSE), "GENERAL"))</f>
        <v>CIENCIAS BASICAS</v>
      </c>
    </row>
    <row r="711" spans="1:8" ht="20.100000000000001" customHeight="1" x14ac:dyDescent="0.25">
      <c r="A711" s="5" t="str">
        <f>IF(B711="","",IFERROR(VLOOKUP(B711, PLANTA_BASE!A:W, 2, FALSE), "NO ENCONTRADO EN PLANTA"))</f>
        <v>VIRTUAL</v>
      </c>
      <c r="B711" s="6" t="s">
        <v>1426</v>
      </c>
      <c r="C711" s="7" t="s">
        <v>1427</v>
      </c>
      <c r="D711" s="5" t="str">
        <f>IF(B711="","",IFERROR(VLOOKUP(B711, PLANTA_BASE!A:W, 5, FALSE), "NO ENCONTRADO EN PLANTA"))</f>
        <v>REGIONAL BOGOTA</v>
      </c>
      <c r="E711" s="5" t="str">
        <f>IF(B711="","",IFERROR(VLOOKUP(B711, PLANTA_BASE!A:W, 6, FALSE), "NO ENCONTRADO EN PLANTA"))</f>
        <v>BOGOTA CENTRO</v>
      </c>
      <c r="F711" s="7" t="str">
        <f>IF(B711="","",IFERROR(VLOOKUP(B711, PLANTA_BASE!A:W, 8, FALSE), "DOCENTE / FACILITADOR"))</f>
        <v>DOC AUX T&amp;T/N/V/MT/MAR DIG</v>
      </c>
      <c r="G711" s="7" t="str">
        <f>IF(B711="","",IFERROR(VLOOKUP(B711, PLANTA_BASE!A:W, 9, FALSE), "GENERAL"))</f>
        <v>MARKETING DIGITAL</v>
      </c>
      <c r="H711" s="5" t="str">
        <f>IF(B711="","",IFERROR(VLOOKUP(B711, PLANTA_BASE!A:W, 17, FALSE), "GENERAL"))</f>
        <v>MARKETING DIGITAL</v>
      </c>
    </row>
    <row r="712" spans="1:8" ht="20.100000000000001" customHeight="1" x14ac:dyDescent="0.25">
      <c r="A712" s="2" t="str">
        <f>IF(B712="","",IFERROR(VLOOKUP(B712, PLANTA_BASE!A:W, 2, FALSE), "NO ENCONTRADO EN PLANTA"))</f>
        <v>PRESENCIAL</v>
      </c>
      <c r="B712" s="3" t="s">
        <v>1428</v>
      </c>
      <c r="C712" s="4" t="s">
        <v>1429</v>
      </c>
      <c r="D712" s="2" t="str">
        <f>IF(B712="","",IFERROR(VLOOKUP(B712, PLANTA_BASE!A:W, 5, FALSE), "NO ENCONTRADO EN PLANTA"))</f>
        <v>REGIONAL BOGOTA</v>
      </c>
      <c r="E712" s="2" t="str">
        <f>IF(B712="","",IFERROR(VLOOKUP(B712, PLANTA_BASE!A:W, 6, FALSE), "NO ENCONTRADO EN PLANTA"))</f>
        <v>BOGOTA CENTRO</v>
      </c>
      <c r="F712" s="4" t="str">
        <f>IF(B712="","",IFERROR(VLOOKUP(B712, PLANTA_BASE!A:W, 8, FALSE), "DOCENTE / FACILITADOR"))</f>
        <v>DOCENTE ASIS/N/MT/CIEN BASI</v>
      </c>
      <c r="G712" s="4" t="str">
        <f>IF(B712="","",IFERROR(VLOOKUP(B712, PLANTA_BASE!A:W, 9, FALSE), "GENERAL"))</f>
        <v>CIENCIAS BASICAS</v>
      </c>
      <c r="H712" s="2" t="str">
        <f>IF(B712="","",IFERROR(VLOOKUP(B712, PLANTA_BASE!A:W, 17, FALSE), "GENERAL"))</f>
        <v>CIENCIAS BASICAS</v>
      </c>
    </row>
    <row r="713" spans="1:8" ht="20.100000000000001" customHeight="1" x14ac:dyDescent="0.25">
      <c r="A713" s="5" t="str">
        <f>IF(B713="","",IFERROR(VLOOKUP(B713, PLANTA_BASE!A:W, 2, FALSE), "NO ENCONTRADO EN PLANTA"))</f>
        <v>VIRTUAL</v>
      </c>
      <c r="B713" s="6" t="s">
        <v>1430</v>
      </c>
      <c r="C713" s="7" t="s">
        <v>1431</v>
      </c>
      <c r="D713" s="5" t="str">
        <f>IF(B713="","",IFERROR(VLOOKUP(B713, PLANTA_BASE!A:W, 5, FALSE), "NO ENCONTRADO EN PLANTA"))</f>
        <v>REGIONAL BOGOTA</v>
      </c>
      <c r="E713" s="5" t="str">
        <f>IF(B713="","",IFERROR(VLOOKUP(B713, PLANTA_BASE!A:W, 6, FALSE), "NO ENCONTRADO EN PLANTA"))</f>
        <v>BOGOTA CENTRO</v>
      </c>
      <c r="F713" s="7" t="str">
        <f>IF(B713="","",IFERROR(VLOOKUP(B713, PLANTA_BASE!A:W, 8, FALSE), "DOCENTE / FACILITADOR"))</f>
        <v>DOC ASIS/N/V/TC/ESP GEREN FINAN/PROYECCI</v>
      </c>
      <c r="G713" s="7" t="str">
        <f>IF(B713="","",IFERROR(VLOOKUP(B713, PLANTA_BASE!A:W, 9, FALSE), "GENERAL"))</f>
        <v>ESPECIALIZACION EN GERENCIA FINANCIERA</v>
      </c>
      <c r="H713" s="5" t="str">
        <f>IF(B713="","",IFERROR(VLOOKUP(B713, PLANTA_BASE!A:W, 17, FALSE), "GENERAL"))</f>
        <v>ESPECIALIZACION EN GERENCIA FINANCIERA</v>
      </c>
    </row>
    <row r="714" spans="1:8" ht="20.100000000000001" customHeight="1" x14ac:dyDescent="0.25">
      <c r="A714" s="2" t="str">
        <f>IF(B714="","",IFERROR(VLOOKUP(B714, PLANTA_BASE!A:W, 2, FALSE), "NO ENCONTRADO EN PLANTA"))</f>
        <v>VIRTUAL</v>
      </c>
      <c r="B714" s="3" t="s">
        <v>1432</v>
      </c>
      <c r="C714" s="4" t="s">
        <v>1433</v>
      </c>
      <c r="D714" s="2" t="str">
        <f>IF(B714="","",IFERROR(VLOOKUP(B714, PLANTA_BASE!A:W, 5, FALSE), "NO ENCONTRADO EN PLANTA"))</f>
        <v>REGIONAL BOGOTA</v>
      </c>
      <c r="E714" s="2" t="str">
        <f>IF(B714="","",IFERROR(VLOOKUP(B714, PLANTA_BASE!A:W, 6, FALSE), "NO ENCONTRADO EN PLANTA"))</f>
        <v>BOGOTA CENTRO</v>
      </c>
      <c r="F714" s="4" t="str">
        <f>IF(B714="","",IFERROR(VLOOKUP(B714, PLANTA_BASE!A:W, 8, FALSE), "DOCENTE / FACILITADOR"))</f>
        <v>DOC ASIS/N/V/TC/INVESTIGACIONES/INVESTIG</v>
      </c>
      <c r="G714" s="4" t="str">
        <f>IF(B714="","",IFERROR(VLOOKUP(B714, PLANTA_BASE!A:W, 9, FALSE), "GENERAL"))</f>
        <v>INVESTIGACIONES</v>
      </c>
      <c r="H714" s="2" t="str">
        <f>IF(B714="","",IFERROR(VLOOKUP(B714, PLANTA_BASE!A:W, 17, FALSE), "GENERAL"))</f>
        <v>INVESTIGACIONES</v>
      </c>
    </row>
    <row r="715" spans="1:8" ht="20.100000000000001" customHeight="1" x14ac:dyDescent="0.25">
      <c r="A715" s="5" t="str">
        <f>IF(B715="","",IFERROR(VLOOKUP(B715, PLANTA_BASE!A:W, 2, FALSE), "NO ENCONTRADO EN PLANTA"))</f>
        <v>PRESENCIAL</v>
      </c>
      <c r="B715" s="6" t="s">
        <v>1434</v>
      </c>
      <c r="C715" s="7" t="s">
        <v>1435</v>
      </c>
      <c r="D715" s="5" t="str">
        <f>IF(B715="","",IFERROR(VLOOKUP(B715, PLANTA_BASE!A:W, 5, FALSE), "NO ENCONTRADO EN PLANTA"))</f>
        <v>REGIONAL BOGOTA</v>
      </c>
      <c r="E715" s="5" t="str">
        <f>IF(B715="","",IFERROR(VLOOKUP(B715, PLANTA_BASE!A:W, 6, FALSE), "NO ENCONTRADO EN PLANTA"))</f>
        <v>BOGOTA CENTRO</v>
      </c>
      <c r="F715" s="7" t="str">
        <f>IF(B715="","",IFERROR(VLOOKUP(B715, PLANTA_BASE!A:W, 8, FALSE), "DOCENTE / FACILITADOR"))</f>
        <v>DOC AUX T&amp;T/N/TC/COM SOC Y PER/FUN.ACADE-ADMIN</v>
      </c>
      <c r="G715" s="7" t="str">
        <f>IF(B715="","",IFERROR(VLOOKUP(B715, PLANTA_BASE!A:W, 9, FALSE), "GENERAL"))</f>
        <v>COMUNICACION SOCIAL Y PERIODISMO</v>
      </c>
      <c r="H715" s="5" t="str">
        <f>IF(B715="","",IFERROR(VLOOKUP(B715, PLANTA_BASE!A:W, 17, FALSE), "GENERAL"))</f>
        <v>COMUNICACION SOCIAL Y PERIODISMO</v>
      </c>
    </row>
    <row r="716" spans="1:8" ht="20.100000000000001" customHeight="1" x14ac:dyDescent="0.25">
      <c r="A716" s="2" t="str">
        <f>IF(B716="","",IFERROR(VLOOKUP(B716, PLANTA_BASE!A:W, 2, FALSE), "NO ENCONTRADO EN PLANTA"))</f>
        <v>PRESENCIAL</v>
      </c>
      <c r="B716" s="3" t="s">
        <v>1436</v>
      </c>
      <c r="C716" s="4" t="s">
        <v>1437</v>
      </c>
      <c r="D716" s="2" t="str">
        <f>IF(B716="","",IFERROR(VLOOKUP(B716, PLANTA_BASE!A:W, 5, FALSE), "NO ENCONTRADO EN PLANTA"))</f>
        <v>REGIONAL BOGOTA</v>
      </c>
      <c r="E716" s="2" t="str">
        <f>IF(B716="","",IFERROR(VLOOKUP(B716, PLANTA_BASE!A:W, 6, FALSE), "NO ENCONTRADO EN PLANTA"))</f>
        <v>BOGOTA CENTRO</v>
      </c>
      <c r="F716" s="4" t="str">
        <f>IF(B716="","",IFERROR(VLOOKUP(B716, PLANTA_BASE!A:W, 8, FALSE), "DOCENTE / FACILITADOR"))</f>
        <v>DOCENTE ASIS/N/TC/ADM EMP/FUN.ACADE-ADMIN</v>
      </c>
      <c r="G716" s="4" t="str">
        <f>IF(B716="","",IFERROR(VLOOKUP(B716, PLANTA_BASE!A:W, 9, FALSE), "GENERAL"))</f>
        <v>ADMINISTRACION DE EMPRESAS</v>
      </c>
      <c r="H716" s="2" t="str">
        <f>IF(B716="","",IFERROR(VLOOKUP(B716, PLANTA_BASE!A:W, 17, FALSE), "GENERAL"))</f>
        <v>ADMINISTRACION DE EMPRESAS</v>
      </c>
    </row>
    <row r="717" spans="1:8" ht="20.100000000000001" customHeight="1" x14ac:dyDescent="0.25">
      <c r="A717" s="5" t="str">
        <f>IF(B717="","",IFERROR(VLOOKUP(B717, PLANTA_BASE!A:W, 2, FALSE), "NO ENCONTRADO EN PLANTA"))</f>
        <v>PRESENCIAL</v>
      </c>
      <c r="B717" s="6" t="s">
        <v>1438</v>
      </c>
      <c r="C717" s="7" t="s">
        <v>1439</v>
      </c>
      <c r="D717" s="5" t="str">
        <f>IF(B717="","",IFERROR(VLOOKUP(B717, PLANTA_BASE!A:W, 5, FALSE), "NO ENCONTRADO EN PLANTA"))</f>
        <v>REGIONAL BOGOTA</v>
      </c>
      <c r="E717" s="5" t="str">
        <f>IF(B717="","",IFERROR(VLOOKUP(B717, PLANTA_BASE!A:W, 6, FALSE), "NO ENCONTRADO EN PLANTA"))</f>
        <v>BOGOTA CENTRO</v>
      </c>
      <c r="F717" s="7" t="str">
        <f>IF(B717="","",IFERROR(VLOOKUP(B717, PLANTA_BASE!A:W, 8, FALSE), "DOCENTE / FACILITADOR"))</f>
        <v>DOCENTE AUX/N/TC/DIS PROD MOD/FUN.ACADE-ADMIN</v>
      </c>
      <c r="G717" s="7" t="str">
        <f>IF(B717="","",IFERROR(VLOOKUP(B717, PLANTA_BASE!A:W, 9, FALSE), "GENERAL"))</f>
        <v>DISEÑO Y PRODUCCION DE MODAS</v>
      </c>
      <c r="H717" s="5" t="str">
        <f>IF(B717="","",IFERROR(VLOOKUP(B717, PLANTA_BASE!A:W, 17, FALSE), "GENERAL"))</f>
        <v>DISEÑO Y PRODUCCION DE MODAS</v>
      </c>
    </row>
    <row r="718" spans="1:8" ht="20.100000000000001" customHeight="1" x14ac:dyDescent="0.25">
      <c r="A718" s="2" t="str">
        <f>IF(B718="","",IFERROR(VLOOKUP(B718, PLANTA_BASE!A:W, 2, FALSE), "NO ENCONTRADO EN PLANTA"))</f>
        <v>VIRTUAL</v>
      </c>
      <c r="B718" s="3" t="s">
        <v>1440</v>
      </c>
      <c r="C718" s="4" t="s">
        <v>1441</v>
      </c>
      <c r="D718" s="2" t="str">
        <f>IF(B718="","",IFERROR(VLOOKUP(B718, PLANTA_BASE!A:W, 5, FALSE), "NO ENCONTRADO EN PLANTA"))</f>
        <v>REGIONAL BOGOTA</v>
      </c>
      <c r="E718" s="2" t="str">
        <f>IF(B718="","",IFERROR(VLOOKUP(B718, PLANTA_BASE!A:W, 6, FALSE), "NO ENCONTRADO EN PLANTA"))</f>
        <v>BOGOTA CENTRO</v>
      </c>
      <c r="F718" s="4" t="str">
        <f>IF(B718="","",IFERROR(VLOOKUP(B718, PLANTA_BASE!A:W, 8, FALSE), "DOCENTE / FACILITADOR"))</f>
        <v>DOC AUX/N/V/MT/PUB Y MERC</v>
      </c>
      <c r="G718" s="4" t="str">
        <f>IF(B718="","",IFERROR(VLOOKUP(B718, PLANTA_BASE!A:W, 9, FALSE), "GENERAL"))</f>
        <v>PUBLICIDAD Y MERCADEO</v>
      </c>
      <c r="H718" s="2" t="str">
        <f>IF(B718="","",IFERROR(VLOOKUP(B718, PLANTA_BASE!A:W, 17, FALSE), "GENERAL"))</f>
        <v>PUBLICIDAD Y MERCADEO</v>
      </c>
    </row>
    <row r="719" spans="1:8" ht="20.100000000000001" customHeight="1" x14ac:dyDescent="0.25">
      <c r="A719" s="5" t="str">
        <f>IF(B719="","",IFERROR(VLOOKUP(B719, PLANTA_BASE!A:W, 2, FALSE), "NO ENCONTRADO EN PLANTA"))</f>
        <v>VIRTUAL</v>
      </c>
      <c r="B719" s="6" t="s">
        <v>1442</v>
      </c>
      <c r="C719" s="7" t="s">
        <v>1443</v>
      </c>
      <c r="D719" s="5" t="str">
        <f>IF(B719="","",IFERROR(VLOOKUP(B719, PLANTA_BASE!A:W, 5, FALSE), "NO ENCONTRADO EN PLANTA"))</f>
        <v>REGIONAL CUNDINAMARCA</v>
      </c>
      <c r="E719" s="5" t="str">
        <f>IF(B719="","",IFERROR(VLOOKUP(B719, PLANTA_BASE!A:W, 6, FALSE), "NO ENCONTRADO EN PLANTA"))</f>
        <v>CHÍA</v>
      </c>
      <c r="F719" s="7" t="str">
        <f>IF(B719="","",IFERROR(VLOOKUP(B719, PLANTA_BASE!A:W, 8, FALSE), "DOCENTE / FACILITADOR"))</f>
        <v>DOC ASOC/N/V/TC/INVESTIGACIONES/INVESTIG</v>
      </c>
      <c r="G719" s="7" t="str">
        <f>IF(B719="","",IFERROR(VLOOKUP(B719, PLANTA_BASE!A:W, 9, FALSE), "GENERAL"))</f>
        <v>INVESTIGACIONES</v>
      </c>
      <c r="H719" s="5" t="str">
        <f>IF(B719="","",IFERROR(VLOOKUP(B719, PLANTA_BASE!A:W, 17, FALSE), "GENERAL"))</f>
        <v>INVESTIGACIONES</v>
      </c>
    </row>
    <row r="720" spans="1:8" ht="20.100000000000001" customHeight="1" x14ac:dyDescent="0.25">
      <c r="A720" s="2" t="str">
        <f>IF(B720="","",IFERROR(VLOOKUP(B720, PLANTA_BASE!A:W, 2, FALSE), "NO ENCONTRADO EN PLANTA"))</f>
        <v>PRESENCIAL</v>
      </c>
      <c r="B720" s="3" t="s">
        <v>1444</v>
      </c>
      <c r="C720" s="4" t="s">
        <v>1445</v>
      </c>
      <c r="D720" s="2" t="str">
        <f>IF(B720="","",IFERROR(VLOOKUP(B720, PLANTA_BASE!A:W, 5, FALSE), "NO ENCONTRADO EN PLANTA"))</f>
        <v>REGIONAL BOGOTA</v>
      </c>
      <c r="E720" s="2" t="str">
        <f>IF(B720="","",IFERROR(VLOOKUP(B720, PLANTA_BASE!A:W, 6, FALSE), "NO ENCONTRADO EN PLANTA"))</f>
        <v>BOGOTA CENTRO</v>
      </c>
      <c r="F720" s="4" t="str">
        <f>IF(B720="","",IFERROR(VLOOKUP(B720, PLANTA_BASE!A:W, 8, FALSE), "DOCENTE / FACILITADOR"))</f>
        <v>DOC AUX T&amp;T/N/TC/DIR PROD ME AUD/FUN.ACADE-ADMIN</v>
      </c>
      <c r="G720" s="4" t="str">
        <f>IF(B720="","",IFERROR(VLOOKUP(B720, PLANTA_BASE!A:W, 9, FALSE), "GENERAL"))</f>
        <v>DIRECCION Y PRODUCCION DE MEDIOS AUDIOVISUALES</v>
      </c>
      <c r="H720" s="2" t="str">
        <f>IF(B720="","",IFERROR(VLOOKUP(B720, PLANTA_BASE!A:W, 17, FALSE), "GENERAL"))</f>
        <v>DIRECCION Y PRODUCCION DE MEDIOS AUDIOVISUALES</v>
      </c>
    </row>
    <row r="721" spans="1:8" ht="20.100000000000001" customHeight="1" x14ac:dyDescent="0.25">
      <c r="A721" s="5" t="str">
        <f>IF(B721="","",IFERROR(VLOOKUP(B721, PLANTA_BASE!A:W, 2, FALSE), "NO ENCONTRADO EN PLANTA"))</f>
        <v>PRESENCIAL</v>
      </c>
      <c r="B721" s="6" t="s">
        <v>1446</v>
      </c>
      <c r="C721" s="7" t="s">
        <v>1447</v>
      </c>
      <c r="D721" s="5" t="str">
        <f>IF(B721="","",IFERROR(VLOOKUP(B721, PLANTA_BASE!A:W, 5, FALSE), "NO ENCONTRADO EN PLANTA"))</f>
        <v>REGIONAL BOGOTA</v>
      </c>
      <c r="E721" s="5" t="str">
        <f>IF(B721="","",IFERROR(VLOOKUP(B721, PLANTA_BASE!A:W, 6, FALSE), "NO ENCONTRADO EN PLANTA"))</f>
        <v>BOGOTA CENTRO</v>
      </c>
      <c r="F721" s="7" t="str">
        <f>IF(B721="","",IFERROR(VLOOKUP(B721, PLANTA_BASE!A:W, 8, FALSE), "DOCENTE / FACILITADOR"))</f>
        <v>DOCENTE AUX/N/TC/INVESTIGA/INVESTIGACION</v>
      </c>
      <c r="G721" s="7" t="str">
        <f>IF(B721="","",IFERROR(VLOOKUP(B721, PLANTA_BASE!A:W, 9, FALSE), "GENERAL"))</f>
        <v>INVESTIGACIONES</v>
      </c>
      <c r="H721" s="5" t="str">
        <f>IF(B721="","",IFERROR(VLOOKUP(B721, PLANTA_BASE!A:W, 17, FALSE), "GENERAL"))</f>
        <v>INVESTIGACIONES</v>
      </c>
    </row>
    <row r="722" spans="1:8" ht="20.100000000000001" customHeight="1" x14ac:dyDescent="0.25">
      <c r="A722" s="2" t="str">
        <f>IF(B722="","",IFERROR(VLOOKUP(B722, PLANTA_BASE!A:W, 2, FALSE), "NO ENCONTRADO EN PLANTA"))</f>
        <v>VIRTUAL</v>
      </c>
      <c r="B722" s="3" t="s">
        <v>1448</v>
      </c>
      <c r="C722" s="4" t="s">
        <v>1449</v>
      </c>
      <c r="D722" s="2" t="str">
        <f>IF(B722="","",IFERROR(VLOOKUP(B722, PLANTA_BASE!A:W, 5, FALSE), "NO ENCONTRADO EN PLANTA"))</f>
        <v>REGIONAL BOGOTA</v>
      </c>
      <c r="E722" s="2" t="str">
        <f>IF(B722="","",IFERROR(VLOOKUP(B722, PLANTA_BASE!A:W, 6, FALSE), "NO ENCONTRADO EN PLANTA"))</f>
        <v>BOGOTA CENTRO</v>
      </c>
      <c r="F722" s="4" t="str">
        <f>IF(B722="","",IFERROR(VLOOKUP(B722, PLANTA_BASE!A:W, 8, FALSE), "DOCENTE / FACILITADOR"))</f>
        <v>DOC AUX T&amp;T/N/V/MT/CIENCIAS BASI</v>
      </c>
      <c r="G722" s="4" t="str">
        <f>IF(B722="","",IFERROR(VLOOKUP(B722, PLANTA_BASE!A:W, 9, FALSE), "GENERAL"))</f>
        <v>CIENCIAS BASICAS</v>
      </c>
      <c r="H722" s="2" t="str">
        <f>IF(B722="","",IFERROR(VLOOKUP(B722, PLANTA_BASE!A:W, 17, FALSE), "GENERAL"))</f>
        <v>CIENCIAS BASICAS</v>
      </c>
    </row>
    <row r="723" spans="1:8" ht="20.100000000000001" customHeight="1" x14ac:dyDescent="0.25">
      <c r="A723" s="5" t="str">
        <f>IF(B723="","",IFERROR(VLOOKUP(B723, PLANTA_BASE!A:W, 2, FALSE), "NO ENCONTRADO EN PLANTA"))</f>
        <v>VIRTUAL</v>
      </c>
      <c r="B723" s="6" t="s">
        <v>1450</v>
      </c>
      <c r="C723" s="7" t="s">
        <v>1451</v>
      </c>
      <c r="D723" s="5" t="str">
        <f>IF(B723="","",IFERROR(VLOOKUP(B723, PLANTA_BASE!A:W, 5, FALSE), "NO ENCONTRADO EN PLANTA"))</f>
        <v>REGIONAL BOGOTA</v>
      </c>
      <c r="E723" s="5" t="str">
        <f>IF(B723="","",IFERROR(VLOOKUP(B723, PLANTA_BASE!A:W, 6, FALSE), "NO ENCONTRADO EN PLANTA"))</f>
        <v>BOGOTA CENTRO</v>
      </c>
      <c r="F723" s="7" t="str">
        <f>IF(B723="","",IFERROR(VLOOKUP(B723, PLANTA_BASE!A:W, 8, FALSE), "DOCENTE / FACILITADOR"))</f>
        <v>DOC AUX T&amp;T/N/V/TC/DIR PROD ME AUD/FUN.ACADE-ADMIN</v>
      </c>
      <c r="G723" s="7" t="str">
        <f>IF(B723="","",IFERROR(VLOOKUP(B723, PLANTA_BASE!A:W, 9, FALSE), "GENERAL"))</f>
        <v>DIRECCION Y PRODUCCION DE MEDIOS AUDIOVISUALES</v>
      </c>
      <c r="H723" s="5" t="str">
        <f>IF(B723="","",IFERROR(VLOOKUP(B723, PLANTA_BASE!A:W, 17, FALSE), "GENERAL"))</f>
        <v>DIRECCION Y PRODUCCION DE MEDIOS AUDIOVISUALES</v>
      </c>
    </row>
    <row r="724" spans="1:8" ht="20.100000000000001" customHeight="1" x14ac:dyDescent="0.25">
      <c r="A724" s="2" t="str">
        <f>IF(B724="","",IFERROR(VLOOKUP(B724, PLANTA_BASE!A:W, 2, FALSE), "NO ENCONTRADO EN PLANTA"))</f>
        <v>PRESENCIAL</v>
      </c>
      <c r="B724" s="3" t="s">
        <v>1452</v>
      </c>
      <c r="C724" s="4" t="s">
        <v>1453</v>
      </c>
      <c r="D724" s="2" t="str">
        <f>IF(B724="","",IFERROR(VLOOKUP(B724, PLANTA_BASE!A:W, 5, FALSE), "NO ENCONTRADO EN PLANTA"))</f>
        <v>REGIONAL BOGOTA</v>
      </c>
      <c r="E724" s="2" t="str">
        <f>IF(B724="","",IFERROR(VLOOKUP(B724, PLANTA_BASE!A:W, 6, FALSE), "NO ENCONTRADO EN PLANTA"))</f>
        <v>BOGOTA CENTRO</v>
      </c>
      <c r="F724" s="4" t="str">
        <f>IF(B724="","",IFERROR(VLOOKUP(B724, PLANTA_BASE!A:W, 8, FALSE), "DOCENTE / FACILITADOR"))</f>
        <v>DOC AUX T&amp;T/N/TC/COM SOC Y PER/FUN.ACADE-ADMIN</v>
      </c>
      <c r="G724" s="4" t="str">
        <f>IF(B724="","",IFERROR(VLOOKUP(B724, PLANTA_BASE!A:W, 9, FALSE), "GENERAL"))</f>
        <v>COMUNICACION SOCIAL Y PERIODISMO</v>
      </c>
      <c r="H724" s="2" t="str">
        <f>IF(B724="","",IFERROR(VLOOKUP(B724, PLANTA_BASE!A:W, 17, FALSE), "GENERAL"))</f>
        <v>COMUNICACION SOCIAL Y PERIODISMO</v>
      </c>
    </row>
    <row r="725" spans="1:8" ht="20.100000000000001" customHeight="1" x14ac:dyDescent="0.25">
      <c r="A725" s="5" t="str">
        <f>IF(B725="","",IFERROR(VLOOKUP(B725, PLANTA_BASE!A:W, 2, FALSE), "NO ENCONTRADO EN PLANTA"))</f>
        <v>VIRTUAL</v>
      </c>
      <c r="B725" s="6" t="s">
        <v>1454</v>
      </c>
      <c r="C725" s="7" t="s">
        <v>1455</v>
      </c>
      <c r="D725" s="5" t="str">
        <f>IF(B725="","",IFERROR(VLOOKUP(B725, PLANTA_BASE!A:W, 5, FALSE), "NO ENCONTRADO EN PLANTA"))</f>
        <v>REGIONAL BOGOTA</v>
      </c>
      <c r="E725" s="5" t="str">
        <f>IF(B725="","",IFERROR(VLOOKUP(B725, PLANTA_BASE!A:W, 6, FALSE), "NO ENCONTRADO EN PLANTA"))</f>
        <v>BOGOTA CENTRO</v>
      </c>
      <c r="F725" s="7" t="str">
        <f>IF(B725="","",IFERROR(VLOOKUP(B725, PLANTA_BASE!A:W, 8, FALSE), "DOCENTE / FACILITADOR"))</f>
        <v>DOC ASIS/N/V/MT/CIENCIAS BASI</v>
      </c>
      <c r="G725" s="7" t="str">
        <f>IF(B725="","",IFERROR(VLOOKUP(B725, PLANTA_BASE!A:W, 9, FALSE), "GENERAL"))</f>
        <v>CIENCIAS BASICAS</v>
      </c>
      <c r="H725" s="5" t="str">
        <f>IF(B725="","",IFERROR(VLOOKUP(B725, PLANTA_BASE!A:W, 17, FALSE), "GENERAL"))</f>
        <v>CIENCIAS BASICAS</v>
      </c>
    </row>
    <row r="726" spans="1:8" ht="20.100000000000001" customHeight="1" x14ac:dyDescent="0.25">
      <c r="A726" s="2" t="str">
        <f>IF(B726="","",IFERROR(VLOOKUP(B726, PLANTA_BASE!A:W, 2, FALSE), "NO ENCONTRADO EN PLANTA"))</f>
        <v>PRESENCIAL</v>
      </c>
      <c r="B726" s="3" t="s">
        <v>1456</v>
      </c>
      <c r="C726" s="4" t="s">
        <v>1457</v>
      </c>
      <c r="D726" s="2" t="str">
        <f>IF(B726="","",IFERROR(VLOOKUP(B726, PLANTA_BASE!A:W, 5, FALSE), "NO ENCONTRADO EN PLANTA"))</f>
        <v>REGIONAL BOGOTA</v>
      </c>
      <c r="E726" s="2" t="str">
        <f>IF(B726="","",IFERROR(VLOOKUP(B726, PLANTA_BASE!A:W, 6, FALSE), "NO ENCONTRADO EN PLANTA"))</f>
        <v>BOGOTA NORTE</v>
      </c>
      <c r="F726" s="4" t="str">
        <f>IF(B726="","",IFERROR(VLOOKUP(B726, PLANTA_BASE!A:W, 8, FALSE), "DOCENTE / FACILITADOR"))</f>
        <v>DOCENTE AUX/N/TC/INVESTIGA/INVESTIGACION</v>
      </c>
      <c r="G726" s="4" t="str">
        <f>IF(B726="","",IFERROR(VLOOKUP(B726, PLANTA_BASE!A:W, 9, FALSE), "GENERAL"))</f>
        <v>INVESTIGACIONES</v>
      </c>
      <c r="H726" s="2" t="str">
        <f>IF(B726="","",IFERROR(VLOOKUP(B726, PLANTA_BASE!A:W, 17, FALSE), "GENERAL"))</f>
        <v>INVESTIGACIONES</v>
      </c>
    </row>
    <row r="727" spans="1:8" ht="20.100000000000001" customHeight="1" x14ac:dyDescent="0.25">
      <c r="A727" s="5" t="str">
        <f>IF(B727="","",IFERROR(VLOOKUP(B727, PLANTA_BASE!A:W, 2, FALSE), "NO ENCONTRADO EN PLANTA"))</f>
        <v>PRESENCIAL</v>
      </c>
      <c r="B727" s="6" t="s">
        <v>1458</v>
      </c>
      <c r="C727" s="7" t="s">
        <v>1459</v>
      </c>
      <c r="D727" s="5" t="str">
        <f>IF(B727="","",IFERROR(VLOOKUP(B727, PLANTA_BASE!A:W, 5, FALSE), "NO ENCONTRADO EN PLANTA"))</f>
        <v>REGIONAL BOGOTA</v>
      </c>
      <c r="E727" s="5" t="str">
        <f>IF(B727="","",IFERROR(VLOOKUP(B727, PLANTA_BASE!A:W, 6, FALSE), "NO ENCONTRADO EN PLANTA"))</f>
        <v>BOGOTA CENTRO</v>
      </c>
      <c r="F727" s="7" t="str">
        <f>IF(B727="","",IFERROR(VLOOKUP(B727, PLANTA_BASE!A:W, 8, FALSE), "DOCENTE / FACILITADOR"))</f>
        <v>DOC AUX T&amp;T/N/MT/DIS EXP INT</v>
      </c>
      <c r="G727" s="7" t="str">
        <f>IF(B727="","",IFERROR(VLOOKUP(B727, PLANTA_BASE!A:W, 9, FALSE), "GENERAL"))</f>
        <v>DISEÑO EXPERIENCIAS INTERACTIVAS</v>
      </c>
      <c r="H727" s="5" t="str">
        <f>IF(B727="","",IFERROR(VLOOKUP(B727, PLANTA_BASE!A:W, 17, FALSE), "GENERAL"))</f>
        <v>DISEÑO EXPERIENCIAS INTERACTIVAS</v>
      </c>
    </row>
    <row r="728" spans="1:8" ht="20.100000000000001" customHeight="1" x14ac:dyDescent="0.25">
      <c r="A728" s="2" t="str">
        <f>IF(B728="","",IFERROR(VLOOKUP(B728, PLANTA_BASE!A:W, 2, FALSE), "NO ENCONTRADO EN PLANTA"))</f>
        <v>PRESENCIAL</v>
      </c>
      <c r="B728" s="3" t="s">
        <v>1460</v>
      </c>
      <c r="C728" s="4" t="s">
        <v>1461</v>
      </c>
      <c r="D728" s="2" t="str">
        <f>IF(B728="","",IFERROR(VLOOKUP(B728, PLANTA_BASE!A:W, 5, FALSE), "NO ENCONTRADO EN PLANTA"))</f>
        <v>REGIONAL BOGOTA</v>
      </c>
      <c r="E728" s="2" t="str">
        <f>IF(B728="","",IFERROR(VLOOKUP(B728, PLANTA_BASE!A:W, 6, FALSE), "NO ENCONTRADO EN PLANTA"))</f>
        <v>BOGOTA CENTRO</v>
      </c>
      <c r="F728" s="4" t="str">
        <f>IF(B728="","",IFERROR(VLOOKUP(B728, PLANTA_BASE!A:W, 8, FALSE), "DOCENTE / FACILITADOR"))</f>
        <v>DOCENTE AUX/N/MT-ADM SER SALU</v>
      </c>
      <c r="G728" s="4" t="str">
        <f>IF(B728="","",IFERROR(VLOOKUP(B728, PLANTA_BASE!A:W, 9, FALSE), "GENERAL"))</f>
        <v>ADMINISTRACION EN SERVICIOS DE SALUD</v>
      </c>
      <c r="H728" s="2" t="str">
        <f>IF(B728="","",IFERROR(VLOOKUP(B728, PLANTA_BASE!A:W, 17, FALSE), "GENERAL"))</f>
        <v>ADMINISTRACION EN SERVICIOS DE SALUD</v>
      </c>
    </row>
    <row r="729" spans="1:8" ht="20.100000000000001" customHeight="1" x14ac:dyDescent="0.25">
      <c r="A729" s="5" t="str">
        <f>IF(B729="","",IFERROR(VLOOKUP(B729, PLANTA_BASE!A:W, 2, FALSE), "NO ENCONTRADO EN PLANTA"))</f>
        <v>PRESENCIAL</v>
      </c>
      <c r="B729" s="6" t="s">
        <v>1462</v>
      </c>
      <c r="C729" s="7" t="s">
        <v>1463</v>
      </c>
      <c r="D729" s="5" t="str">
        <f>IF(B729="","",IFERROR(VLOOKUP(B729, PLANTA_BASE!A:W, 5, FALSE), "NO ENCONTRADO EN PLANTA"))</f>
        <v>REGIONAL BOGOTA</v>
      </c>
      <c r="E729" s="5" t="str">
        <f>IF(B729="","",IFERROR(VLOOKUP(B729, PLANTA_BASE!A:W, 6, FALSE), "NO ENCONTRADO EN PLANTA"))</f>
        <v>BOGOTA CENTRO</v>
      </c>
      <c r="F729" s="7" t="str">
        <f>IF(B729="","",IFERROR(VLOOKUP(B729, PLANTA_BASE!A:W, 8, FALSE), "DOCENTE / FACILITADOR"))</f>
        <v>DOCENTE ASIS/N/TC/DIR PROD ME AUD/FUN.ACADE-ADMIN</v>
      </c>
      <c r="G729" s="7" t="str">
        <f>IF(B729="","",IFERROR(VLOOKUP(B729, PLANTA_BASE!A:W, 9, FALSE), "GENERAL"))</f>
        <v>DIRECCION Y PRODUCCION DE MEDIOS AUDIOVISUALES</v>
      </c>
      <c r="H729" s="5" t="str">
        <f>IF(B729="","",IFERROR(VLOOKUP(B729, PLANTA_BASE!A:W, 17, FALSE), "GENERAL"))</f>
        <v>DIRECCION Y PRODUCCION DE MEDIOS AUDIOVISUALES</v>
      </c>
    </row>
    <row r="730" spans="1:8" ht="20.100000000000001" customHeight="1" x14ac:dyDescent="0.25">
      <c r="A730" s="2" t="str">
        <f>IF(B730="","",IFERROR(VLOOKUP(B730, PLANTA_BASE!A:W, 2, FALSE), "NO ENCONTRADO EN PLANTA"))</f>
        <v>PRESENCIAL</v>
      </c>
      <c r="B730" s="3" t="s">
        <v>1464</v>
      </c>
      <c r="C730" s="4" t="s">
        <v>1465</v>
      </c>
      <c r="D730" s="2" t="str">
        <f>IF(B730="","",IFERROR(VLOOKUP(B730, PLANTA_BASE!A:W, 5, FALSE), "NO ENCONTRADO EN PLANTA"))</f>
        <v>REGIONAL BOGOTA</v>
      </c>
      <c r="E730" s="2" t="str">
        <f>IF(B730="","",IFERROR(VLOOKUP(B730, PLANTA_BASE!A:W, 6, FALSE), "NO ENCONTRADO EN PLANTA"))</f>
        <v>BOGOTA CENTRO</v>
      </c>
      <c r="F730" s="4" t="str">
        <f>IF(B730="","",IFERROR(VLOOKUP(B730, PLANTA_BASE!A:W, 8, FALSE), "DOCENTE / FACILITADOR"))</f>
        <v>DOC AUX T&amp;T/N/TC/DIR PROD ME AUD/FUN.ACADE-ADMIN</v>
      </c>
      <c r="G730" s="4" t="str">
        <f>IF(B730="","",IFERROR(VLOOKUP(B730, PLANTA_BASE!A:W, 9, FALSE), "GENERAL"))</f>
        <v>DIRECCION Y PRODUCCION DE MEDIOS AUDIOVISUALES</v>
      </c>
      <c r="H730" s="2" t="str">
        <f>IF(B730="","",IFERROR(VLOOKUP(B730, PLANTA_BASE!A:W, 17, FALSE), "GENERAL"))</f>
        <v>DIRECCION Y PRODUCCION DE MEDIOS AUDIOVISUALES</v>
      </c>
    </row>
    <row r="731" spans="1:8" ht="20.100000000000001" customHeight="1" x14ac:dyDescent="0.25">
      <c r="A731" s="5" t="str">
        <f>IF(B731="","",IFERROR(VLOOKUP(B731, PLANTA_BASE!A:W, 2, FALSE), "NO ENCONTRADO EN PLANTA"))</f>
        <v>PRESENCIAL</v>
      </c>
      <c r="B731" s="6" t="s">
        <v>1466</v>
      </c>
      <c r="C731" s="7" t="s">
        <v>1467</v>
      </c>
      <c r="D731" s="5" t="str">
        <f>IF(B731="","",IFERROR(VLOOKUP(B731, PLANTA_BASE!A:W, 5, FALSE), "NO ENCONTRADO EN PLANTA"))</f>
        <v>REGIONAL BOGOTA</v>
      </c>
      <c r="E731" s="5" t="str">
        <f>IF(B731="","",IFERROR(VLOOKUP(B731, PLANTA_BASE!A:W, 6, FALSE), "NO ENCONTRADO EN PLANTA"))</f>
        <v>BOGOTA CENTRO</v>
      </c>
      <c r="F731" s="7" t="str">
        <f>IF(B731="","",IFERROR(VLOOKUP(B731, PLANTA_BASE!A:W, 8, FALSE), "DOCENTE / FACILITADOR"))</f>
        <v>DOCENTE AUX/N/TC/ADM TUR Y HOT/FUN.ACADE-ADMIN</v>
      </c>
      <c r="G731" s="7" t="str">
        <f>IF(B731="","",IFERROR(VLOOKUP(B731, PLANTA_BASE!A:W, 9, FALSE), "GENERAL"))</f>
        <v>ADMINISTRACION TURISTICA Y HOTELERA</v>
      </c>
      <c r="H731" s="5" t="str">
        <f>IF(B731="","",IFERROR(VLOOKUP(B731, PLANTA_BASE!A:W, 17, FALSE), "GENERAL"))</f>
        <v>ADMINISTRACION TURISTICA Y HOTELERA</v>
      </c>
    </row>
    <row r="732" spans="1:8" ht="20.100000000000001" customHeight="1" x14ac:dyDescent="0.25">
      <c r="A732" s="2" t="str">
        <f>IF(B732="","",IFERROR(VLOOKUP(B732, PLANTA_BASE!A:W, 2, FALSE), "NO ENCONTRADO EN PLANTA"))</f>
        <v>PRESENCIAL</v>
      </c>
      <c r="B732" s="3" t="s">
        <v>1468</v>
      </c>
      <c r="C732" s="4" t="s">
        <v>1469</v>
      </c>
      <c r="D732" s="2" t="str">
        <f>IF(B732="","",IFERROR(VLOOKUP(B732, PLANTA_BASE!A:W, 5, FALSE), "NO ENCONTRADO EN PLANTA"))</f>
        <v>REGIONAL BOGOTA</v>
      </c>
      <c r="E732" s="2" t="str">
        <f>IF(B732="","",IFERROR(VLOOKUP(B732, PLANTA_BASE!A:W, 6, FALSE), "NO ENCONTRADO EN PLANTA"))</f>
        <v>BOGOTA CENTRO</v>
      </c>
      <c r="F732" s="4" t="str">
        <f>IF(B732="","",IFERROR(VLOOKUP(B732, PLANTA_BASE!A:W, 8, FALSE), "DOCENTE / FACILITADOR"))</f>
        <v>DOCENTE AUX/N/TC/DIS GRAFICO/FUN.ACADE-ADMIN</v>
      </c>
      <c r="G732" s="4" t="str">
        <f>IF(B732="","",IFERROR(VLOOKUP(B732, PLANTA_BASE!A:W, 9, FALSE), "GENERAL"))</f>
        <v>DISEÑO GRAFICO</v>
      </c>
      <c r="H732" s="2" t="str">
        <f>IF(B732="","",IFERROR(VLOOKUP(B732, PLANTA_BASE!A:W, 17, FALSE), "GENERAL"))</f>
        <v>DISEÑO GRAFICO</v>
      </c>
    </row>
    <row r="733" spans="1:8" ht="20.100000000000001" customHeight="1" x14ac:dyDescent="0.25">
      <c r="A733" s="5" t="str">
        <f>IF(B733="","",IFERROR(VLOOKUP(B733, PLANTA_BASE!A:W, 2, FALSE), "NO ENCONTRADO EN PLANTA"))</f>
        <v>PRESENCIAL</v>
      </c>
      <c r="B733" s="6" t="s">
        <v>1470</v>
      </c>
      <c r="C733" s="7" t="s">
        <v>1471</v>
      </c>
      <c r="D733" s="5" t="str">
        <f>IF(B733="","",IFERROR(VLOOKUP(B733, PLANTA_BASE!A:W, 5, FALSE), "NO ENCONTRADO EN PLANTA"))</f>
        <v>REGIONAL BOGOTA</v>
      </c>
      <c r="E733" s="5" t="str">
        <f>IF(B733="","",IFERROR(VLOOKUP(B733, PLANTA_BASE!A:W, 6, FALSE), "NO ENCONTRADO EN PLANTA"))</f>
        <v>BOGOTA CENTRO</v>
      </c>
      <c r="F733" s="7" t="str">
        <f>IF(B733="","",IFERROR(VLOOKUP(B733, PLANTA_BASE!A:W, 8, FALSE), "DOCENTE / FACILITADOR"))</f>
        <v>DOCENTE ASIS/N/TC/ADM EMP/FUN.ACADE-ADMIN</v>
      </c>
      <c r="G733" s="7" t="str">
        <f>IF(B733="","",IFERROR(VLOOKUP(B733, PLANTA_BASE!A:W, 9, FALSE), "GENERAL"))</f>
        <v>ADMINISTRACION DE EMPRESAS</v>
      </c>
      <c r="H733" s="5" t="str">
        <f>IF(B733="","",IFERROR(VLOOKUP(B733, PLANTA_BASE!A:W, 17, FALSE), "GENERAL"))</f>
        <v>ADMINISTRACION DE EMPRESAS</v>
      </c>
    </row>
    <row r="734" spans="1:8" ht="20.100000000000001" customHeight="1" x14ac:dyDescent="0.25">
      <c r="A734" s="2" t="str">
        <f>IF(B734="","",IFERROR(VLOOKUP(B734, PLANTA_BASE!A:W, 2, FALSE), "NO ENCONTRADO EN PLANTA"))</f>
        <v>VIRTUAL</v>
      </c>
      <c r="B734" s="3" t="s">
        <v>1472</v>
      </c>
      <c r="C734" s="4" t="s">
        <v>1473</v>
      </c>
      <c r="D734" s="2" t="str">
        <f>IF(B734="","",IFERROR(VLOOKUP(B734, PLANTA_BASE!A:W, 5, FALSE), "NO ENCONTRADO EN PLANTA"))</f>
        <v>REGIONAL BOGOTA</v>
      </c>
      <c r="E734" s="2" t="str">
        <f>IF(B734="","",IFERROR(VLOOKUP(B734, PLANTA_BASE!A:W, 6, FALSE), "NO ENCONTRADO EN PLANTA"))</f>
        <v>BOGOTA CENTRO</v>
      </c>
      <c r="F734" s="4" t="str">
        <f>IF(B734="","",IFERROR(VLOOKUP(B734, PLANTA_BASE!A:W, 8, FALSE), "DOCENTE / FACILITADOR"))</f>
        <v>DOC ASIS/N/V/TC/DIR PROD ME AUD/FUN.ACA</v>
      </c>
      <c r="G734" s="4" t="str">
        <f>IF(B734="","",IFERROR(VLOOKUP(B734, PLANTA_BASE!A:W, 9, FALSE), "GENERAL"))</f>
        <v>DIRECCION Y PRODUCCION DE MEDIOS AUDIOVISUALES</v>
      </c>
      <c r="H734" s="2" t="str">
        <f>IF(B734="","",IFERROR(VLOOKUP(B734, PLANTA_BASE!A:W, 17, FALSE), "GENERAL"))</f>
        <v>DIRECCION Y PRODUCCION DE MEDIOS AUDIOVISUALES</v>
      </c>
    </row>
    <row r="735" spans="1:8" ht="20.100000000000001" customHeight="1" x14ac:dyDescent="0.25">
      <c r="A735" s="5" t="str">
        <f>IF(B735="","",IFERROR(VLOOKUP(B735, PLANTA_BASE!A:W, 2, FALSE), "NO ENCONTRADO EN PLANTA"))</f>
        <v>PRESENCIAL</v>
      </c>
      <c r="B735" s="6" t="s">
        <v>1474</v>
      </c>
      <c r="C735" s="7" t="s">
        <v>1475</v>
      </c>
      <c r="D735" s="5" t="str">
        <f>IF(B735="","",IFERROR(VLOOKUP(B735, PLANTA_BASE!A:W, 5, FALSE), "NO ENCONTRADO EN PLANTA"))</f>
        <v>REGIONAL BOGOTA</v>
      </c>
      <c r="E735" s="5" t="str">
        <f>IF(B735="","",IFERROR(VLOOKUP(B735, PLANTA_BASE!A:W, 6, FALSE), "NO ENCONTRADO EN PLANTA"))</f>
        <v>BOGOTA CENTRO</v>
      </c>
      <c r="F735" s="7" t="str">
        <f>IF(B735="","",IFERROR(VLOOKUP(B735, PLANTA_BASE!A:W, 8, FALSE), "DOCENTE / FACILITADOR"))</f>
        <v>DOCENTE ASIS/N/TC/NEGO INTER/FUN.ACADE-ADMIN</v>
      </c>
      <c r="G735" s="7" t="str">
        <f>IF(B735="","",IFERROR(VLOOKUP(B735, PLANTA_BASE!A:W, 9, FALSE), "GENERAL"))</f>
        <v>NEGOCIOS INTERNACIONALES</v>
      </c>
      <c r="H735" s="5" t="str">
        <f>IF(B735="","",IFERROR(VLOOKUP(B735, PLANTA_BASE!A:W, 17, FALSE), "GENERAL"))</f>
        <v>NEGOCIOS INTERNACIONALES</v>
      </c>
    </row>
    <row r="736" spans="1:8" ht="20.100000000000001" customHeight="1" x14ac:dyDescent="0.25">
      <c r="A736" s="2" t="str">
        <f>IF(B736="","",IFERROR(VLOOKUP(B736, PLANTA_BASE!A:W, 2, FALSE), "NO ENCONTRADO EN PLANTA"))</f>
        <v>PRESENCIAL</v>
      </c>
      <c r="B736" s="3" t="s">
        <v>1476</v>
      </c>
      <c r="C736" s="4" t="s">
        <v>1477</v>
      </c>
      <c r="D736" s="2" t="str">
        <f>IF(B736="","",IFERROR(VLOOKUP(B736, PLANTA_BASE!A:W, 5, FALSE), "NO ENCONTRADO EN PLANTA"))</f>
        <v>REGIONAL BOGOTA</v>
      </c>
      <c r="E736" s="2" t="str">
        <f>IF(B736="","",IFERROR(VLOOKUP(B736, PLANTA_BASE!A:W, 6, FALSE), "NO ENCONTRADO EN PLANTA"))</f>
        <v>BOGOTA CENTRO</v>
      </c>
      <c r="F736" s="4" t="str">
        <f>IF(B736="","",IFERROR(VLOOKUP(B736, PLANTA_BASE!A:W, 8, FALSE), "DOCENTE / FACILITADOR"))</f>
        <v>DOC AUX T&amp;T/N/TC/EMPRENDIMIE/FUN.ACADE-ADMIN</v>
      </c>
      <c r="G736" s="4" t="str">
        <f>IF(B736="","",IFERROR(VLOOKUP(B736, PLANTA_BASE!A:W, 9, FALSE), "GENERAL"))</f>
        <v>EMPRENDIMIENTO</v>
      </c>
      <c r="H736" s="2" t="str">
        <f>IF(B736="","",IFERROR(VLOOKUP(B736, PLANTA_BASE!A:W, 17, FALSE), "GENERAL"))</f>
        <v>EMPRENDIMIENTO</v>
      </c>
    </row>
    <row r="737" spans="1:8" ht="20.100000000000001" customHeight="1" x14ac:dyDescent="0.25">
      <c r="A737" s="5" t="str">
        <f>IF(B737="","",IFERROR(VLOOKUP(B737, PLANTA_BASE!A:W, 2, FALSE), "NO ENCONTRADO EN PLANTA"))</f>
        <v>PRESENCIAL</v>
      </c>
      <c r="B737" s="6" t="s">
        <v>1478</v>
      </c>
      <c r="C737" s="7" t="s">
        <v>1479</v>
      </c>
      <c r="D737" s="5" t="str">
        <f>IF(B737="","",IFERROR(VLOOKUP(B737, PLANTA_BASE!A:W, 5, FALSE), "NO ENCONTRADO EN PLANTA"))</f>
        <v>REGIONAL BOGOTA</v>
      </c>
      <c r="E737" s="5" t="str">
        <f>IF(B737="","",IFERROR(VLOOKUP(B737, PLANTA_BASE!A:W, 6, FALSE), "NO ENCONTRADO EN PLANTA"))</f>
        <v>BOGOTA CENTRO</v>
      </c>
      <c r="F737" s="7" t="str">
        <f>IF(B737="","",IFERROR(VLOOKUP(B737, PLANTA_BASE!A:W, 8, FALSE), "DOCENTE / FACILITADOR"))</f>
        <v>DOCENTE AUX/N/TC/INVESTIGA/INVESTIGACION</v>
      </c>
      <c r="G737" s="7" t="str">
        <f>IF(B737="","",IFERROR(VLOOKUP(B737, PLANTA_BASE!A:W, 9, FALSE), "GENERAL"))</f>
        <v>INVESTIGACIONES</v>
      </c>
      <c r="H737" s="5" t="str">
        <f>IF(B737="","",IFERROR(VLOOKUP(B737, PLANTA_BASE!A:W, 17, FALSE), "GENERAL"))</f>
        <v>INVESTIGACIONES</v>
      </c>
    </row>
    <row r="738" spans="1:8" ht="20.100000000000001" customHeight="1" x14ac:dyDescent="0.25">
      <c r="A738" s="2" t="str">
        <f>IF(B738="","",IFERROR(VLOOKUP(B738, PLANTA_BASE!A:W, 2, FALSE), "NO ENCONTRADO EN PLANTA"))</f>
        <v>PRESENCIAL</v>
      </c>
      <c r="B738" s="3" t="s">
        <v>1480</v>
      </c>
      <c r="C738" s="4" t="s">
        <v>1481</v>
      </c>
      <c r="D738" s="2" t="str">
        <f>IF(B738="","",IFERROR(VLOOKUP(B738, PLANTA_BASE!A:W, 5, FALSE), "NO ENCONTRADO EN PLANTA"))</f>
        <v>REGIONAL BOGOTA</v>
      </c>
      <c r="E738" s="2" t="str">
        <f>IF(B738="","",IFERROR(VLOOKUP(B738, PLANTA_BASE!A:W, 6, FALSE), "NO ENCONTRADO EN PLANTA"))</f>
        <v>BOGOTA CENTRO</v>
      </c>
      <c r="F738" s="4" t="str">
        <f>IF(B738="","",IFERROR(VLOOKUP(B738, PLANTA_BASE!A:W, 8, FALSE), "DOCENTE / FACILITADOR"))</f>
        <v>DOCENTE ASIS/N/TC/ADM EMP/FUN.ACADE-ADMIN</v>
      </c>
      <c r="G738" s="4" t="str">
        <f>IF(B738="","",IFERROR(VLOOKUP(B738, PLANTA_BASE!A:W, 9, FALSE), "GENERAL"))</f>
        <v>ADMINISTRACION DE EMPRESAS</v>
      </c>
      <c r="H738" s="2" t="str">
        <f>IF(B738="","",IFERROR(VLOOKUP(B738, PLANTA_BASE!A:W, 17, FALSE), "GENERAL"))</f>
        <v>ADMINISTRACION DE EMPRESAS</v>
      </c>
    </row>
    <row r="739" spans="1:8" ht="20.100000000000001" customHeight="1" x14ac:dyDescent="0.25">
      <c r="A739" s="5" t="str">
        <f>IF(B739="","",IFERROR(VLOOKUP(B739, PLANTA_BASE!A:W, 2, FALSE), "NO ENCONTRADO EN PLANTA"))</f>
        <v>PRESENCIAL</v>
      </c>
      <c r="B739" s="6" t="s">
        <v>1482</v>
      </c>
      <c r="C739" s="7" t="s">
        <v>1483</v>
      </c>
      <c r="D739" s="5" t="str">
        <f>IF(B739="","",IFERROR(VLOOKUP(B739, PLANTA_BASE!A:W, 5, FALSE), "NO ENCONTRADO EN PLANTA"))</f>
        <v>REGIONAL CUNDINAMARCA</v>
      </c>
      <c r="E739" s="5" t="str">
        <f>IF(B739="","",IFERROR(VLOOKUP(B739, PLANTA_BASE!A:W, 6, FALSE), "NO ENCONTRADO EN PLANTA"))</f>
        <v>CHÍA</v>
      </c>
      <c r="F739" s="7" t="str">
        <f>IF(B739="","",IFERROR(VLOOKUP(B739, PLANTA_BASE!A:W, 8, FALSE), "DOCENTE / FACILITADOR"))</f>
        <v>DOCENTE AUX/N/TC/CONT PUBL/FUN.ACADE-ADMIN</v>
      </c>
      <c r="G739" s="7" t="str">
        <f>IF(B739="","",IFERROR(VLOOKUP(B739, PLANTA_BASE!A:W, 9, FALSE), "GENERAL"))</f>
        <v>CONTADURIA PUBLICA</v>
      </c>
      <c r="H739" s="5" t="str">
        <f>IF(B739="","",IFERROR(VLOOKUP(B739, PLANTA_BASE!A:W, 17, FALSE), "GENERAL"))</f>
        <v>CONTADURIA PUBLICA</v>
      </c>
    </row>
    <row r="740" spans="1:8" ht="20.100000000000001" customHeight="1" x14ac:dyDescent="0.25">
      <c r="A740" s="2" t="str">
        <f>IF(B740="","",IFERROR(VLOOKUP(B740, PLANTA_BASE!A:W, 2, FALSE), "NO ENCONTRADO EN PLANTA"))</f>
        <v>VIRTUAL</v>
      </c>
      <c r="B740" s="3" t="s">
        <v>1484</v>
      </c>
      <c r="C740" s="4" t="s">
        <v>1485</v>
      </c>
      <c r="D740" s="2" t="str">
        <f>IF(B740="","",IFERROR(VLOOKUP(B740, PLANTA_BASE!A:W, 5, FALSE), "NO ENCONTRADO EN PLANTA"))</f>
        <v>REGIONAL BOGOTA</v>
      </c>
      <c r="E740" s="2" t="str">
        <f>IF(B740="","",IFERROR(VLOOKUP(B740, PLANTA_BASE!A:W, 6, FALSE), "NO ENCONTRADO EN PLANTA"))</f>
        <v>BOGOTA CENTRO</v>
      </c>
      <c r="F740" s="4" t="str">
        <f>IF(B740="","",IFERROR(VLOOKUP(B740, PLANTA_BASE!A:W, 8, FALSE), "DOCENTE / FACILITADOR"))</f>
        <v>DOC AUX T&amp;T/N/V/TC/DIR PROD ME AUD/FUN.ACADE-ADMIN</v>
      </c>
      <c r="G740" s="4" t="str">
        <f>IF(B740="","",IFERROR(VLOOKUP(B740, PLANTA_BASE!A:W, 9, FALSE), "GENERAL"))</f>
        <v>DIRECCION Y PRODUCCION DE MEDIOS AUDIOVISUALES</v>
      </c>
      <c r="H740" s="2" t="str">
        <f>IF(B740="","",IFERROR(VLOOKUP(B740, PLANTA_BASE!A:W, 17, FALSE), "GENERAL"))</f>
        <v>DIRECCION Y PRODUCCION DE MEDIOS AUDIOVISUALES</v>
      </c>
    </row>
    <row r="741" spans="1:8" ht="20.100000000000001" customHeight="1" x14ac:dyDescent="0.25">
      <c r="A741" s="5" t="str">
        <f>IF(B741="","",IFERROR(VLOOKUP(B741, PLANTA_BASE!A:W, 2, FALSE), "NO ENCONTRADO EN PLANTA"))</f>
        <v>PRESENCIAL</v>
      </c>
      <c r="B741" s="6" t="s">
        <v>1486</v>
      </c>
      <c r="C741" s="7" t="s">
        <v>1487</v>
      </c>
      <c r="D741" s="5" t="str">
        <f>IF(B741="","",IFERROR(VLOOKUP(B741, PLANTA_BASE!A:W, 5, FALSE), "NO ENCONTRADO EN PLANTA"))</f>
        <v>REGIONAL BOGOTA</v>
      </c>
      <c r="E741" s="5" t="str">
        <f>IF(B741="","",IFERROR(VLOOKUP(B741, PLANTA_BASE!A:W, 6, FALSE), "NO ENCONTRADO EN PLANTA"))</f>
        <v>BOGOTA CENTRO</v>
      </c>
      <c r="F741" s="7" t="str">
        <f>IF(B741="","",IFERROR(VLOOKUP(B741, PLANTA_BASE!A:W, 8, FALSE), "DOCENTE / FACILITADOR"))</f>
        <v>DOC AUX T&amp;T/N/TC/DIR PROD ME AUD/FUN.ACADE-ADMIN</v>
      </c>
      <c r="G741" s="7" t="str">
        <f>IF(B741="","",IFERROR(VLOOKUP(B741, PLANTA_BASE!A:W, 9, FALSE), "GENERAL"))</f>
        <v>DIRECCION Y PRODUCCION DE MEDIOS AUDIOVISUALES</v>
      </c>
      <c r="H741" s="5" t="str">
        <f>IF(B741="","",IFERROR(VLOOKUP(B741, PLANTA_BASE!A:W, 17, FALSE), "GENERAL"))</f>
        <v>DIRECCION Y PRODUCCION DE MEDIOS AUDIOVISUALES</v>
      </c>
    </row>
    <row r="742" spans="1:8" ht="20.100000000000001" customHeight="1" x14ac:dyDescent="0.25">
      <c r="A742" s="2" t="str">
        <f>IF(B742="","",IFERROR(VLOOKUP(B742, PLANTA_BASE!A:W, 2, FALSE), "NO ENCONTRADO EN PLANTA"))</f>
        <v>VIRTUAL</v>
      </c>
      <c r="B742" s="3" t="s">
        <v>1488</v>
      </c>
      <c r="C742" s="4" t="s">
        <v>1489</v>
      </c>
      <c r="D742" s="2" t="str">
        <f>IF(B742="","",IFERROR(VLOOKUP(B742, PLANTA_BASE!A:W, 5, FALSE), "NO ENCONTRADO EN PLANTA"))</f>
        <v>REGIONAL BOGOTA</v>
      </c>
      <c r="E742" s="2" t="str">
        <f>IF(B742="","",IFERROR(VLOOKUP(B742, PLANTA_BASE!A:W, 6, FALSE), "NO ENCONTRADO EN PLANTA"))</f>
        <v>BOGOTA CENTRO</v>
      </c>
      <c r="F742" s="4" t="str">
        <f>IF(B742="","",IFERROR(VLOOKUP(B742, PLANTA_BASE!A:W, 8, FALSE), "DOCENTE / FACILITADOR"))</f>
        <v>DOC ASIS/N/V/MT/MAR DIG</v>
      </c>
      <c r="G742" s="4" t="str">
        <f>IF(B742="","",IFERROR(VLOOKUP(B742, PLANTA_BASE!A:W, 9, FALSE), "GENERAL"))</f>
        <v>MARKETING DIGITAL</v>
      </c>
      <c r="H742" s="2" t="str">
        <f>IF(B742="","",IFERROR(VLOOKUP(B742, PLANTA_BASE!A:W, 17, FALSE), "GENERAL"))</f>
        <v>MARKETING DIGITAL</v>
      </c>
    </row>
    <row r="743" spans="1:8" ht="20.100000000000001" customHeight="1" x14ac:dyDescent="0.25">
      <c r="A743" s="5" t="str">
        <f>IF(B743="","",IFERROR(VLOOKUP(B743, PLANTA_BASE!A:W, 2, FALSE), "NO ENCONTRADO EN PLANTA"))</f>
        <v>PRESENCIAL</v>
      </c>
      <c r="B743" s="6" t="s">
        <v>1490</v>
      </c>
      <c r="C743" s="7" t="s">
        <v>1491</v>
      </c>
      <c r="D743" s="5" t="str">
        <f>IF(B743="","",IFERROR(VLOOKUP(B743, PLANTA_BASE!A:W, 5, FALSE), "NO ENCONTRADO EN PLANTA"))</f>
        <v>REGIONAL BOGOTA</v>
      </c>
      <c r="E743" s="5" t="str">
        <f>IF(B743="","",IFERROR(VLOOKUP(B743, PLANTA_BASE!A:W, 6, FALSE), "NO ENCONTRADO EN PLANTA"))</f>
        <v>BOGOTA CENTRO</v>
      </c>
      <c r="F743" s="7" t="str">
        <f>IF(B743="","",IFERROR(VLOOKUP(B743, PLANTA_BASE!A:W, 8, FALSE), "DOCENTE / FACILITADOR"))</f>
        <v>DOC AUX T&amp;T/N/TC/DIS PROD MOD/FUN.ACADE-ADMIN</v>
      </c>
      <c r="G743" s="7" t="str">
        <f>IF(B743="","",IFERROR(VLOOKUP(B743, PLANTA_BASE!A:W, 9, FALSE), "GENERAL"))</f>
        <v>DISEÑO Y PRODUCCION DE MODAS</v>
      </c>
      <c r="H743" s="5" t="str">
        <f>IF(B743="","",IFERROR(VLOOKUP(B743, PLANTA_BASE!A:W, 17, FALSE), "GENERAL"))</f>
        <v>DISEÑO Y PRODUCCION DE MODAS</v>
      </c>
    </row>
    <row r="744" spans="1:8" ht="20.100000000000001" customHeight="1" x14ac:dyDescent="0.25">
      <c r="A744" s="2" t="str">
        <f>IF(B744="","",IFERROR(VLOOKUP(B744, PLANTA_BASE!A:W, 2, FALSE), "NO ENCONTRADO EN PLANTA"))</f>
        <v>PRESENCIAL</v>
      </c>
      <c r="B744" s="3" t="s">
        <v>1492</v>
      </c>
      <c r="C744" s="4" t="s">
        <v>1493</v>
      </c>
      <c r="D744" s="2" t="str">
        <f>IF(B744="","",IFERROR(VLOOKUP(B744, PLANTA_BASE!A:W, 5, FALSE), "NO ENCONTRADO EN PLANTA"))</f>
        <v>REGIONAL BOGOTA</v>
      </c>
      <c r="E744" s="2" t="str">
        <f>IF(B744="","",IFERROR(VLOOKUP(B744, PLANTA_BASE!A:W, 6, FALSE), "NO ENCONTRADO EN PLANTA"))</f>
        <v>BOGOTA CENTRO</v>
      </c>
      <c r="F744" s="4" t="str">
        <f>IF(B744="","",IFERROR(VLOOKUP(B744, PLANTA_BASE!A:W, 8, FALSE), "DOCENTE / FACILITADOR"))</f>
        <v>DOC AUX T&amp;T/N/TC/CIEN BASI/FUN.ACADE-ADMIN</v>
      </c>
      <c r="G744" s="4" t="str">
        <f>IF(B744="","",IFERROR(VLOOKUP(B744, PLANTA_BASE!A:W, 9, FALSE), "GENERAL"))</f>
        <v>CIENCIAS BASICAS</v>
      </c>
      <c r="H744" s="2" t="str">
        <f>IF(B744="","",IFERROR(VLOOKUP(B744, PLANTA_BASE!A:W, 17, FALSE), "GENERAL"))</f>
        <v>CIENCIAS BASICAS</v>
      </c>
    </row>
    <row r="745" spans="1:8" ht="20.100000000000001" customHeight="1" x14ac:dyDescent="0.25">
      <c r="A745" s="5" t="str">
        <f>IF(B745="","",IFERROR(VLOOKUP(B745, PLANTA_BASE!A:W, 2, FALSE), "NO ENCONTRADO EN PLANTA"))</f>
        <v>VIRTUAL</v>
      </c>
      <c r="B745" s="6" t="s">
        <v>1494</v>
      </c>
      <c r="C745" s="7" t="s">
        <v>1495</v>
      </c>
      <c r="D745" s="5" t="str">
        <f>IF(B745="","",IFERROR(VLOOKUP(B745, PLANTA_BASE!A:W, 5, FALSE), "NO ENCONTRADO EN PLANTA"))</f>
        <v>REGIONAL BOGOTA</v>
      </c>
      <c r="E745" s="5" t="str">
        <f>IF(B745="","",IFERROR(VLOOKUP(B745, PLANTA_BASE!A:W, 6, FALSE), "NO ENCONTRADO EN PLANTA"))</f>
        <v>BOGOTA CENTRO</v>
      </c>
      <c r="F745" s="7" t="str">
        <f>IF(B745="","",IFERROR(VLOOKUP(B745, PLANTA_BASE!A:W, 8, FALSE), "DOCENTE / FACILITADOR"))</f>
        <v>DOCENTE AUX/N/V/TC/EMPRENDIMIE/FUN.ACADE-ADMIN</v>
      </c>
      <c r="G745" s="7" t="str">
        <f>IF(B745="","",IFERROR(VLOOKUP(B745, PLANTA_BASE!A:W, 9, FALSE), "GENERAL"))</f>
        <v>EMPRENDIMIENTO</v>
      </c>
      <c r="H745" s="5" t="str">
        <f>IF(B745="","",IFERROR(VLOOKUP(B745, PLANTA_BASE!A:W, 17, FALSE), "GENERAL"))</f>
        <v>EMPRENDIMIENTO</v>
      </c>
    </row>
    <row r="746" spans="1:8" ht="20.100000000000001" customHeight="1" x14ac:dyDescent="0.25">
      <c r="A746" s="2" t="str">
        <f>IF(B746="","",IFERROR(VLOOKUP(B746, PLANTA_BASE!A:W, 2, FALSE), "NO ENCONTRADO EN PLANTA"))</f>
        <v>PRESENCIAL</v>
      </c>
      <c r="B746" s="3" t="s">
        <v>1496</v>
      </c>
      <c r="C746" s="4" t="s">
        <v>1497</v>
      </c>
      <c r="D746" s="2" t="str">
        <f>IF(B746="","",IFERROR(VLOOKUP(B746, PLANTA_BASE!A:W, 5, FALSE), "NO ENCONTRADO EN PLANTA"))</f>
        <v>REGIONAL BOGOTA</v>
      </c>
      <c r="E746" s="2" t="str">
        <f>IF(B746="","",IFERROR(VLOOKUP(B746, PLANTA_BASE!A:W, 6, FALSE), "NO ENCONTRADO EN PLANTA"))</f>
        <v>BOGOTA CENTRO</v>
      </c>
      <c r="F746" s="4" t="str">
        <f>IF(B746="","",IFERROR(VLOOKUP(B746, PLANTA_BASE!A:W, 8, FALSE), "DOCENTE / FACILITADOR"))</f>
        <v>DOCENTE ASIS/N/TC/CIEN BASI/FUN.ACADE-ADMIN</v>
      </c>
      <c r="G746" s="4" t="str">
        <f>IF(B746="","",IFERROR(VLOOKUP(B746, PLANTA_BASE!A:W, 9, FALSE), "GENERAL"))</f>
        <v>CIENCIAS BASICAS</v>
      </c>
      <c r="H746" s="2" t="str">
        <f>IF(B746="","",IFERROR(VLOOKUP(B746, PLANTA_BASE!A:W, 17, FALSE), "GENERAL"))</f>
        <v>CIENCIAS BASICAS</v>
      </c>
    </row>
    <row r="747" spans="1:8" ht="20.100000000000001" customHeight="1" x14ac:dyDescent="0.25">
      <c r="A747" s="5" t="str">
        <f>IF(B747="","",IFERROR(VLOOKUP(B747, PLANTA_BASE!A:W, 2, FALSE), "NO ENCONTRADO EN PLANTA"))</f>
        <v>PRESENCIAL</v>
      </c>
      <c r="B747" s="6" t="s">
        <v>1498</v>
      </c>
      <c r="C747" s="7" t="s">
        <v>1499</v>
      </c>
      <c r="D747" s="5" t="str">
        <f>IF(B747="","",IFERROR(VLOOKUP(B747, PLANTA_BASE!A:W, 5, FALSE), "NO ENCONTRADO EN PLANTA"))</f>
        <v>REGIONAL BOGOTA</v>
      </c>
      <c r="E747" s="5" t="str">
        <f>IF(B747="","",IFERROR(VLOOKUP(B747, PLANTA_BASE!A:W, 6, FALSE), "NO ENCONTRADO EN PLANTA"))</f>
        <v>BOGOTA CENTRO</v>
      </c>
      <c r="F747" s="7" t="str">
        <f>IF(B747="","",IFERROR(VLOOKUP(B747, PLANTA_BASE!A:W, 8, FALSE), "DOCENTE / FACILITADOR"))</f>
        <v>DOCENTE ASIS/N/MT/CIEN BASI</v>
      </c>
      <c r="G747" s="7" t="str">
        <f>IF(B747="","",IFERROR(VLOOKUP(B747, PLANTA_BASE!A:W, 9, FALSE), "GENERAL"))</f>
        <v>CIENCIAS BASICAS</v>
      </c>
      <c r="H747" s="5" t="str">
        <f>IF(B747="","",IFERROR(VLOOKUP(B747, PLANTA_BASE!A:W, 17, FALSE), "GENERAL"))</f>
        <v>CIENCIAS BASICAS</v>
      </c>
    </row>
    <row r="748" spans="1:8" ht="20.100000000000001" customHeight="1" x14ac:dyDescent="0.25">
      <c r="A748" s="2" t="str">
        <f>IF(B748="","",IFERROR(VLOOKUP(B748, PLANTA_BASE!A:W, 2, FALSE), "NO ENCONTRADO EN PLANTA"))</f>
        <v>VIRTUAL</v>
      </c>
      <c r="B748" s="3" t="s">
        <v>1500</v>
      </c>
      <c r="C748" s="4" t="s">
        <v>1501</v>
      </c>
      <c r="D748" s="2" t="str">
        <f>IF(B748="","",IFERROR(VLOOKUP(B748, PLANTA_BASE!A:W, 5, FALSE), "NO ENCONTRADO EN PLANTA"))</f>
        <v>REGIONAL BOGOTA</v>
      </c>
      <c r="E748" s="2" t="str">
        <f>IF(B748="","",IFERROR(VLOOKUP(B748, PLANTA_BASE!A:W, 6, FALSE), "NO ENCONTRADO EN PLANTA"))</f>
        <v>BOGOTA CENTRO</v>
      </c>
      <c r="F748" s="4" t="str">
        <f>IF(B748="","",IFERROR(VLOOKUP(B748, PLANTA_BASE!A:W, 8, FALSE), "DOCENTE / FACILITADOR"))</f>
        <v>DOC ASIS/N/V/TC/ESP ANALIT DATOS/FUN.ACADE-ADMIN</v>
      </c>
      <c r="G748" s="4" t="str">
        <f>IF(B748="","",IFERROR(VLOOKUP(B748, PLANTA_BASE!A:W, 9, FALSE), "GENERAL"))</f>
        <v>ESPECIALIZACION DE ANALITICA DE DATOS</v>
      </c>
      <c r="H748" s="2" t="str">
        <f>IF(B748="","",IFERROR(VLOOKUP(B748, PLANTA_BASE!A:W, 17, FALSE), "GENERAL"))</f>
        <v>ESPECIALIZACION DE ANALITICA DE DATOS</v>
      </c>
    </row>
    <row r="749" spans="1:8" ht="20.100000000000001" customHeight="1" x14ac:dyDescent="0.25">
      <c r="A749" s="5" t="str">
        <f>IF(B749="","",IFERROR(VLOOKUP(B749, PLANTA_BASE!A:W, 2, FALSE), "NO ENCONTRADO EN PLANTA"))</f>
        <v>VIRTUAL</v>
      </c>
      <c r="B749" s="6" t="s">
        <v>1502</v>
      </c>
      <c r="C749" s="7" t="s">
        <v>1503</v>
      </c>
      <c r="D749" s="5" t="str">
        <f>IF(B749="","",IFERROR(VLOOKUP(B749, PLANTA_BASE!A:W, 5, FALSE), "NO ENCONTRADO EN PLANTA"))</f>
        <v>REGIONAL BOGOTA</v>
      </c>
      <c r="E749" s="5" t="str">
        <f>IF(B749="","",IFERROR(VLOOKUP(B749, PLANTA_BASE!A:W, 6, FALSE), "NO ENCONTRADO EN PLANTA"))</f>
        <v>BOGOTA CENTRO</v>
      </c>
      <c r="F749" s="7" t="str">
        <f>IF(B749="","",IFERROR(VLOOKUP(B749, PLANTA_BASE!A:W, 8, FALSE), "DOCENTE / FACILITADOR"))</f>
        <v>DOC ASIS/N/V/TC/ESP CONTRA ESTATAL/FUN.A</v>
      </c>
      <c r="G749" s="7" t="str">
        <f>IF(B749="","",IFERROR(VLOOKUP(B749, PLANTA_BASE!A:W, 9, FALSE), "GENERAL"))</f>
        <v>ESPECIALIZACION DE CONTRATACION ESTATAL</v>
      </c>
      <c r="H749" s="5" t="str">
        <f>IF(B749="","",IFERROR(VLOOKUP(B749, PLANTA_BASE!A:W, 17, FALSE), "GENERAL"))</f>
        <v>ESPECIALIZACION DE CONTRATACION ESTATAL</v>
      </c>
    </row>
    <row r="750" spans="1:8" ht="20.100000000000001" customHeight="1" x14ac:dyDescent="0.25">
      <c r="A750" s="2" t="str">
        <f>IF(B750="","",IFERROR(VLOOKUP(B750, PLANTA_BASE!A:W, 2, FALSE), "NO ENCONTRADO EN PLANTA"))</f>
        <v>PRESENCIAL</v>
      </c>
      <c r="B750" s="3" t="s">
        <v>1504</v>
      </c>
      <c r="C750" s="4" t="s">
        <v>1505</v>
      </c>
      <c r="D750" s="2" t="str">
        <f>IF(B750="","",IFERROR(VLOOKUP(B750, PLANTA_BASE!A:W, 5, FALSE), "NO ENCONTRADO EN PLANTA"))</f>
        <v>REGIONAL BOGOTA</v>
      </c>
      <c r="E750" s="2" t="str">
        <f>IF(B750="","",IFERROR(VLOOKUP(B750, PLANTA_BASE!A:W, 6, FALSE), "NO ENCONTRADO EN PLANTA"))</f>
        <v>BOGOTA NORTE</v>
      </c>
      <c r="F750" s="4" t="str">
        <f>IF(B750="","",IFERROR(VLOOKUP(B750, PLANTA_BASE!A:W, 8, FALSE), "DOCENTE / FACILITADOR"))</f>
        <v>DOCENTE ASIS/N/TC/INVESTIGA/INVESTIGACIO</v>
      </c>
      <c r="G750" s="4" t="str">
        <f>IF(B750="","",IFERROR(VLOOKUP(B750, PLANTA_BASE!A:W, 9, FALSE), "GENERAL"))</f>
        <v>INVESTIGACIONES</v>
      </c>
      <c r="H750" s="2" t="str">
        <f>IF(B750="","",IFERROR(VLOOKUP(B750, PLANTA_BASE!A:W, 17, FALSE), "GENERAL"))</f>
        <v>INVESTIGACIONES</v>
      </c>
    </row>
    <row r="751" spans="1:8" ht="20.100000000000001" customHeight="1" x14ac:dyDescent="0.25">
      <c r="A751" s="5" t="str">
        <f>IF(B751="","",IFERROR(VLOOKUP(B751, PLANTA_BASE!A:W, 2, FALSE), "NO ENCONTRADO EN PLANTA"))</f>
        <v>PRESENCIAL</v>
      </c>
      <c r="B751" s="6" t="s">
        <v>1506</v>
      </c>
      <c r="C751" s="7" t="s">
        <v>1507</v>
      </c>
      <c r="D751" s="5" t="str">
        <f>IF(B751="","",IFERROR(VLOOKUP(B751, PLANTA_BASE!A:W, 5, FALSE), "NO ENCONTRADO EN PLANTA"))</f>
        <v>REGIONAL BOGOTA</v>
      </c>
      <c r="E751" s="5" t="str">
        <f>IF(B751="","",IFERROR(VLOOKUP(B751, PLANTA_BASE!A:W, 6, FALSE), "NO ENCONTRADO EN PLANTA"))</f>
        <v>BOGOTA CENTRO</v>
      </c>
      <c r="F751" s="7" t="str">
        <f>IF(B751="","",IFERROR(VLOOKUP(B751, PLANTA_BASE!A:W, 8, FALSE), "DOCENTE / FACILITADOR"))</f>
        <v>DOC AUX T&amp;T/N/TC/DIR PROD ME AUD/FUN.ACADE-ADMIN</v>
      </c>
      <c r="G751" s="7" t="str">
        <f>IF(B751="","",IFERROR(VLOOKUP(B751, PLANTA_BASE!A:W, 9, FALSE), "GENERAL"))</f>
        <v>DIRECCION Y PRODUCCION DE MEDIOS AUDIOVISUALES</v>
      </c>
      <c r="H751" s="5" t="str">
        <f>IF(B751="","",IFERROR(VLOOKUP(B751, PLANTA_BASE!A:W, 17, FALSE), "GENERAL"))</f>
        <v>DIRECCION Y PRODUCCION DE MEDIOS AUDIOVISUALES</v>
      </c>
    </row>
    <row r="752" spans="1:8" ht="20.100000000000001" customHeight="1" x14ac:dyDescent="0.25">
      <c r="A752" s="2" t="str">
        <f>IF(B752="","",IFERROR(VLOOKUP(B752, PLANTA_BASE!A:W, 2, FALSE), "NO ENCONTRADO EN PLANTA"))</f>
        <v>PRESENCIAL</v>
      </c>
      <c r="B752" s="3" t="s">
        <v>1508</v>
      </c>
      <c r="C752" s="4" t="s">
        <v>1509</v>
      </c>
      <c r="D752" s="2" t="str">
        <f>IF(B752="","",IFERROR(VLOOKUP(B752, PLANTA_BASE!A:W, 5, FALSE), "NO ENCONTRADO EN PLANTA"))</f>
        <v>REGIONAL BOGOTA</v>
      </c>
      <c r="E752" s="2" t="str">
        <f>IF(B752="","",IFERROR(VLOOKUP(B752, PLANTA_BASE!A:W, 6, FALSE), "NO ENCONTRADO EN PLANTA"))</f>
        <v>BOGOTA CENTRO</v>
      </c>
      <c r="F752" s="4" t="str">
        <f>IF(B752="","",IFERROR(VLOOKUP(B752, PLANTA_BASE!A:W, 8, FALSE), "DOCENTE / FACILITADOR"))</f>
        <v>DOCENTE AUX/N/MT/DERECHO</v>
      </c>
      <c r="G752" s="4" t="str">
        <f>IF(B752="","",IFERROR(VLOOKUP(B752, PLANTA_BASE!A:W, 9, FALSE), "GENERAL"))</f>
        <v>DERECHO</v>
      </c>
      <c r="H752" s="2" t="str">
        <f>IF(B752="","",IFERROR(VLOOKUP(B752, PLANTA_BASE!A:W, 17, FALSE), "GENERAL"))</f>
        <v>DERECHO</v>
      </c>
    </row>
    <row r="753" spans="1:8" ht="20.100000000000001" customHeight="1" x14ac:dyDescent="0.25">
      <c r="A753" s="5" t="str">
        <f>IF(B753="","",IFERROR(VLOOKUP(B753, PLANTA_BASE!A:W, 2, FALSE), "NO ENCONTRADO EN PLANTA"))</f>
        <v>PRESENCIAL</v>
      </c>
      <c r="B753" s="6" t="s">
        <v>1510</v>
      </c>
      <c r="C753" s="7" t="s">
        <v>1511</v>
      </c>
      <c r="D753" s="5" t="str">
        <f>IF(B753="","",IFERROR(VLOOKUP(B753, PLANTA_BASE!A:W, 5, FALSE), "NO ENCONTRADO EN PLANTA"))</f>
        <v>REGIONAL BOGOTA</v>
      </c>
      <c r="E753" s="5" t="str">
        <f>IF(B753="","",IFERROR(VLOOKUP(B753, PLANTA_BASE!A:W, 6, FALSE), "NO ENCONTRADO EN PLANTA"))</f>
        <v>BOGOTA CENTRO</v>
      </c>
      <c r="F753" s="7" t="str">
        <f>IF(B753="","",IFERROR(VLOOKUP(B753, PLANTA_BASE!A:W, 8, FALSE), "DOCENTE / FACILITADOR"))</f>
        <v>DOC AUX T&amp;T/N/TC/DIS GRAFICO/FUN.ACADE-ADMIN</v>
      </c>
      <c r="G753" s="7" t="str">
        <f>IF(B753="","",IFERROR(VLOOKUP(B753, PLANTA_BASE!A:W, 9, FALSE), "GENERAL"))</f>
        <v>DISEÑO GRAFICO</v>
      </c>
      <c r="H753" s="5" t="str">
        <f>IF(B753="","",IFERROR(VLOOKUP(B753, PLANTA_BASE!A:W, 17, FALSE), "GENERAL"))</f>
        <v>DISEÑO GRAFICO</v>
      </c>
    </row>
    <row r="754" spans="1:8" ht="20.100000000000001" customHeight="1" x14ac:dyDescent="0.25">
      <c r="A754" s="2" t="str">
        <f>IF(B754="","",IFERROR(VLOOKUP(B754, PLANTA_BASE!A:W, 2, FALSE), "NO ENCONTRADO EN PLANTA"))</f>
        <v>VIRTUAL</v>
      </c>
      <c r="B754" s="3" t="s">
        <v>1512</v>
      </c>
      <c r="C754" s="4" t="s">
        <v>1513</v>
      </c>
      <c r="D754" s="2" t="str">
        <f>IF(B754="","",IFERROR(VLOOKUP(B754, PLANTA_BASE!A:W, 5, FALSE), "NO ENCONTRADO EN PLANTA"))</f>
        <v>REGIONAL BOGOTA</v>
      </c>
      <c r="E754" s="2" t="str">
        <f>IF(B754="","",IFERROR(VLOOKUP(B754, PLANTA_BASE!A:W, 6, FALSE), "NO ENCONTRADO EN PLANTA"))</f>
        <v>BOGOTA CENTRO</v>
      </c>
      <c r="F754" s="4" t="str">
        <f>IF(B754="","",IFERROR(VLOOKUP(B754, PLANTA_BASE!A:W, 8, FALSE), "DOCENTE / FACILITADOR"))</f>
        <v>DOC ASIS/N/V/TC/CONTADURIA/FUN.ACADE-ADMIN</v>
      </c>
      <c r="G754" s="4" t="str">
        <f>IF(B754="","",IFERROR(VLOOKUP(B754, PLANTA_BASE!A:W, 9, FALSE), "GENERAL"))</f>
        <v>CONTADURIA PUBLICA</v>
      </c>
      <c r="H754" s="2" t="str">
        <f>IF(B754="","",IFERROR(VLOOKUP(B754, PLANTA_BASE!A:W, 17, FALSE), "GENERAL"))</f>
        <v>CONTADURIA PUBLICA</v>
      </c>
    </row>
    <row r="755" spans="1:8" ht="20.100000000000001" customHeight="1" x14ac:dyDescent="0.25">
      <c r="A755" s="5" t="str">
        <f>IF(B755="","",IFERROR(VLOOKUP(B755, PLANTA_BASE!A:W, 2, FALSE), "NO ENCONTRADO EN PLANTA"))</f>
        <v>PRESENCIAL</v>
      </c>
      <c r="B755" s="6" t="s">
        <v>1514</v>
      </c>
      <c r="C755" s="7" t="s">
        <v>1515</v>
      </c>
      <c r="D755" s="5" t="str">
        <f>IF(B755="","",IFERROR(VLOOKUP(B755, PLANTA_BASE!A:W, 5, FALSE), "NO ENCONTRADO EN PLANTA"))</f>
        <v>REGIONAL BOGOTA</v>
      </c>
      <c r="E755" s="5" t="str">
        <f>IF(B755="","",IFERROR(VLOOKUP(B755, PLANTA_BASE!A:W, 6, FALSE), "NO ENCONTRADO EN PLANTA"))</f>
        <v>BOGOTA CENTRO</v>
      </c>
      <c r="F755" s="7" t="str">
        <f>IF(B755="","",IFERROR(VLOOKUP(B755, PLANTA_BASE!A:W, 8, FALSE), "DOCENTE / FACILITADOR"))</f>
        <v>DOC AUX T&amp;T/N/TC/DIR PROD ME AUD/FUN.ACADE-ADMIN</v>
      </c>
      <c r="G755" s="7" t="str">
        <f>IF(B755="","",IFERROR(VLOOKUP(B755, PLANTA_BASE!A:W, 9, FALSE), "GENERAL"))</f>
        <v>DIRECCION Y PRODUCCION DE MEDIOS AUDIOVISUALES</v>
      </c>
      <c r="H755" s="5" t="str">
        <f>IF(B755="","",IFERROR(VLOOKUP(B755, PLANTA_BASE!A:W, 17, FALSE), "GENERAL"))</f>
        <v>DIRECCION Y PRODUCCION DE MEDIOS AUDIOVISUALES</v>
      </c>
    </row>
    <row r="756" spans="1:8" ht="20.100000000000001" customHeight="1" x14ac:dyDescent="0.25">
      <c r="A756" s="2" t="str">
        <f>IF(B756="","",IFERROR(VLOOKUP(B756, PLANTA_BASE!A:W, 2, FALSE), "NO ENCONTRADO EN PLANTA"))</f>
        <v>PRESENCIAL</v>
      </c>
      <c r="B756" s="3" t="s">
        <v>1516</v>
      </c>
      <c r="C756" s="4" t="s">
        <v>1517</v>
      </c>
      <c r="D756" s="2" t="str">
        <f>IF(B756="","",IFERROR(VLOOKUP(B756, PLANTA_BASE!A:W, 5, FALSE), "NO ENCONTRADO EN PLANTA"))</f>
        <v>REGIONAL BOGOTA</v>
      </c>
      <c r="E756" s="2" t="str">
        <f>IF(B756="","",IFERROR(VLOOKUP(B756, PLANTA_BASE!A:W, 6, FALSE), "NO ENCONTRADO EN PLANTA"))</f>
        <v>BOGOTA CENTRO</v>
      </c>
      <c r="F756" s="4" t="str">
        <f>IF(B756="","",IFERROR(VLOOKUP(B756, PLANTA_BASE!A:W, 8, FALSE), "DOCENTE / FACILITADOR"))</f>
        <v>DOCENTE ASIS/N/TC/DIS GRAFICO/FUN.ACADE-ADMIN</v>
      </c>
      <c r="G756" s="4" t="str">
        <f>IF(B756="","",IFERROR(VLOOKUP(B756, PLANTA_BASE!A:W, 9, FALSE), "GENERAL"))</f>
        <v>DISEÑO GRAFICO</v>
      </c>
      <c r="H756" s="2" t="str">
        <f>IF(B756="","",IFERROR(VLOOKUP(B756, PLANTA_BASE!A:W, 17, FALSE), "GENERAL"))</f>
        <v>DISEÑO GRAFICO</v>
      </c>
    </row>
    <row r="757" spans="1:8" ht="20.100000000000001" customHeight="1" x14ac:dyDescent="0.25">
      <c r="A757" s="5" t="str">
        <f>IF(B757="","",IFERROR(VLOOKUP(B757, PLANTA_BASE!A:W, 2, FALSE), "NO ENCONTRADO EN PLANTA"))</f>
        <v>VIRTUAL</v>
      </c>
      <c r="B757" s="6" t="s">
        <v>1518</v>
      </c>
      <c r="C757" s="7" t="s">
        <v>1519</v>
      </c>
      <c r="D757" s="5" t="str">
        <f>IF(B757="","",IFERROR(VLOOKUP(B757, PLANTA_BASE!A:W, 5, FALSE), "NO ENCONTRADO EN PLANTA"))</f>
        <v>REGIONAL BOGOTA</v>
      </c>
      <c r="E757" s="5" t="str">
        <f>IF(B757="","",IFERROR(VLOOKUP(B757, PLANTA_BASE!A:W, 6, FALSE), "NO ENCONTRADO EN PLANTA"))</f>
        <v>BOGOTA CENTRO</v>
      </c>
      <c r="F757" s="7" t="str">
        <f>IF(B757="","",IFERROR(VLOOKUP(B757, PLANTA_BASE!A:W, 8, FALSE), "DOCENTE / FACILITADOR"))</f>
        <v>DOC AUX T&amp;T/N/V/TC/DIR PROD ME AUD/FUN.ACADE-ADMIN</v>
      </c>
      <c r="G757" s="7" t="str">
        <f>IF(B757="","",IFERROR(VLOOKUP(B757, PLANTA_BASE!A:W, 9, FALSE), "GENERAL"))</f>
        <v>DIRECCION Y PRODUCCION DE MEDIOS AUDIOVISUALES</v>
      </c>
      <c r="H757" s="5" t="str">
        <f>IF(B757="","",IFERROR(VLOOKUP(B757, PLANTA_BASE!A:W, 17, FALSE), "GENERAL"))</f>
        <v>DIRECCION Y PRODUCCION DE MEDIOS AUDIOVISUALES</v>
      </c>
    </row>
    <row r="758" spans="1:8" ht="20.100000000000001" customHeight="1" x14ac:dyDescent="0.25">
      <c r="A758" s="2" t="str">
        <f>IF(B758="","",IFERROR(VLOOKUP(B758, PLANTA_BASE!A:W, 2, FALSE), "NO ENCONTRADO EN PLANTA"))</f>
        <v>PRESENCIAL</v>
      </c>
      <c r="B758" s="3" t="s">
        <v>1520</v>
      </c>
      <c r="C758" s="4" t="s">
        <v>1521</v>
      </c>
      <c r="D758" s="2" t="str">
        <f>IF(B758="","",IFERROR(VLOOKUP(B758, PLANTA_BASE!A:W, 5, FALSE), "NO ENCONTRADO EN PLANTA"))</f>
        <v>REGIONAL BOGOTA</v>
      </c>
      <c r="E758" s="2" t="str">
        <f>IF(B758="","",IFERROR(VLOOKUP(B758, PLANTA_BASE!A:W, 6, FALSE), "NO ENCONTRADO EN PLANTA"))</f>
        <v>BOGOTA CENTRO</v>
      </c>
      <c r="F758" s="4" t="str">
        <f>IF(B758="","",IFERROR(VLOOKUP(B758, PLANTA_BASE!A:W, 8, FALSE), "DOCENTE / FACILITADOR"))</f>
        <v>DOCENTE TITU/N/TC/INVESTIGA/INVESTIGACIO</v>
      </c>
      <c r="G758" s="4" t="str">
        <f>IF(B758="","",IFERROR(VLOOKUP(B758, PLANTA_BASE!A:W, 9, FALSE), "GENERAL"))</f>
        <v>INVESTIGACIONES</v>
      </c>
      <c r="H758" s="2" t="str">
        <f>IF(B758="","",IFERROR(VLOOKUP(B758, PLANTA_BASE!A:W, 17, FALSE), "GENERAL"))</f>
        <v>INVESTIGACIONES</v>
      </c>
    </row>
    <row r="759" spans="1:8" ht="20.100000000000001" customHeight="1" x14ac:dyDescent="0.25">
      <c r="A759" s="5" t="str">
        <f>IF(B759="","",IFERROR(VLOOKUP(B759, PLANTA_BASE!A:W, 2, FALSE), "NO ENCONTRADO EN PLANTA"))</f>
        <v>PRESENCIAL</v>
      </c>
      <c r="B759" s="6" t="s">
        <v>1522</v>
      </c>
      <c r="C759" s="7" t="s">
        <v>1523</v>
      </c>
      <c r="D759" s="5" t="str">
        <f>IF(B759="","",IFERROR(VLOOKUP(B759, PLANTA_BASE!A:W, 5, FALSE), "NO ENCONTRADO EN PLANTA"))</f>
        <v>REGIONAL BOGOTA</v>
      </c>
      <c r="E759" s="5" t="str">
        <f>IF(B759="","",IFERROR(VLOOKUP(B759, PLANTA_BASE!A:W, 6, FALSE), "NO ENCONTRADO EN PLANTA"))</f>
        <v>BOGOTA CENTRO</v>
      </c>
      <c r="F759" s="7" t="str">
        <f>IF(B759="","",IFERROR(VLOOKUP(B759, PLANTA_BASE!A:W, 8, FALSE), "DOCENTE / FACILITADOR"))</f>
        <v>DOC AUX T&amp;T/N/MT/ING SISTEM</v>
      </c>
      <c r="G759" s="7" t="str">
        <f>IF(B759="","",IFERROR(VLOOKUP(B759, PLANTA_BASE!A:W, 9, FALSE), "GENERAL"))</f>
        <v>INGENIERIA DE SISTEMAS</v>
      </c>
      <c r="H759" s="5" t="str">
        <f>IF(B759="","",IFERROR(VLOOKUP(B759, PLANTA_BASE!A:W, 17, FALSE), "GENERAL"))</f>
        <v>INGENIERIA DE SISTEMAS</v>
      </c>
    </row>
    <row r="760" spans="1:8" ht="20.100000000000001" customHeight="1" x14ac:dyDescent="0.25">
      <c r="A760" s="2" t="str">
        <f>IF(B760="","",IFERROR(VLOOKUP(B760, PLANTA_BASE!A:W, 2, FALSE), "NO ENCONTRADO EN PLANTA"))</f>
        <v>PRESENCIAL</v>
      </c>
      <c r="B760" s="3" t="s">
        <v>1524</v>
      </c>
      <c r="C760" s="4" t="s">
        <v>1525</v>
      </c>
      <c r="D760" s="2" t="str">
        <f>IF(B760="","",IFERROR(VLOOKUP(B760, PLANTA_BASE!A:W, 5, FALSE), "NO ENCONTRADO EN PLANTA"))</f>
        <v>REGIONAL BOGOTA</v>
      </c>
      <c r="E760" s="2" t="str">
        <f>IF(B760="","",IFERROR(VLOOKUP(B760, PLANTA_BASE!A:W, 6, FALSE), "NO ENCONTRADO EN PLANTA"))</f>
        <v>BOGOTA CENTRO</v>
      </c>
      <c r="F760" s="4" t="str">
        <f>IF(B760="","",IFERROR(VLOOKUP(B760, PLANTA_BASE!A:W, 8, FALSE), "DOCENTE / FACILITADOR"))</f>
        <v>DOCENTE ASOC/N/TC/ING ELECTRO/FUN.ACADE-ADMIN</v>
      </c>
      <c r="G760" s="4" t="str">
        <f>IF(B760="","",IFERROR(VLOOKUP(B760, PLANTA_BASE!A:W, 9, FALSE), "GENERAL"))</f>
        <v>INGENIERIA ELECTRONICA</v>
      </c>
      <c r="H760" s="2" t="str">
        <f>IF(B760="","",IFERROR(VLOOKUP(B760, PLANTA_BASE!A:W, 17, FALSE), "GENERAL"))</f>
        <v>INGENIERIA ELECTRONICA</v>
      </c>
    </row>
    <row r="761" spans="1:8" ht="20.100000000000001" customHeight="1" x14ac:dyDescent="0.25">
      <c r="A761" s="5" t="str">
        <f>IF(B761="","",IFERROR(VLOOKUP(B761, PLANTA_BASE!A:W, 2, FALSE), "NO ENCONTRADO EN PLANTA"))</f>
        <v>PRESENCIAL</v>
      </c>
      <c r="B761" s="6" t="s">
        <v>1526</v>
      </c>
      <c r="C761" s="7" t="s">
        <v>1527</v>
      </c>
      <c r="D761" s="5" t="str">
        <f>IF(B761="","",IFERROR(VLOOKUP(B761, PLANTA_BASE!A:W, 5, FALSE), "NO ENCONTRADO EN PLANTA"))</f>
        <v>REGIONAL BOGOTA</v>
      </c>
      <c r="E761" s="5" t="str">
        <f>IF(B761="","",IFERROR(VLOOKUP(B761, PLANTA_BASE!A:W, 6, FALSE), "NO ENCONTRADO EN PLANTA"))</f>
        <v>BOGOTA CENTRO</v>
      </c>
      <c r="F761" s="7" t="str">
        <f>IF(B761="","",IFERROR(VLOOKUP(B761, PLANTA_BASE!A:W, 8, FALSE), "DOCENTE / FACILITADOR"))</f>
        <v>DOC AUX T&amp;T/N/TC/DIS PROD MOD/FUN.ACADE-ADMIN</v>
      </c>
      <c r="G761" s="7" t="str">
        <f>IF(B761="","",IFERROR(VLOOKUP(B761, PLANTA_BASE!A:W, 9, FALSE), "GENERAL"))</f>
        <v>DISEÑO Y PRODUCCION DE MODAS</v>
      </c>
      <c r="H761" s="5" t="str">
        <f>IF(B761="","",IFERROR(VLOOKUP(B761, PLANTA_BASE!A:W, 17, FALSE), "GENERAL"))</f>
        <v>DISEÑO Y PRODUCCION DE MODAS</v>
      </c>
    </row>
    <row r="762" spans="1:8" ht="20.100000000000001" customHeight="1" x14ac:dyDescent="0.25">
      <c r="A762" s="2" t="str">
        <f>IF(B762="","",IFERROR(VLOOKUP(B762, PLANTA_BASE!A:W, 2, FALSE), "NO ENCONTRADO EN PLANTA"))</f>
        <v>PRESENCIAL</v>
      </c>
      <c r="B762" s="3" t="s">
        <v>1528</v>
      </c>
      <c r="C762" s="4" t="s">
        <v>1529</v>
      </c>
      <c r="D762" s="2" t="str">
        <f>IF(B762="","",IFERROR(VLOOKUP(B762, PLANTA_BASE!A:W, 5, FALSE), "NO ENCONTRADO EN PLANTA"))</f>
        <v>REGIONAL BOGOTA</v>
      </c>
      <c r="E762" s="2" t="str">
        <f>IF(B762="","",IFERROR(VLOOKUP(B762, PLANTA_BASE!A:W, 6, FALSE), "NO ENCONTRADO EN PLANTA"))</f>
        <v>BOGOTA RESTREPO</v>
      </c>
      <c r="F762" s="4" t="str">
        <f>IF(B762="","",IFERROR(VLOOKUP(B762, PLANTA_BASE!A:W, 8, FALSE), "DOCENTE / FACILITADOR"))</f>
        <v>DOCENTE ASIS/N/TC/ADM EMP/FUN.ACADE-ADMIN</v>
      </c>
      <c r="G762" s="4" t="str">
        <f>IF(B762="","",IFERROR(VLOOKUP(B762, PLANTA_BASE!A:W, 9, FALSE), "GENERAL"))</f>
        <v>ADMINISTRACION DE EMPRESAS</v>
      </c>
      <c r="H762" s="2" t="str">
        <f>IF(B762="","",IFERROR(VLOOKUP(B762, PLANTA_BASE!A:W, 17, FALSE), "GENERAL"))</f>
        <v>ADMINISTRACION DE EMPRESAS</v>
      </c>
    </row>
    <row r="763" spans="1:8" ht="20.100000000000001" customHeight="1" x14ac:dyDescent="0.25">
      <c r="A763" s="5" t="str">
        <f>IF(B763="","",IFERROR(VLOOKUP(B763, PLANTA_BASE!A:W, 2, FALSE), "NO ENCONTRADO EN PLANTA"))</f>
        <v>PRESENCIAL</v>
      </c>
      <c r="B763" s="6" t="s">
        <v>1530</v>
      </c>
      <c r="C763" s="7" t="s">
        <v>1531</v>
      </c>
      <c r="D763" s="5" t="str">
        <f>IF(B763="","",IFERROR(VLOOKUP(B763, PLANTA_BASE!A:W, 5, FALSE), "NO ENCONTRADO EN PLANTA"))</f>
        <v>REGIONAL BOGOTA</v>
      </c>
      <c r="E763" s="5" t="str">
        <f>IF(B763="","",IFERROR(VLOOKUP(B763, PLANTA_BASE!A:W, 6, FALSE), "NO ENCONTRADO EN PLANTA"))</f>
        <v>BOGOTA CENTRO</v>
      </c>
      <c r="F763" s="7" t="str">
        <f>IF(B763="","",IFERROR(VLOOKUP(B763, PLANTA_BASE!A:W, 8, FALSE), "DOCENTE / FACILITADOR"))</f>
        <v>DOC AUX T&amp;T/N/TC/DIS PROD MOD/FUN.ACADE-ADMIN</v>
      </c>
      <c r="G763" s="7" t="str">
        <f>IF(B763="","",IFERROR(VLOOKUP(B763, PLANTA_BASE!A:W, 9, FALSE), "GENERAL"))</f>
        <v>DISEÑO Y PRODUCCION DE MODAS</v>
      </c>
      <c r="H763" s="5" t="str">
        <f>IF(B763="","",IFERROR(VLOOKUP(B763, PLANTA_BASE!A:W, 17, FALSE), "GENERAL"))</f>
        <v>DISEÑO Y PRODUCCION DE MODAS</v>
      </c>
    </row>
    <row r="764" spans="1:8" ht="20.100000000000001" customHeight="1" x14ac:dyDescent="0.25">
      <c r="A764" s="2" t="str">
        <f>IF(B764="","",IFERROR(VLOOKUP(B764, PLANTA_BASE!A:W, 2, FALSE), "NO ENCONTRADO EN PLANTA"))</f>
        <v>PRESENCIAL</v>
      </c>
      <c r="B764" s="3" t="s">
        <v>1532</v>
      </c>
      <c r="C764" s="4" t="s">
        <v>1533</v>
      </c>
      <c r="D764" s="2" t="str">
        <f>IF(B764="","",IFERROR(VLOOKUP(B764, PLANTA_BASE!A:W, 5, FALSE), "NO ENCONTRADO EN PLANTA"))</f>
        <v>REGIONAL BOGOTA</v>
      </c>
      <c r="E764" s="2" t="str">
        <f>IF(B764="","",IFERROR(VLOOKUP(B764, PLANTA_BASE!A:W, 6, FALSE), "NO ENCONTRADO EN PLANTA"))</f>
        <v>BOGOTA CENTRO</v>
      </c>
      <c r="F764" s="4" t="str">
        <f>IF(B764="","",IFERROR(VLOOKUP(B764, PLANTA_BASE!A:W, 8, FALSE), "DOCENTE / FACILITADOR"))</f>
        <v>DOC AUX T&amp;T/N/TC/DIS PROD MOD/FUN.ACADE-ADMIN</v>
      </c>
      <c r="G764" s="4" t="str">
        <f>IF(B764="","",IFERROR(VLOOKUP(B764, PLANTA_BASE!A:W, 9, FALSE), "GENERAL"))</f>
        <v>DISEÑO Y PRODUCCION DE MODAS</v>
      </c>
      <c r="H764" s="2" t="str">
        <f>IF(B764="","",IFERROR(VLOOKUP(B764, PLANTA_BASE!A:W, 17, FALSE), "GENERAL"))</f>
        <v>DISEÑO Y PRODUCCION DE MODAS</v>
      </c>
    </row>
    <row r="765" spans="1:8" ht="20.100000000000001" customHeight="1" x14ac:dyDescent="0.25">
      <c r="A765" s="5" t="str">
        <f>IF(B765="","",IFERROR(VLOOKUP(B765, PLANTA_BASE!A:W, 2, FALSE), "NO ENCONTRADO EN PLANTA"))</f>
        <v>VIRTUAL</v>
      </c>
      <c r="B765" s="6" t="s">
        <v>1534</v>
      </c>
      <c r="C765" s="7" t="s">
        <v>1535</v>
      </c>
      <c r="D765" s="5" t="str">
        <f>IF(B765="","",IFERROR(VLOOKUP(B765, PLANTA_BASE!A:W, 5, FALSE), "NO ENCONTRADO EN PLANTA"))</f>
        <v>REGIONAL BOGOTA</v>
      </c>
      <c r="E765" s="5" t="str">
        <f>IF(B765="","",IFERROR(VLOOKUP(B765, PLANTA_BASE!A:W, 6, FALSE), "NO ENCONTRADO EN PLANTA"))</f>
        <v>BOGOTA CENTRO</v>
      </c>
      <c r="F765" s="7" t="str">
        <f>IF(B765="","",IFERROR(VLOOKUP(B765, PLANTA_BASE!A:W, 8, FALSE), "DOCENTE / FACILITADOR"))</f>
        <v>DOC AUX T&amp;T/N/V/TC/IDIOMAS/FUN.ACADE-ADMIN</v>
      </c>
      <c r="G765" s="7" t="str">
        <f>IF(B765="","",IFERROR(VLOOKUP(B765, PLANTA_BASE!A:W, 9, FALSE), "GENERAL"))</f>
        <v>IDIOMAS</v>
      </c>
      <c r="H765" s="5" t="str">
        <f>IF(B765="","",IFERROR(VLOOKUP(B765, PLANTA_BASE!A:W, 17, FALSE), "GENERAL"))</f>
        <v>IDIOMAS</v>
      </c>
    </row>
    <row r="766" spans="1:8" ht="20.100000000000001" customHeight="1" x14ac:dyDescent="0.25">
      <c r="A766" s="2" t="str">
        <f>IF(B766="","",IFERROR(VLOOKUP(B766, PLANTA_BASE!A:W, 2, FALSE), "NO ENCONTRADO EN PLANTA"))</f>
        <v>PRESENCIAL</v>
      </c>
      <c r="B766" s="3" t="s">
        <v>1536</v>
      </c>
      <c r="C766" s="4" t="s">
        <v>1537</v>
      </c>
      <c r="D766" s="2" t="str">
        <f>IF(B766="","",IFERROR(VLOOKUP(B766, PLANTA_BASE!A:W, 5, FALSE), "NO ENCONTRADO EN PLANTA"))</f>
        <v>REGIONAL HUILA</v>
      </c>
      <c r="E766" s="2" t="str">
        <f>IF(B766="","",IFERROR(VLOOKUP(B766, PLANTA_BASE!A:W, 6, FALSE), "NO ENCONTRADO EN PLANTA"))</f>
        <v>NEIVA</v>
      </c>
      <c r="F766" s="4" t="str">
        <f>IF(B766="","",IFERROR(VLOOKUP(B766, PLANTA_BASE!A:W, 8, FALSE), "DOCENTE / FACILITADOR"))</f>
        <v>DOCENTE AUX/N/MT-ADM EM</v>
      </c>
      <c r="G766" s="4" t="str">
        <f>IF(B766="","",IFERROR(VLOOKUP(B766, PLANTA_BASE!A:W, 9, FALSE), "GENERAL"))</f>
        <v>ADMINISTRACION DE EMPRESAS</v>
      </c>
      <c r="H766" s="2" t="str">
        <f>IF(B766="","",IFERROR(VLOOKUP(B766, PLANTA_BASE!A:W, 17, FALSE), "GENERAL"))</f>
        <v>ADMINISTRACION DE EMPRESAS</v>
      </c>
    </row>
    <row r="767" spans="1:8" ht="20.100000000000001" customHeight="1" x14ac:dyDescent="0.25">
      <c r="A767" s="5" t="str">
        <f>IF(B767="","",IFERROR(VLOOKUP(B767, PLANTA_BASE!A:W, 2, FALSE), "NO ENCONTRADO EN PLANTA"))</f>
        <v>PRESENCIAL</v>
      </c>
      <c r="B767" s="6" t="s">
        <v>1538</v>
      </c>
      <c r="C767" s="7" t="s">
        <v>1539</v>
      </c>
      <c r="D767" s="5" t="str">
        <f>IF(B767="","",IFERROR(VLOOKUP(B767, PLANTA_BASE!A:W, 5, FALSE), "NO ENCONTRADO EN PLANTA"))</f>
        <v>REGIONAL BOGOTA</v>
      </c>
      <c r="E767" s="5" t="str">
        <f>IF(B767="","",IFERROR(VLOOKUP(B767, PLANTA_BASE!A:W, 6, FALSE), "NO ENCONTRADO EN PLANTA"))</f>
        <v>BOGOTA CENTRO</v>
      </c>
      <c r="F767" s="7" t="str">
        <f>IF(B767="","",IFERROR(VLOOKUP(B767, PLANTA_BASE!A:W, 8, FALSE), "DOCENTE / FACILITADOR"))</f>
        <v>DOCENTE ASOC/N/TC/ING SISTEM/FUN.ACADE-ADMIN</v>
      </c>
      <c r="G767" s="7" t="str">
        <f>IF(B767="","",IFERROR(VLOOKUP(B767, PLANTA_BASE!A:W, 9, FALSE), "GENERAL"))</f>
        <v>INGENIERIA DE SISTEMAS</v>
      </c>
      <c r="H767" s="5" t="str">
        <f>IF(B767="","",IFERROR(VLOOKUP(B767, PLANTA_BASE!A:W, 17, FALSE), "GENERAL"))</f>
        <v>INGENIERIA DE SISTEMAS</v>
      </c>
    </row>
    <row r="768" spans="1:8" ht="20.100000000000001" customHeight="1" x14ac:dyDescent="0.25">
      <c r="A768" s="2" t="str">
        <f>IF(B768="","",IFERROR(VLOOKUP(B768, PLANTA_BASE!A:W, 2, FALSE), "NO ENCONTRADO EN PLANTA"))</f>
        <v>PRESENCIAL</v>
      </c>
      <c r="B768" s="3" t="s">
        <v>1540</v>
      </c>
      <c r="C768" s="4" t="s">
        <v>1541</v>
      </c>
      <c r="D768" s="2" t="str">
        <f>IF(B768="","",IFERROR(VLOOKUP(B768, PLANTA_BASE!A:W, 5, FALSE), "NO ENCONTRADO EN PLANTA"))</f>
        <v>REGIONAL BOGOTA</v>
      </c>
      <c r="E768" s="2" t="str">
        <f>IF(B768="","",IFERROR(VLOOKUP(B768, PLANTA_BASE!A:W, 6, FALSE), "NO ENCONTRADO EN PLANTA"))</f>
        <v>BOGOTA CENTRO</v>
      </c>
      <c r="F768" s="4" t="str">
        <f>IF(B768="","",IFERROR(VLOOKUP(B768, PLANTA_BASE!A:W, 8, FALSE), "DOCENTE / FACILITADOR"))</f>
        <v>DOCENTE ASIS/N/TC/ING SISTEM/FUN.ACADE-ADMIN</v>
      </c>
      <c r="G768" s="4" t="str">
        <f>IF(B768="","",IFERROR(VLOOKUP(B768, PLANTA_BASE!A:W, 9, FALSE), "GENERAL"))</f>
        <v>INGENIERIA DE SISTEMAS</v>
      </c>
      <c r="H768" s="2" t="str">
        <f>IF(B768="","",IFERROR(VLOOKUP(B768, PLANTA_BASE!A:W, 17, FALSE), "GENERAL"))</f>
        <v>INGENIERIA DE SISTEMAS</v>
      </c>
    </row>
    <row r="769" spans="1:8" ht="20.100000000000001" customHeight="1" x14ac:dyDescent="0.25">
      <c r="A769" s="5" t="str">
        <f>IF(B769="","",IFERROR(VLOOKUP(B769, PLANTA_BASE!A:W, 2, FALSE), "NO ENCONTRADO EN PLANTA"))</f>
        <v>PRESENCIAL</v>
      </c>
      <c r="B769" s="6" t="s">
        <v>1542</v>
      </c>
      <c r="C769" s="7" t="s">
        <v>1543</v>
      </c>
      <c r="D769" s="5" t="str">
        <f>IF(B769="","",IFERROR(VLOOKUP(B769, PLANTA_BASE!A:W, 5, FALSE), "NO ENCONTRADO EN PLANTA"))</f>
        <v>REGIONAL BOGOTA</v>
      </c>
      <c r="E769" s="5" t="str">
        <f>IF(B769="","",IFERROR(VLOOKUP(B769, PLANTA_BASE!A:W, 6, FALSE), "NO ENCONTRADO EN PLANTA"))</f>
        <v>BOGOTA CENTRO</v>
      </c>
      <c r="F769" s="7" t="str">
        <f>IF(B769="","",IFERROR(VLOOKUP(B769, PLANTA_BASE!A:W, 8, FALSE), "DOCENTE / FACILITADOR"))</f>
        <v>DOCENTE TITU/N/TC/INVESTIGA/INVESTIGACIO</v>
      </c>
      <c r="G769" s="7" t="str">
        <f>IF(B769="","",IFERROR(VLOOKUP(B769, PLANTA_BASE!A:W, 9, FALSE), "GENERAL"))</f>
        <v>INVESTIGACIONES</v>
      </c>
      <c r="H769" s="5" t="str">
        <f>IF(B769="","",IFERROR(VLOOKUP(B769, PLANTA_BASE!A:W, 17, FALSE), "GENERAL"))</f>
        <v>INVESTIGACIONES</v>
      </c>
    </row>
    <row r="770" spans="1:8" ht="20.100000000000001" customHeight="1" x14ac:dyDescent="0.25">
      <c r="A770" s="2" t="str">
        <f>IF(B770="","",IFERROR(VLOOKUP(B770, PLANTA_BASE!A:W, 2, FALSE), "NO ENCONTRADO EN PLANTA"))</f>
        <v>PRESENCIAL</v>
      </c>
      <c r="B770" s="3" t="s">
        <v>1544</v>
      </c>
      <c r="C770" s="4" t="s">
        <v>1545</v>
      </c>
      <c r="D770" s="2" t="str">
        <f>IF(B770="","",IFERROR(VLOOKUP(B770, PLANTA_BASE!A:W, 5, FALSE), "NO ENCONTRADO EN PLANTA"))</f>
        <v>REGIONAL BOGOTA</v>
      </c>
      <c r="E770" s="2" t="str">
        <f>IF(B770="","",IFERROR(VLOOKUP(B770, PLANTA_BASE!A:W, 6, FALSE), "NO ENCONTRADO EN PLANTA"))</f>
        <v>BOGOTA CENTRO</v>
      </c>
      <c r="F770" s="4" t="str">
        <f>IF(B770="","",IFERROR(VLOOKUP(B770, PLANTA_BASE!A:W, 8, FALSE), "DOCENTE / FACILITADOR"))</f>
        <v>DOC AUX T&amp;T/N/TC/COM SOC Y PER/FUN.ACADE-ADMIN</v>
      </c>
      <c r="G770" s="4" t="str">
        <f>IF(B770="","",IFERROR(VLOOKUP(B770, PLANTA_BASE!A:W, 9, FALSE), "GENERAL"))</f>
        <v>COMUNICACION SOCIAL Y PERIODISMO</v>
      </c>
      <c r="H770" s="2" t="str">
        <f>IF(B770="","",IFERROR(VLOOKUP(B770, PLANTA_BASE!A:W, 17, FALSE), "GENERAL"))</f>
        <v>COMUNICACION SOCIAL Y PERIODISMO</v>
      </c>
    </row>
    <row r="771" spans="1:8" ht="20.100000000000001" customHeight="1" x14ac:dyDescent="0.25">
      <c r="A771" s="5" t="str">
        <f>IF(B771="","",IFERROR(VLOOKUP(B771, PLANTA_BASE!A:W, 2, FALSE), "NO ENCONTRADO EN PLANTA"))</f>
        <v>VIRTUAL</v>
      </c>
      <c r="B771" s="6" t="s">
        <v>1546</v>
      </c>
      <c r="C771" s="7" t="s">
        <v>1547</v>
      </c>
      <c r="D771" s="5" t="str">
        <f>IF(B771="","",IFERROR(VLOOKUP(B771, PLANTA_BASE!A:W, 5, FALSE), "NO ENCONTRADO EN PLANTA"))</f>
        <v>REGIONAL BOGOTA</v>
      </c>
      <c r="E771" s="5" t="str">
        <f>IF(B771="","",IFERROR(VLOOKUP(B771, PLANTA_BASE!A:W, 6, FALSE), "NO ENCONTRADO EN PLANTA"))</f>
        <v>BOGOTA CENTRO</v>
      </c>
      <c r="F771" s="7" t="str">
        <f>IF(B771="","",IFERROR(VLOOKUP(B771, PLANTA_BASE!A:W, 8, FALSE), "DOCENTE / FACILITADOR"))</f>
        <v>DOC ASIS/N/V/TC/ESP GERE DE PROY/FUN.ACA</v>
      </c>
      <c r="G771" s="7" t="str">
        <f>IF(B771="","",IFERROR(VLOOKUP(B771, PLANTA_BASE!A:W, 9, FALSE), "GENERAL"))</f>
        <v>ESPECIALIZACION EN GERENCIA DE PROYECTOS</v>
      </c>
      <c r="H771" s="5" t="str">
        <f>IF(B771="","",IFERROR(VLOOKUP(B771, PLANTA_BASE!A:W, 17, FALSE), "GENERAL"))</f>
        <v>ESPECIALIZACION EN GERENCIA DE PROYECTOS</v>
      </c>
    </row>
    <row r="772" spans="1:8" ht="20.100000000000001" customHeight="1" x14ac:dyDescent="0.25">
      <c r="A772" s="2" t="str">
        <f>IF(B772="","",IFERROR(VLOOKUP(B772, PLANTA_BASE!A:W, 2, FALSE), "NO ENCONTRADO EN PLANTA"))</f>
        <v>PRESENCIAL</v>
      </c>
      <c r="B772" s="3" t="s">
        <v>1548</v>
      </c>
      <c r="C772" s="4" t="s">
        <v>1549</v>
      </c>
      <c r="D772" s="2" t="str">
        <f>IF(B772="","",IFERROR(VLOOKUP(B772, PLANTA_BASE!A:W, 5, FALSE), "NO ENCONTRADO EN PLANTA"))</f>
        <v>REGIONAL BOGOTA</v>
      </c>
      <c r="E772" s="2" t="str">
        <f>IF(B772="","",IFERROR(VLOOKUP(B772, PLANTA_BASE!A:W, 6, FALSE), "NO ENCONTRADO EN PLANTA"))</f>
        <v>BOGOTA CENTRO</v>
      </c>
      <c r="F772" s="4" t="str">
        <f>IF(B772="","",IFERROR(VLOOKUP(B772, PLANTA_BASE!A:W, 8, FALSE), "DOCENTE / FACILITADOR"))</f>
        <v>DOCENTE AUX/N/TC/ADM EMP/FUN.ACADE-ADMIN</v>
      </c>
      <c r="G772" s="4" t="str">
        <f>IF(B772="","",IFERROR(VLOOKUP(B772, PLANTA_BASE!A:W, 9, FALSE), "GENERAL"))</f>
        <v>ADMINISTRACION DE EMPRESAS</v>
      </c>
      <c r="H772" s="2" t="str">
        <f>IF(B772="","",IFERROR(VLOOKUP(B772, PLANTA_BASE!A:W, 17, FALSE), "GENERAL"))</f>
        <v>ADMINISTRACION DE EMPRESAS</v>
      </c>
    </row>
    <row r="773" spans="1:8" ht="20.100000000000001" customHeight="1" x14ac:dyDescent="0.25">
      <c r="A773" s="5" t="str">
        <f>IF(B773="","",IFERROR(VLOOKUP(B773, PLANTA_BASE!A:W, 2, FALSE), "NO ENCONTRADO EN PLANTA"))</f>
        <v>PRESENCIAL</v>
      </c>
      <c r="B773" s="6" t="s">
        <v>1550</v>
      </c>
      <c r="C773" s="7" t="s">
        <v>1551</v>
      </c>
      <c r="D773" s="5" t="str">
        <f>IF(B773="","",IFERROR(VLOOKUP(B773, PLANTA_BASE!A:W, 5, FALSE), "NO ENCONTRADO EN PLANTA"))</f>
        <v>REGIONAL BOGOTA</v>
      </c>
      <c r="E773" s="5" t="str">
        <f>IF(B773="","",IFERROR(VLOOKUP(B773, PLANTA_BASE!A:W, 6, FALSE), "NO ENCONTRADO EN PLANTA"))</f>
        <v>BOGOTA CENTRO</v>
      </c>
      <c r="F773" s="7" t="str">
        <f>IF(B773="","",IFERROR(VLOOKUP(B773, PLANTA_BASE!A:W, 8, FALSE), "DOCENTE / FACILITADOR"))</f>
        <v>DOCENTE ASIS/N/TC/EMPRENDIMIE/FUN.ACADE-ADMIN</v>
      </c>
      <c r="G773" s="7" t="str">
        <f>IF(B773="","",IFERROR(VLOOKUP(B773, PLANTA_BASE!A:W, 9, FALSE), "GENERAL"))</f>
        <v>EMPRENDIMIENTO</v>
      </c>
      <c r="H773" s="5" t="str">
        <f>IF(B773="","",IFERROR(VLOOKUP(B773, PLANTA_BASE!A:W, 17, FALSE), "GENERAL"))</f>
        <v>EMPRENDIMIENTO</v>
      </c>
    </row>
    <row r="774" spans="1:8" ht="20.100000000000001" customHeight="1" x14ac:dyDescent="0.25">
      <c r="A774" s="2" t="str">
        <f>IF(B774="","",IFERROR(VLOOKUP(B774, PLANTA_BASE!A:W, 2, FALSE), "NO ENCONTRADO EN PLANTA"))</f>
        <v>PRESENCIAL</v>
      </c>
      <c r="B774" s="3" t="s">
        <v>1552</v>
      </c>
      <c r="C774" s="4" t="s">
        <v>1553</v>
      </c>
      <c r="D774" s="2" t="str">
        <f>IF(B774="","",IFERROR(VLOOKUP(B774, PLANTA_BASE!A:W, 5, FALSE), "NO ENCONTRADO EN PLANTA"))</f>
        <v>REGIONAL BOGOTA</v>
      </c>
      <c r="E774" s="2" t="str">
        <f>IF(B774="","",IFERROR(VLOOKUP(B774, PLANTA_BASE!A:W, 6, FALSE), "NO ENCONTRADO EN PLANTA"))</f>
        <v>BOGOTA CENTRO</v>
      </c>
      <c r="F774" s="4" t="str">
        <f>IF(B774="","",IFERROR(VLOOKUP(B774, PLANTA_BASE!A:W, 8, FALSE), "DOCENTE / FACILITADOR"))</f>
        <v>DOC AUX T&amp;T/N/TC/DIS PROD MOD/FUN.ACADE-ADMIN</v>
      </c>
      <c r="G774" s="4" t="str">
        <f>IF(B774="","",IFERROR(VLOOKUP(B774, PLANTA_BASE!A:W, 9, FALSE), "GENERAL"))</f>
        <v>DISEÑO Y PRODUCCION DE MODAS</v>
      </c>
      <c r="H774" s="2" t="str">
        <f>IF(B774="","",IFERROR(VLOOKUP(B774, PLANTA_BASE!A:W, 17, FALSE), "GENERAL"))</f>
        <v>DISEÑO Y PRODUCCION DE MODAS</v>
      </c>
    </row>
    <row r="775" spans="1:8" ht="20.100000000000001" customHeight="1" x14ac:dyDescent="0.25">
      <c r="A775" s="5" t="str">
        <f>IF(B775="","",IFERROR(VLOOKUP(B775, PLANTA_BASE!A:W, 2, FALSE), "NO ENCONTRADO EN PLANTA"))</f>
        <v>VIRTUAL</v>
      </c>
      <c r="B775" s="6" t="s">
        <v>1554</v>
      </c>
      <c r="C775" s="7" t="s">
        <v>1555</v>
      </c>
      <c r="D775" s="5" t="str">
        <f>IF(B775="","",IFERROR(VLOOKUP(B775, PLANTA_BASE!A:W, 5, FALSE), "NO ENCONTRADO EN PLANTA"))</f>
        <v>REGIONAL BOGOTA</v>
      </c>
      <c r="E775" s="5" t="str">
        <f>IF(B775="","",IFERROR(VLOOKUP(B775, PLANTA_BASE!A:W, 6, FALSE), "NO ENCONTRADO EN PLANTA"))</f>
        <v>BOGOTA CENTRO</v>
      </c>
      <c r="F775" s="7" t="str">
        <f>IF(B775="","",IFERROR(VLOOKUP(B775, PLANTA_BASE!A:W, 8, FALSE), "DOCENTE / FACILITADOR"))</f>
        <v>DOC ASIS/N/V/TC/EMPRENDIMIENTO/FUN.ACADE-ADMIN</v>
      </c>
      <c r="G775" s="7" t="str">
        <f>IF(B775="","",IFERROR(VLOOKUP(B775, PLANTA_BASE!A:W, 9, FALSE), "GENERAL"))</f>
        <v>EMPRENDIMIENTO</v>
      </c>
      <c r="H775" s="5" t="str">
        <f>IF(B775="","",IFERROR(VLOOKUP(B775, PLANTA_BASE!A:W, 17, FALSE), "GENERAL"))</f>
        <v>EMPRENDIMIENTO</v>
      </c>
    </row>
    <row r="776" spans="1:8" ht="20.100000000000001" customHeight="1" x14ac:dyDescent="0.25">
      <c r="A776" s="2" t="str">
        <f>IF(B776="","",IFERROR(VLOOKUP(B776, PLANTA_BASE!A:W, 2, FALSE), "NO ENCONTRADO EN PLANTA"))</f>
        <v>PRESENCIAL</v>
      </c>
      <c r="B776" s="3" t="s">
        <v>1556</v>
      </c>
      <c r="C776" s="4" t="s">
        <v>1557</v>
      </c>
      <c r="D776" s="2" t="str">
        <f>IF(B776="","",IFERROR(VLOOKUP(B776, PLANTA_BASE!A:W, 5, FALSE), "NO ENCONTRADO EN PLANTA"))</f>
        <v>REGIONAL BOGOTA</v>
      </c>
      <c r="E776" s="2" t="str">
        <f>IF(B776="","",IFERROR(VLOOKUP(B776, PLANTA_BASE!A:W, 6, FALSE), "NO ENCONTRADO EN PLANTA"))</f>
        <v>BOGOTA CENTRO</v>
      </c>
      <c r="F776" s="4" t="str">
        <f>IF(B776="","",IFERROR(VLOOKUP(B776, PLANTA_BASE!A:W, 8, FALSE), "DOCENTE / FACILITADOR"))</f>
        <v>DOCENTE ASIS/N/TC/ING ELECTRO/FUN.ACADE-ADMIN</v>
      </c>
      <c r="G776" s="4" t="str">
        <f>IF(B776="","",IFERROR(VLOOKUP(B776, PLANTA_BASE!A:W, 9, FALSE), "GENERAL"))</f>
        <v>INGENIERIA ELECTRONICA</v>
      </c>
      <c r="H776" s="2" t="str">
        <f>IF(B776="","",IFERROR(VLOOKUP(B776, PLANTA_BASE!A:W, 17, FALSE), "GENERAL"))</f>
        <v>INGENIERIA ELECTRONICA</v>
      </c>
    </row>
    <row r="777" spans="1:8" ht="20.100000000000001" customHeight="1" x14ac:dyDescent="0.25">
      <c r="A777" s="5" t="str">
        <f>IF(B777="","",IFERROR(VLOOKUP(B777, PLANTA_BASE!A:W, 2, FALSE), "NO ENCONTRADO EN PLANTA"))</f>
        <v>PRESENCIAL</v>
      </c>
      <c r="B777" s="6" t="s">
        <v>1558</v>
      </c>
      <c r="C777" s="7" t="s">
        <v>1559</v>
      </c>
      <c r="D777" s="5" t="str">
        <f>IF(B777="","",IFERROR(VLOOKUP(B777, PLANTA_BASE!A:W, 5, FALSE), "NO ENCONTRADO EN PLANTA"))</f>
        <v>REGIONAL BOGOTA</v>
      </c>
      <c r="E777" s="5" t="str">
        <f>IF(B777="","",IFERROR(VLOOKUP(B777, PLANTA_BASE!A:W, 6, FALSE), "NO ENCONTRADO EN PLANTA"))</f>
        <v>BOGOTA CENTRO</v>
      </c>
      <c r="F777" s="7" t="str">
        <f>IF(B777="","",IFERROR(VLOOKUP(B777, PLANTA_BASE!A:W, 8, FALSE), "DOCENTE / FACILITADOR"))</f>
        <v>DOCENTE ASOC/N/TC/INVESTIGACIONES/INVEST</v>
      </c>
      <c r="G777" s="7" t="str">
        <f>IF(B777="","",IFERROR(VLOOKUP(B777, PLANTA_BASE!A:W, 9, FALSE), "GENERAL"))</f>
        <v>INVESTIGACIONES</v>
      </c>
      <c r="H777" s="5" t="str">
        <f>IF(B777="","",IFERROR(VLOOKUP(B777, PLANTA_BASE!A:W, 17, FALSE), "GENERAL"))</f>
        <v>INVESTIGACIONES</v>
      </c>
    </row>
    <row r="778" spans="1:8" ht="20.100000000000001" customHeight="1" x14ac:dyDescent="0.25">
      <c r="A778" s="2" t="str">
        <f>IF(B778="","",IFERROR(VLOOKUP(B778, PLANTA_BASE!A:W, 2, FALSE), "NO ENCONTRADO EN PLANTA"))</f>
        <v>VIRTUAL</v>
      </c>
      <c r="B778" s="3" t="s">
        <v>1560</v>
      </c>
      <c r="C778" s="4" t="s">
        <v>1561</v>
      </c>
      <c r="D778" s="2" t="str">
        <f>IF(B778="","",IFERROR(VLOOKUP(B778, PLANTA_BASE!A:W, 5, FALSE), "NO ENCONTRADO EN PLANTA"))</f>
        <v>REGIONAL BOGOTA</v>
      </c>
      <c r="E778" s="2" t="str">
        <f>IF(B778="","",IFERROR(VLOOKUP(B778, PLANTA_BASE!A:W, 6, FALSE), "NO ENCONTRADO EN PLANTA"))</f>
        <v>BOGOTA CENTRO</v>
      </c>
      <c r="F778" s="4" t="str">
        <f>IF(B778="","",IFERROR(VLOOKUP(B778, PLANTA_BASE!A:W, 8, FALSE), "DOCENTE / FACILITADOR"))</f>
        <v>DOC AUX T&amp;T/N/V/TC/DIR PROD ME AUD/FUN.ACADE-ADMIN</v>
      </c>
      <c r="G778" s="4" t="str">
        <f>IF(B778="","",IFERROR(VLOOKUP(B778, PLANTA_BASE!A:W, 9, FALSE), "GENERAL"))</f>
        <v>DIRECCION Y PRODUCCION DE MEDIOS AUDIOVISUALES</v>
      </c>
      <c r="H778" s="2" t="str">
        <f>IF(B778="","",IFERROR(VLOOKUP(B778, PLANTA_BASE!A:W, 17, FALSE), "GENERAL"))</f>
        <v>DIRECCION Y PRODUCCION DE MEDIOS AUDIOVISUALES</v>
      </c>
    </row>
    <row r="779" spans="1:8" ht="20.100000000000001" customHeight="1" x14ac:dyDescent="0.25">
      <c r="A779" s="5" t="str">
        <f>IF(B779="","",IFERROR(VLOOKUP(B779, PLANTA_BASE!A:W, 2, FALSE), "NO ENCONTRADO EN PLANTA"))</f>
        <v>VIRTUAL</v>
      </c>
      <c r="B779" s="6" t="s">
        <v>1562</v>
      </c>
      <c r="C779" s="7" t="s">
        <v>1563</v>
      </c>
      <c r="D779" s="5" t="str">
        <f>IF(B779="","",IFERROR(VLOOKUP(B779, PLANTA_BASE!A:W, 5, FALSE), "NO ENCONTRADO EN PLANTA"))</f>
        <v>REGIONAL ANTIOQUIA</v>
      </c>
      <c r="E779" s="5" t="str">
        <f>IF(B779="","",IFERROR(VLOOKUP(B779, PLANTA_BASE!A:W, 6, FALSE), "NO ENCONTRADO EN PLANTA"))</f>
        <v>MEDELLIN</v>
      </c>
      <c r="F779" s="7" t="str">
        <f>IF(B779="","",IFERROR(VLOOKUP(B779, PLANTA_BASE!A:W, 8, FALSE), "DOCENTE / FACILITADOR"))</f>
        <v>DOC AUX T&amp;T/N/V/MT/CONTADURIA</v>
      </c>
      <c r="G779" s="7" t="str">
        <f>IF(B779="","",IFERROR(VLOOKUP(B779, PLANTA_BASE!A:W, 9, FALSE), "GENERAL"))</f>
        <v>CONTADURIA PUBLICA</v>
      </c>
      <c r="H779" s="5" t="str">
        <f>IF(B779="","",IFERROR(VLOOKUP(B779, PLANTA_BASE!A:W, 17, FALSE), "GENERAL"))</f>
        <v>CONTADURIA PUBLICA</v>
      </c>
    </row>
    <row r="780" spans="1:8" ht="20.100000000000001" customHeight="1" x14ac:dyDescent="0.25">
      <c r="A780" s="2" t="str">
        <f>IF(B780="","",IFERROR(VLOOKUP(B780, PLANTA_BASE!A:W, 2, FALSE), "NO ENCONTRADO EN PLANTA"))</f>
        <v>PRESENCIAL</v>
      </c>
      <c r="B780" s="3" t="s">
        <v>1564</v>
      </c>
      <c r="C780" s="4" t="s">
        <v>1565</v>
      </c>
      <c r="D780" s="2" t="str">
        <f>IF(B780="","",IFERROR(VLOOKUP(B780, PLANTA_BASE!A:W, 5, FALSE), "NO ENCONTRADO EN PLANTA"))</f>
        <v>REGIONAL BOGOTA</v>
      </c>
      <c r="E780" s="2" t="str">
        <f>IF(B780="","",IFERROR(VLOOKUP(B780, PLANTA_BASE!A:W, 6, FALSE), "NO ENCONTRADO EN PLANTA"))</f>
        <v>BOGOTA CENTRO</v>
      </c>
      <c r="F780" s="4" t="str">
        <f>IF(B780="","",IFERROR(VLOOKUP(B780, PLANTA_BASE!A:W, 8, FALSE), "DOCENTE / FACILITADOR"))</f>
        <v>DOC AUX T&amp;T/N/TC/INVESTIGACIONES/INVESTI</v>
      </c>
      <c r="G780" s="4" t="str">
        <f>IF(B780="","",IFERROR(VLOOKUP(B780, PLANTA_BASE!A:W, 9, FALSE), "GENERAL"))</f>
        <v>INVESTIGACIONES</v>
      </c>
      <c r="H780" s="2" t="str">
        <f>IF(B780="","",IFERROR(VLOOKUP(B780, PLANTA_BASE!A:W, 17, FALSE), "GENERAL"))</f>
        <v>INVESTIGACIONES</v>
      </c>
    </row>
    <row r="781" spans="1:8" ht="20.100000000000001" customHeight="1" x14ac:dyDescent="0.25">
      <c r="A781" s="5" t="str">
        <f>IF(B781="","",IFERROR(VLOOKUP(B781, PLANTA_BASE!A:W, 2, FALSE), "NO ENCONTRADO EN PLANTA"))</f>
        <v>PRESENCIAL</v>
      </c>
      <c r="B781" s="6" t="s">
        <v>1566</v>
      </c>
      <c r="C781" s="7" t="s">
        <v>1567</v>
      </c>
      <c r="D781" s="5" t="str">
        <f>IF(B781="","",IFERROR(VLOOKUP(B781, PLANTA_BASE!A:W, 5, FALSE), "NO ENCONTRADO EN PLANTA"))</f>
        <v>REGIONAL TOLIMA</v>
      </c>
      <c r="E781" s="5" t="str">
        <f>IF(B781="","",IFERROR(VLOOKUP(B781, PLANTA_BASE!A:W, 6, FALSE), "NO ENCONTRADO EN PLANTA"))</f>
        <v>IBAGUÉ</v>
      </c>
      <c r="F781" s="7" t="str">
        <f>IF(B781="","",IFERROR(VLOOKUP(B781, PLANTA_BASE!A:W, 8, FALSE), "DOCENTE / FACILITADOR"))</f>
        <v>DOC AUX T&amp;T/N/TC/DIS PROD MOD/FUN.ACADE-ADMIN</v>
      </c>
      <c r="G781" s="7" t="str">
        <f>IF(B781="","",IFERROR(VLOOKUP(B781, PLANTA_BASE!A:W, 9, FALSE), "GENERAL"))</f>
        <v>DISEÑO Y PRODUCCION DE MODAS</v>
      </c>
      <c r="H781" s="5" t="str">
        <f>IF(B781="","",IFERROR(VLOOKUP(B781, PLANTA_BASE!A:W, 17, FALSE), "GENERAL"))</f>
        <v>DISEÑO Y PRODUCCION DE MODAS</v>
      </c>
    </row>
    <row r="782" spans="1:8" ht="20.100000000000001" customHeight="1" x14ac:dyDescent="0.25">
      <c r="A782" s="2" t="str">
        <f>IF(B782="","",IFERROR(VLOOKUP(B782, PLANTA_BASE!A:W, 2, FALSE), "NO ENCONTRADO EN PLANTA"))</f>
        <v>PRESENCIAL</v>
      </c>
      <c r="B782" s="3" t="s">
        <v>1568</v>
      </c>
      <c r="C782" s="4" t="s">
        <v>1569</v>
      </c>
      <c r="D782" s="2" t="str">
        <f>IF(B782="","",IFERROR(VLOOKUP(B782, PLANTA_BASE!A:W, 5, FALSE), "NO ENCONTRADO EN PLANTA"))</f>
        <v>REGIONAL BOGOTA</v>
      </c>
      <c r="E782" s="2" t="str">
        <f>IF(B782="","",IFERROR(VLOOKUP(B782, PLANTA_BASE!A:W, 6, FALSE), "NO ENCONTRADO EN PLANTA"))</f>
        <v>BOGOTA CENTRO</v>
      </c>
      <c r="F782" s="4" t="str">
        <f>IF(B782="","",IFERROR(VLOOKUP(B782, PLANTA_BASE!A:W, 8, FALSE), "DOCENTE / FACILITADOR"))</f>
        <v>DOCENTE AUX/N/TC/EMPRENDIMIE/FUN.ACADE-ADMIN</v>
      </c>
      <c r="G782" s="4" t="str">
        <f>IF(B782="","",IFERROR(VLOOKUP(B782, PLANTA_BASE!A:W, 9, FALSE), "GENERAL"))</f>
        <v>EMPRENDIMIENTO</v>
      </c>
      <c r="H782" s="2" t="str">
        <f>IF(B782="","",IFERROR(VLOOKUP(B782, PLANTA_BASE!A:W, 17, FALSE), "GENERAL"))</f>
        <v>EMPRENDIMIENTO</v>
      </c>
    </row>
    <row r="783" spans="1:8" ht="20.100000000000001" customHeight="1" x14ac:dyDescent="0.25">
      <c r="A783" s="5" t="str">
        <f>IF(B783="","",IFERROR(VLOOKUP(B783, PLANTA_BASE!A:W, 2, FALSE), "NO ENCONTRADO EN PLANTA"))</f>
        <v>VIRTUAL</v>
      </c>
      <c r="B783" s="6" t="s">
        <v>1570</v>
      </c>
      <c r="C783" s="7" t="s">
        <v>1571</v>
      </c>
      <c r="D783" s="5" t="str">
        <f>IF(B783="","",IFERROR(VLOOKUP(B783, PLANTA_BASE!A:W, 5, FALSE), "NO ENCONTRADO EN PLANTA"))</f>
        <v>REGIONAL BOGOTA</v>
      </c>
      <c r="E783" s="5" t="str">
        <f>IF(B783="","",IFERROR(VLOOKUP(B783, PLANTA_BASE!A:W, 6, FALSE), "NO ENCONTRADO EN PLANTA"))</f>
        <v>BOGOTA CENTRO</v>
      </c>
      <c r="F783" s="7" t="str">
        <f>IF(B783="","",IFERROR(VLOOKUP(B783, PLANTA_BASE!A:W, 8, FALSE), "DOCENTE / FACILITADOR"))</f>
        <v>DOC AUX T&amp;T/N/V/MT/CONTADURIA</v>
      </c>
      <c r="G783" s="7" t="str">
        <f>IF(B783="","",IFERROR(VLOOKUP(B783, PLANTA_BASE!A:W, 9, FALSE), "GENERAL"))</f>
        <v>CONTADURIA PUBLICA</v>
      </c>
      <c r="H783" s="5" t="str">
        <f>IF(B783="","",IFERROR(VLOOKUP(B783, PLANTA_BASE!A:W, 17, FALSE), "GENERAL"))</f>
        <v>CONTADURIA PUBLICA</v>
      </c>
    </row>
    <row r="784" spans="1:8" ht="20.100000000000001" customHeight="1" x14ac:dyDescent="0.25">
      <c r="A784" s="2" t="str">
        <f>IF(B784="","",IFERROR(VLOOKUP(B784, PLANTA_BASE!A:W, 2, FALSE), "NO ENCONTRADO EN PLANTA"))</f>
        <v>PRESENCIAL</v>
      </c>
      <c r="B784" s="3" t="s">
        <v>1572</v>
      </c>
      <c r="C784" s="4" t="s">
        <v>1573</v>
      </c>
      <c r="D784" s="2" t="str">
        <f>IF(B784="","",IFERROR(VLOOKUP(B784, PLANTA_BASE!A:W, 5, FALSE), "NO ENCONTRADO EN PLANTA"))</f>
        <v>REGIONAL BOGOTA</v>
      </c>
      <c r="E784" s="2" t="str">
        <f>IF(B784="","",IFERROR(VLOOKUP(B784, PLANTA_BASE!A:W, 6, FALSE), "NO ENCONTRADO EN PLANTA"))</f>
        <v>BOGOTA CENTRO</v>
      </c>
      <c r="F784" s="4" t="str">
        <f>IF(B784="","",IFERROR(VLOOKUP(B784, PLANTA_BASE!A:W, 8, FALSE), "DOCENTE / FACILITADOR"))</f>
        <v>DOC AUX T&amp;T/N/TC/EMPRENDIMIE/FUN.ACADE-ADMIN</v>
      </c>
      <c r="G784" s="4" t="str">
        <f>IF(B784="","",IFERROR(VLOOKUP(B784, PLANTA_BASE!A:W, 9, FALSE), "GENERAL"))</f>
        <v>EMPRENDIMIENTO</v>
      </c>
      <c r="H784" s="2" t="str">
        <f>IF(B784="","",IFERROR(VLOOKUP(B784, PLANTA_BASE!A:W, 17, FALSE), "GENERAL"))</f>
        <v>EMPRENDIMIENTO</v>
      </c>
    </row>
    <row r="785" spans="1:8" ht="20.100000000000001" customHeight="1" x14ac:dyDescent="0.25">
      <c r="A785" s="5" t="str">
        <f>IF(B785="","",IFERROR(VLOOKUP(B785, PLANTA_BASE!A:W, 2, FALSE), "NO ENCONTRADO EN PLANTA"))</f>
        <v>PRESENCIAL</v>
      </c>
      <c r="B785" s="6" t="s">
        <v>1574</v>
      </c>
      <c r="C785" s="7" t="s">
        <v>1575</v>
      </c>
      <c r="D785" s="5" t="str">
        <f>IF(B785="","",IFERROR(VLOOKUP(B785, PLANTA_BASE!A:W, 5, FALSE), "NO ENCONTRADO EN PLANTA"))</f>
        <v>REGIONAL BOGOTA</v>
      </c>
      <c r="E785" s="5" t="str">
        <f>IF(B785="","",IFERROR(VLOOKUP(B785, PLANTA_BASE!A:W, 6, FALSE), "NO ENCONTRADO EN PLANTA"))</f>
        <v>BOGOTA CENTRO</v>
      </c>
      <c r="F785" s="7" t="str">
        <f>IF(B785="","",IFERROR(VLOOKUP(B785, PLANTA_BASE!A:W, 8, FALSE), "DOCENTE / FACILITADOR"))</f>
        <v>DOCENTE AUX/N/TC/EMPRENDIMIE/FUN.ACADE-ADMIN</v>
      </c>
      <c r="G785" s="7" t="str">
        <f>IF(B785="","",IFERROR(VLOOKUP(B785, PLANTA_BASE!A:W, 9, FALSE), "GENERAL"))</f>
        <v>EMPRENDIMIENTO</v>
      </c>
      <c r="H785" s="5" t="str">
        <f>IF(B785="","",IFERROR(VLOOKUP(B785, PLANTA_BASE!A:W, 17, FALSE), "GENERAL"))</f>
        <v>EMPRENDIMIENTO</v>
      </c>
    </row>
    <row r="786" spans="1:8" ht="20.100000000000001" customHeight="1" x14ac:dyDescent="0.25">
      <c r="A786" s="2" t="str">
        <f>IF(B786="","",IFERROR(VLOOKUP(B786, PLANTA_BASE!A:W, 2, FALSE), "NO ENCONTRADO EN PLANTA"))</f>
        <v>PRESENCIAL</v>
      </c>
      <c r="B786" s="3" t="s">
        <v>1576</v>
      </c>
      <c r="C786" s="4" t="s">
        <v>1577</v>
      </c>
      <c r="D786" s="2" t="str">
        <f>IF(B786="","",IFERROR(VLOOKUP(B786, PLANTA_BASE!A:W, 5, FALSE), "NO ENCONTRADO EN PLANTA"))</f>
        <v>REGIONAL BOGOTA</v>
      </c>
      <c r="E786" s="2" t="str">
        <f>IF(B786="","",IFERROR(VLOOKUP(B786, PLANTA_BASE!A:W, 6, FALSE), "NO ENCONTRADO EN PLANTA"))</f>
        <v>BOGOTA SUR</v>
      </c>
      <c r="F786" s="4" t="str">
        <f>IF(B786="","",IFERROR(VLOOKUP(B786, PLANTA_BASE!A:W, 8, FALSE), "DOCENTE / FACILITADOR"))</f>
        <v>DOC AUX T&amp;T/N/MT/ING SISTEM</v>
      </c>
      <c r="G786" s="4" t="str">
        <f>IF(B786="","",IFERROR(VLOOKUP(B786, PLANTA_BASE!A:W, 9, FALSE), "GENERAL"))</f>
        <v>INGENIERIA DE SISTEMAS</v>
      </c>
      <c r="H786" s="2" t="str">
        <f>IF(B786="","",IFERROR(VLOOKUP(B786, PLANTA_BASE!A:W, 17, FALSE), "GENERAL"))</f>
        <v>INGENIERIA DE SISTEMAS</v>
      </c>
    </row>
    <row r="787" spans="1:8" ht="20.100000000000001" customHeight="1" x14ac:dyDescent="0.25">
      <c r="A787" s="5" t="str">
        <f>IF(B787="","",IFERROR(VLOOKUP(B787, PLANTA_BASE!A:W, 2, FALSE), "NO ENCONTRADO EN PLANTA"))</f>
        <v>PRESENCIAL</v>
      </c>
      <c r="B787" s="6" t="s">
        <v>1578</v>
      </c>
      <c r="C787" s="7" t="s">
        <v>1579</v>
      </c>
      <c r="D787" s="5" t="str">
        <f>IF(B787="","",IFERROR(VLOOKUP(B787, PLANTA_BASE!A:W, 5, FALSE), "NO ENCONTRADO EN PLANTA"))</f>
        <v>REGIONAL BOGOTA</v>
      </c>
      <c r="E787" s="5" t="str">
        <f>IF(B787="","",IFERROR(VLOOKUP(B787, PLANTA_BASE!A:W, 6, FALSE), "NO ENCONTRADO EN PLANTA"))</f>
        <v>BOGOTA FONTIBON</v>
      </c>
      <c r="F787" s="7" t="str">
        <f>IF(B787="","",IFERROR(VLOOKUP(B787, PLANTA_BASE!A:W, 8, FALSE), "DOCENTE / FACILITADOR"))</f>
        <v>DOCENTE AUX/N/MT/ING SISTEM</v>
      </c>
      <c r="G787" s="7" t="str">
        <f>IF(B787="","",IFERROR(VLOOKUP(B787, PLANTA_BASE!A:W, 9, FALSE), "GENERAL"))</f>
        <v>INGENIERIA DE SISTEMAS</v>
      </c>
      <c r="H787" s="5" t="str">
        <f>IF(B787="","",IFERROR(VLOOKUP(B787, PLANTA_BASE!A:W, 17, FALSE), "GENERAL"))</f>
        <v>INGENIERIA DE SISTEMAS</v>
      </c>
    </row>
    <row r="788" spans="1:8" ht="20.100000000000001" customHeight="1" x14ac:dyDescent="0.25">
      <c r="A788" s="2" t="str">
        <f>IF(B788="","",IFERROR(VLOOKUP(B788, PLANTA_BASE!A:W, 2, FALSE), "NO ENCONTRADO EN PLANTA"))</f>
        <v>PRESENCIAL</v>
      </c>
      <c r="B788" s="3" t="s">
        <v>1580</v>
      </c>
      <c r="C788" s="4" t="s">
        <v>1581</v>
      </c>
      <c r="D788" s="2" t="str">
        <f>IF(B788="","",IFERROR(VLOOKUP(B788, PLANTA_BASE!A:W, 5, FALSE), "NO ENCONTRADO EN PLANTA"))</f>
        <v>REGIONAL BOGOTA</v>
      </c>
      <c r="E788" s="2" t="str">
        <f>IF(B788="","",IFERROR(VLOOKUP(B788, PLANTA_BASE!A:W, 6, FALSE), "NO ENCONTRADO EN PLANTA"))</f>
        <v>BOGOTA CENTRO</v>
      </c>
      <c r="F788" s="4" t="str">
        <f>IF(B788="","",IFERROR(VLOOKUP(B788, PLANTA_BASE!A:W, 8, FALSE), "DOCENTE / FACILITADOR"))</f>
        <v>DOCENTE TITU/N/TC/INVESTIGA/INVESTIGACIO</v>
      </c>
      <c r="G788" s="4" t="str">
        <f>IF(B788="","",IFERROR(VLOOKUP(B788, PLANTA_BASE!A:W, 9, FALSE), "GENERAL"))</f>
        <v>INVESTIGACIONES</v>
      </c>
      <c r="H788" s="2" t="str">
        <f>IF(B788="","",IFERROR(VLOOKUP(B788, PLANTA_BASE!A:W, 17, FALSE), "GENERAL"))</f>
        <v>INVESTIGACIONES</v>
      </c>
    </row>
    <row r="789" spans="1:8" ht="20.100000000000001" customHeight="1" x14ac:dyDescent="0.25">
      <c r="A789" s="5" t="str">
        <f>IF(B789="","",IFERROR(VLOOKUP(B789, PLANTA_BASE!A:W, 2, FALSE), "NO ENCONTRADO EN PLANTA"))</f>
        <v>VIRTUAL</v>
      </c>
      <c r="B789" s="6" t="s">
        <v>1582</v>
      </c>
      <c r="C789" s="7" t="s">
        <v>1583</v>
      </c>
      <c r="D789" s="5" t="str">
        <f>IF(B789="","",IFERROR(VLOOKUP(B789, PLANTA_BASE!A:W, 5, FALSE), "NO ENCONTRADO EN PLANTA"))</f>
        <v>REGIONAL BOGOTA</v>
      </c>
      <c r="E789" s="5" t="str">
        <f>IF(B789="","",IFERROR(VLOOKUP(B789, PLANTA_BASE!A:W, 6, FALSE), "NO ENCONTRADO EN PLANTA"))</f>
        <v>BOGOTA CENTRO</v>
      </c>
      <c r="F789" s="7" t="str">
        <f>IF(B789="","",IFERROR(VLOOKUP(B789, PLANTA_BASE!A:W, 8, FALSE), "DOCENTE / FACILITADOR"))</f>
        <v>DOC ASIS/N/V/MT/ESP MARKETING DIG</v>
      </c>
      <c r="G789" s="7" t="str">
        <f>IF(B789="","",IFERROR(VLOOKUP(B789, PLANTA_BASE!A:W, 9, FALSE), "GENERAL"))</f>
        <v>ESPECIALIZACION EN MARKETING DIGITAL</v>
      </c>
      <c r="H789" s="5" t="str">
        <f>IF(B789="","",IFERROR(VLOOKUP(B789, PLANTA_BASE!A:W, 17, FALSE), "GENERAL"))</f>
        <v>ESPECIALIZACION EN MARKETING DIGITAL</v>
      </c>
    </row>
    <row r="790" spans="1:8" ht="20.100000000000001" customHeight="1" x14ac:dyDescent="0.25">
      <c r="A790" s="2" t="str">
        <f>IF(B790="","",IFERROR(VLOOKUP(B790, PLANTA_BASE!A:W, 2, FALSE), "NO ENCONTRADO EN PLANTA"))</f>
        <v>PRESENCIAL</v>
      </c>
      <c r="B790" s="3" t="s">
        <v>1584</v>
      </c>
      <c r="C790" s="4" t="s">
        <v>1585</v>
      </c>
      <c r="D790" s="2" t="str">
        <f>IF(B790="","",IFERROR(VLOOKUP(B790, PLANTA_BASE!A:W, 5, FALSE), "NO ENCONTRADO EN PLANTA"))</f>
        <v>REGIONAL BOGOTA</v>
      </c>
      <c r="E790" s="2" t="str">
        <f>IF(B790="","",IFERROR(VLOOKUP(B790, PLANTA_BASE!A:W, 6, FALSE), "NO ENCONTRADO EN PLANTA"))</f>
        <v>BOGOTA CENTRO</v>
      </c>
      <c r="F790" s="4" t="str">
        <f>IF(B790="","",IFERROR(VLOOKUP(B790, PLANTA_BASE!A:W, 8, FALSE), "DOCENTE / FACILITADOR"))</f>
        <v>DOCENTE ASOC/N/TC/INVESTIGA/INVESTIGACIO</v>
      </c>
      <c r="G790" s="4" t="str">
        <f>IF(B790="","",IFERROR(VLOOKUP(B790, PLANTA_BASE!A:W, 9, FALSE), "GENERAL"))</f>
        <v>INVESTIGACIONES</v>
      </c>
      <c r="H790" s="2" t="str">
        <f>IF(B790="","",IFERROR(VLOOKUP(B790, PLANTA_BASE!A:W, 17, FALSE), "GENERAL"))</f>
        <v>INVESTIGACIONES</v>
      </c>
    </row>
    <row r="791" spans="1:8" ht="20.100000000000001" customHeight="1" x14ac:dyDescent="0.25">
      <c r="A791" s="5" t="str">
        <f>IF(B791="","",IFERROR(VLOOKUP(B791, PLANTA_BASE!A:W, 2, FALSE), "NO ENCONTRADO EN PLANTA"))</f>
        <v>PRESENCIAL</v>
      </c>
      <c r="B791" s="6" t="s">
        <v>1586</v>
      </c>
      <c r="C791" s="7" t="s">
        <v>1587</v>
      </c>
      <c r="D791" s="5" t="str">
        <f>IF(B791="","",IFERROR(VLOOKUP(B791, PLANTA_BASE!A:W, 5, FALSE), "NO ENCONTRADO EN PLANTA"))</f>
        <v>REGIONAL BOGOTA</v>
      </c>
      <c r="E791" s="5" t="str">
        <f>IF(B791="","",IFERROR(VLOOKUP(B791, PLANTA_BASE!A:W, 6, FALSE), "NO ENCONTRADO EN PLANTA"))</f>
        <v>BOGOTA NORTE</v>
      </c>
      <c r="F791" s="7" t="str">
        <f>IF(B791="","",IFERROR(VLOOKUP(B791, PLANTA_BASE!A:W, 8, FALSE), "DOCENTE / FACILITADOR"))</f>
        <v>DOCENTE AUX/N/TC/INVESTIGA/INVESTIGACION</v>
      </c>
      <c r="G791" s="7" t="str">
        <f>IF(B791="","",IFERROR(VLOOKUP(B791, PLANTA_BASE!A:W, 9, FALSE), "GENERAL"))</f>
        <v>INVESTIGACIONES</v>
      </c>
      <c r="H791" s="5" t="str">
        <f>IF(B791="","",IFERROR(VLOOKUP(B791, PLANTA_BASE!A:W, 17, FALSE), "GENERAL"))</f>
        <v>INVESTIGACIONES</v>
      </c>
    </row>
    <row r="792" spans="1:8" ht="20.100000000000001" customHeight="1" x14ac:dyDescent="0.25">
      <c r="A792" s="2" t="str">
        <f>IF(B792="","",IFERROR(VLOOKUP(B792, PLANTA_BASE!A:W, 2, FALSE), "NO ENCONTRADO EN PLANTA"))</f>
        <v>PRESENCIAL</v>
      </c>
      <c r="B792" s="3" t="s">
        <v>1588</v>
      </c>
      <c r="C792" s="4" t="s">
        <v>1589</v>
      </c>
      <c r="D792" s="2" t="str">
        <f>IF(B792="","",IFERROR(VLOOKUP(B792, PLANTA_BASE!A:W, 5, FALSE), "NO ENCONTRADO EN PLANTA"))</f>
        <v>REGIONAL BOGOTA</v>
      </c>
      <c r="E792" s="2" t="str">
        <f>IF(B792="","",IFERROR(VLOOKUP(B792, PLANTA_BASE!A:W, 6, FALSE), "NO ENCONTRADO EN PLANTA"))</f>
        <v>BOGOTA CENTRO</v>
      </c>
      <c r="F792" s="4" t="str">
        <f>IF(B792="","",IFERROR(VLOOKUP(B792, PLANTA_BASE!A:W, 8, FALSE), "DOCENTE / FACILITADOR"))</f>
        <v>DOC AUX/N/MT/MAR DIG</v>
      </c>
      <c r="G792" s="4" t="str">
        <f>IF(B792="","",IFERROR(VLOOKUP(B792, PLANTA_BASE!A:W, 9, FALSE), "GENERAL"))</f>
        <v>MARKETING DIGITAL</v>
      </c>
      <c r="H792" s="2" t="str">
        <f>IF(B792="","",IFERROR(VLOOKUP(B792, PLANTA_BASE!A:W, 17, FALSE), "GENERAL"))</f>
        <v>MARKETING DIGITAL</v>
      </c>
    </row>
    <row r="793" spans="1:8" ht="20.100000000000001" customHeight="1" x14ac:dyDescent="0.25">
      <c r="A793" s="5" t="str">
        <f>IF(B793="","",IFERROR(VLOOKUP(B793, PLANTA_BASE!A:W, 2, FALSE), "NO ENCONTRADO EN PLANTA"))</f>
        <v>PRESENCIAL</v>
      </c>
      <c r="B793" s="6" t="s">
        <v>1590</v>
      </c>
      <c r="C793" s="7" t="s">
        <v>1591</v>
      </c>
      <c r="D793" s="5" t="str">
        <f>IF(B793="","",IFERROR(VLOOKUP(B793, PLANTA_BASE!A:W, 5, FALSE), "NO ENCONTRADO EN PLANTA"))</f>
        <v>REGIONAL BOGOTA</v>
      </c>
      <c r="E793" s="5" t="str">
        <f>IF(B793="","",IFERROR(VLOOKUP(B793, PLANTA_BASE!A:W, 6, FALSE), "NO ENCONTRADO EN PLANTA"))</f>
        <v>BOGOTA CENTRO</v>
      </c>
      <c r="F793" s="7" t="str">
        <f>IF(B793="","",IFERROR(VLOOKUP(B793, PLANTA_BASE!A:W, 8, FALSE), "DOCENTE / FACILITADOR"))</f>
        <v>DOCENTE ASIS/N/MT/DIS GRAFICO</v>
      </c>
      <c r="G793" s="7" t="str">
        <f>IF(B793="","",IFERROR(VLOOKUP(B793, PLANTA_BASE!A:W, 9, FALSE), "GENERAL"))</f>
        <v>DISEÑO GRAFICO</v>
      </c>
      <c r="H793" s="5" t="str">
        <f>IF(B793="","",IFERROR(VLOOKUP(B793, PLANTA_BASE!A:W, 17, FALSE), "GENERAL"))</f>
        <v>DISEÑO GRAFICO</v>
      </c>
    </row>
    <row r="794" spans="1:8" ht="20.100000000000001" customHeight="1" x14ac:dyDescent="0.25">
      <c r="A794" s="2" t="str">
        <f>IF(B794="","",IFERROR(VLOOKUP(B794, PLANTA_BASE!A:W, 2, FALSE), "NO ENCONTRADO EN PLANTA"))</f>
        <v>PRESENCIAL</v>
      </c>
      <c r="B794" s="3" t="s">
        <v>1592</v>
      </c>
      <c r="C794" s="4" t="s">
        <v>1593</v>
      </c>
      <c r="D794" s="2" t="str">
        <f>IF(B794="","",IFERROR(VLOOKUP(B794, PLANTA_BASE!A:W, 5, FALSE), "NO ENCONTRADO EN PLANTA"))</f>
        <v>REGIONAL BOGOTA</v>
      </c>
      <c r="E794" s="2" t="str">
        <f>IF(B794="","",IFERROR(VLOOKUP(B794, PLANTA_BASE!A:W, 6, FALSE), "NO ENCONTRADO EN PLANTA"))</f>
        <v>BOGOTA CENTRO</v>
      </c>
      <c r="F794" s="4" t="str">
        <f>IF(B794="","",IFERROR(VLOOKUP(B794, PLANTA_BASE!A:W, 8, FALSE), "DOCENTE / FACILITADOR"))</f>
        <v>DOCENTE AUX/N/TC/ADM EMP/FUN.ACADE-ADMIN</v>
      </c>
      <c r="G794" s="4" t="str">
        <f>IF(B794="","",IFERROR(VLOOKUP(B794, PLANTA_BASE!A:W, 9, FALSE), "GENERAL"))</f>
        <v>ADMINISTRACION DE EMPRESAS</v>
      </c>
      <c r="H794" s="2" t="str">
        <f>IF(B794="","",IFERROR(VLOOKUP(B794, PLANTA_BASE!A:W, 17, FALSE), "GENERAL"))</f>
        <v>ADMINISTRACION DE EMPRESAS</v>
      </c>
    </row>
    <row r="795" spans="1:8" ht="20.100000000000001" customHeight="1" x14ac:dyDescent="0.25">
      <c r="A795" s="5" t="str">
        <f>IF(B795="","",IFERROR(VLOOKUP(B795, PLANTA_BASE!A:W, 2, FALSE), "NO ENCONTRADO EN PLANTA"))</f>
        <v>VIRTUAL</v>
      </c>
      <c r="B795" s="6" t="s">
        <v>1594</v>
      </c>
      <c r="C795" s="7" t="s">
        <v>1595</v>
      </c>
      <c r="D795" s="5" t="str">
        <f>IF(B795="","",IFERROR(VLOOKUP(B795, PLANTA_BASE!A:W, 5, FALSE), "NO ENCONTRADO EN PLANTA"))</f>
        <v>REGIONAL CUNDINAMARCA</v>
      </c>
      <c r="E795" s="5" t="str">
        <f>IF(B795="","",IFERROR(VLOOKUP(B795, PLANTA_BASE!A:W, 6, FALSE), "NO ENCONTRADO EN PLANTA"))</f>
        <v>CHÍA</v>
      </c>
      <c r="F795" s="7" t="str">
        <f>IF(B795="","",IFERROR(VLOOKUP(B795, PLANTA_BASE!A:W, 8, FALSE), "DOCENTE / FACILITADOR"))</f>
        <v>DOC ASIS/N/V/TC/ING INDUS/FUN.ACADE-ADMIN</v>
      </c>
      <c r="G795" s="7" t="str">
        <f>IF(B795="","",IFERROR(VLOOKUP(B795, PLANTA_BASE!A:W, 9, FALSE), "GENERAL"))</f>
        <v>INGENIERIA INDUSTRIAL</v>
      </c>
      <c r="H795" s="5" t="str">
        <f>IF(B795="","",IFERROR(VLOOKUP(B795, PLANTA_BASE!A:W, 17, FALSE), "GENERAL"))</f>
        <v>INGENIERIA INDUSTRIAL</v>
      </c>
    </row>
    <row r="796" spans="1:8" ht="20.100000000000001" customHeight="1" x14ac:dyDescent="0.25">
      <c r="A796" s="2" t="str">
        <f>IF(B796="","",IFERROR(VLOOKUP(B796, PLANTA_BASE!A:W, 2, FALSE), "NO ENCONTRADO EN PLANTA"))</f>
        <v>PRESENCIAL</v>
      </c>
      <c r="B796" s="3" t="s">
        <v>1596</v>
      </c>
      <c r="C796" s="4" t="s">
        <v>1597</v>
      </c>
      <c r="D796" s="2" t="str">
        <f>IF(B796="","",IFERROR(VLOOKUP(B796, PLANTA_BASE!A:W, 5, FALSE), "NO ENCONTRADO EN PLANTA"))</f>
        <v>REGIONAL BOGOTA</v>
      </c>
      <c r="E796" s="2" t="str">
        <f>IF(B796="","",IFERROR(VLOOKUP(B796, PLANTA_BASE!A:W, 6, FALSE), "NO ENCONTRADO EN PLANTA"))</f>
        <v>BOGOTA CENTRO</v>
      </c>
      <c r="F796" s="4" t="str">
        <f>IF(B796="","",IFERROR(VLOOKUP(B796, PLANTA_BASE!A:W, 8, FALSE), "DOCENTE / FACILITADOR"))</f>
        <v>DOCENTE AUX/N/TC/ADM DEP/FUN.ACADE-ADMIN</v>
      </c>
      <c r="G796" s="4" t="str">
        <f>IF(B796="","",IFERROR(VLOOKUP(B796, PLANTA_BASE!A:W, 9, FALSE), "GENERAL"))</f>
        <v>ADMINISTRACION DEPORTIVA</v>
      </c>
      <c r="H796" s="2" t="str">
        <f>IF(B796="","",IFERROR(VLOOKUP(B796, PLANTA_BASE!A:W, 17, FALSE), "GENERAL"))</f>
        <v>ADMINISTRACION DEPORTIVA</v>
      </c>
    </row>
    <row r="797" spans="1:8" ht="20.100000000000001" customHeight="1" x14ac:dyDescent="0.25">
      <c r="A797" s="5" t="str">
        <f>IF(B797="","",IFERROR(VLOOKUP(B797, PLANTA_BASE!A:W, 2, FALSE), "NO ENCONTRADO EN PLANTA"))</f>
        <v>PRESENCIAL</v>
      </c>
      <c r="B797" s="6" t="s">
        <v>1598</v>
      </c>
      <c r="C797" s="7" t="s">
        <v>1599</v>
      </c>
      <c r="D797" s="5" t="str">
        <f>IF(B797="","",IFERROR(VLOOKUP(B797, PLANTA_BASE!A:W, 5, FALSE), "NO ENCONTRADO EN PLANTA"))</f>
        <v>REGIONAL BOGOTA</v>
      </c>
      <c r="E797" s="5" t="str">
        <f>IF(B797="","",IFERROR(VLOOKUP(B797, PLANTA_BASE!A:W, 6, FALSE), "NO ENCONTRADO EN PLANTA"))</f>
        <v>BOGOTA SUR</v>
      </c>
      <c r="F797" s="7" t="str">
        <f>IF(B797="","",IFERROR(VLOOKUP(B797, PLANTA_BASE!A:W, 8, FALSE), "DOCENTE / FACILITADOR"))</f>
        <v>DOCENTE ASOC/N/TC/ADM EMP/FUN.ACADE-ADMIN</v>
      </c>
      <c r="G797" s="7" t="str">
        <f>IF(B797="","",IFERROR(VLOOKUP(B797, PLANTA_BASE!A:W, 9, FALSE), "GENERAL"))</f>
        <v>ADMINISTRACION DE EMPRESAS</v>
      </c>
      <c r="H797" s="5" t="str">
        <f>IF(B797="","",IFERROR(VLOOKUP(B797, PLANTA_BASE!A:W, 17, FALSE), "GENERAL"))</f>
        <v>ADMINISTRACION DE EMPRESAS</v>
      </c>
    </row>
    <row r="798" spans="1:8" ht="20.100000000000001" customHeight="1" x14ac:dyDescent="0.25">
      <c r="A798" s="2" t="str">
        <f>IF(B798="","",IFERROR(VLOOKUP(B798, PLANTA_BASE!A:W, 2, FALSE), "NO ENCONTRADO EN PLANTA"))</f>
        <v>VIRTUAL</v>
      </c>
      <c r="B798" s="3" t="s">
        <v>1600</v>
      </c>
      <c r="C798" s="4" t="s">
        <v>1601</v>
      </c>
      <c r="D798" s="2" t="str">
        <f>IF(B798="","",IFERROR(VLOOKUP(B798, PLANTA_BASE!A:W, 5, FALSE), "NO ENCONTRADO EN PLANTA"))</f>
        <v>REGIONAL BOGOTA</v>
      </c>
      <c r="E798" s="2" t="str">
        <f>IF(B798="","",IFERROR(VLOOKUP(B798, PLANTA_BASE!A:W, 6, FALSE), "NO ENCONTRADO EN PLANTA"))</f>
        <v>BOGOTA CENTRO</v>
      </c>
      <c r="F798" s="4" t="str">
        <f>IF(B798="","",IFERROR(VLOOKUP(B798, PLANTA_BASE!A:W, 8, FALSE), "DOCENTE / FACILITADOR"))</f>
        <v>DOC ASIS/N/V/MT/CONTADURIA</v>
      </c>
      <c r="G798" s="4" t="str">
        <f>IF(B798="","",IFERROR(VLOOKUP(B798, PLANTA_BASE!A:W, 9, FALSE), "GENERAL"))</f>
        <v>CONTADURIA PUBLICA</v>
      </c>
      <c r="H798" s="2" t="str">
        <f>IF(B798="","",IFERROR(VLOOKUP(B798, PLANTA_BASE!A:W, 17, FALSE), "GENERAL"))</f>
        <v>CONTADURIA PUBLICA</v>
      </c>
    </row>
    <row r="799" spans="1:8" ht="20.100000000000001" customHeight="1" x14ac:dyDescent="0.25">
      <c r="A799" s="5" t="str">
        <f>IF(B799="","",IFERROR(VLOOKUP(B799, PLANTA_BASE!A:W, 2, FALSE), "NO ENCONTRADO EN PLANTA"))</f>
        <v>PRESENCIAL</v>
      </c>
      <c r="B799" s="6" t="s">
        <v>1602</v>
      </c>
      <c r="C799" s="7" t="s">
        <v>1603</v>
      </c>
      <c r="D799" s="5" t="str">
        <f>IF(B799="","",IFERROR(VLOOKUP(B799, PLANTA_BASE!A:W, 5, FALSE), "NO ENCONTRADO EN PLANTA"))</f>
        <v>REGIONAL BOGOTA</v>
      </c>
      <c r="E799" s="5" t="str">
        <f>IF(B799="","",IFERROR(VLOOKUP(B799, PLANTA_BASE!A:W, 6, FALSE), "NO ENCONTRADO EN PLANTA"))</f>
        <v>BOGOTA NORTE</v>
      </c>
      <c r="F799" s="7" t="str">
        <f>IF(B799="","",IFERROR(VLOOKUP(B799, PLANTA_BASE!A:W, 8, FALSE), "DOCENTE / FACILITADOR"))</f>
        <v>DOCENTE AUX/N/TC/INVESTIGA/INVESTIGACION</v>
      </c>
      <c r="G799" s="7" t="str">
        <f>IF(B799="","",IFERROR(VLOOKUP(B799, PLANTA_BASE!A:W, 9, FALSE), "GENERAL"))</f>
        <v>INVESTIGACIONES</v>
      </c>
      <c r="H799" s="5" t="str">
        <f>IF(B799="","",IFERROR(VLOOKUP(B799, PLANTA_BASE!A:W, 17, FALSE), "GENERAL"))</f>
        <v>INVESTIGACIONES</v>
      </c>
    </row>
    <row r="800" spans="1:8" ht="20.100000000000001" customHeight="1" x14ac:dyDescent="0.25">
      <c r="A800" s="2" t="str">
        <f>IF(B800="","",IFERROR(VLOOKUP(B800, PLANTA_BASE!A:W, 2, FALSE), "NO ENCONTRADO EN PLANTA"))</f>
        <v>PRESENCIAL</v>
      </c>
      <c r="B800" s="3" t="s">
        <v>1604</v>
      </c>
      <c r="C800" s="4" t="s">
        <v>1605</v>
      </c>
      <c r="D800" s="2" t="str">
        <f>IF(B800="","",IFERROR(VLOOKUP(B800, PLANTA_BASE!A:W, 5, FALSE), "NO ENCONTRADO EN PLANTA"))</f>
        <v>REGIONAL BOGOTA</v>
      </c>
      <c r="E800" s="2" t="str">
        <f>IF(B800="","",IFERROR(VLOOKUP(B800, PLANTA_BASE!A:W, 6, FALSE), "NO ENCONTRADO EN PLANTA"))</f>
        <v>BOGOTA CENTRO</v>
      </c>
      <c r="F800" s="4" t="str">
        <f>IF(B800="","",IFERROR(VLOOKUP(B800, PLANTA_BASE!A:W, 8, FALSE), "DOCENTE / FACILITADOR"))</f>
        <v>DOCENTE ASIS/N/TC/DIS GRAFICO/FUN.ACADE-ADMIN</v>
      </c>
      <c r="G800" s="4" t="str">
        <f>IF(B800="","",IFERROR(VLOOKUP(B800, PLANTA_BASE!A:W, 9, FALSE), "GENERAL"))</f>
        <v>DISEÑO GRAFICO</v>
      </c>
      <c r="H800" s="2" t="str">
        <f>IF(B800="","",IFERROR(VLOOKUP(B800, PLANTA_BASE!A:W, 17, FALSE), "GENERAL"))</f>
        <v>DISEÑO GRAFICO</v>
      </c>
    </row>
    <row r="801" spans="1:8" ht="20.100000000000001" customHeight="1" x14ac:dyDescent="0.25">
      <c r="A801" s="5" t="str">
        <f>IF(B801="","",IFERROR(VLOOKUP(B801, PLANTA_BASE!A:W, 2, FALSE), "NO ENCONTRADO EN PLANTA"))</f>
        <v>VIRTUAL</v>
      </c>
      <c r="B801" s="6" t="s">
        <v>1606</v>
      </c>
      <c r="C801" s="7" t="s">
        <v>1607</v>
      </c>
      <c r="D801" s="5" t="str">
        <f>IF(B801="","",IFERROR(VLOOKUP(B801, PLANTA_BASE!A:W, 5, FALSE), "NO ENCONTRADO EN PLANTA"))</f>
        <v>REGIONAL BOGOTA</v>
      </c>
      <c r="E801" s="5" t="str">
        <f>IF(B801="","",IFERROR(VLOOKUP(B801, PLANTA_BASE!A:W, 6, FALSE), "NO ENCONTRADO EN PLANTA"))</f>
        <v>BOGOTA CENTRO</v>
      </c>
      <c r="F801" s="7" t="str">
        <f>IF(B801="","",IFERROR(VLOOKUP(B801, PLANTA_BASE!A:W, 8, FALSE), "DOCENTE / FACILITADOR"))</f>
        <v>DOC AUX/N/V/TC/ADM DE EMPRE/FUN.ACADE-ADMIN</v>
      </c>
      <c r="G801" s="7" t="str">
        <f>IF(B801="","",IFERROR(VLOOKUP(B801, PLANTA_BASE!A:W, 9, FALSE), "GENERAL"))</f>
        <v>ADMINISTRACION DE EMPRESAS</v>
      </c>
      <c r="H801" s="5" t="str">
        <f>IF(B801="","",IFERROR(VLOOKUP(B801, PLANTA_BASE!A:W, 17, FALSE), "GENERAL"))</f>
        <v>ADMINISTRACION DE EMPRESAS</v>
      </c>
    </row>
    <row r="802" spans="1:8" ht="20.100000000000001" customHeight="1" x14ac:dyDescent="0.25">
      <c r="A802" s="2" t="str">
        <f>IF(B802="","",IFERROR(VLOOKUP(B802, PLANTA_BASE!A:W, 2, FALSE), "NO ENCONTRADO EN PLANTA"))</f>
        <v>PRESENCIAL</v>
      </c>
      <c r="B802" s="3" t="s">
        <v>1608</v>
      </c>
      <c r="C802" s="4" t="s">
        <v>1609</v>
      </c>
      <c r="D802" s="2" t="str">
        <f>IF(B802="","",IFERROR(VLOOKUP(B802, PLANTA_BASE!A:W, 5, FALSE), "NO ENCONTRADO EN PLANTA"))</f>
        <v>REGIONAL BOGOTA</v>
      </c>
      <c r="E802" s="2" t="str">
        <f>IF(B802="","",IFERROR(VLOOKUP(B802, PLANTA_BASE!A:W, 6, FALSE), "NO ENCONTRADO EN PLANTA"))</f>
        <v>BOGOTA CENTRO</v>
      </c>
      <c r="F802" s="4" t="str">
        <f>IF(B802="","",IFERROR(VLOOKUP(B802, PLANTA_BASE!A:W, 8, FALSE), "DOCENTE / FACILITADOR"))</f>
        <v>DOCENTE ASIS/N/TC/INVESTIGA/INVESTIGACIO</v>
      </c>
      <c r="G802" s="4" t="str">
        <f>IF(B802="","",IFERROR(VLOOKUP(B802, PLANTA_BASE!A:W, 9, FALSE), "GENERAL"))</f>
        <v>INVESTIGACIONES</v>
      </c>
      <c r="H802" s="2" t="str">
        <f>IF(B802="","",IFERROR(VLOOKUP(B802, PLANTA_BASE!A:W, 17, FALSE), "GENERAL"))</f>
        <v>INVESTIGACIONES</v>
      </c>
    </row>
    <row r="803" spans="1:8" ht="20.100000000000001" customHeight="1" x14ac:dyDescent="0.25">
      <c r="A803" s="5" t="str">
        <f>IF(B803="","",IFERROR(VLOOKUP(B803, PLANTA_BASE!A:W, 2, FALSE), "NO ENCONTRADO EN PLANTA"))</f>
        <v>VIRTUAL</v>
      </c>
      <c r="B803" s="6" t="s">
        <v>1610</v>
      </c>
      <c r="C803" s="7" t="s">
        <v>1611</v>
      </c>
      <c r="D803" s="5" t="str">
        <f>IF(B803="","",IFERROR(VLOOKUP(B803, PLANTA_BASE!A:W, 5, FALSE), "NO ENCONTRADO EN PLANTA"))</f>
        <v>REGIONAL BOGOTA</v>
      </c>
      <c r="E803" s="5" t="str">
        <f>IF(B803="","",IFERROR(VLOOKUP(B803, PLANTA_BASE!A:W, 6, FALSE), "NO ENCONTRADO EN PLANTA"))</f>
        <v>BOGOTA CENTRO</v>
      </c>
      <c r="F803" s="7" t="str">
        <f>IF(B803="","",IFERROR(VLOOKUP(B803, PLANTA_BASE!A:W, 8, FALSE), "DOCENTE / FACILITADOR"))</f>
        <v>DOC AUX/N/V/MT/MAR DIG</v>
      </c>
      <c r="G803" s="7" t="str">
        <f>IF(B803="","",IFERROR(VLOOKUP(B803, PLANTA_BASE!A:W, 9, FALSE), "GENERAL"))</f>
        <v>MARKETING DIGITAL</v>
      </c>
      <c r="H803" s="5" t="str">
        <f>IF(B803="","",IFERROR(VLOOKUP(B803, PLANTA_BASE!A:W, 17, FALSE), "GENERAL"))</f>
        <v>MARKETING DIGITAL</v>
      </c>
    </row>
    <row r="804" spans="1:8" ht="20.100000000000001" customHeight="1" x14ac:dyDescent="0.25">
      <c r="A804" s="2" t="str">
        <f>IF(B804="","",IFERROR(VLOOKUP(B804, PLANTA_BASE!A:W, 2, FALSE), "NO ENCONTRADO EN PLANTA"))</f>
        <v>PRESENCIAL</v>
      </c>
      <c r="B804" s="3" t="s">
        <v>1612</v>
      </c>
      <c r="C804" s="4" t="s">
        <v>1613</v>
      </c>
      <c r="D804" s="2" t="str">
        <f>IF(B804="","",IFERROR(VLOOKUP(B804, PLANTA_BASE!A:W, 5, FALSE), "NO ENCONTRADO EN PLANTA"))</f>
        <v>REGIONAL BOGOTA</v>
      </c>
      <c r="E804" s="2" t="str">
        <f>IF(B804="","",IFERROR(VLOOKUP(B804, PLANTA_BASE!A:W, 6, FALSE), "NO ENCONTRADO EN PLANTA"))</f>
        <v>BOGOTA CENTRO</v>
      </c>
      <c r="F804" s="4" t="str">
        <f>IF(B804="","",IFERROR(VLOOKUP(B804, PLANTA_BASE!A:W, 8, FALSE), "DOCENTE / FACILITADOR"))</f>
        <v>DOCENTE ASIS/N/TC/ING ELECTRO/FUN.ACADE-ADMIN</v>
      </c>
      <c r="G804" s="4" t="str">
        <f>IF(B804="","",IFERROR(VLOOKUP(B804, PLANTA_BASE!A:W, 9, FALSE), "GENERAL"))</f>
        <v>INGENIERIA ELECTRONICA</v>
      </c>
      <c r="H804" s="2" t="str">
        <f>IF(B804="","",IFERROR(VLOOKUP(B804, PLANTA_BASE!A:W, 17, FALSE), "GENERAL"))</f>
        <v>INGENIERIA ELECTRONICA</v>
      </c>
    </row>
    <row r="805" spans="1:8" ht="20.100000000000001" customHeight="1" x14ac:dyDescent="0.25">
      <c r="A805" s="5" t="str">
        <f>IF(B805="","",IFERROR(VLOOKUP(B805, PLANTA_BASE!A:W, 2, FALSE), "NO ENCONTRADO EN PLANTA"))</f>
        <v>VIRTUAL</v>
      </c>
      <c r="B805" s="6" t="s">
        <v>1614</v>
      </c>
      <c r="C805" s="7" t="s">
        <v>1615</v>
      </c>
      <c r="D805" s="5" t="str">
        <f>IF(B805="","",IFERROR(VLOOKUP(B805, PLANTA_BASE!A:W, 5, FALSE), "NO ENCONTRADO EN PLANTA"))</f>
        <v>REGIONAL BOGOTA</v>
      </c>
      <c r="E805" s="5" t="str">
        <f>IF(B805="","",IFERROR(VLOOKUP(B805, PLANTA_BASE!A:W, 6, FALSE), "NO ENCONTRADO EN PLANTA"))</f>
        <v>BOGOTA CENTRO</v>
      </c>
      <c r="F805" s="7" t="str">
        <f>IF(B805="","",IFERROR(VLOOKUP(B805, PLANTA_BASE!A:W, 8, FALSE), "DOCENTE / FACILITADOR"))</f>
        <v>DOC AUX/N/V/TC/ADMIN PUBLICA/FUN.ACADE-ADMIN</v>
      </c>
      <c r="G805" s="7" t="str">
        <f>IF(B805="","",IFERROR(VLOOKUP(B805, PLANTA_BASE!A:W, 9, FALSE), "GENERAL"))</f>
        <v>ADMINISTRACION PUBLICA</v>
      </c>
      <c r="H805" s="5" t="str">
        <f>IF(B805="","",IFERROR(VLOOKUP(B805, PLANTA_BASE!A:W, 17, FALSE), "GENERAL"))</f>
        <v>ADMINISTRACION PUBLICA</v>
      </c>
    </row>
    <row r="806" spans="1:8" ht="20.100000000000001" customHeight="1" x14ac:dyDescent="0.25">
      <c r="A806" s="2" t="str">
        <f>IF(B806="","",IFERROR(VLOOKUP(B806, PLANTA_BASE!A:W, 2, FALSE), "NO ENCONTRADO EN PLANTA"))</f>
        <v>PRESENCIAL</v>
      </c>
      <c r="B806" s="3" t="s">
        <v>1616</v>
      </c>
      <c r="C806" s="4" t="s">
        <v>1617</v>
      </c>
      <c r="D806" s="2" t="str">
        <f>IF(B806="","",IFERROR(VLOOKUP(B806, PLANTA_BASE!A:W, 5, FALSE), "NO ENCONTRADO EN PLANTA"))</f>
        <v>REGIONAL BOGOTA</v>
      </c>
      <c r="E806" s="2" t="str">
        <f>IF(B806="","",IFERROR(VLOOKUP(B806, PLANTA_BASE!A:W, 6, FALSE), "NO ENCONTRADO EN PLANTA"))</f>
        <v>BOGOTA CENTRO</v>
      </c>
      <c r="F806" s="4" t="str">
        <f>IF(B806="","",IFERROR(VLOOKUP(B806, PLANTA_BASE!A:W, 8, FALSE), "DOCENTE / FACILITADOR"))</f>
        <v>DOC AUX T&amp;T/N/TC/DIR PROD ME AUD/FUN.ACADE-ADMIN</v>
      </c>
      <c r="G806" s="4" t="str">
        <f>IF(B806="","",IFERROR(VLOOKUP(B806, PLANTA_BASE!A:W, 9, FALSE), "GENERAL"))</f>
        <v>DIRECCION Y PRODUCCION DE MEDIOS AUDIOVISUALES</v>
      </c>
      <c r="H806" s="2" t="str">
        <f>IF(B806="","",IFERROR(VLOOKUP(B806, PLANTA_BASE!A:W, 17, FALSE), "GENERAL"))</f>
        <v>DIRECCION Y PRODUCCION DE MEDIOS AUDIOVISUALES</v>
      </c>
    </row>
    <row r="807" spans="1:8" ht="20.100000000000001" customHeight="1" x14ac:dyDescent="0.25">
      <c r="A807" s="5" t="str">
        <f>IF(B807="","",IFERROR(VLOOKUP(B807, PLANTA_BASE!A:W, 2, FALSE), "NO ENCONTRADO EN PLANTA"))</f>
        <v>VIRTUAL</v>
      </c>
      <c r="B807" s="6" t="s">
        <v>1618</v>
      </c>
      <c r="C807" s="7" t="s">
        <v>1619</v>
      </c>
      <c r="D807" s="5" t="str">
        <f>IF(B807="","",IFERROR(VLOOKUP(B807, PLANTA_BASE!A:W, 5, FALSE), "NO ENCONTRADO EN PLANTA"))</f>
        <v>REGIONAL BOGOTA</v>
      </c>
      <c r="E807" s="5" t="str">
        <f>IF(B807="","",IFERROR(VLOOKUP(B807, PLANTA_BASE!A:W, 6, FALSE), "NO ENCONTRADO EN PLANTA"))</f>
        <v>BOGOTA CENTRO</v>
      </c>
      <c r="F807" s="7" t="str">
        <f>IF(B807="","",IFERROR(VLOOKUP(B807, PLANTA_BASE!A:W, 8, FALSE), "DOCENTE / FACILITADOR"))</f>
        <v>DOC ASIS/N/V/TC/ING INDUS/FUN.ACADE-ADMIN</v>
      </c>
      <c r="G807" s="7" t="str">
        <f>IF(B807="","",IFERROR(VLOOKUP(B807, PLANTA_BASE!A:W, 9, FALSE), "GENERAL"))</f>
        <v>INGENIERIA INDUSTRIAL</v>
      </c>
      <c r="H807" s="5" t="str">
        <f>IF(B807="","",IFERROR(VLOOKUP(B807, PLANTA_BASE!A:W, 17, FALSE), "GENERAL"))</f>
        <v>INGENIERIA INDUSTRIAL</v>
      </c>
    </row>
    <row r="808" spans="1:8" ht="20.100000000000001" customHeight="1" x14ac:dyDescent="0.25">
      <c r="A808" s="2" t="str">
        <f>IF(B808="","",IFERROR(VLOOKUP(B808, PLANTA_BASE!A:W, 2, FALSE), "NO ENCONTRADO EN PLANTA"))</f>
        <v>PRESENCIAL</v>
      </c>
      <c r="B808" s="3" t="s">
        <v>1620</v>
      </c>
      <c r="C808" s="4" t="s">
        <v>1621</v>
      </c>
      <c r="D808" s="2" t="str">
        <f>IF(B808="","",IFERROR(VLOOKUP(B808, PLANTA_BASE!A:W, 5, FALSE), "NO ENCONTRADO EN PLANTA"))</f>
        <v>REGIONAL BOGOTA</v>
      </c>
      <c r="E808" s="2" t="str">
        <f>IF(B808="","",IFERROR(VLOOKUP(B808, PLANTA_BASE!A:W, 6, FALSE), "NO ENCONTRADO EN PLANTA"))</f>
        <v>BOGOTA CENTRO</v>
      </c>
      <c r="F808" s="4" t="str">
        <f>IF(B808="","",IFERROR(VLOOKUP(B808, PLANTA_BASE!A:W, 8, FALSE), "DOCENTE / FACILITADOR"))</f>
        <v>DOC AUX T&amp;T/N/TC/DIS GRAFICO/FUN.ACADE-ADMIN</v>
      </c>
      <c r="G808" s="4" t="str">
        <f>IF(B808="","",IFERROR(VLOOKUP(B808, PLANTA_BASE!A:W, 9, FALSE), "GENERAL"))</f>
        <v>DISEÑO GRAFICO</v>
      </c>
      <c r="H808" s="2" t="str">
        <f>IF(B808="","",IFERROR(VLOOKUP(B808, PLANTA_BASE!A:W, 17, FALSE), "GENERAL"))</f>
        <v>DISEÑO GRAFICO</v>
      </c>
    </row>
    <row r="809" spans="1:8" ht="20.100000000000001" customHeight="1" x14ac:dyDescent="0.25">
      <c r="A809" s="5" t="str">
        <f>IF(B809="","",IFERROR(VLOOKUP(B809, PLANTA_BASE!A:W, 2, FALSE), "NO ENCONTRADO EN PLANTA"))</f>
        <v>PRESENCIAL</v>
      </c>
      <c r="B809" s="6" t="s">
        <v>1622</v>
      </c>
      <c r="C809" s="7" t="s">
        <v>1623</v>
      </c>
      <c r="D809" s="5" t="str">
        <f>IF(B809="","",IFERROR(VLOOKUP(B809, PLANTA_BASE!A:W, 5, FALSE), "NO ENCONTRADO EN PLANTA"))</f>
        <v>REGIONAL BOGOTA</v>
      </c>
      <c r="E809" s="5" t="str">
        <f>IF(B809="","",IFERROR(VLOOKUP(B809, PLANTA_BASE!A:W, 6, FALSE), "NO ENCONTRADO EN PLANTA"))</f>
        <v>BOGOTA CENTRO</v>
      </c>
      <c r="F809" s="7" t="str">
        <f>IF(B809="","",IFERROR(VLOOKUP(B809, PLANTA_BASE!A:W, 8, FALSE), "DOCENTE / FACILITADOR"))</f>
        <v>DOC ASIS/N/TC/EMPRENDIMIENTO/FUN.ACADE-ADMIN</v>
      </c>
      <c r="G809" s="7" t="str">
        <f>IF(B809="","",IFERROR(VLOOKUP(B809, PLANTA_BASE!A:W, 9, FALSE), "GENERAL"))</f>
        <v>EMPRENDIMIENTO</v>
      </c>
      <c r="H809" s="5" t="str">
        <f>IF(B809="","",IFERROR(VLOOKUP(B809, PLANTA_BASE!A:W, 17, FALSE), "GENERAL"))</f>
        <v>EMPRENDIMIENTO</v>
      </c>
    </row>
    <row r="810" spans="1:8" ht="20.100000000000001" customHeight="1" x14ac:dyDescent="0.25">
      <c r="A810" s="2" t="str">
        <f>IF(B810="","",IFERROR(VLOOKUP(B810, PLANTA_BASE!A:W, 2, FALSE), "NO ENCONTRADO EN PLANTA"))</f>
        <v>VIRTUAL</v>
      </c>
      <c r="B810" s="3" t="s">
        <v>1624</v>
      </c>
      <c r="C810" s="4" t="s">
        <v>1625</v>
      </c>
      <c r="D810" s="2" t="str">
        <f>IF(B810="","",IFERROR(VLOOKUP(B810, PLANTA_BASE!A:W, 5, FALSE), "NO ENCONTRADO EN PLANTA"))</f>
        <v>REGIONAL BOGOTA</v>
      </c>
      <c r="E810" s="2" t="str">
        <f>IF(B810="","",IFERROR(VLOOKUP(B810, PLANTA_BASE!A:W, 6, FALSE), "NO ENCONTRADO EN PLANTA"))</f>
        <v>BOGOTA CENTRO</v>
      </c>
      <c r="F810" s="4" t="str">
        <f>IF(B810="","",IFERROR(VLOOKUP(B810, PLANTA_BASE!A:W, 8, FALSE), "DOCENTE / FACILITADOR"))</f>
        <v>DOC AUX/N/V/TC/EMPRENDIMIE/FUN.ACADE-ADMIN</v>
      </c>
      <c r="G810" s="4" t="str">
        <f>IF(B810="","",IFERROR(VLOOKUP(B810, PLANTA_BASE!A:W, 9, FALSE), "GENERAL"))</f>
        <v>EMPRENDIMIENTO</v>
      </c>
      <c r="H810" s="2" t="str">
        <f>IF(B810="","",IFERROR(VLOOKUP(B810, PLANTA_BASE!A:W, 17, FALSE), "GENERAL"))</f>
        <v>EMPRENDIMIENTO</v>
      </c>
    </row>
    <row r="811" spans="1:8" ht="20.100000000000001" customHeight="1" x14ac:dyDescent="0.25">
      <c r="A811" s="5" t="str">
        <f>IF(B811="","",IFERROR(VLOOKUP(B811, PLANTA_BASE!A:W, 2, FALSE), "NO ENCONTRADO EN PLANTA"))</f>
        <v>PRESENCIAL</v>
      </c>
      <c r="B811" s="6" t="s">
        <v>1626</v>
      </c>
      <c r="C811" s="7" t="s">
        <v>1627</v>
      </c>
      <c r="D811" s="5" t="str">
        <f>IF(B811="","",IFERROR(VLOOKUP(B811, PLANTA_BASE!A:W, 5, FALSE), "NO ENCONTRADO EN PLANTA"))</f>
        <v>REGIONAL BOGOTA</v>
      </c>
      <c r="E811" s="5" t="str">
        <f>IF(B811="","",IFERROR(VLOOKUP(B811, PLANTA_BASE!A:W, 6, FALSE), "NO ENCONTRADO EN PLANTA"))</f>
        <v>BOGOTA CENTRO</v>
      </c>
      <c r="F811" s="7" t="str">
        <f>IF(B811="","",IFERROR(VLOOKUP(B811, PLANTA_BASE!A:W, 8, FALSE), "DOCENTE / FACILITADOR"))</f>
        <v>DOC AUX T&amp;T/N/TC/COM SOC Y PER/FUN.ACADE-ADMIN</v>
      </c>
      <c r="G811" s="7" t="str">
        <f>IF(B811="","",IFERROR(VLOOKUP(B811, PLANTA_BASE!A:W, 9, FALSE), "GENERAL"))</f>
        <v>COMUNICACION SOCIAL Y PERIODISMO</v>
      </c>
      <c r="H811" s="5" t="str">
        <f>IF(B811="","",IFERROR(VLOOKUP(B811, PLANTA_BASE!A:W, 17, FALSE), "GENERAL"))</f>
        <v>COMUNICACION SOCIAL Y PERIODISMO</v>
      </c>
    </row>
    <row r="812" spans="1:8" ht="20.100000000000001" customHeight="1" x14ac:dyDescent="0.25">
      <c r="A812" s="2" t="str">
        <f>IF(B812="","",IFERROR(VLOOKUP(B812, PLANTA_BASE!A:W, 2, FALSE), "NO ENCONTRADO EN PLANTA"))</f>
        <v>PRESENCIAL</v>
      </c>
      <c r="B812" s="3" t="s">
        <v>1628</v>
      </c>
      <c r="C812" s="4" t="s">
        <v>1629</v>
      </c>
      <c r="D812" s="2" t="str">
        <f>IF(B812="","",IFERROR(VLOOKUP(B812, PLANTA_BASE!A:W, 5, FALSE), "NO ENCONTRADO EN PLANTA"))</f>
        <v>REGIONAL BOGOTA</v>
      </c>
      <c r="E812" s="2" t="str">
        <f>IF(B812="","",IFERROR(VLOOKUP(B812, PLANTA_BASE!A:W, 6, FALSE), "NO ENCONTRADO EN PLANTA"))</f>
        <v>BOGOTA CENTRO</v>
      </c>
      <c r="F812" s="4" t="str">
        <f>IF(B812="","",IFERROR(VLOOKUP(B812, PLANTA_BASE!A:W, 8, FALSE), "DOCENTE / FACILITADOR"))</f>
        <v>DOC AUX T&amp;T/N/TC/ING SISTEM/FUN.ACADE-ADMIN</v>
      </c>
      <c r="G812" s="4" t="str">
        <f>IF(B812="","",IFERROR(VLOOKUP(B812, PLANTA_BASE!A:W, 9, FALSE), "GENERAL"))</f>
        <v>INGENIERIA DE SISTEMAS</v>
      </c>
      <c r="H812" s="2" t="str">
        <f>IF(B812="","",IFERROR(VLOOKUP(B812, PLANTA_BASE!A:W, 17, FALSE), "GENERAL"))</f>
        <v>INGENIERIA DE SISTEMAS</v>
      </c>
    </row>
    <row r="813" spans="1:8" ht="20.100000000000001" customHeight="1" x14ac:dyDescent="0.25">
      <c r="A813" s="5" t="str">
        <f>IF(B813="","",IFERROR(VLOOKUP(B813, PLANTA_BASE!A:W, 2, FALSE), "NO ENCONTRADO EN PLANTA"))</f>
        <v>PRESENCIAL</v>
      </c>
      <c r="B813" s="6" t="s">
        <v>1630</v>
      </c>
      <c r="C813" s="7" t="s">
        <v>1631</v>
      </c>
      <c r="D813" s="5" t="str">
        <f>IF(B813="","",IFERROR(VLOOKUP(B813, PLANTA_BASE!A:W, 5, FALSE), "NO ENCONTRADO EN PLANTA"))</f>
        <v>REGIONAL BOGOTA</v>
      </c>
      <c r="E813" s="5" t="str">
        <f>IF(B813="","",IFERROR(VLOOKUP(B813, PLANTA_BASE!A:W, 6, FALSE), "NO ENCONTRADO EN PLANTA"))</f>
        <v>BOGOTA CENTRO</v>
      </c>
      <c r="F813" s="7" t="str">
        <f>IF(B813="","",IFERROR(VLOOKUP(B813, PLANTA_BASE!A:W, 8, FALSE), "DOCENTE / FACILITADOR"))</f>
        <v>DOC AUX T&amp;T/N/TC/ING SISTEM/FUN.ACADE-ADMIN</v>
      </c>
      <c r="G813" s="7" t="str">
        <f>IF(B813="","",IFERROR(VLOOKUP(B813, PLANTA_BASE!A:W, 9, FALSE), "GENERAL"))</f>
        <v>INGENIERIA DE SISTEMAS</v>
      </c>
      <c r="H813" s="5" t="str">
        <f>IF(B813="","",IFERROR(VLOOKUP(B813, PLANTA_BASE!A:W, 17, FALSE), "GENERAL"))</f>
        <v>INGENIERIA DE SISTEMAS</v>
      </c>
    </row>
    <row r="814" spans="1:8" ht="20.100000000000001" customHeight="1" x14ac:dyDescent="0.25">
      <c r="A814" s="2" t="str">
        <f>IF(B814="","",IFERROR(VLOOKUP(B814, PLANTA_BASE!A:W, 2, FALSE), "NO ENCONTRADO EN PLANTA"))</f>
        <v>PRESENCIAL</v>
      </c>
      <c r="B814" s="3" t="s">
        <v>1632</v>
      </c>
      <c r="C814" s="4" t="s">
        <v>1633</v>
      </c>
      <c r="D814" s="2" t="str">
        <f>IF(B814="","",IFERROR(VLOOKUP(B814, PLANTA_BASE!A:W, 5, FALSE), "NO ENCONTRADO EN PLANTA"))</f>
        <v>REGIONAL BOGOTA</v>
      </c>
      <c r="E814" s="2" t="str">
        <f>IF(B814="","",IFERROR(VLOOKUP(B814, PLANTA_BASE!A:W, 6, FALSE), "NO ENCONTRADO EN PLANTA"))</f>
        <v>BOGOTA CENTRO</v>
      </c>
      <c r="F814" s="4" t="str">
        <f>IF(B814="","",IFERROR(VLOOKUP(B814, PLANTA_BASE!A:W, 8, FALSE), "DOCENTE / FACILITADOR"))</f>
        <v>DOC AUX T&amp;T/N/TC/COM SOC Y PER/FUN.ACADE-ADMIN</v>
      </c>
      <c r="G814" s="4" t="str">
        <f>IF(B814="","",IFERROR(VLOOKUP(B814, PLANTA_BASE!A:W, 9, FALSE), "GENERAL"))</f>
        <v>COMUNICACION SOCIAL Y PERIODISMO</v>
      </c>
      <c r="H814" s="2" t="str">
        <f>IF(B814="","",IFERROR(VLOOKUP(B814, PLANTA_BASE!A:W, 17, FALSE), "GENERAL"))</f>
        <v>COMUNICACION SOCIAL Y PERIODISMO</v>
      </c>
    </row>
    <row r="815" spans="1:8" ht="20.100000000000001" customHeight="1" x14ac:dyDescent="0.25">
      <c r="A815" s="5" t="str">
        <f>IF(B815="","",IFERROR(VLOOKUP(B815, PLANTA_BASE!A:W, 2, FALSE), "NO ENCONTRADO EN PLANTA"))</f>
        <v>PRESENCIAL</v>
      </c>
      <c r="B815" s="6" t="s">
        <v>1634</v>
      </c>
      <c r="C815" s="7" t="s">
        <v>1635</v>
      </c>
      <c r="D815" s="5" t="str">
        <f>IF(B815="","",IFERROR(VLOOKUP(B815, PLANTA_BASE!A:W, 5, FALSE), "NO ENCONTRADO EN PLANTA"))</f>
        <v>REGIONAL BOGOTA</v>
      </c>
      <c r="E815" s="5" t="str">
        <f>IF(B815="","",IFERROR(VLOOKUP(B815, PLANTA_BASE!A:W, 6, FALSE), "NO ENCONTRADO EN PLANTA"))</f>
        <v>BOGOTA CENTRO</v>
      </c>
      <c r="F815" s="7" t="str">
        <f>IF(B815="","",IFERROR(VLOOKUP(B815, PLANTA_BASE!A:W, 8, FALSE), "DOCENTE / FACILITADOR"))</f>
        <v>DOC AUX T&amp;T/N/MT/ING SISTEM</v>
      </c>
      <c r="G815" s="7" t="str">
        <f>IF(B815="","",IFERROR(VLOOKUP(B815, PLANTA_BASE!A:W, 9, FALSE), "GENERAL"))</f>
        <v>INGENIERIA DE SISTEMAS</v>
      </c>
      <c r="H815" s="5" t="str">
        <f>IF(B815="","",IFERROR(VLOOKUP(B815, PLANTA_BASE!A:W, 17, FALSE), "GENERAL"))</f>
        <v>INGENIERIA DE SISTEMAS</v>
      </c>
    </row>
    <row r="816" spans="1:8" ht="20.100000000000001" customHeight="1" x14ac:dyDescent="0.25">
      <c r="A816" s="2" t="str">
        <f>IF(B816="","",IFERROR(VLOOKUP(B816, PLANTA_BASE!A:W, 2, FALSE), "NO ENCONTRADO EN PLANTA"))</f>
        <v>PRESENCIAL</v>
      </c>
      <c r="B816" s="3" t="s">
        <v>1636</v>
      </c>
      <c r="C816" s="4" t="s">
        <v>1637</v>
      </c>
      <c r="D816" s="2" t="str">
        <f>IF(B816="","",IFERROR(VLOOKUP(B816, PLANTA_BASE!A:W, 5, FALSE), "NO ENCONTRADO EN PLANTA"))</f>
        <v>REGIONAL BOGOTA</v>
      </c>
      <c r="E816" s="2" t="str">
        <f>IF(B816="","",IFERROR(VLOOKUP(B816, PLANTA_BASE!A:W, 6, FALSE), "NO ENCONTRADO EN PLANTA"))</f>
        <v>BOGOTA CENTRO</v>
      </c>
      <c r="F816" s="4" t="str">
        <f>IF(B816="","",IFERROR(VLOOKUP(B816, PLANTA_BASE!A:W, 8, FALSE), "DOCENTE / FACILITADOR"))</f>
        <v>DOC AUX T&amp;T/N/TC/ADM SER SALU/FUN.ACADE</v>
      </c>
      <c r="G816" s="4" t="str">
        <f>IF(B816="","",IFERROR(VLOOKUP(B816, PLANTA_BASE!A:W, 9, FALSE), "GENERAL"))</f>
        <v>ADMINISTRACION EN SERVICIOS DE SALUD</v>
      </c>
      <c r="H816" s="2" t="str">
        <f>IF(B816="","",IFERROR(VLOOKUP(B816, PLANTA_BASE!A:W, 17, FALSE), "GENERAL"))</f>
        <v>ADMINISTRACION EN SERVICIOS DE SALUD</v>
      </c>
    </row>
    <row r="817" spans="1:8" ht="20.100000000000001" customHeight="1" x14ac:dyDescent="0.25">
      <c r="A817" s="5" t="str">
        <f>IF(B817="","",IFERROR(VLOOKUP(B817, PLANTA_BASE!A:W, 2, FALSE), "NO ENCONTRADO EN PLANTA"))</f>
        <v>PRESENCIAL</v>
      </c>
      <c r="B817" s="6" t="s">
        <v>1638</v>
      </c>
      <c r="C817" s="7" t="s">
        <v>1639</v>
      </c>
      <c r="D817" s="5" t="str">
        <f>IF(B817="","",IFERROR(VLOOKUP(B817, PLANTA_BASE!A:W, 5, FALSE), "NO ENCONTRADO EN PLANTA"))</f>
        <v>REGIONAL BOGOTA</v>
      </c>
      <c r="E817" s="5" t="str">
        <f>IF(B817="","",IFERROR(VLOOKUP(B817, PLANTA_BASE!A:W, 6, FALSE), "NO ENCONTRADO EN PLANTA"))</f>
        <v>BOGOTA CENTRO</v>
      </c>
      <c r="F817" s="7" t="str">
        <f>IF(B817="","",IFERROR(VLOOKUP(B817, PLANTA_BASE!A:W, 8, FALSE), "DOCENTE / FACILITADOR"))</f>
        <v>DOCENTE ASIS/N/TC/ADM EMP/FUNC ADJET</v>
      </c>
      <c r="G817" s="7" t="str">
        <f>IF(B817="","",IFERROR(VLOOKUP(B817, PLANTA_BASE!A:W, 9, FALSE), "GENERAL"))</f>
        <v>ADMINISTRACION DE EMPRESAS</v>
      </c>
      <c r="H817" s="5" t="str">
        <f>IF(B817="","",IFERROR(VLOOKUP(B817, PLANTA_BASE!A:W, 17, FALSE), "GENERAL"))</f>
        <v>ADMINISTRACION DE EMPRESAS</v>
      </c>
    </row>
    <row r="818" spans="1:8" ht="20.100000000000001" customHeight="1" x14ac:dyDescent="0.25">
      <c r="A818" s="2" t="str">
        <f>IF(B818="","",IFERROR(VLOOKUP(B818, PLANTA_BASE!A:W, 2, FALSE), "NO ENCONTRADO EN PLANTA"))</f>
        <v>PRESENCIAL</v>
      </c>
      <c r="B818" s="3" t="s">
        <v>1640</v>
      </c>
      <c r="C818" s="4" t="s">
        <v>1641</v>
      </c>
      <c r="D818" s="2" t="str">
        <f>IF(B818="","",IFERROR(VLOOKUP(B818, PLANTA_BASE!A:W, 5, FALSE), "NO ENCONTRADO EN PLANTA"))</f>
        <v>REGIONAL BOGOTA</v>
      </c>
      <c r="E818" s="2" t="str">
        <f>IF(B818="","",IFERROR(VLOOKUP(B818, PLANTA_BASE!A:W, 6, FALSE), "NO ENCONTRADO EN PLANTA"))</f>
        <v>BOGOTA CENTRO</v>
      </c>
      <c r="F818" s="4" t="str">
        <f>IF(B818="","",IFERROR(VLOOKUP(B818, PLANTA_BASE!A:W, 8, FALSE), "DOCENTE / FACILITADOR"))</f>
        <v>DOC AUX T&amp;T/N/TC/EMPRENDIMIE/FUN.ACADE-ADMIN</v>
      </c>
      <c r="G818" s="4" t="str">
        <f>IF(B818="","",IFERROR(VLOOKUP(B818, PLANTA_BASE!A:W, 9, FALSE), "GENERAL"))</f>
        <v>EMPRENDIMIENTO</v>
      </c>
      <c r="H818" s="2" t="str">
        <f>IF(B818="","",IFERROR(VLOOKUP(B818, PLANTA_BASE!A:W, 17, FALSE), "GENERAL"))</f>
        <v>EMPRENDIMIENTO</v>
      </c>
    </row>
    <row r="819" spans="1:8" ht="20.100000000000001" customHeight="1" x14ac:dyDescent="0.25">
      <c r="A819" s="5" t="str">
        <f>IF(B819="","",IFERROR(VLOOKUP(B819, PLANTA_BASE!A:W, 2, FALSE), "NO ENCONTRADO EN PLANTA"))</f>
        <v>VIRTUAL</v>
      </c>
      <c r="B819" s="6" t="s">
        <v>1642</v>
      </c>
      <c r="C819" s="7" t="s">
        <v>1643</v>
      </c>
      <c r="D819" s="5" t="str">
        <f>IF(B819="","",IFERROR(VLOOKUP(B819, PLANTA_BASE!A:W, 5, FALSE), "NO ENCONTRADO EN PLANTA"))</f>
        <v>REGIONAL BOGOTA</v>
      </c>
      <c r="E819" s="5" t="str">
        <f>IF(B819="","",IFERROR(VLOOKUP(B819, PLANTA_BASE!A:W, 6, FALSE), "NO ENCONTRADO EN PLANTA"))</f>
        <v>BOGOTA CENTRO</v>
      </c>
      <c r="F819" s="7" t="str">
        <f>IF(B819="","",IFERROR(VLOOKUP(B819, PLANTA_BASE!A:W, 8, FALSE), "DOCENTE / FACILITADOR"))</f>
        <v>DOC ASOC/N/V/MT/DIS GRAFICO</v>
      </c>
      <c r="G819" s="7" t="str">
        <f>IF(B819="","",IFERROR(VLOOKUP(B819, PLANTA_BASE!A:W, 9, FALSE), "GENERAL"))</f>
        <v>DISEÑO GRAFICO</v>
      </c>
      <c r="H819" s="5" t="str">
        <f>IF(B819="","",IFERROR(VLOOKUP(B819, PLANTA_BASE!A:W, 17, FALSE), "GENERAL"))</f>
        <v>DISEÑO GRAFICO</v>
      </c>
    </row>
    <row r="820" spans="1:8" ht="20.100000000000001" customHeight="1" x14ac:dyDescent="0.25">
      <c r="A820" s="2" t="str">
        <f>IF(B820="","",IFERROR(VLOOKUP(B820, PLANTA_BASE!A:W, 2, FALSE), "NO ENCONTRADO EN PLANTA"))</f>
        <v>PRESENCIAL</v>
      </c>
      <c r="B820" s="3" t="s">
        <v>1644</v>
      </c>
      <c r="C820" s="4" t="s">
        <v>1645</v>
      </c>
      <c r="D820" s="2" t="str">
        <f>IF(B820="","",IFERROR(VLOOKUP(B820, PLANTA_BASE!A:W, 5, FALSE), "NO ENCONTRADO EN PLANTA"))</f>
        <v>REGIONAL BOGOTA</v>
      </c>
      <c r="E820" s="2" t="str">
        <f>IF(B820="","",IFERROR(VLOOKUP(B820, PLANTA_BASE!A:W, 6, FALSE), "NO ENCONTRADO EN PLANTA"))</f>
        <v>BOGOTA CENTRO</v>
      </c>
      <c r="F820" s="4" t="str">
        <f>IF(B820="","",IFERROR(VLOOKUP(B820, PLANTA_BASE!A:W, 8, FALSE), "DOCENTE / FACILITADOR"))</f>
        <v>DOC AUX T&amp;T/N/TC/DIR PROD ME AUD/FUN.ACADE-ADMIN</v>
      </c>
      <c r="G820" s="4" t="str">
        <f>IF(B820="","",IFERROR(VLOOKUP(B820, PLANTA_BASE!A:W, 9, FALSE), "GENERAL"))</f>
        <v>DIRECCION Y PRODUCCION DE MEDIOS AUDIOVISUALES</v>
      </c>
      <c r="H820" s="2" t="str">
        <f>IF(B820="","",IFERROR(VLOOKUP(B820, PLANTA_BASE!A:W, 17, FALSE), "GENERAL"))</f>
        <v>DIRECCION Y PRODUCCION DE MEDIOS AUDIOVISUALES</v>
      </c>
    </row>
    <row r="821" spans="1:8" ht="20.100000000000001" customHeight="1" x14ac:dyDescent="0.25">
      <c r="A821" s="5" t="str">
        <f>IF(B821="","",IFERROR(VLOOKUP(B821, PLANTA_BASE!A:W, 2, FALSE), "NO ENCONTRADO EN PLANTA"))</f>
        <v>PRESENCIAL</v>
      </c>
      <c r="B821" s="6" t="s">
        <v>1646</v>
      </c>
      <c r="C821" s="7" t="s">
        <v>1647</v>
      </c>
      <c r="D821" s="5" t="str">
        <f>IF(B821="","",IFERROR(VLOOKUP(B821, PLANTA_BASE!A:W, 5, FALSE), "NO ENCONTRADO EN PLANTA"))</f>
        <v>REGIONAL BOGOTA</v>
      </c>
      <c r="E821" s="5" t="str">
        <f>IF(B821="","",IFERROR(VLOOKUP(B821, PLANTA_BASE!A:W, 6, FALSE), "NO ENCONTRADO EN PLANTA"))</f>
        <v>BOGOTA CENTRO</v>
      </c>
      <c r="F821" s="7" t="str">
        <f>IF(B821="","",IFERROR(VLOOKUP(B821, PLANTA_BASE!A:W, 8, FALSE), "DOCENTE / FACILITADOR"))</f>
        <v>DOCENTE ASIS/N/TC/DIR PROD ME AUD/FUN.ACADE-ADMIN</v>
      </c>
      <c r="G821" s="7" t="str">
        <f>IF(B821="","",IFERROR(VLOOKUP(B821, PLANTA_BASE!A:W, 9, FALSE), "GENERAL"))</f>
        <v>DIRECCION Y PRODUCCION DE MEDIOS AUDIOVISUALES</v>
      </c>
      <c r="H821" s="5" t="str">
        <f>IF(B821="","",IFERROR(VLOOKUP(B821, PLANTA_BASE!A:W, 17, FALSE), "GENERAL"))</f>
        <v>DIRECCION Y PRODUCCION DE MEDIOS AUDIOVISUALES</v>
      </c>
    </row>
    <row r="822" spans="1:8" ht="20.100000000000001" customHeight="1" x14ac:dyDescent="0.25">
      <c r="A822" s="2" t="str">
        <f>IF(B822="","",IFERROR(VLOOKUP(B822, PLANTA_BASE!A:W, 2, FALSE), "NO ENCONTRADO EN PLANTA"))</f>
        <v>PRESENCIAL</v>
      </c>
      <c r="B822" s="3" t="s">
        <v>1648</v>
      </c>
      <c r="C822" s="4" t="s">
        <v>1649</v>
      </c>
      <c r="D822" s="2" t="str">
        <f>IF(B822="","",IFERROR(VLOOKUP(B822, PLANTA_BASE!A:W, 5, FALSE), "NO ENCONTRADO EN PLANTA"))</f>
        <v>REGIONAL BOGOTA</v>
      </c>
      <c r="E822" s="2" t="str">
        <f>IF(B822="","",IFERROR(VLOOKUP(B822, PLANTA_BASE!A:W, 6, FALSE), "NO ENCONTRADO EN PLANTA"))</f>
        <v>BOGOTA CENTRO</v>
      </c>
      <c r="F822" s="4" t="str">
        <f>IF(B822="","",IFERROR(VLOOKUP(B822, PLANTA_BASE!A:W, 8, FALSE), "DOCENTE / FACILITADOR"))</f>
        <v>DOC AUX T&amp;T/N/TC/DERECHO/FUN.ACADE-ADMIN</v>
      </c>
      <c r="G822" s="4" t="str">
        <f>IF(B822="","",IFERROR(VLOOKUP(B822, PLANTA_BASE!A:W, 9, FALSE), "GENERAL"))</f>
        <v>DERECHO</v>
      </c>
      <c r="H822" s="2" t="str">
        <f>IF(B822="","",IFERROR(VLOOKUP(B822, PLANTA_BASE!A:W, 17, FALSE), "GENERAL"))</f>
        <v>DERECHO</v>
      </c>
    </row>
    <row r="823" spans="1:8" ht="20.100000000000001" customHeight="1" x14ac:dyDescent="0.25">
      <c r="A823" s="5" t="str">
        <f>IF(B823="","",IFERROR(VLOOKUP(B823, PLANTA_BASE!A:W, 2, FALSE), "NO ENCONTRADO EN PLANTA"))</f>
        <v>PRESENCIAL</v>
      </c>
      <c r="B823" s="6" t="s">
        <v>1650</v>
      </c>
      <c r="C823" s="7" t="s">
        <v>1651</v>
      </c>
      <c r="D823" s="5" t="str">
        <f>IF(B823="","",IFERROR(VLOOKUP(B823, PLANTA_BASE!A:W, 5, FALSE), "NO ENCONTRADO EN PLANTA"))</f>
        <v>REGIONAL BOGOTA</v>
      </c>
      <c r="E823" s="5" t="str">
        <f>IF(B823="","",IFERROR(VLOOKUP(B823, PLANTA_BASE!A:W, 6, FALSE), "NO ENCONTRADO EN PLANTA"))</f>
        <v>BOGOTA CENTRO</v>
      </c>
      <c r="F823" s="7" t="str">
        <f>IF(B823="","",IFERROR(VLOOKUP(B823, PLANTA_BASE!A:W, 8, FALSE), "DOCENTE / FACILITADOR"))</f>
        <v>DOCENTE ASESOR EN DERECHO PÚBLICO</v>
      </c>
      <c r="G823" s="7" t="str">
        <f>IF(B823="","",IFERROR(VLOOKUP(B823, PLANTA_BASE!A:W, 9, FALSE), "GENERAL"))</f>
        <v>DERECHO</v>
      </c>
      <c r="H823" s="5" t="str">
        <f>IF(B823="","",IFERROR(VLOOKUP(B823, PLANTA_BASE!A:W, 17, FALSE), "GENERAL"))</f>
        <v>DERECHO</v>
      </c>
    </row>
    <row r="824" spans="1:8" ht="20.100000000000001" customHeight="1" x14ac:dyDescent="0.25">
      <c r="A824" s="2" t="str">
        <f>IF(B824="","",IFERROR(VLOOKUP(B824, PLANTA_BASE!A:W, 2, FALSE), "NO ENCONTRADO EN PLANTA"))</f>
        <v>VIRTUAL</v>
      </c>
      <c r="B824" s="3" t="s">
        <v>1652</v>
      </c>
      <c r="C824" s="4" t="s">
        <v>1653</v>
      </c>
      <c r="D824" s="2" t="str">
        <f>IF(B824="","",IFERROR(VLOOKUP(B824, PLANTA_BASE!A:W, 5, FALSE), "NO ENCONTRADO EN PLANTA"))</f>
        <v>REGIONAL BOGOTA</v>
      </c>
      <c r="E824" s="2" t="str">
        <f>IF(B824="","",IFERROR(VLOOKUP(B824, PLANTA_BASE!A:W, 6, FALSE), "NO ENCONTRADO EN PLANTA"))</f>
        <v>BOGOTA CENTRO</v>
      </c>
      <c r="F824" s="4" t="str">
        <f>IF(B824="","",IFERROR(VLOOKUP(B824, PLANTA_BASE!A:W, 8, FALSE), "DOCENTE / FACILITADOR"))</f>
        <v>DOC ASIS/N/V/TC/DIR PROD ME AUD/FUN.ACA</v>
      </c>
      <c r="G824" s="4" t="str">
        <f>IF(B824="","",IFERROR(VLOOKUP(B824, PLANTA_BASE!A:W, 9, FALSE), "GENERAL"))</f>
        <v>DIRECCION Y PRODUCCION DE MEDIOS AUDIOVISUALES</v>
      </c>
      <c r="H824" s="2" t="str">
        <f>IF(B824="","",IFERROR(VLOOKUP(B824, PLANTA_BASE!A:W, 17, FALSE), "GENERAL"))</f>
        <v>DIRECCION Y PRODUCCION DE MEDIOS AUDIOVISUALES</v>
      </c>
    </row>
    <row r="825" spans="1:8" ht="20.100000000000001" customHeight="1" x14ac:dyDescent="0.25">
      <c r="A825" s="5" t="str">
        <f>IF(B825="","",IFERROR(VLOOKUP(B825, PLANTA_BASE!A:W, 2, FALSE), "NO ENCONTRADO EN PLANTA"))</f>
        <v>PRESENCIAL</v>
      </c>
      <c r="B825" s="6" t="s">
        <v>1654</v>
      </c>
      <c r="C825" s="7" t="s">
        <v>1655</v>
      </c>
      <c r="D825" s="5" t="str">
        <f>IF(B825="","",IFERROR(VLOOKUP(B825, PLANTA_BASE!A:W, 5, FALSE), "NO ENCONTRADO EN PLANTA"))</f>
        <v>REGIONAL BOGOTA</v>
      </c>
      <c r="E825" s="5" t="str">
        <f>IF(B825="","",IFERROR(VLOOKUP(B825, PLANTA_BASE!A:W, 6, FALSE), "NO ENCONTRADO EN PLANTA"))</f>
        <v>BOGOTA CENTRO</v>
      </c>
      <c r="F825" s="7" t="str">
        <f>IF(B825="","",IFERROR(VLOOKUP(B825, PLANTA_BASE!A:W, 8, FALSE), "DOCENTE / FACILITADOR"))</f>
        <v>DOCENTE ASESOR EN DERECHO PRIVADO</v>
      </c>
      <c r="G825" s="7" t="str">
        <f>IF(B825="","",IFERROR(VLOOKUP(B825, PLANTA_BASE!A:W, 9, FALSE), "GENERAL"))</f>
        <v>DERECHO</v>
      </c>
      <c r="H825" s="5" t="str">
        <f>IF(B825="","",IFERROR(VLOOKUP(B825, PLANTA_BASE!A:W, 17, FALSE), "GENERAL"))</f>
        <v>DERECHO</v>
      </c>
    </row>
    <row r="826" spans="1:8" ht="20.100000000000001" customHeight="1" x14ac:dyDescent="0.25">
      <c r="A826" s="2" t="str">
        <f>IF(B826="","",IFERROR(VLOOKUP(B826, PLANTA_BASE!A:W, 2, FALSE), "NO ENCONTRADO EN PLANTA"))</f>
        <v>PRESENCIAL</v>
      </c>
      <c r="B826" s="3" t="s">
        <v>1656</v>
      </c>
      <c r="C826" s="4" t="s">
        <v>1657</v>
      </c>
      <c r="D826" s="2" t="str">
        <f>IF(B826="","",IFERROR(VLOOKUP(B826, PLANTA_BASE!A:W, 5, FALSE), "NO ENCONTRADO EN PLANTA"))</f>
        <v>REGIONAL BOGOTA</v>
      </c>
      <c r="E826" s="2" t="str">
        <f>IF(B826="","",IFERROR(VLOOKUP(B826, PLANTA_BASE!A:W, 6, FALSE), "NO ENCONTRADO EN PLANTA"))</f>
        <v>BOGOTA NORTE</v>
      </c>
      <c r="F826" s="4" t="str">
        <f>IF(B826="","",IFERROR(VLOOKUP(B826, PLANTA_BASE!A:W, 8, FALSE), "DOCENTE / FACILITADOR"))</f>
        <v>DOCENTE AUX/N/TC/INVESTIGA/INVESTIGACION</v>
      </c>
      <c r="G826" s="4" t="str">
        <f>IF(B826="","",IFERROR(VLOOKUP(B826, PLANTA_BASE!A:W, 9, FALSE), "GENERAL"))</f>
        <v>INVESTIGACIONES</v>
      </c>
      <c r="H826" s="2" t="str">
        <f>IF(B826="","",IFERROR(VLOOKUP(B826, PLANTA_BASE!A:W, 17, FALSE), "GENERAL"))</f>
        <v>INVESTIGACIONES</v>
      </c>
    </row>
    <row r="827" spans="1:8" ht="20.100000000000001" customHeight="1" x14ac:dyDescent="0.25">
      <c r="A827" s="5" t="str">
        <f>IF(B827="","",IFERROR(VLOOKUP(B827, PLANTA_BASE!A:W, 2, FALSE), "NO ENCONTRADO EN PLANTA"))</f>
        <v>VIRTUAL</v>
      </c>
      <c r="B827" s="6" t="s">
        <v>1658</v>
      </c>
      <c r="C827" s="7" t="s">
        <v>1659</v>
      </c>
      <c r="D827" s="5" t="str">
        <f>IF(B827="","",IFERROR(VLOOKUP(B827, PLANTA_BASE!A:W, 5, FALSE), "NO ENCONTRADO EN PLANTA"))</f>
        <v>REGIONAL BOGOTA</v>
      </c>
      <c r="E827" s="5" t="str">
        <f>IF(B827="","",IFERROR(VLOOKUP(B827, PLANTA_BASE!A:W, 6, FALSE), "NO ENCONTRADO EN PLANTA"))</f>
        <v>BOGOTA CENTRO</v>
      </c>
      <c r="F827" s="7" t="str">
        <f>IF(B827="","",IFERROR(VLOOKUP(B827, PLANTA_BASE!A:W, 8, FALSE), "DOCENTE / FACILITADOR"))</f>
        <v>DOC ASIS/N/V/TC/ESP SEG SALUD TRAB/FUN.A</v>
      </c>
      <c r="G827" s="7" t="str">
        <f>IF(B827="","",IFERROR(VLOOKUP(B827, PLANTA_BASE!A:W, 9, FALSE), "GENERAL"))</f>
        <v>ESPECIALIZACION EN SEGURIDAD Y SALUD EN EL TRABAJO</v>
      </c>
      <c r="H827" s="5" t="str">
        <f>IF(B827="","",IFERROR(VLOOKUP(B827, PLANTA_BASE!A:W, 17, FALSE), "GENERAL"))</f>
        <v>ESPECIALIZACION EN SEGURIDAD Y SALUD EN EL TRABAJO</v>
      </c>
    </row>
    <row r="828" spans="1:8" ht="20.100000000000001" customHeight="1" x14ac:dyDescent="0.25">
      <c r="A828" s="2" t="str">
        <f>IF(B828="","",IFERROR(VLOOKUP(B828, PLANTA_BASE!A:W, 2, FALSE), "NO ENCONTRADO EN PLANTA"))</f>
        <v>PRESENCIAL</v>
      </c>
      <c r="B828" s="3" t="s">
        <v>1660</v>
      </c>
      <c r="C828" s="4" t="s">
        <v>1661</v>
      </c>
      <c r="D828" s="2" t="str">
        <f>IF(B828="","",IFERROR(VLOOKUP(B828, PLANTA_BASE!A:W, 5, FALSE), "NO ENCONTRADO EN PLANTA"))</f>
        <v>REGIONAL BOGOTA</v>
      </c>
      <c r="E828" s="2" t="str">
        <f>IF(B828="","",IFERROR(VLOOKUP(B828, PLANTA_BASE!A:W, 6, FALSE), "NO ENCONTRADO EN PLANTA"))</f>
        <v>BOGOTA CENTRO</v>
      </c>
      <c r="F828" s="4" t="str">
        <f>IF(B828="","",IFERROR(VLOOKUP(B828, PLANTA_BASE!A:W, 8, FALSE), "DOCENTE / FACILITADOR"))</f>
        <v>DOCENTE ASOC/N/TC/INVESTIGA/INVESTIGACIO</v>
      </c>
      <c r="G828" s="4" t="str">
        <f>IF(B828="","",IFERROR(VLOOKUP(B828, PLANTA_BASE!A:W, 9, FALSE), "GENERAL"))</f>
        <v>INVESTIGACIONES</v>
      </c>
      <c r="H828" s="2" t="str">
        <f>IF(B828="","",IFERROR(VLOOKUP(B828, PLANTA_BASE!A:W, 17, FALSE), "GENERAL"))</f>
        <v>INVESTIGACIONES</v>
      </c>
    </row>
    <row r="829" spans="1:8" ht="20.100000000000001" customHeight="1" x14ac:dyDescent="0.25">
      <c r="A829" s="5" t="str">
        <f>IF(B829="","",IFERROR(VLOOKUP(B829, PLANTA_BASE!A:W, 2, FALSE), "NO ENCONTRADO EN PLANTA"))</f>
        <v>VIRTUAL</v>
      </c>
      <c r="B829" s="6" t="s">
        <v>1662</v>
      </c>
      <c r="C829" s="7" t="s">
        <v>1663</v>
      </c>
      <c r="D829" s="5" t="str">
        <f>IF(B829="","",IFERROR(VLOOKUP(B829, PLANTA_BASE!A:W, 5, FALSE), "NO ENCONTRADO EN PLANTA"))</f>
        <v>REGIONAL BOGOTA</v>
      </c>
      <c r="E829" s="5" t="str">
        <f>IF(B829="","",IFERROR(VLOOKUP(B829, PLANTA_BASE!A:W, 6, FALSE), "NO ENCONTRADO EN PLANTA"))</f>
        <v>BOGOTA CENTRO</v>
      </c>
      <c r="F829" s="7" t="str">
        <f>IF(B829="","",IFERROR(VLOOKUP(B829, PLANTA_BASE!A:W, 8, FALSE), "DOCENTE / FACILITADOR"))</f>
        <v>DOC AUX/N/V/MT/CONTADURIA</v>
      </c>
      <c r="G829" s="7" t="str">
        <f>IF(B829="","",IFERROR(VLOOKUP(B829, PLANTA_BASE!A:W, 9, FALSE), "GENERAL"))</f>
        <v>CONTADURIA PUBLICA</v>
      </c>
      <c r="H829" s="5" t="str">
        <f>IF(B829="","",IFERROR(VLOOKUP(B829, PLANTA_BASE!A:W, 17, FALSE), "GENERAL"))</f>
        <v>CONTADURIA PUBLICA</v>
      </c>
    </row>
    <row r="830" spans="1:8" ht="20.100000000000001" customHeight="1" x14ac:dyDescent="0.25">
      <c r="A830" s="2" t="str">
        <f>IF(B830="","",IFERROR(VLOOKUP(B830, PLANTA_BASE!A:W, 2, FALSE), "NO ENCONTRADO EN PLANTA"))</f>
        <v>PRESENCIAL</v>
      </c>
      <c r="B830" s="3" t="s">
        <v>1664</v>
      </c>
      <c r="C830" s="4" t="s">
        <v>1665</v>
      </c>
      <c r="D830" s="2" t="str">
        <f>IF(B830="","",IFERROR(VLOOKUP(B830, PLANTA_BASE!A:W, 5, FALSE), "NO ENCONTRADO EN PLANTA"))</f>
        <v>REGIONAL HUILA</v>
      </c>
      <c r="E830" s="2" t="str">
        <f>IF(B830="","",IFERROR(VLOOKUP(B830, PLANTA_BASE!A:W, 6, FALSE), "NO ENCONTRADO EN PLANTA"))</f>
        <v>NEIVA</v>
      </c>
      <c r="F830" s="4" t="str">
        <f>IF(B830="","",IFERROR(VLOOKUP(B830, PLANTA_BASE!A:W, 8, FALSE), "DOCENTE / FACILITADOR"))</f>
        <v>DOC AUX T&amp;T/N/TC/COMU SOC Y PERI/FUN.ACA</v>
      </c>
      <c r="G830" s="4" t="str">
        <f>IF(B830="","",IFERROR(VLOOKUP(B830, PLANTA_BASE!A:W, 9, FALSE), "GENERAL"))</f>
        <v>COMUNICACION SOCIAL Y PERIODISMO</v>
      </c>
      <c r="H830" s="2" t="str">
        <f>IF(B830="","",IFERROR(VLOOKUP(B830, PLANTA_BASE!A:W, 17, FALSE), "GENERAL"))</f>
        <v>COMUNICACION SOCIAL Y PERIODISMO</v>
      </c>
    </row>
    <row r="831" spans="1:8" ht="20.100000000000001" customHeight="1" x14ac:dyDescent="0.25">
      <c r="A831" s="5" t="str">
        <f>IF(B831="","",IFERROR(VLOOKUP(B831, PLANTA_BASE!A:W, 2, FALSE), "NO ENCONTRADO EN PLANTA"))</f>
        <v>VIRTUAL</v>
      </c>
      <c r="B831" s="6" t="s">
        <v>1666</v>
      </c>
      <c r="C831" s="7" t="s">
        <v>1667</v>
      </c>
      <c r="D831" s="5" t="str">
        <f>IF(B831="","",IFERROR(VLOOKUP(B831, PLANTA_BASE!A:W, 5, FALSE), "NO ENCONTRADO EN PLANTA"))</f>
        <v>REGIONAL BOGOTA</v>
      </c>
      <c r="E831" s="5" t="str">
        <f>IF(B831="","",IFERROR(VLOOKUP(B831, PLANTA_BASE!A:W, 6, FALSE), "NO ENCONTRADO EN PLANTA"))</f>
        <v>BOGOTA CENTRO</v>
      </c>
      <c r="F831" s="7" t="str">
        <f>IF(B831="","",IFERROR(VLOOKUP(B831, PLANTA_BASE!A:W, 8, FALSE), "DOCENTE / FACILITADOR"))</f>
        <v>DOC AUX/N/V/TC/DIS GRAFICO/FUN.ACADE-ADM</v>
      </c>
      <c r="G831" s="7" t="str">
        <f>IF(B831="","",IFERROR(VLOOKUP(B831, PLANTA_BASE!A:W, 9, FALSE), "GENERAL"))</f>
        <v>DISEÑO GRAFICO</v>
      </c>
      <c r="H831" s="5" t="str">
        <f>IF(B831="","",IFERROR(VLOOKUP(B831, PLANTA_BASE!A:W, 17, FALSE), "GENERAL"))</f>
        <v>DISEÑO GRAFICO</v>
      </c>
    </row>
    <row r="832" spans="1:8" ht="20.100000000000001" customHeight="1" x14ac:dyDescent="0.25">
      <c r="A832" s="2" t="str">
        <f>IF(B832="","",IFERROR(VLOOKUP(B832, PLANTA_BASE!A:W, 2, FALSE), "NO ENCONTRADO EN PLANTA"))</f>
        <v>PRESENCIAL</v>
      </c>
      <c r="B832" s="3" t="s">
        <v>1668</v>
      </c>
      <c r="C832" s="4" t="s">
        <v>1669</v>
      </c>
      <c r="D832" s="2" t="str">
        <f>IF(B832="","",IFERROR(VLOOKUP(B832, PLANTA_BASE!A:W, 5, FALSE), "NO ENCONTRADO EN PLANTA"))</f>
        <v>REGIONAL BOGOTA</v>
      </c>
      <c r="E832" s="2" t="str">
        <f>IF(B832="","",IFERROR(VLOOKUP(B832, PLANTA_BASE!A:W, 6, FALSE), "NO ENCONTRADO EN PLANTA"))</f>
        <v>BOGOTA CENTRO</v>
      </c>
      <c r="F832" s="4" t="str">
        <f>IF(B832="","",IFERROR(VLOOKUP(B832, PLANTA_BASE!A:W, 8, FALSE), "DOCENTE / FACILITADOR"))</f>
        <v>DOC AUX T&amp;T/N/TC/DIS PROD MOD/FUN.ACADE-ADMIN</v>
      </c>
      <c r="G832" s="4" t="str">
        <f>IF(B832="","",IFERROR(VLOOKUP(B832, PLANTA_BASE!A:W, 9, FALSE), "GENERAL"))</f>
        <v>DISEÑO Y PRODUCCION DE MODAS</v>
      </c>
      <c r="H832" s="2" t="str">
        <f>IF(B832="","",IFERROR(VLOOKUP(B832, PLANTA_BASE!A:W, 17, FALSE), "GENERAL"))</f>
        <v>DISEÑO Y PRODUCCION DE MODAS</v>
      </c>
    </row>
    <row r="833" spans="1:8" ht="20.100000000000001" customHeight="1" x14ac:dyDescent="0.25">
      <c r="A833" s="5" t="str">
        <f>IF(B833="","",IFERROR(VLOOKUP(B833, PLANTA_BASE!A:W, 2, FALSE), "NO ENCONTRADO EN PLANTA"))</f>
        <v>PRESENCIAL</v>
      </c>
      <c r="B833" s="6" t="s">
        <v>1670</v>
      </c>
      <c r="C833" s="7" t="s">
        <v>1671</v>
      </c>
      <c r="D833" s="5" t="str">
        <f>IF(B833="","",IFERROR(VLOOKUP(B833, PLANTA_BASE!A:W, 5, FALSE), "NO ENCONTRADO EN PLANTA"))</f>
        <v>REGIONAL BOGOTA</v>
      </c>
      <c r="E833" s="5" t="str">
        <f>IF(B833="","",IFERROR(VLOOKUP(B833, PLANTA_BASE!A:W, 6, FALSE), "NO ENCONTRADO EN PLANTA"))</f>
        <v>BOGOTA CENTRO</v>
      </c>
      <c r="F833" s="7" t="str">
        <f>IF(B833="","",IFERROR(VLOOKUP(B833, PLANTA_BASE!A:W, 8, FALSE), "DOCENTE / FACILITADOR"))</f>
        <v>DOC AUX T&amp;T/N/TC/DIS PROD MOD/FUN.ACADE-ADMIN</v>
      </c>
      <c r="G833" s="7" t="str">
        <f>IF(B833="","",IFERROR(VLOOKUP(B833, PLANTA_BASE!A:W, 9, FALSE), "GENERAL"))</f>
        <v>DISEÑO Y PRODUCCION DE MODAS</v>
      </c>
      <c r="H833" s="5" t="str">
        <f>IF(B833="","",IFERROR(VLOOKUP(B833, PLANTA_BASE!A:W, 17, FALSE), "GENERAL"))</f>
        <v>DISEÑO Y PRODUCCION DE MODAS</v>
      </c>
    </row>
    <row r="834" spans="1:8" ht="20.100000000000001" customHeight="1" x14ac:dyDescent="0.25">
      <c r="A834" s="2" t="str">
        <f>IF(B834="","",IFERROR(VLOOKUP(B834, PLANTA_BASE!A:W, 2, FALSE), "NO ENCONTRADO EN PLANTA"))</f>
        <v>VIRTUAL</v>
      </c>
      <c r="B834" s="3" t="s">
        <v>1672</v>
      </c>
      <c r="C834" s="4" t="s">
        <v>1673</v>
      </c>
      <c r="D834" s="2" t="str">
        <f>IF(B834="","",IFERROR(VLOOKUP(B834, PLANTA_BASE!A:W, 5, FALSE), "NO ENCONTRADO EN PLANTA"))</f>
        <v>REGIONAL BOGOTA</v>
      </c>
      <c r="E834" s="2" t="str">
        <f>IF(B834="","",IFERROR(VLOOKUP(B834, PLANTA_BASE!A:W, 6, FALSE), "NO ENCONTRADO EN PLANTA"))</f>
        <v>BOGOTA CENTRO</v>
      </c>
      <c r="F834" s="4" t="str">
        <f>IF(B834="","",IFERROR(VLOOKUP(B834, PLANTA_BASE!A:W, 8, FALSE), "DOCENTE / FACILITADOR"))</f>
        <v>DOC AUX/N/V/TC/EMPRENDIMIE/FUN.ACADE-ADMIN</v>
      </c>
      <c r="G834" s="4" t="str">
        <f>IF(B834="","",IFERROR(VLOOKUP(B834, PLANTA_BASE!A:W, 9, FALSE), "GENERAL"))</f>
        <v>EMPRENDIMIENTO</v>
      </c>
      <c r="H834" s="2" t="str">
        <f>IF(B834="","",IFERROR(VLOOKUP(B834, PLANTA_BASE!A:W, 17, FALSE), "GENERAL"))</f>
        <v>EMPRENDIMIENTO</v>
      </c>
    </row>
    <row r="835" spans="1:8" ht="20.100000000000001" customHeight="1" x14ac:dyDescent="0.25">
      <c r="A835" s="5" t="str">
        <f>IF(B835="","",IFERROR(VLOOKUP(B835, PLANTA_BASE!A:W, 2, FALSE), "NO ENCONTRADO EN PLANTA"))</f>
        <v>PRESENCIAL</v>
      </c>
      <c r="B835" s="6" t="s">
        <v>1674</v>
      </c>
      <c r="C835" s="7" t="s">
        <v>1675</v>
      </c>
      <c r="D835" s="5" t="str">
        <f>IF(B835="","",IFERROR(VLOOKUP(B835, PLANTA_BASE!A:W, 5, FALSE), "NO ENCONTRADO EN PLANTA"))</f>
        <v>REGIONAL BOGOTA</v>
      </c>
      <c r="E835" s="5" t="str">
        <f>IF(B835="","",IFERROR(VLOOKUP(B835, PLANTA_BASE!A:W, 6, FALSE), "NO ENCONTRADO EN PLANTA"))</f>
        <v>BOGOTA CENTRO</v>
      </c>
      <c r="F835" s="7" t="str">
        <f>IF(B835="","",IFERROR(VLOOKUP(B835, PLANTA_BASE!A:W, 8, FALSE), "DOCENTE / FACILITADOR"))</f>
        <v>DOCENTE AUX/N/TC/INVESTIGA/INVESTIGACION</v>
      </c>
      <c r="G835" s="7" t="str">
        <f>IF(B835="","",IFERROR(VLOOKUP(B835, PLANTA_BASE!A:W, 9, FALSE), "GENERAL"))</f>
        <v>INVESTIGACIONES</v>
      </c>
      <c r="H835" s="5" t="str">
        <f>IF(B835="","",IFERROR(VLOOKUP(B835, PLANTA_BASE!A:W, 17, FALSE), "GENERAL"))</f>
        <v>INVESTIGACIONES</v>
      </c>
    </row>
    <row r="836" spans="1:8" ht="20.100000000000001" customHeight="1" x14ac:dyDescent="0.25">
      <c r="A836" s="2" t="str">
        <f>IF(B836="","",IFERROR(VLOOKUP(B836, PLANTA_BASE!A:W, 2, FALSE), "NO ENCONTRADO EN PLANTA"))</f>
        <v>PRESENCIAL</v>
      </c>
      <c r="B836" s="3" t="s">
        <v>1676</v>
      </c>
      <c r="C836" s="4" t="s">
        <v>1677</v>
      </c>
      <c r="D836" s="2" t="str">
        <f>IF(B836="","",IFERROR(VLOOKUP(B836, PLANTA_BASE!A:W, 5, FALSE), "NO ENCONTRADO EN PLANTA"))</f>
        <v>REGIONAL BOGOTA</v>
      </c>
      <c r="E836" s="2" t="str">
        <f>IF(B836="","",IFERROR(VLOOKUP(B836, PLANTA_BASE!A:W, 6, FALSE), "NO ENCONTRADO EN PLANTA"))</f>
        <v>BOGOTA CENTRO</v>
      </c>
      <c r="F836" s="4" t="str">
        <f>IF(B836="","",IFERROR(VLOOKUP(B836, PLANTA_BASE!A:W, 8, FALSE), "DOCENTE / FACILITADOR"))</f>
        <v>DOC AUX T&amp;T/N/TC/CIEN BASI/FUN.ACADE-ADMIN</v>
      </c>
      <c r="G836" s="4" t="str">
        <f>IF(B836="","",IFERROR(VLOOKUP(B836, PLANTA_BASE!A:W, 9, FALSE), "GENERAL"))</f>
        <v>CIENCIAS BASICAS</v>
      </c>
      <c r="H836" s="2" t="str">
        <f>IF(B836="","",IFERROR(VLOOKUP(B836, PLANTA_BASE!A:W, 17, FALSE), "GENERAL"))</f>
        <v>CIENCIAS BASICAS</v>
      </c>
    </row>
    <row r="837" spans="1:8" ht="20.100000000000001" customHeight="1" x14ac:dyDescent="0.25">
      <c r="A837" s="5" t="str">
        <f>IF(B837="","",IFERROR(VLOOKUP(B837, PLANTA_BASE!A:W, 2, FALSE), "NO ENCONTRADO EN PLANTA"))</f>
        <v>VIRTUAL</v>
      </c>
      <c r="B837" s="6" t="s">
        <v>1678</v>
      </c>
      <c r="C837" s="7" t="s">
        <v>1679</v>
      </c>
      <c r="D837" s="5" t="str">
        <f>IF(B837="","",IFERROR(VLOOKUP(B837, PLANTA_BASE!A:W, 5, FALSE), "NO ENCONTRADO EN PLANTA"))</f>
        <v>REGIONAL BOGOTA</v>
      </c>
      <c r="E837" s="5" t="str">
        <f>IF(B837="","",IFERROR(VLOOKUP(B837, PLANTA_BASE!A:W, 6, FALSE), "NO ENCONTRADO EN PLANTA"))</f>
        <v>BOGOTA CENTRO</v>
      </c>
      <c r="F837" s="7" t="str">
        <f>IF(B837="","",IFERROR(VLOOKUP(B837, PLANTA_BASE!A:W, 8, FALSE), "DOCENTE / FACILITADOR"))</f>
        <v>DOC AUX/N/V/TC/ESP DES Y GEST TH/FUN ACA</v>
      </c>
      <c r="G837" s="7" t="str">
        <f>IF(B837="","",IFERROR(VLOOKUP(B837, PLANTA_BASE!A:W, 9, FALSE), "GENERAL"))</f>
        <v>ESPECIALIZACION EN DESARROLLO ORGANIZACIONAL Y GESTION DEL TALENTO HUMANO</v>
      </c>
      <c r="H837" s="5" t="str">
        <f>IF(B837="","",IFERROR(VLOOKUP(B837, PLANTA_BASE!A:W, 17, FALSE), "GENERAL"))</f>
        <v>ESPECIALIZACION EN DESARROLLO ORGANIZACIONAL Y GESTION DEL TALENTO HUMANO</v>
      </c>
    </row>
    <row r="838" spans="1:8" ht="20.100000000000001" customHeight="1" x14ac:dyDescent="0.25">
      <c r="A838" s="2" t="str">
        <f>IF(B838="","",IFERROR(VLOOKUP(B838, PLANTA_BASE!A:W, 2, FALSE), "NO ENCONTRADO EN PLANTA"))</f>
        <v>VIRTUAL</v>
      </c>
      <c r="B838" s="3" t="s">
        <v>1680</v>
      </c>
      <c r="C838" s="4" t="s">
        <v>1681</v>
      </c>
      <c r="D838" s="2" t="str">
        <f>IF(B838="","",IFERROR(VLOOKUP(B838, PLANTA_BASE!A:W, 5, FALSE), "NO ENCONTRADO EN PLANTA"))</f>
        <v>REGIONAL BOGOTA</v>
      </c>
      <c r="E838" s="2" t="str">
        <f>IF(B838="","",IFERROR(VLOOKUP(B838, PLANTA_BASE!A:W, 6, FALSE), "NO ENCONTRADO EN PLANTA"))</f>
        <v>BOGOTA CENTRO</v>
      </c>
      <c r="F838" s="4" t="str">
        <f>IF(B838="","",IFERROR(VLOOKUP(B838, PLANTA_BASE!A:W, 8, FALSE), "DOCENTE / FACILITADOR"))</f>
        <v>DOC ASOC/N/V/TC/COMU SOC Y PERI/FUN.ACADE-ADMIN</v>
      </c>
      <c r="G838" s="4" t="str">
        <f>IF(B838="","",IFERROR(VLOOKUP(B838, PLANTA_BASE!A:W, 9, FALSE), "GENERAL"))</f>
        <v>COMUNICACION SOCIAL Y PERIODISMO</v>
      </c>
      <c r="H838" s="2" t="str">
        <f>IF(B838="","",IFERROR(VLOOKUP(B838, PLANTA_BASE!A:W, 17, FALSE), "GENERAL"))</f>
        <v>COMUNICACION SOCIAL Y PERIODISMO</v>
      </c>
    </row>
    <row r="839" spans="1:8" ht="20.100000000000001" customHeight="1" x14ac:dyDescent="0.25">
      <c r="A839" s="5" t="str">
        <f>IF(B839="","",IFERROR(VLOOKUP(B839, PLANTA_BASE!A:W, 2, FALSE), "NO ENCONTRADO EN PLANTA"))</f>
        <v>PRESENCIAL</v>
      </c>
      <c r="B839" s="6" t="s">
        <v>1682</v>
      </c>
      <c r="C839" s="7" t="s">
        <v>1683</v>
      </c>
      <c r="D839" s="5" t="str">
        <f>IF(B839="","",IFERROR(VLOOKUP(B839, PLANTA_BASE!A:W, 5, FALSE), "NO ENCONTRADO EN PLANTA"))</f>
        <v>REGIONAL BOGOTA</v>
      </c>
      <c r="E839" s="5" t="str">
        <f>IF(B839="","",IFERROR(VLOOKUP(B839, PLANTA_BASE!A:W, 6, FALSE), "NO ENCONTRADO EN PLANTA"))</f>
        <v>BOGOTA CENTRO</v>
      </c>
      <c r="F839" s="7" t="str">
        <f>IF(B839="","",IFERROR(VLOOKUP(B839, PLANTA_BASE!A:W, 8, FALSE), "DOCENTE / FACILITADOR"))</f>
        <v>DOCENTE ASIS/N/TC/DIR PROD ME AUD/FUN.ACADE-ADMIN</v>
      </c>
      <c r="G839" s="7" t="str">
        <f>IF(B839="","",IFERROR(VLOOKUP(B839, PLANTA_BASE!A:W, 9, FALSE), "GENERAL"))</f>
        <v>DIRECCION Y PRODUCCION DE MEDIOS AUDIOVISUALES</v>
      </c>
      <c r="H839" s="5" t="str">
        <f>IF(B839="","",IFERROR(VLOOKUP(B839, PLANTA_BASE!A:W, 17, FALSE), "GENERAL"))</f>
        <v>DIRECCION Y PRODUCCION DE MEDIOS AUDIOVISUALES</v>
      </c>
    </row>
    <row r="840" spans="1:8" ht="20.100000000000001" customHeight="1" x14ac:dyDescent="0.25">
      <c r="A840" s="2" t="str">
        <f>IF(B840="","",IFERROR(VLOOKUP(B840, PLANTA_BASE!A:W, 2, FALSE), "NO ENCONTRADO EN PLANTA"))</f>
        <v>PRESENCIAL</v>
      </c>
      <c r="B840" s="3" t="s">
        <v>1684</v>
      </c>
      <c r="C840" s="4" t="s">
        <v>1685</v>
      </c>
      <c r="D840" s="2" t="str">
        <f>IF(B840="","",IFERROR(VLOOKUP(B840, PLANTA_BASE!A:W, 5, FALSE), "NO ENCONTRADO EN PLANTA"))</f>
        <v>REGIONAL BOGOTA</v>
      </c>
      <c r="E840" s="2" t="str">
        <f>IF(B840="","",IFERROR(VLOOKUP(B840, PLANTA_BASE!A:W, 6, FALSE), "NO ENCONTRADO EN PLANTA"))</f>
        <v>BOGOTA CENTRO</v>
      </c>
      <c r="F840" s="4" t="str">
        <f>IF(B840="","",IFERROR(VLOOKUP(B840, PLANTA_BASE!A:W, 8, FALSE), "DOCENTE / FACILITADOR"))</f>
        <v>DOC AUX T&amp;T/N/TC/DIR PROD ME AUD/FUN.ACADE-ADMIN</v>
      </c>
      <c r="G840" s="4" t="str">
        <f>IF(B840="","",IFERROR(VLOOKUP(B840, PLANTA_BASE!A:W, 9, FALSE), "GENERAL"))</f>
        <v>DIRECCION Y PRODUCCION DE MEDIOS AUDIOVISUALES</v>
      </c>
      <c r="H840" s="2" t="str">
        <f>IF(B840="","",IFERROR(VLOOKUP(B840, PLANTA_BASE!A:W, 17, FALSE), "GENERAL"))</f>
        <v>DIRECCION Y PRODUCCION DE MEDIOS AUDIOVISUALES</v>
      </c>
    </row>
    <row r="841" spans="1:8" ht="20.100000000000001" customHeight="1" x14ac:dyDescent="0.25">
      <c r="A841" s="5" t="str">
        <f>IF(B841="","",IFERROR(VLOOKUP(B841, PLANTA_BASE!A:W, 2, FALSE), "NO ENCONTRADO EN PLANTA"))</f>
        <v>PRESENCIAL</v>
      </c>
      <c r="B841" s="6" t="s">
        <v>1686</v>
      </c>
      <c r="C841" s="7" t="s">
        <v>1687</v>
      </c>
      <c r="D841" s="5" t="str">
        <f>IF(B841="","",IFERROR(VLOOKUP(B841, PLANTA_BASE!A:W, 5, FALSE), "NO ENCONTRADO EN PLANTA"))</f>
        <v>REGIONAL BOGOTA</v>
      </c>
      <c r="E841" s="5" t="str">
        <f>IF(B841="","",IFERROR(VLOOKUP(B841, PLANTA_BASE!A:W, 6, FALSE), "NO ENCONTRADO EN PLANTA"))</f>
        <v>BOGOTA CENTRO</v>
      </c>
      <c r="F841" s="7" t="str">
        <f>IF(B841="","",IFERROR(VLOOKUP(B841, PLANTA_BASE!A:W, 8, FALSE), "DOCENTE / FACILITADOR"))</f>
        <v>DOCENTE ASIS/N/TC/DIR PROD ME AUD/FUN.ACADE-ADMIN</v>
      </c>
      <c r="G841" s="7" t="str">
        <f>IF(B841="","",IFERROR(VLOOKUP(B841, PLANTA_BASE!A:W, 9, FALSE), "GENERAL"))</f>
        <v>DIRECCION Y PRODUCCION DE MEDIOS AUDIOVISUALES</v>
      </c>
      <c r="H841" s="5" t="str">
        <f>IF(B841="","",IFERROR(VLOOKUP(B841, PLANTA_BASE!A:W, 17, FALSE), "GENERAL"))</f>
        <v>DIRECCION Y PRODUCCION DE MEDIOS AUDIOVISUALES</v>
      </c>
    </row>
    <row r="842" spans="1:8" ht="20.100000000000001" customHeight="1" x14ac:dyDescent="0.25">
      <c r="A842" s="2" t="str">
        <f>IF(B842="","",IFERROR(VLOOKUP(B842, PLANTA_BASE!A:W, 2, FALSE), "NO ENCONTRADO EN PLANTA"))</f>
        <v>PRESENCIAL</v>
      </c>
      <c r="B842" s="3" t="s">
        <v>1688</v>
      </c>
      <c r="C842" s="4" t="s">
        <v>1689</v>
      </c>
      <c r="D842" s="2" t="str">
        <f>IF(B842="","",IFERROR(VLOOKUP(B842, PLANTA_BASE!A:W, 5, FALSE), "NO ENCONTRADO EN PLANTA"))</f>
        <v>REGIONAL BOGOTA</v>
      </c>
      <c r="E842" s="2" t="str">
        <f>IF(B842="","",IFERROR(VLOOKUP(B842, PLANTA_BASE!A:W, 6, FALSE), "NO ENCONTRADO EN PLANTA"))</f>
        <v>BOGOTA CENTRO</v>
      </c>
      <c r="F842" s="4" t="str">
        <f>IF(B842="","",IFERROR(VLOOKUP(B842, PLANTA_BASE!A:W, 8, FALSE), "DOCENTE / FACILITADOR"))</f>
        <v>DOCENTE ASIS/N/TC/DIS GRAFICO/FUN.ACADE-ADMIN</v>
      </c>
      <c r="G842" s="4" t="str">
        <f>IF(B842="","",IFERROR(VLOOKUP(B842, PLANTA_BASE!A:W, 9, FALSE), "GENERAL"))</f>
        <v>DISEÑO GRAFICO</v>
      </c>
      <c r="H842" s="2" t="str">
        <f>IF(B842="","",IFERROR(VLOOKUP(B842, PLANTA_BASE!A:W, 17, FALSE), "GENERAL"))</f>
        <v>DISEÑO GRAFICO</v>
      </c>
    </row>
    <row r="843" spans="1:8" ht="20.100000000000001" customHeight="1" x14ac:dyDescent="0.25">
      <c r="A843" s="5" t="str">
        <f>IF(B843="","",IFERROR(VLOOKUP(B843, PLANTA_BASE!A:W, 2, FALSE), "NO ENCONTRADO EN PLANTA"))</f>
        <v>PRESENCIAL</v>
      </c>
      <c r="B843" s="6" t="s">
        <v>1690</v>
      </c>
      <c r="C843" s="7" t="s">
        <v>1691</v>
      </c>
      <c r="D843" s="5" t="str">
        <f>IF(B843="","",IFERROR(VLOOKUP(B843, PLANTA_BASE!A:W, 5, FALSE), "NO ENCONTRADO EN PLANTA"))</f>
        <v>REGIONAL BOGOTA</v>
      </c>
      <c r="E843" s="5" t="str">
        <f>IF(B843="","",IFERROR(VLOOKUP(B843, PLANTA_BASE!A:W, 6, FALSE), "NO ENCONTRADO EN PLANTA"))</f>
        <v>BOGOTA CENTRO</v>
      </c>
      <c r="F843" s="7" t="str">
        <f>IF(B843="","",IFERROR(VLOOKUP(B843, PLANTA_BASE!A:W, 8, FALSE), "DOCENTE / FACILITADOR"))</f>
        <v>DOC AUX T&amp;T/N/MT/ING SISTEM</v>
      </c>
      <c r="G843" s="7" t="str">
        <f>IF(B843="","",IFERROR(VLOOKUP(B843, PLANTA_BASE!A:W, 9, FALSE), "GENERAL"))</f>
        <v>INGENIERIA DE SISTEMAS</v>
      </c>
      <c r="H843" s="5" t="str">
        <f>IF(B843="","",IFERROR(VLOOKUP(B843, PLANTA_BASE!A:W, 17, FALSE), "GENERAL"))</f>
        <v>INGENIERIA DE SISTEMAS</v>
      </c>
    </row>
    <row r="844" spans="1:8" ht="20.100000000000001" customHeight="1" x14ac:dyDescent="0.25">
      <c r="A844" s="2" t="str">
        <f>IF(B844="","",IFERROR(VLOOKUP(B844, PLANTA_BASE!A:W, 2, FALSE), "NO ENCONTRADO EN PLANTA"))</f>
        <v>VIRTUAL</v>
      </c>
      <c r="B844" s="3" t="s">
        <v>1692</v>
      </c>
      <c r="C844" s="4" t="s">
        <v>1693</v>
      </c>
      <c r="D844" s="2" t="str">
        <f>IF(B844="","",IFERROR(VLOOKUP(B844, PLANTA_BASE!A:W, 5, FALSE), "NO ENCONTRADO EN PLANTA"))</f>
        <v>REGIONAL BOGOTA</v>
      </c>
      <c r="E844" s="2" t="str">
        <f>IF(B844="","",IFERROR(VLOOKUP(B844, PLANTA_BASE!A:W, 6, FALSE), "NO ENCONTRADO EN PLANTA"))</f>
        <v>BOGOTA CENTRO</v>
      </c>
      <c r="F844" s="4" t="str">
        <f>IF(B844="","",IFERROR(VLOOKUP(B844, PLANTA_BASE!A:W, 8, FALSE), "DOCENTE / FACILITADOR"))</f>
        <v>DOC AUX T&amp;T/N/V/TC/DIR PROD ME AUD/FUN.ACADE-ADMIN</v>
      </c>
      <c r="G844" s="4" t="str">
        <f>IF(B844="","",IFERROR(VLOOKUP(B844, PLANTA_BASE!A:W, 9, FALSE), "GENERAL"))</f>
        <v>DIRECCION Y PRODUCCION DE MEDIOS AUDIOVISUALES</v>
      </c>
      <c r="H844" s="2" t="str">
        <f>IF(B844="","",IFERROR(VLOOKUP(B844, PLANTA_BASE!A:W, 17, FALSE), "GENERAL"))</f>
        <v>DIRECCION Y PRODUCCION DE MEDIOS AUDIOVISUALES</v>
      </c>
    </row>
    <row r="845" spans="1:8" ht="20.100000000000001" customHeight="1" x14ac:dyDescent="0.25">
      <c r="A845" s="5" t="str">
        <f>IF(B845="","",IFERROR(VLOOKUP(B845, PLANTA_BASE!A:W, 2, FALSE), "NO ENCONTRADO EN PLANTA"))</f>
        <v>PRESENCIAL</v>
      </c>
      <c r="B845" s="6" t="s">
        <v>1694</v>
      </c>
      <c r="C845" s="7" t="s">
        <v>1695</v>
      </c>
      <c r="D845" s="5" t="str">
        <f>IF(B845="","",IFERROR(VLOOKUP(B845, PLANTA_BASE!A:W, 5, FALSE), "NO ENCONTRADO EN PLANTA"))</f>
        <v>REGIONAL BOGOTA</v>
      </c>
      <c r="E845" s="5" t="str">
        <f>IF(B845="","",IFERROR(VLOOKUP(B845, PLANTA_BASE!A:W, 6, FALSE), "NO ENCONTRADO EN PLANTA"))</f>
        <v>BOGOTA CENTRO</v>
      </c>
      <c r="F845" s="7" t="str">
        <f>IF(B845="","",IFERROR(VLOOKUP(B845, PLANTA_BASE!A:W, 8, FALSE), "DOCENTE / FACILITADOR"))</f>
        <v>DOC AUX T&amp;T/N/TC/EMPRENDIMIE/FUN.ACADE-ADMIN</v>
      </c>
      <c r="G845" s="7" t="str">
        <f>IF(B845="","",IFERROR(VLOOKUP(B845, PLANTA_BASE!A:W, 9, FALSE), "GENERAL"))</f>
        <v>EMPRENDIMIENTO</v>
      </c>
      <c r="H845" s="5" t="str">
        <f>IF(B845="","",IFERROR(VLOOKUP(B845, PLANTA_BASE!A:W, 17, FALSE), "GENERAL"))</f>
        <v>EMPRENDIMIENTO</v>
      </c>
    </row>
    <row r="846" spans="1:8" ht="20.100000000000001" customHeight="1" x14ac:dyDescent="0.25">
      <c r="A846" s="2" t="str">
        <f>IF(B846="","",IFERROR(VLOOKUP(B846, PLANTA_BASE!A:W, 2, FALSE), "NO ENCONTRADO EN PLANTA"))</f>
        <v>PRESENCIAL</v>
      </c>
      <c r="B846" s="3" t="s">
        <v>1696</v>
      </c>
      <c r="C846" s="4" t="s">
        <v>1697</v>
      </c>
      <c r="D846" s="2" t="str">
        <f>IF(B846="","",IFERROR(VLOOKUP(B846, PLANTA_BASE!A:W, 5, FALSE), "NO ENCONTRADO EN PLANTA"))</f>
        <v>REGIONAL BOGOTA</v>
      </c>
      <c r="E846" s="2" t="str">
        <f>IF(B846="","",IFERROR(VLOOKUP(B846, PLANTA_BASE!A:W, 6, FALSE), "NO ENCONTRADO EN PLANTA"))</f>
        <v>BOGOTA CENTRO</v>
      </c>
      <c r="F846" s="4" t="str">
        <f>IF(B846="","",IFERROR(VLOOKUP(B846, PLANTA_BASE!A:W, 8, FALSE), "DOCENTE / FACILITADOR"))</f>
        <v>DOCENTE AUX/N/TC/EMPRENDIMIE/FUN.ACADE-ADMIN</v>
      </c>
      <c r="G846" s="4" t="str">
        <f>IF(B846="","",IFERROR(VLOOKUP(B846, PLANTA_BASE!A:W, 9, FALSE), "GENERAL"))</f>
        <v>EMPRENDIMIENTO</v>
      </c>
      <c r="H846" s="2" t="str">
        <f>IF(B846="","",IFERROR(VLOOKUP(B846, PLANTA_BASE!A:W, 17, FALSE), "GENERAL"))</f>
        <v>EMPRENDIMIENTO</v>
      </c>
    </row>
    <row r="847" spans="1:8" ht="20.100000000000001" customHeight="1" x14ac:dyDescent="0.25">
      <c r="A847" s="5" t="str">
        <f>IF(B847="","",IFERROR(VLOOKUP(B847, PLANTA_BASE!A:W, 2, FALSE), "NO ENCONTRADO EN PLANTA"))</f>
        <v>PRESENCIAL</v>
      </c>
      <c r="B847" s="6" t="s">
        <v>1698</v>
      </c>
      <c r="C847" s="7" t="s">
        <v>1699</v>
      </c>
      <c r="D847" s="5" t="str">
        <f>IF(B847="","",IFERROR(VLOOKUP(B847, PLANTA_BASE!A:W, 5, FALSE), "NO ENCONTRADO EN PLANTA"))</f>
        <v>REGIONAL BOGOTA</v>
      </c>
      <c r="E847" s="5" t="str">
        <f>IF(B847="","",IFERROR(VLOOKUP(B847, PLANTA_BASE!A:W, 6, FALSE), "NO ENCONTRADO EN PLANTA"))</f>
        <v>BOGOTA CENTRO</v>
      </c>
      <c r="F847" s="7" t="str">
        <f>IF(B847="","",IFERROR(VLOOKUP(B847, PLANTA_BASE!A:W, 8, FALSE), "DOCENTE / FACILITADOR"))</f>
        <v>DOCENTE ASIS/N/TC/ADM SER SALU/FUN.ACADE-ADMIN</v>
      </c>
      <c r="G847" s="7" t="str">
        <f>IF(B847="","",IFERROR(VLOOKUP(B847, PLANTA_BASE!A:W, 9, FALSE), "GENERAL"))</f>
        <v>ADMINISTRACION EN SERVICIOS DE SALUD</v>
      </c>
      <c r="H847" s="5" t="str">
        <f>IF(B847="","",IFERROR(VLOOKUP(B847, PLANTA_BASE!A:W, 17, FALSE), "GENERAL"))</f>
        <v>ADMINISTRACION EN SERVICIOS DE SALUD</v>
      </c>
    </row>
    <row r="848" spans="1:8" ht="20.100000000000001" customHeight="1" x14ac:dyDescent="0.25">
      <c r="A848" s="2" t="str">
        <f>IF(B848="","",IFERROR(VLOOKUP(B848, PLANTA_BASE!A:W, 2, FALSE), "NO ENCONTRADO EN PLANTA"))</f>
        <v>PRESENCIAL</v>
      </c>
      <c r="B848" s="3" t="s">
        <v>1700</v>
      </c>
      <c r="C848" s="4" t="s">
        <v>1701</v>
      </c>
      <c r="D848" s="2" t="str">
        <f>IF(B848="","",IFERROR(VLOOKUP(B848, PLANTA_BASE!A:W, 5, FALSE), "NO ENCONTRADO EN PLANTA"))</f>
        <v>REGIONAL BOGOTA</v>
      </c>
      <c r="E848" s="2" t="str">
        <f>IF(B848="","",IFERROR(VLOOKUP(B848, PLANTA_BASE!A:W, 6, FALSE), "NO ENCONTRADO EN PLANTA"))</f>
        <v>BOGOTA CENTRO</v>
      </c>
      <c r="F848" s="4" t="str">
        <f>IF(B848="","",IFERROR(VLOOKUP(B848, PLANTA_BASE!A:W, 8, FALSE), "DOCENTE / FACILITADOR"))</f>
        <v>DOCENTE AUX/N/MT-DERECHO</v>
      </c>
      <c r="G848" s="4" t="str">
        <f>IF(B848="","",IFERROR(VLOOKUP(B848, PLANTA_BASE!A:W, 9, FALSE), "GENERAL"))</f>
        <v>DERECHO</v>
      </c>
      <c r="H848" s="2" t="str">
        <f>IF(B848="","",IFERROR(VLOOKUP(B848, PLANTA_BASE!A:W, 17, FALSE), "GENERAL"))</f>
        <v>DERECHO</v>
      </c>
    </row>
    <row r="849" spans="1:8" ht="20.100000000000001" customHeight="1" x14ac:dyDescent="0.25">
      <c r="A849" s="5" t="str">
        <f>IF(B849="","",IFERROR(VLOOKUP(B849, PLANTA_BASE!A:W, 2, FALSE), "NO ENCONTRADO EN PLANTA"))</f>
        <v>PRESENCIAL</v>
      </c>
      <c r="B849" s="6" t="s">
        <v>1702</v>
      </c>
      <c r="C849" s="7" t="s">
        <v>1703</v>
      </c>
      <c r="D849" s="5" t="str">
        <f>IF(B849="","",IFERROR(VLOOKUP(B849, PLANTA_BASE!A:W, 5, FALSE), "NO ENCONTRADO EN PLANTA"))</f>
        <v>REGIONAL BOGOTA</v>
      </c>
      <c r="E849" s="5" t="str">
        <f>IF(B849="","",IFERROR(VLOOKUP(B849, PLANTA_BASE!A:W, 6, FALSE), "NO ENCONTRADO EN PLANTA"))</f>
        <v>BOGOTA CENTRO</v>
      </c>
      <c r="F849" s="7" t="str">
        <f>IF(B849="","",IFERROR(VLOOKUP(B849, PLANTA_BASE!A:W, 8, FALSE), "DOCENTE / FACILITADOR"))</f>
        <v>DOCENTE ASIS/N/TC/ADM EMP/FUN.ACADE-ADMIN</v>
      </c>
      <c r="G849" s="7" t="str">
        <f>IF(B849="","",IFERROR(VLOOKUP(B849, PLANTA_BASE!A:W, 9, FALSE), "GENERAL"))</f>
        <v>ADMINISTRACION DE EMPRESAS</v>
      </c>
      <c r="H849" s="5" t="str">
        <f>IF(B849="","",IFERROR(VLOOKUP(B849, PLANTA_BASE!A:W, 17, FALSE), "GENERAL"))</f>
        <v>ADMINISTRACION DE EMPRESAS</v>
      </c>
    </row>
    <row r="850" spans="1:8" ht="20.100000000000001" customHeight="1" x14ac:dyDescent="0.25">
      <c r="A850" s="2" t="str">
        <f>IF(B850="","",IFERROR(VLOOKUP(B850, PLANTA_BASE!A:W, 2, FALSE), "NO ENCONTRADO EN PLANTA"))</f>
        <v>VIRTUAL</v>
      </c>
      <c r="B850" s="3" t="s">
        <v>1704</v>
      </c>
      <c r="C850" s="4" t="s">
        <v>1705</v>
      </c>
      <c r="D850" s="2" t="str">
        <f>IF(B850="","",IFERROR(VLOOKUP(B850, PLANTA_BASE!A:W, 5, FALSE), "NO ENCONTRADO EN PLANTA"))</f>
        <v>REGIONAL BOGOTA</v>
      </c>
      <c r="E850" s="2" t="str">
        <f>IF(B850="","",IFERROR(VLOOKUP(B850, PLANTA_BASE!A:W, 6, FALSE), "NO ENCONTRADO EN PLANTA"))</f>
        <v>BOGOTA CENTRO</v>
      </c>
      <c r="F850" s="4" t="str">
        <f>IF(B850="","",IFERROR(VLOOKUP(B850, PLANTA_BASE!A:W, 8, FALSE), "DOCENTE / FACILITADOR"))</f>
        <v>DOC AUX/N/V/MT/CONTADURIA</v>
      </c>
      <c r="G850" s="4" t="str">
        <f>IF(B850="","",IFERROR(VLOOKUP(B850, PLANTA_BASE!A:W, 9, FALSE), "GENERAL"))</f>
        <v>CONTADURIA PUBLICA</v>
      </c>
      <c r="H850" s="2" t="str">
        <f>IF(B850="","",IFERROR(VLOOKUP(B850, PLANTA_BASE!A:W, 17, FALSE), "GENERAL"))</f>
        <v>CONTADURIA PUBLICA</v>
      </c>
    </row>
    <row r="851" spans="1:8" ht="20.100000000000001" customHeight="1" x14ac:dyDescent="0.25">
      <c r="A851" s="5" t="str">
        <f>IF(B851="","",IFERROR(VLOOKUP(B851, PLANTA_BASE!A:W, 2, FALSE), "NO ENCONTRADO EN PLANTA"))</f>
        <v>PRESENCIAL</v>
      </c>
      <c r="B851" s="6" t="s">
        <v>1706</v>
      </c>
      <c r="C851" s="7" t="s">
        <v>1707</v>
      </c>
      <c r="D851" s="5" t="str">
        <f>IF(B851="","",IFERROR(VLOOKUP(B851, PLANTA_BASE!A:W, 5, FALSE), "NO ENCONTRADO EN PLANTA"))</f>
        <v>REGIONAL BOGOTA</v>
      </c>
      <c r="E851" s="5" t="str">
        <f>IF(B851="","",IFERROR(VLOOKUP(B851, PLANTA_BASE!A:W, 6, FALSE), "NO ENCONTRADO EN PLANTA"))</f>
        <v>BOGOTA CENTRO</v>
      </c>
      <c r="F851" s="7" t="str">
        <f>IF(B851="","",IFERROR(VLOOKUP(B851, PLANTA_BASE!A:W, 8, FALSE), "DOCENTE / FACILITADOR"))</f>
        <v>DOCENTE ASIS/N/TC/ADM EMP/FUN.ACADE-ADMIN</v>
      </c>
      <c r="G851" s="7" t="str">
        <f>IF(B851="","",IFERROR(VLOOKUP(B851, PLANTA_BASE!A:W, 9, FALSE), "GENERAL"))</f>
        <v>ADMINISTRACION DE EMPRESAS</v>
      </c>
      <c r="H851" s="5" t="str">
        <f>IF(B851="","",IFERROR(VLOOKUP(B851, PLANTA_BASE!A:W, 17, FALSE), "GENERAL"))</f>
        <v>ADMINISTRACION DE EMPRESAS</v>
      </c>
    </row>
    <row r="852" spans="1:8" ht="20.100000000000001" customHeight="1" x14ac:dyDescent="0.25">
      <c r="A852" s="2" t="str">
        <f>IF(B852="","",IFERROR(VLOOKUP(B852, PLANTA_BASE!A:W, 2, FALSE), "NO ENCONTRADO EN PLANTA"))</f>
        <v>VIRTUAL</v>
      </c>
      <c r="B852" s="3" t="s">
        <v>1708</v>
      </c>
      <c r="C852" s="4" t="s">
        <v>1709</v>
      </c>
      <c r="D852" s="2" t="str">
        <f>IF(B852="","",IFERROR(VLOOKUP(B852, PLANTA_BASE!A:W, 5, FALSE), "NO ENCONTRADO EN PLANTA"))</f>
        <v>REGIONAL BOGOTA</v>
      </c>
      <c r="E852" s="2" t="str">
        <f>IF(B852="","",IFERROR(VLOOKUP(B852, PLANTA_BASE!A:W, 6, FALSE), "NO ENCONTRADO EN PLANTA"))</f>
        <v>BOGOTA CENTRO</v>
      </c>
      <c r="F852" s="4" t="str">
        <f>IF(B852="","",IFERROR(VLOOKUP(B852, PLANTA_BASE!A:W, 8, FALSE), "DOCENTE / FACILITADOR"))</f>
        <v>DOC AUX T&amp;T/N/V/MT/CONTADURIA</v>
      </c>
      <c r="G852" s="4" t="str">
        <f>IF(B852="","",IFERROR(VLOOKUP(B852, PLANTA_BASE!A:W, 9, FALSE), "GENERAL"))</f>
        <v>CONTADURIA PUBLICA</v>
      </c>
      <c r="H852" s="2" t="str">
        <f>IF(B852="","",IFERROR(VLOOKUP(B852, PLANTA_BASE!A:W, 17, FALSE), "GENERAL"))</f>
        <v>CONTADURIA PUBLICA</v>
      </c>
    </row>
    <row r="853" spans="1:8" ht="20.100000000000001" customHeight="1" x14ac:dyDescent="0.25">
      <c r="A853" s="5" t="str">
        <f>IF(B853="","",IFERROR(VLOOKUP(B853, PLANTA_BASE!A:W, 2, FALSE), "NO ENCONTRADO EN PLANTA"))</f>
        <v>VIRTUAL</v>
      </c>
      <c r="B853" s="6" t="s">
        <v>1710</v>
      </c>
      <c r="C853" s="7" t="s">
        <v>1711</v>
      </c>
      <c r="D853" s="5" t="str">
        <f>IF(B853="","",IFERROR(VLOOKUP(B853, PLANTA_BASE!A:W, 5, FALSE), "NO ENCONTRADO EN PLANTA"))</f>
        <v>REGIONAL BOGOTA</v>
      </c>
      <c r="E853" s="5" t="str">
        <f>IF(B853="","",IFERROR(VLOOKUP(B853, PLANTA_BASE!A:W, 6, FALSE), "NO ENCONTRADO EN PLANTA"))</f>
        <v>BOGOTA CENTRO</v>
      </c>
      <c r="F853" s="7" t="str">
        <f>IF(B853="","",IFERROR(VLOOKUP(B853, PLANTA_BASE!A:W, 8, FALSE), "DOCENTE / FACILITADOR"))</f>
        <v>DOC ASIS/N/V/TC/DIS GRAFI/FUN.ACADE-A</v>
      </c>
      <c r="G853" s="7" t="str">
        <f>IF(B853="","",IFERROR(VLOOKUP(B853, PLANTA_BASE!A:W, 9, FALSE), "GENERAL"))</f>
        <v>DISEÑO GRAFICO</v>
      </c>
      <c r="H853" s="5" t="str">
        <f>IF(B853="","",IFERROR(VLOOKUP(B853, PLANTA_BASE!A:W, 17, FALSE), "GENERAL"))</f>
        <v>DISEÑO GRAFICO</v>
      </c>
    </row>
    <row r="854" spans="1:8" ht="20.100000000000001" customHeight="1" x14ac:dyDescent="0.25">
      <c r="A854" s="2" t="str">
        <f>IF(B854="","",IFERROR(VLOOKUP(B854, PLANTA_BASE!A:W, 2, FALSE), "NO ENCONTRADO EN PLANTA"))</f>
        <v>VIRTUAL</v>
      </c>
      <c r="B854" s="3" t="s">
        <v>1712</v>
      </c>
      <c r="C854" s="4" t="s">
        <v>1713</v>
      </c>
      <c r="D854" s="2" t="str">
        <f>IF(B854="","",IFERROR(VLOOKUP(B854, PLANTA_BASE!A:W, 5, FALSE), "NO ENCONTRADO EN PLANTA"))</f>
        <v>REGIONAL BOGOTA</v>
      </c>
      <c r="E854" s="2" t="str">
        <f>IF(B854="","",IFERROR(VLOOKUP(B854, PLANTA_BASE!A:W, 6, FALSE), "NO ENCONTRADO EN PLANTA"))</f>
        <v>BOGOTA CENTRO</v>
      </c>
      <c r="F854" s="4" t="str">
        <f>IF(B854="","",IFERROR(VLOOKUP(B854, PLANTA_BASE!A:W, 8, FALSE), "DOCENTE / FACILITADOR"))</f>
        <v>DOC ASIS/N/V/TC/IDIOMAS/FUN.ACADE-ADMIN</v>
      </c>
      <c r="G854" s="4" t="str">
        <f>IF(B854="","",IFERROR(VLOOKUP(B854, PLANTA_BASE!A:W, 9, FALSE), "GENERAL"))</f>
        <v>IDIOMAS</v>
      </c>
      <c r="H854" s="2" t="str">
        <f>IF(B854="","",IFERROR(VLOOKUP(B854, PLANTA_BASE!A:W, 17, FALSE), "GENERAL"))</f>
        <v>IDIOMAS</v>
      </c>
    </row>
    <row r="855" spans="1:8" ht="20.100000000000001" customHeight="1" x14ac:dyDescent="0.25">
      <c r="A855" s="5" t="str">
        <f>IF(B855="","",IFERROR(VLOOKUP(B855, PLANTA_BASE!A:W, 2, FALSE), "NO ENCONTRADO EN PLANTA"))</f>
        <v>PRESENCIAL</v>
      </c>
      <c r="B855" s="6" t="s">
        <v>1714</v>
      </c>
      <c r="C855" s="7" t="s">
        <v>1715</v>
      </c>
      <c r="D855" s="5" t="str">
        <f>IF(B855="","",IFERROR(VLOOKUP(B855, PLANTA_BASE!A:W, 5, FALSE), "NO ENCONTRADO EN PLANTA"))</f>
        <v>REGIONAL BOGOTA</v>
      </c>
      <c r="E855" s="5" t="str">
        <f>IF(B855="","",IFERROR(VLOOKUP(B855, PLANTA_BASE!A:W, 6, FALSE), "NO ENCONTRADO EN PLANTA"))</f>
        <v>BOGOTA CENTRO</v>
      </c>
      <c r="F855" s="7" t="str">
        <f>IF(B855="","",IFERROR(VLOOKUP(B855, PLANTA_BASE!A:W, 8, FALSE), "DOCENTE / FACILITADOR"))</f>
        <v>DOCENTE AUX/N/MT-ADM SER SALU</v>
      </c>
      <c r="G855" s="7" t="str">
        <f>IF(B855="","",IFERROR(VLOOKUP(B855, PLANTA_BASE!A:W, 9, FALSE), "GENERAL"))</f>
        <v>ADMINISTRACION EN SERVICIOS DE SALUD</v>
      </c>
      <c r="H855" s="5" t="str">
        <f>IF(B855="","",IFERROR(VLOOKUP(B855, PLANTA_BASE!A:W, 17, FALSE), "GENERAL"))</f>
        <v>ADMINISTRACION EN SERVICIOS DE SALUD</v>
      </c>
    </row>
    <row r="856" spans="1:8" ht="20.100000000000001" customHeight="1" x14ac:dyDescent="0.25">
      <c r="A856" s="2" t="str">
        <f>IF(B856="","",IFERROR(VLOOKUP(B856, PLANTA_BASE!A:W, 2, FALSE), "NO ENCONTRADO EN PLANTA"))</f>
        <v>PRESENCIAL</v>
      </c>
      <c r="B856" s="3" t="s">
        <v>1716</v>
      </c>
      <c r="C856" s="4" t="s">
        <v>1717</v>
      </c>
      <c r="D856" s="2" t="str">
        <f>IF(B856="","",IFERROR(VLOOKUP(B856, PLANTA_BASE!A:W, 5, FALSE), "NO ENCONTRADO EN PLANTA"))</f>
        <v>REGIONAL BOGOTA</v>
      </c>
      <c r="E856" s="2" t="str">
        <f>IF(B856="","",IFERROR(VLOOKUP(B856, PLANTA_BASE!A:W, 6, FALSE), "NO ENCONTRADO EN PLANTA"))</f>
        <v>BOGOTA RESTREPO</v>
      </c>
      <c r="F856" s="4" t="str">
        <f>IF(B856="","",IFERROR(VLOOKUP(B856, PLANTA_BASE!A:W, 8, FALSE), "DOCENTE / FACILITADOR"))</f>
        <v>DOCENTE ASIS/N/TC/ADM EMP/FUN.ACADE-ADMIN</v>
      </c>
      <c r="G856" s="4" t="str">
        <f>IF(B856="","",IFERROR(VLOOKUP(B856, PLANTA_BASE!A:W, 9, FALSE), "GENERAL"))</f>
        <v>ADMINISTRACION DE EMPRESAS</v>
      </c>
      <c r="H856" s="2" t="str">
        <f>IF(B856="","",IFERROR(VLOOKUP(B856, PLANTA_BASE!A:W, 17, FALSE), "GENERAL"))</f>
        <v>ADMINISTRACION DE EMPRESAS</v>
      </c>
    </row>
    <row r="857" spans="1:8" ht="20.100000000000001" customHeight="1" x14ac:dyDescent="0.25">
      <c r="A857" s="5" t="str">
        <f>IF(B857="","",IFERROR(VLOOKUP(B857, PLANTA_BASE!A:W, 2, FALSE), "NO ENCONTRADO EN PLANTA"))</f>
        <v>VIRTUAL</v>
      </c>
      <c r="B857" s="6" t="s">
        <v>1718</v>
      </c>
      <c r="C857" s="7" t="s">
        <v>1719</v>
      </c>
      <c r="D857" s="5" t="str">
        <f>IF(B857="","",IFERROR(VLOOKUP(B857, PLANTA_BASE!A:W, 5, FALSE), "NO ENCONTRADO EN PLANTA"))</f>
        <v>REGIONAL BOGOTA</v>
      </c>
      <c r="E857" s="5" t="str">
        <f>IF(B857="","",IFERROR(VLOOKUP(B857, PLANTA_BASE!A:W, 6, FALSE), "NO ENCONTRADO EN PLANTA"))</f>
        <v>BOGOTA CENTRO</v>
      </c>
      <c r="F857" s="7" t="str">
        <f>IF(B857="","",IFERROR(VLOOKUP(B857, PLANTA_BASE!A:W, 8, FALSE), "DOCENTE / FACILITADOR"))</f>
        <v>DOC ASOC/N/V/TC/ESP PAZ Y DESARR/FUN.ACADE-ADMIN</v>
      </c>
      <c r="G857" s="7" t="str">
        <f>IF(B857="","",IFERROR(VLOOKUP(B857, PLANTA_BASE!A:W, 9, FALSE), "GENERAL"))</f>
        <v>ESPECIALIZACION DE PAZ Y DESARROLLO</v>
      </c>
      <c r="H857" s="5" t="str">
        <f>IF(B857="","",IFERROR(VLOOKUP(B857, PLANTA_BASE!A:W, 17, FALSE), "GENERAL"))</f>
        <v>ESPECIALIZACION DE PAZ Y DESARROLLO</v>
      </c>
    </row>
    <row r="858" spans="1:8" ht="20.100000000000001" customHeight="1" x14ac:dyDescent="0.25">
      <c r="A858" s="2" t="str">
        <f>IF(B858="","",IFERROR(VLOOKUP(B858, PLANTA_BASE!A:W, 2, FALSE), "NO ENCONTRADO EN PLANTA"))</f>
        <v>VIRTUAL</v>
      </c>
      <c r="B858" s="3" t="s">
        <v>1720</v>
      </c>
      <c r="C858" s="4" t="s">
        <v>1721</v>
      </c>
      <c r="D858" s="2" t="str">
        <f>IF(B858="","",IFERROR(VLOOKUP(B858, PLANTA_BASE!A:W, 5, FALSE), "NO ENCONTRADO EN PLANTA"))</f>
        <v>REGIONAL BOGOTA</v>
      </c>
      <c r="E858" s="2" t="str">
        <f>IF(B858="","",IFERROR(VLOOKUP(B858, PLANTA_BASE!A:W, 6, FALSE), "NO ENCONTRADO EN PLANTA"))</f>
        <v>BOGOTA CENTRO</v>
      </c>
      <c r="F858" s="4" t="str">
        <f>IF(B858="","",IFERROR(VLOOKUP(B858, PLANTA_BASE!A:W, 8, FALSE), "DOCENTE / FACILITADOR"))</f>
        <v>DOC ASOC/N/V/TC/INVESTIGACIONES/INVESTIG</v>
      </c>
      <c r="G858" s="4" t="str">
        <f>IF(B858="","",IFERROR(VLOOKUP(B858, PLANTA_BASE!A:W, 9, FALSE), "GENERAL"))</f>
        <v>INVESTIGACIONES</v>
      </c>
      <c r="H858" s="2" t="str">
        <f>IF(B858="","",IFERROR(VLOOKUP(B858, PLANTA_BASE!A:W, 17, FALSE), "GENERAL"))</f>
        <v>INVESTIGACIONES</v>
      </c>
    </row>
    <row r="859" spans="1:8" ht="20.100000000000001" customHeight="1" x14ac:dyDescent="0.25">
      <c r="A859" s="5" t="str">
        <f>IF(B859="","",IFERROR(VLOOKUP(B859, PLANTA_BASE!A:W, 2, FALSE), "NO ENCONTRADO EN PLANTA"))</f>
        <v>PRESENCIAL</v>
      </c>
      <c r="B859" s="6" t="s">
        <v>1722</v>
      </c>
      <c r="C859" s="7" t="s">
        <v>1723</v>
      </c>
      <c r="D859" s="5" t="str">
        <f>IF(B859="","",IFERROR(VLOOKUP(B859, PLANTA_BASE!A:W, 5, FALSE), "NO ENCONTRADO EN PLANTA"))</f>
        <v>REGIONAL BOGOTA</v>
      </c>
      <c r="E859" s="5" t="str">
        <f>IF(B859="","",IFERROR(VLOOKUP(B859, PLANTA_BASE!A:W, 6, FALSE), "NO ENCONTRADO EN PLANTA"))</f>
        <v>BOGOTA CENTRO</v>
      </c>
      <c r="F859" s="7" t="str">
        <f>IF(B859="","",IFERROR(VLOOKUP(B859, PLANTA_BASE!A:W, 8, FALSE), "DOCENTE / FACILITADOR"))</f>
        <v>DOC AUX T&amp;T/N/TC/ING SISTEM/FUN.ACADE-ADMIN</v>
      </c>
      <c r="G859" s="7" t="str">
        <f>IF(B859="","",IFERROR(VLOOKUP(B859, PLANTA_BASE!A:W, 9, FALSE), "GENERAL"))</f>
        <v>INGENIERIA DE SISTEMAS</v>
      </c>
      <c r="H859" s="5" t="str">
        <f>IF(B859="","",IFERROR(VLOOKUP(B859, PLANTA_BASE!A:W, 17, FALSE), "GENERAL"))</f>
        <v>INGENIERIA DE SISTEMAS</v>
      </c>
    </row>
    <row r="860" spans="1:8" ht="20.100000000000001" customHeight="1" x14ac:dyDescent="0.25">
      <c r="A860" s="2" t="str">
        <f>IF(B860="","",IFERROR(VLOOKUP(B860, PLANTA_BASE!A:W, 2, FALSE), "NO ENCONTRADO EN PLANTA"))</f>
        <v>PRESENCIAL</v>
      </c>
      <c r="B860" s="3" t="s">
        <v>1724</v>
      </c>
      <c r="C860" s="4" t="s">
        <v>1725</v>
      </c>
      <c r="D860" s="2" t="str">
        <f>IF(B860="","",IFERROR(VLOOKUP(B860, PLANTA_BASE!A:W, 5, FALSE), "NO ENCONTRADO EN PLANTA"))</f>
        <v>REGIONAL BOGOTA</v>
      </c>
      <c r="E860" s="2" t="str">
        <f>IF(B860="","",IFERROR(VLOOKUP(B860, PLANTA_BASE!A:W, 6, FALSE), "NO ENCONTRADO EN PLANTA"))</f>
        <v>BOGOTA CENTRO</v>
      </c>
      <c r="F860" s="4" t="str">
        <f>IF(B860="","",IFERROR(VLOOKUP(B860, PLANTA_BASE!A:W, 8, FALSE), "DOCENTE / FACILITADOR"))</f>
        <v>DOCENTE ASIS/N/TC/DIS PROD MOD/PROYECCIO</v>
      </c>
      <c r="G860" s="4" t="str">
        <f>IF(B860="","",IFERROR(VLOOKUP(B860, PLANTA_BASE!A:W, 9, FALSE), "GENERAL"))</f>
        <v>DISEÑO Y PRODUCCION DE MODAS</v>
      </c>
      <c r="H860" s="2" t="str">
        <f>IF(B860="","",IFERROR(VLOOKUP(B860, PLANTA_BASE!A:W, 17, FALSE), "GENERAL"))</f>
        <v>DISEÑO Y PRODUCCION DE MODAS</v>
      </c>
    </row>
    <row r="861" spans="1:8" ht="20.100000000000001" customHeight="1" x14ac:dyDescent="0.25">
      <c r="A861" s="5" t="str">
        <f>IF(B861="","",IFERROR(VLOOKUP(B861, PLANTA_BASE!A:W, 2, FALSE), "NO ENCONTRADO EN PLANTA"))</f>
        <v>PRESENCIAL</v>
      </c>
      <c r="B861" s="6" t="s">
        <v>1726</v>
      </c>
      <c r="C861" s="7" t="s">
        <v>1727</v>
      </c>
      <c r="D861" s="5" t="str">
        <f>IF(B861="","",IFERROR(VLOOKUP(B861, PLANTA_BASE!A:W, 5, FALSE), "NO ENCONTRADO EN PLANTA"))</f>
        <v>REGIONAL BOGOTA</v>
      </c>
      <c r="E861" s="5" t="str">
        <f>IF(B861="","",IFERROR(VLOOKUP(B861, PLANTA_BASE!A:W, 6, FALSE), "NO ENCONTRADO EN PLANTA"))</f>
        <v>BOGOTA CENTRO</v>
      </c>
      <c r="F861" s="7" t="str">
        <f>IF(B861="","",IFERROR(VLOOKUP(B861, PLANTA_BASE!A:W, 8, FALSE), "DOCENTE / FACILITADOR"))</f>
        <v>DOCENTE ASOC/N/TC/DIS PROD MOD/FUN.ACADE-ADMIN</v>
      </c>
      <c r="G861" s="7" t="str">
        <f>IF(B861="","",IFERROR(VLOOKUP(B861, PLANTA_BASE!A:W, 9, FALSE), "GENERAL"))</f>
        <v>DISEÑO Y PRODUCCION DE MODAS</v>
      </c>
      <c r="H861" s="5" t="str">
        <f>IF(B861="","",IFERROR(VLOOKUP(B861, PLANTA_BASE!A:W, 17, FALSE), "GENERAL"))</f>
        <v>DISEÑO Y PRODUCCION DE MODAS</v>
      </c>
    </row>
    <row r="862" spans="1:8" ht="20.100000000000001" customHeight="1" x14ac:dyDescent="0.25">
      <c r="A862" s="2" t="str">
        <f>IF(B862="","",IFERROR(VLOOKUP(B862, PLANTA_BASE!A:W, 2, FALSE), "NO ENCONTRADO EN PLANTA"))</f>
        <v>PRESENCIAL</v>
      </c>
      <c r="B862" s="3" t="s">
        <v>1728</v>
      </c>
      <c r="C862" s="4" t="s">
        <v>1729</v>
      </c>
      <c r="D862" s="2" t="str">
        <f>IF(B862="","",IFERROR(VLOOKUP(B862, PLANTA_BASE!A:W, 5, FALSE), "NO ENCONTRADO EN PLANTA"))</f>
        <v>REGIONAL BOGOTA</v>
      </c>
      <c r="E862" s="2" t="str">
        <f>IF(B862="","",IFERROR(VLOOKUP(B862, PLANTA_BASE!A:W, 6, FALSE), "NO ENCONTRADO EN PLANTA"))</f>
        <v>BOGOTA CENTRO</v>
      </c>
      <c r="F862" s="4" t="str">
        <f>IF(B862="","",IFERROR(VLOOKUP(B862, PLANTA_BASE!A:W, 8, FALSE), "DOCENTE / FACILITADOR"))</f>
        <v>DOCENTE ASIS/N/TC/ADM SER SALU/FUN.ACADE-ADMIN</v>
      </c>
      <c r="G862" s="4" t="str">
        <f>IF(B862="","",IFERROR(VLOOKUP(B862, PLANTA_BASE!A:W, 9, FALSE), "GENERAL"))</f>
        <v>ADMINISTRACION EN SERVICIOS DE SALUD</v>
      </c>
      <c r="H862" s="2" t="str">
        <f>IF(B862="","",IFERROR(VLOOKUP(B862, PLANTA_BASE!A:W, 17, FALSE), "GENERAL"))</f>
        <v>ADMINISTRACION EN SERVICIOS DE SALUD</v>
      </c>
    </row>
    <row r="863" spans="1:8" ht="20.100000000000001" customHeight="1" x14ac:dyDescent="0.25">
      <c r="A863" s="5" t="str">
        <f>IF(B863="","",IFERROR(VLOOKUP(B863, PLANTA_BASE!A:W, 2, FALSE), "NO ENCONTRADO EN PLANTA"))</f>
        <v>PRESENCIAL</v>
      </c>
      <c r="B863" s="6" t="s">
        <v>1730</v>
      </c>
      <c r="C863" s="7" t="s">
        <v>1731</v>
      </c>
      <c r="D863" s="5" t="str">
        <f>IF(B863="","",IFERROR(VLOOKUP(B863, PLANTA_BASE!A:W, 5, FALSE), "NO ENCONTRADO EN PLANTA"))</f>
        <v>REGIONAL BOGOTA</v>
      </c>
      <c r="E863" s="5" t="str">
        <f>IF(B863="","",IFERROR(VLOOKUP(B863, PLANTA_BASE!A:W, 6, FALSE), "NO ENCONTRADO EN PLANTA"))</f>
        <v>BOGOTA CENTRO</v>
      </c>
      <c r="F863" s="7" t="str">
        <f>IF(B863="","",IFERROR(VLOOKUP(B863, PLANTA_BASE!A:W, 8, FALSE), "DOCENTE / FACILITADOR"))</f>
        <v>DOC AUX T&amp;T/N/TC/DIR PROD ME AUD/FUN.ACADE-ADMIN</v>
      </c>
      <c r="G863" s="7" t="str">
        <f>IF(B863="","",IFERROR(VLOOKUP(B863, PLANTA_BASE!A:W, 9, FALSE), "GENERAL"))</f>
        <v>DIRECCION Y PRODUCCION DE MEDIOS AUDIOVISUALES</v>
      </c>
      <c r="H863" s="5" t="str">
        <f>IF(B863="","",IFERROR(VLOOKUP(B863, PLANTA_BASE!A:W, 17, FALSE), "GENERAL"))</f>
        <v>DIRECCION Y PRODUCCION DE MEDIOS AUDIOVISUALES</v>
      </c>
    </row>
    <row r="864" spans="1:8" ht="20.100000000000001" customHeight="1" x14ac:dyDescent="0.25">
      <c r="A864" s="2" t="str">
        <f>IF(B864="","",IFERROR(VLOOKUP(B864, PLANTA_BASE!A:W, 2, FALSE), "NO ENCONTRADO EN PLANTA"))</f>
        <v>PRESENCIAL</v>
      </c>
      <c r="B864" s="3" t="s">
        <v>1732</v>
      </c>
      <c r="C864" s="4" t="s">
        <v>1733</v>
      </c>
      <c r="D864" s="2" t="str">
        <f>IF(B864="","",IFERROR(VLOOKUP(B864, PLANTA_BASE!A:W, 5, FALSE), "NO ENCONTRADO EN PLANTA"))</f>
        <v>REGIONAL BOGOTA</v>
      </c>
      <c r="E864" s="2" t="str">
        <f>IF(B864="","",IFERROR(VLOOKUP(B864, PLANTA_BASE!A:W, 6, FALSE), "NO ENCONTRADO EN PLANTA"))</f>
        <v>BOGOTA CENTRO</v>
      </c>
      <c r="F864" s="4" t="str">
        <f>IF(B864="","",IFERROR(VLOOKUP(B864, PLANTA_BASE!A:W, 8, FALSE), "DOCENTE / FACILITADOR"))</f>
        <v>DOCENTE ASIS/N/TC/DERECHO/FUN.ACADE-ADMIN</v>
      </c>
      <c r="G864" s="4" t="str">
        <f>IF(B864="","",IFERROR(VLOOKUP(B864, PLANTA_BASE!A:W, 9, FALSE), "GENERAL"))</f>
        <v>DERECHO</v>
      </c>
      <c r="H864" s="2" t="str">
        <f>IF(B864="","",IFERROR(VLOOKUP(B864, PLANTA_BASE!A:W, 17, FALSE), "GENERAL"))</f>
        <v>DERECHO</v>
      </c>
    </row>
    <row r="865" spans="1:8" ht="20.100000000000001" customHeight="1" x14ac:dyDescent="0.25">
      <c r="A865" s="5" t="str">
        <f>IF(B865="","",IFERROR(VLOOKUP(B865, PLANTA_BASE!A:W, 2, FALSE), "NO ENCONTRADO EN PLANTA"))</f>
        <v>VIRTUAL</v>
      </c>
      <c r="B865" s="6" t="s">
        <v>1734</v>
      </c>
      <c r="C865" s="7" t="s">
        <v>1735</v>
      </c>
      <c r="D865" s="5" t="str">
        <f>IF(B865="","",IFERROR(VLOOKUP(B865, PLANTA_BASE!A:W, 5, FALSE), "NO ENCONTRADO EN PLANTA"))</f>
        <v>REGIONAL BOGOTA</v>
      </c>
      <c r="E865" s="5" t="str">
        <f>IF(B865="","",IFERROR(VLOOKUP(B865, PLANTA_BASE!A:W, 6, FALSE), "NO ENCONTRADO EN PLANTA"))</f>
        <v>BOGOTA CENTRO</v>
      </c>
      <c r="F865" s="7" t="str">
        <f>IF(B865="","",IFERROR(VLOOKUP(B865, PLANTA_BASE!A:W, 8, FALSE), "DOCENTE / FACILITADOR"))</f>
        <v>DOC AUX T&amp;T/N/V/MT/DIS GRAFICO</v>
      </c>
      <c r="G865" s="7" t="str">
        <f>IF(B865="","",IFERROR(VLOOKUP(B865, PLANTA_BASE!A:W, 9, FALSE), "GENERAL"))</f>
        <v>DISEÑO GRAFICO</v>
      </c>
      <c r="H865" s="5" t="str">
        <f>IF(B865="","",IFERROR(VLOOKUP(B865, PLANTA_BASE!A:W, 17, FALSE), "GENERAL"))</f>
        <v>DISEÑO GRAFICO</v>
      </c>
    </row>
    <row r="866" spans="1:8" ht="20.100000000000001" customHeight="1" x14ac:dyDescent="0.25">
      <c r="A866" s="2" t="str">
        <f>IF(B866="","",IFERROR(VLOOKUP(B866, PLANTA_BASE!A:W, 2, FALSE), "NO ENCONTRADO EN PLANTA"))</f>
        <v>VIRTUAL</v>
      </c>
      <c r="B866" s="3" t="s">
        <v>1736</v>
      </c>
      <c r="C866" s="4" t="s">
        <v>1737</v>
      </c>
      <c r="D866" s="2" t="str">
        <f>IF(B866="","",IFERROR(VLOOKUP(B866, PLANTA_BASE!A:W, 5, FALSE), "NO ENCONTRADO EN PLANTA"))</f>
        <v>REGIONAL BOGOTA</v>
      </c>
      <c r="E866" s="2" t="str">
        <f>IF(B866="","",IFERROR(VLOOKUP(B866, PLANTA_BASE!A:W, 6, FALSE), "NO ENCONTRADO EN PLANTA"))</f>
        <v>BOGOTA CENTRO</v>
      </c>
      <c r="F866" s="4" t="str">
        <f>IF(B866="","",IFERROR(VLOOKUP(B866, PLANTA_BASE!A:W, 8, FALSE), "DOCENTE / FACILITADOR"))</f>
        <v>DOC AUX/N/V/TC/ESP CIBERSEG/FUN.ACA</v>
      </c>
      <c r="G866" s="4" t="str">
        <f>IF(B866="","",IFERROR(VLOOKUP(B866, PLANTA_BASE!A:W, 9, FALSE), "GENERAL"))</f>
        <v>ESPECIALIZACION EN CIBERSEGURIDAD</v>
      </c>
      <c r="H866" s="2" t="str">
        <f>IF(B866="","",IFERROR(VLOOKUP(B866, PLANTA_BASE!A:W, 17, FALSE), "GENERAL"))</f>
        <v>ESPECIALIZACION EN CIBERSEGURIDAD</v>
      </c>
    </row>
    <row r="867" spans="1:8" ht="20.100000000000001" customHeight="1" x14ac:dyDescent="0.25">
      <c r="A867" s="5" t="str">
        <f>IF(B867="","",IFERROR(VLOOKUP(B867, PLANTA_BASE!A:W, 2, FALSE), "NO ENCONTRADO EN PLANTA"))</f>
        <v>PRESENCIAL</v>
      </c>
      <c r="B867" s="6" t="s">
        <v>1738</v>
      </c>
      <c r="C867" s="7" t="s">
        <v>1739</v>
      </c>
      <c r="D867" s="5" t="str">
        <f>IF(B867="","",IFERROR(VLOOKUP(B867, PLANTA_BASE!A:W, 5, FALSE), "NO ENCONTRADO EN PLANTA"))</f>
        <v>REGIONAL BOGOTA</v>
      </c>
      <c r="E867" s="5" t="str">
        <f>IF(B867="","",IFERROR(VLOOKUP(B867, PLANTA_BASE!A:W, 6, FALSE), "NO ENCONTRADO EN PLANTA"))</f>
        <v>BOGOTA CENTRO</v>
      </c>
      <c r="F867" s="7" t="str">
        <f>IF(B867="","",IFERROR(VLOOKUP(B867, PLANTA_BASE!A:W, 8, FALSE), "DOCENTE / FACILITADOR"))</f>
        <v>DOC AUX T&amp;T/N/TC/DIR PROD ME AUD/FUN.ACADE-ADMIN</v>
      </c>
      <c r="G867" s="7" t="str">
        <f>IF(B867="","",IFERROR(VLOOKUP(B867, PLANTA_BASE!A:W, 9, FALSE), "GENERAL"))</f>
        <v>DIRECCION Y PRODUCCION DE MEDIOS AUDIOVISUALES</v>
      </c>
      <c r="H867" s="5" t="str">
        <f>IF(B867="","",IFERROR(VLOOKUP(B867, PLANTA_BASE!A:W, 17, FALSE), "GENERAL"))</f>
        <v>DIRECCION Y PRODUCCION DE MEDIOS AUDIOVISUALES</v>
      </c>
    </row>
    <row r="868" spans="1:8" ht="20.100000000000001" customHeight="1" x14ac:dyDescent="0.25">
      <c r="A868" s="2" t="str">
        <f>IF(B868="","",IFERROR(VLOOKUP(B868, PLANTA_BASE!A:W, 2, FALSE), "NO ENCONTRADO EN PLANTA"))</f>
        <v>VIRTUAL</v>
      </c>
      <c r="B868" s="3" t="s">
        <v>1740</v>
      </c>
      <c r="C868" s="4" t="s">
        <v>1741</v>
      </c>
      <c r="D868" s="2" t="str">
        <f>IF(B868="","",IFERROR(VLOOKUP(B868, PLANTA_BASE!A:W, 5, FALSE), "NO ENCONTRADO EN PLANTA"))</f>
        <v>REGIONAL BOGOTA</v>
      </c>
      <c r="E868" s="2" t="str">
        <f>IF(B868="","",IFERROR(VLOOKUP(B868, PLANTA_BASE!A:W, 6, FALSE), "NO ENCONTRADO EN PLANTA"))</f>
        <v>BOGOTA CENTRO</v>
      </c>
      <c r="F868" s="4" t="str">
        <f>IF(B868="","",IFERROR(VLOOKUP(B868, PLANTA_BASE!A:W, 8, FALSE), "DOCENTE / FACILITADOR"))</f>
        <v>DOC AUX T&amp;T/N/V/TC/EMPRENDIMIENTO/FUN.ACADE-ADMIN</v>
      </c>
      <c r="G868" s="4" t="str">
        <f>IF(B868="","",IFERROR(VLOOKUP(B868, PLANTA_BASE!A:W, 9, FALSE), "GENERAL"))</f>
        <v>EMPRENDIMIENTO</v>
      </c>
      <c r="H868" s="2" t="str">
        <f>IF(B868="","",IFERROR(VLOOKUP(B868, PLANTA_BASE!A:W, 17, FALSE), "GENERAL"))</f>
        <v>EMPRENDIMIENTO</v>
      </c>
    </row>
    <row r="869" spans="1:8" ht="20.100000000000001" customHeight="1" x14ac:dyDescent="0.25">
      <c r="A869" s="5" t="str">
        <f>IF(B869="","",IFERROR(VLOOKUP(B869, PLANTA_BASE!A:W, 2, FALSE), "NO ENCONTRADO EN PLANTA"))</f>
        <v>VIRTUAL</v>
      </c>
      <c r="B869" s="6" t="s">
        <v>1742</v>
      </c>
      <c r="C869" s="7" t="s">
        <v>1743</v>
      </c>
      <c r="D869" s="5" t="str">
        <f>IF(B869="","",IFERROR(VLOOKUP(B869, PLANTA_BASE!A:W, 5, FALSE), "NO ENCONTRADO EN PLANTA"))</f>
        <v>REGIONAL BOGOTA</v>
      </c>
      <c r="E869" s="5" t="str">
        <f>IF(B869="","",IFERROR(VLOOKUP(B869, PLANTA_BASE!A:W, 6, FALSE), "NO ENCONTRADO EN PLANTA"))</f>
        <v>BOGOTA CENTRO</v>
      </c>
      <c r="F869" s="7" t="str">
        <f>IF(B869="","",IFERROR(VLOOKUP(B869, PLANTA_BASE!A:W, 8, FALSE), "DOCENTE / FACILITADOR"))</f>
        <v>DOC ASIS/N/V/TC/ESP SEG SALUD TRAB/FUN.A</v>
      </c>
      <c r="G869" s="7" t="str">
        <f>IF(B869="","",IFERROR(VLOOKUP(B869, PLANTA_BASE!A:W, 9, FALSE), "GENERAL"))</f>
        <v>ESPECIALIZACION EN SEGURIDAD Y SALUD EN EL TRABAJO</v>
      </c>
      <c r="H869" s="5" t="str">
        <f>IF(B869="","",IFERROR(VLOOKUP(B869, PLANTA_BASE!A:W, 17, FALSE), "GENERAL"))</f>
        <v>ESPECIALIZACION EN SEGURIDAD Y SALUD EN EL TRABAJO</v>
      </c>
    </row>
    <row r="870" spans="1:8" ht="20.100000000000001" customHeight="1" x14ac:dyDescent="0.25">
      <c r="A870" s="2" t="str">
        <f>IF(B870="","",IFERROR(VLOOKUP(B870, PLANTA_BASE!A:W, 2, FALSE), "NO ENCONTRADO EN PLANTA"))</f>
        <v>VIRTUAL</v>
      </c>
      <c r="B870" s="3" t="s">
        <v>1744</v>
      </c>
      <c r="C870" s="4" t="s">
        <v>1745</v>
      </c>
      <c r="D870" s="2" t="str">
        <f>IF(B870="","",IFERROR(VLOOKUP(B870, PLANTA_BASE!A:W, 5, FALSE), "NO ENCONTRADO EN PLANTA"))</f>
        <v>REGIONAL BOGOTA</v>
      </c>
      <c r="E870" s="2" t="str">
        <f>IF(B870="","",IFERROR(VLOOKUP(B870, PLANTA_BASE!A:W, 6, FALSE), "NO ENCONTRADO EN PLANTA"))</f>
        <v>BOGOTA CENTRO</v>
      </c>
      <c r="F870" s="4" t="str">
        <f>IF(B870="","",IFERROR(VLOOKUP(B870, PLANTA_BASE!A:W, 8, FALSE), "DOCENTE / FACILITADOR"))</f>
        <v>DOC ASIS/N/V/TC/CIENCIAS BASI/FUN.ACADE-ADMIN</v>
      </c>
      <c r="G870" s="4" t="str">
        <f>IF(B870="","",IFERROR(VLOOKUP(B870, PLANTA_BASE!A:W, 9, FALSE), "GENERAL"))</f>
        <v>CIENCIAS BASICAS</v>
      </c>
      <c r="H870" s="2" t="str">
        <f>IF(B870="","",IFERROR(VLOOKUP(B870, PLANTA_BASE!A:W, 17, FALSE), "GENERAL"))</f>
        <v>CIENCIAS BASICAS</v>
      </c>
    </row>
    <row r="871" spans="1:8" ht="20.100000000000001" customHeight="1" x14ac:dyDescent="0.25">
      <c r="A871" s="5" t="str">
        <f>IF(B871="","",IFERROR(VLOOKUP(B871, PLANTA_BASE!A:W, 2, FALSE), "NO ENCONTRADO EN PLANTA"))</f>
        <v>PRESENCIAL</v>
      </c>
      <c r="B871" s="6" t="s">
        <v>1746</v>
      </c>
      <c r="C871" s="7" t="s">
        <v>1747</v>
      </c>
      <c r="D871" s="5" t="str">
        <f>IF(B871="","",IFERROR(VLOOKUP(B871, PLANTA_BASE!A:W, 5, FALSE), "NO ENCONTRADO EN PLANTA"))</f>
        <v>REGIONAL BOGOTA</v>
      </c>
      <c r="E871" s="5" t="str">
        <f>IF(B871="","",IFERROR(VLOOKUP(B871, PLANTA_BASE!A:W, 6, FALSE), "NO ENCONTRADO EN PLANTA"))</f>
        <v>BOGOTA CENTRO</v>
      </c>
      <c r="F871" s="7" t="str">
        <f>IF(B871="","",IFERROR(VLOOKUP(B871, PLANTA_BASE!A:W, 8, FALSE), "DOCENTE / FACILITADOR"))</f>
        <v>DOC AUX T&amp;T/N/MT/MAR DIG</v>
      </c>
      <c r="G871" s="7" t="str">
        <f>IF(B871="","",IFERROR(VLOOKUP(B871, PLANTA_BASE!A:W, 9, FALSE), "GENERAL"))</f>
        <v>MARKETING DIGITAL</v>
      </c>
      <c r="H871" s="5" t="str">
        <f>IF(B871="","",IFERROR(VLOOKUP(B871, PLANTA_BASE!A:W, 17, FALSE), "GENERAL"))</f>
        <v>MARKETING DIGITAL</v>
      </c>
    </row>
    <row r="872" spans="1:8" ht="20.100000000000001" customHeight="1" x14ac:dyDescent="0.25">
      <c r="A872" s="2" t="str">
        <f>IF(B872="","",IFERROR(VLOOKUP(B872, PLANTA_BASE!A:W, 2, FALSE), "NO ENCONTRADO EN PLANTA"))</f>
        <v>VIRTUAL</v>
      </c>
      <c r="B872" s="3" t="s">
        <v>1748</v>
      </c>
      <c r="C872" s="4" t="s">
        <v>1749</v>
      </c>
      <c r="D872" s="2" t="str">
        <f>IF(B872="","",IFERROR(VLOOKUP(B872, PLANTA_BASE!A:W, 5, FALSE), "NO ENCONTRADO EN PLANTA"))</f>
        <v>REGIONAL BOGOTA</v>
      </c>
      <c r="E872" s="2" t="str">
        <f>IF(B872="","",IFERROR(VLOOKUP(B872, PLANTA_BASE!A:W, 6, FALSE), "NO ENCONTRADO EN PLANTA"))</f>
        <v>BOGOTA CENTRO</v>
      </c>
      <c r="F872" s="4" t="str">
        <f>IF(B872="","",IFERROR(VLOOKUP(B872, PLANTA_BASE!A:W, 8, FALSE), "DOCENTE / FACILITADOR"))</f>
        <v>DOC TITU/N/V/TC/ESP GER DE PROY/FUN.ACA</v>
      </c>
      <c r="G872" s="4" t="str">
        <f>IF(B872="","",IFERROR(VLOOKUP(B872, PLANTA_BASE!A:W, 9, FALSE), "GENERAL"))</f>
        <v>ESPECIALIZACION EN GERENCIA DE PROYECTOS</v>
      </c>
      <c r="H872" s="2" t="str">
        <f>IF(B872="","",IFERROR(VLOOKUP(B872, PLANTA_BASE!A:W, 17, FALSE), "GENERAL"))</f>
        <v>ESPECIALIZACION EN GERENCIA DE PROYECTOS</v>
      </c>
    </row>
    <row r="873" spans="1:8" ht="20.100000000000001" customHeight="1" x14ac:dyDescent="0.25">
      <c r="A873" s="5" t="str">
        <f>IF(B873="","",IFERROR(VLOOKUP(B873, PLANTA_BASE!A:W, 2, FALSE), "NO ENCONTRADO EN PLANTA"))</f>
        <v>PRESENCIAL</v>
      </c>
      <c r="B873" s="6" t="s">
        <v>1750</v>
      </c>
      <c r="C873" s="7" t="s">
        <v>1751</v>
      </c>
      <c r="D873" s="5" t="str">
        <f>IF(B873="","",IFERROR(VLOOKUP(B873, PLANTA_BASE!A:W, 5, FALSE), "NO ENCONTRADO EN PLANTA"))</f>
        <v>REGIONAL BOGOTA</v>
      </c>
      <c r="E873" s="5" t="str">
        <f>IF(B873="","",IFERROR(VLOOKUP(B873, PLANTA_BASE!A:W, 6, FALSE), "NO ENCONTRADO EN PLANTA"))</f>
        <v>BOGOTA CENTRO</v>
      </c>
      <c r="F873" s="7" t="str">
        <f>IF(B873="","",IFERROR(VLOOKUP(B873, PLANTA_BASE!A:W, 8, FALSE), "DOCENTE / FACILITADOR"))</f>
        <v>DOC AUX T&amp;T/N/TC/ADM SER SALU/FUN.ACADE</v>
      </c>
      <c r="G873" s="7" t="str">
        <f>IF(B873="","",IFERROR(VLOOKUP(B873, PLANTA_BASE!A:W, 9, FALSE), "GENERAL"))</f>
        <v>ADMINISTRACION EN SERVICIOS DE SALUD</v>
      </c>
      <c r="H873" s="5" t="str">
        <f>IF(B873="","",IFERROR(VLOOKUP(B873, PLANTA_BASE!A:W, 17, FALSE), "GENERAL"))</f>
        <v>ADMINISTRACION EN SERVICIOS DE SALUD</v>
      </c>
    </row>
    <row r="874" spans="1:8" ht="20.100000000000001" customHeight="1" x14ac:dyDescent="0.25">
      <c r="A874" s="2" t="str">
        <f>IF(B874="","",IFERROR(VLOOKUP(B874, PLANTA_BASE!A:W, 2, FALSE), "NO ENCONTRADO EN PLANTA"))</f>
        <v>VIRTUAL</v>
      </c>
      <c r="B874" s="3" t="s">
        <v>1752</v>
      </c>
      <c r="C874" s="4" t="s">
        <v>1753</v>
      </c>
      <c r="D874" s="2" t="str">
        <f>IF(B874="","",IFERROR(VLOOKUP(B874, PLANTA_BASE!A:W, 5, FALSE), "NO ENCONTRADO EN PLANTA"))</f>
        <v>REGIONAL BOGOTA</v>
      </c>
      <c r="E874" s="2" t="str">
        <f>IF(B874="","",IFERROR(VLOOKUP(B874, PLANTA_BASE!A:W, 6, FALSE), "NO ENCONTRADO EN PLANTA"))</f>
        <v>BOGOTA CENTRO</v>
      </c>
      <c r="F874" s="4" t="str">
        <f>IF(B874="","",IFERROR(VLOOKUP(B874, PLANTA_BASE!A:W, 8, FALSE), "DOCENTE / FACILITADOR"))</f>
        <v>DOC AUX T&amp;T/N/V/TC/ESP GERE PROY/FUN ACA</v>
      </c>
      <c r="G874" s="4" t="str">
        <f>IF(B874="","",IFERROR(VLOOKUP(B874, PLANTA_BASE!A:W, 9, FALSE), "GENERAL"))</f>
        <v>ESPECIALIZACION EN GERENCIA DE PROYECTOS</v>
      </c>
      <c r="H874" s="2" t="str">
        <f>IF(B874="","",IFERROR(VLOOKUP(B874, PLANTA_BASE!A:W, 17, FALSE), "GENERAL"))</f>
        <v>ESPECIALIZACION EN GERENCIA DE PROYECTOS</v>
      </c>
    </row>
    <row r="875" spans="1:8" ht="20.100000000000001" customHeight="1" x14ac:dyDescent="0.25">
      <c r="A875" s="5" t="str">
        <f>IF(B875="","",IFERROR(VLOOKUP(B875, PLANTA_BASE!A:W, 2, FALSE), "NO ENCONTRADO EN PLANTA"))</f>
        <v>PRESENCIAL</v>
      </c>
      <c r="B875" s="6" t="s">
        <v>1754</v>
      </c>
      <c r="C875" s="7" t="s">
        <v>1755</v>
      </c>
      <c r="D875" s="5" t="str">
        <f>IF(B875="","",IFERROR(VLOOKUP(B875, PLANTA_BASE!A:W, 5, FALSE), "NO ENCONTRADO EN PLANTA"))</f>
        <v>REGIONAL BOGOTA</v>
      </c>
      <c r="E875" s="5" t="str">
        <f>IF(B875="","",IFERROR(VLOOKUP(B875, PLANTA_BASE!A:W, 6, FALSE), "NO ENCONTRADO EN PLANTA"))</f>
        <v>BOGOTA CENTRO</v>
      </c>
      <c r="F875" s="7" t="str">
        <f>IF(B875="","",IFERROR(VLOOKUP(B875, PLANTA_BASE!A:W, 8, FALSE), "DOCENTE / FACILITADOR"))</f>
        <v>DOCENTE ASIS/N/TC/INVESTIGA/INVESTIGACIO</v>
      </c>
      <c r="G875" s="7" t="str">
        <f>IF(B875="","",IFERROR(VLOOKUP(B875, PLANTA_BASE!A:W, 9, FALSE), "GENERAL"))</f>
        <v>INVESTIGACIONES</v>
      </c>
      <c r="H875" s="5" t="str">
        <f>IF(B875="","",IFERROR(VLOOKUP(B875, PLANTA_BASE!A:W, 17, FALSE), "GENERAL"))</f>
        <v>INVESTIGACIONES</v>
      </c>
    </row>
    <row r="876" spans="1:8" ht="20.100000000000001" customHeight="1" x14ac:dyDescent="0.25">
      <c r="A876" s="2" t="str">
        <f>IF(B876="","",IFERROR(VLOOKUP(B876, PLANTA_BASE!A:W, 2, FALSE), "NO ENCONTRADO EN PLANTA"))</f>
        <v>PRESENCIAL</v>
      </c>
      <c r="B876" s="3" t="s">
        <v>1756</v>
      </c>
      <c r="C876" s="4" t="s">
        <v>1757</v>
      </c>
      <c r="D876" s="2" t="str">
        <f>IF(B876="","",IFERROR(VLOOKUP(B876, PLANTA_BASE!A:W, 5, FALSE), "NO ENCONTRADO EN PLANTA"))</f>
        <v>REGIONAL BOGOTA</v>
      </c>
      <c r="E876" s="2" t="str">
        <f>IF(B876="","",IFERROR(VLOOKUP(B876, PLANTA_BASE!A:W, 6, FALSE), "NO ENCONTRADO EN PLANTA"))</f>
        <v>BOGOTA CENTRO</v>
      </c>
      <c r="F876" s="4" t="str">
        <f>IF(B876="","",IFERROR(VLOOKUP(B876, PLANTA_BASE!A:W, 8, FALSE), "DOCENTE / FACILITADOR"))</f>
        <v>DOCENTE ASOC/N/TC/DERECHO/FUN.ACADE-ADMIN</v>
      </c>
      <c r="G876" s="4" t="str">
        <f>IF(B876="","",IFERROR(VLOOKUP(B876, PLANTA_BASE!A:W, 9, FALSE), "GENERAL"))</f>
        <v>DERECHO</v>
      </c>
      <c r="H876" s="2" t="str">
        <f>IF(B876="","",IFERROR(VLOOKUP(B876, PLANTA_BASE!A:W, 17, FALSE), "GENERAL"))</f>
        <v>DERECHO</v>
      </c>
    </row>
    <row r="877" spans="1:8" ht="20.100000000000001" customHeight="1" x14ac:dyDescent="0.25">
      <c r="A877" s="5" t="str">
        <f>IF(B877="","",IFERROR(VLOOKUP(B877, PLANTA_BASE!A:W, 2, FALSE), "NO ENCONTRADO EN PLANTA"))</f>
        <v>PRESENCIAL</v>
      </c>
      <c r="B877" s="6" t="s">
        <v>1758</v>
      </c>
      <c r="C877" s="7" t="s">
        <v>1759</v>
      </c>
      <c r="D877" s="5" t="str">
        <f>IF(B877="","",IFERROR(VLOOKUP(B877, PLANTA_BASE!A:W, 5, FALSE), "NO ENCONTRADO EN PLANTA"))</f>
        <v>REGIONAL BOGOTA</v>
      </c>
      <c r="E877" s="5" t="str">
        <f>IF(B877="","",IFERROR(VLOOKUP(B877, PLANTA_BASE!A:W, 6, FALSE), "NO ENCONTRADO EN PLANTA"))</f>
        <v>BOGOTA CENTRO</v>
      </c>
      <c r="F877" s="7" t="str">
        <f>IF(B877="","",IFERROR(VLOOKUP(B877, PLANTA_BASE!A:W, 8, FALSE), "DOCENTE / FACILITADOR"))</f>
        <v>DOCENTE ASIS/N/TC/COM SOC Y PER/FUN.ACADE-ADMIN</v>
      </c>
      <c r="G877" s="7" t="str">
        <f>IF(B877="","",IFERROR(VLOOKUP(B877, PLANTA_BASE!A:W, 9, FALSE), "GENERAL"))</f>
        <v>COMUNICACION SOCIAL Y PERIODISMO</v>
      </c>
      <c r="H877" s="5" t="str">
        <f>IF(B877="","",IFERROR(VLOOKUP(B877, PLANTA_BASE!A:W, 17, FALSE), "GENERAL"))</f>
        <v>COMUNICACION SOCIAL Y PERIODISMO</v>
      </c>
    </row>
    <row r="878" spans="1:8" ht="20.100000000000001" customHeight="1" x14ac:dyDescent="0.25">
      <c r="A878" s="2" t="str">
        <f>IF(B878="","",IFERROR(VLOOKUP(B878, PLANTA_BASE!A:W, 2, FALSE), "NO ENCONTRADO EN PLANTA"))</f>
        <v>VIRTUAL</v>
      </c>
      <c r="B878" s="3" t="s">
        <v>1760</v>
      </c>
      <c r="C878" s="4" t="s">
        <v>1761</v>
      </c>
      <c r="D878" s="2" t="str">
        <f>IF(B878="","",IFERROR(VLOOKUP(B878, PLANTA_BASE!A:W, 5, FALSE), "NO ENCONTRADO EN PLANTA"))</f>
        <v>REGIONAL BOGOTA</v>
      </c>
      <c r="E878" s="2" t="str">
        <f>IF(B878="","",IFERROR(VLOOKUP(B878, PLANTA_BASE!A:W, 6, FALSE), "NO ENCONTRADO EN PLANTA"))</f>
        <v>BOGOTA CENTRO</v>
      </c>
      <c r="F878" s="4" t="str">
        <f>IF(B878="","",IFERROR(VLOOKUP(B878, PLANTA_BASE!A:W, 8, FALSE), "DOCENTE / FACILITADOR"))</f>
        <v>DOC ASIS/N/V/TC/ESP PAZ Y DESARR/FUN.ACADE-ADMIN</v>
      </c>
      <c r="G878" s="4" t="str">
        <f>IF(B878="","",IFERROR(VLOOKUP(B878, PLANTA_BASE!A:W, 9, FALSE), "GENERAL"))</f>
        <v>ESPECIALIZACION DE PAZ Y DESARROLLO</v>
      </c>
      <c r="H878" s="2" t="str">
        <f>IF(B878="","",IFERROR(VLOOKUP(B878, PLANTA_BASE!A:W, 17, FALSE), "GENERAL"))</f>
        <v>ESPECIALIZACION DE PAZ Y DESARROLLO</v>
      </c>
    </row>
    <row r="879" spans="1:8" ht="20.100000000000001" customHeight="1" x14ac:dyDescent="0.25">
      <c r="A879" s="5" t="str">
        <f>IF(B879="","",IFERROR(VLOOKUP(B879, PLANTA_BASE!A:W, 2, FALSE), "NO ENCONTRADO EN PLANTA"))</f>
        <v>VIRTUAL</v>
      </c>
      <c r="B879" s="6" t="s">
        <v>1762</v>
      </c>
      <c r="C879" s="7" t="s">
        <v>1763</v>
      </c>
      <c r="D879" s="5" t="str">
        <f>IF(B879="","",IFERROR(VLOOKUP(B879, PLANTA_BASE!A:W, 5, FALSE), "NO ENCONTRADO EN PLANTA"))</f>
        <v>REGIONAL BOGOTA</v>
      </c>
      <c r="E879" s="5" t="str">
        <f>IF(B879="","",IFERROR(VLOOKUP(B879, PLANTA_BASE!A:W, 6, FALSE), "NO ENCONTRADO EN PLANTA"))</f>
        <v>BOGOTA CENTRO</v>
      </c>
      <c r="F879" s="7" t="str">
        <f>IF(B879="","",IFERROR(VLOOKUP(B879, PLANTA_BASE!A:W, 8, FALSE), "DOCENTE / FACILITADOR"))</f>
        <v>DOC ASIS/N/V/TC/ESP CONTRA ESTATAL/FUN.A</v>
      </c>
      <c r="G879" s="7" t="str">
        <f>IF(B879="","",IFERROR(VLOOKUP(B879, PLANTA_BASE!A:W, 9, FALSE), "GENERAL"))</f>
        <v>ESPECIALIZACION DE CONTRATACION ESTATAL</v>
      </c>
      <c r="H879" s="5" t="str">
        <f>IF(B879="","",IFERROR(VLOOKUP(B879, PLANTA_BASE!A:W, 17, FALSE), "GENERAL"))</f>
        <v>ESPECIALIZACION DE CONTRATACION ESTATAL</v>
      </c>
    </row>
    <row r="880" spans="1:8" ht="20.100000000000001" customHeight="1" x14ac:dyDescent="0.25">
      <c r="A880" s="2" t="str">
        <f>IF(B880="","",IFERROR(VLOOKUP(B880, PLANTA_BASE!A:W, 2, FALSE), "NO ENCONTRADO EN PLANTA"))</f>
        <v>VIRTUAL</v>
      </c>
      <c r="B880" s="3" t="s">
        <v>1764</v>
      </c>
      <c r="C880" s="4" t="s">
        <v>1765</v>
      </c>
      <c r="D880" s="2" t="str">
        <f>IF(B880="","",IFERROR(VLOOKUP(B880, PLANTA_BASE!A:W, 5, FALSE), "NO ENCONTRADO EN PLANTA"))</f>
        <v>REGIONAL BOGOTA</v>
      </c>
      <c r="E880" s="2" t="str">
        <f>IF(B880="","",IFERROR(VLOOKUP(B880, PLANTA_BASE!A:W, 6, FALSE), "NO ENCONTRADO EN PLANTA"))</f>
        <v>BOGOTA CENTRO</v>
      </c>
      <c r="F880" s="4" t="str">
        <f>IF(B880="","",IFERROR(VLOOKUP(B880, PLANTA_BASE!A:W, 8, FALSE), "DOCENTE / FACILITADOR"))</f>
        <v>DOC ASIS/N/V/TC/ING INDUS/FUN.ACADE-ADMIN</v>
      </c>
      <c r="G880" s="4" t="str">
        <f>IF(B880="","",IFERROR(VLOOKUP(B880, PLANTA_BASE!A:W, 9, FALSE), "GENERAL"))</f>
        <v>INGENIERIA INDUSTRIAL</v>
      </c>
      <c r="H880" s="2" t="str">
        <f>IF(B880="","",IFERROR(VLOOKUP(B880, PLANTA_BASE!A:W, 17, FALSE), "GENERAL"))</f>
        <v>INGENIERIA INDUSTRIAL</v>
      </c>
    </row>
    <row r="881" spans="1:8" ht="20.100000000000001" customHeight="1" x14ac:dyDescent="0.25">
      <c r="A881" s="5" t="str">
        <f>IF(B881="","",IFERROR(VLOOKUP(B881, PLANTA_BASE!A:W, 2, FALSE), "NO ENCONTRADO EN PLANTA"))</f>
        <v>VIRTUAL</v>
      </c>
      <c r="B881" s="6" t="s">
        <v>1766</v>
      </c>
      <c r="C881" s="7" t="s">
        <v>1767</v>
      </c>
      <c r="D881" s="5" t="str">
        <f>IF(B881="","",IFERROR(VLOOKUP(B881, PLANTA_BASE!A:W, 5, FALSE), "NO ENCONTRADO EN PLANTA"))</f>
        <v>REGIONAL BOGOTA</v>
      </c>
      <c r="E881" s="5" t="str">
        <f>IF(B881="","",IFERROR(VLOOKUP(B881, PLANTA_BASE!A:W, 6, FALSE), "NO ENCONTRADO EN PLANTA"))</f>
        <v>BOGOTA CENTRO</v>
      </c>
      <c r="F881" s="7" t="str">
        <f>IF(B881="","",IFERROR(VLOOKUP(B881, PLANTA_BASE!A:W, 8, FALSE), "DOCENTE / FACILITADOR"))</f>
        <v>DOC ASIS/N/V/TC/SOCIOHUMANISTI/FUN.ACADE-ADMIN</v>
      </c>
      <c r="G881" s="7" t="str">
        <f>IF(B881="","",IFERROR(VLOOKUP(B881, PLANTA_BASE!A:W, 9, FALSE), "GENERAL"))</f>
        <v>SOCIOHUMANISTICA</v>
      </c>
      <c r="H881" s="5" t="str">
        <f>IF(B881="","",IFERROR(VLOOKUP(B881, PLANTA_BASE!A:W, 17, FALSE), "GENERAL"))</f>
        <v>SOCIOHUMANISTICA</v>
      </c>
    </row>
    <row r="882" spans="1:8" ht="20.100000000000001" customHeight="1" x14ac:dyDescent="0.25">
      <c r="A882" s="2" t="str">
        <f>IF(B882="","",IFERROR(VLOOKUP(B882, PLANTA_BASE!A:W, 2, FALSE), "NO ENCONTRADO EN PLANTA"))</f>
        <v>PRESENCIAL</v>
      </c>
      <c r="B882" s="3" t="s">
        <v>1768</v>
      </c>
      <c r="C882" s="4" t="s">
        <v>1769</v>
      </c>
      <c r="D882" s="2" t="str">
        <f>IF(B882="","",IFERROR(VLOOKUP(B882, PLANTA_BASE!A:W, 5, FALSE), "NO ENCONTRADO EN PLANTA"))</f>
        <v>REGIONAL BOGOTA</v>
      </c>
      <c r="E882" s="2" t="str">
        <f>IF(B882="","",IFERROR(VLOOKUP(B882, PLANTA_BASE!A:W, 6, FALSE), "NO ENCONTRADO EN PLANTA"))</f>
        <v>BOGOTA CENTRO</v>
      </c>
      <c r="F882" s="4" t="str">
        <f>IF(B882="","",IFERROR(VLOOKUP(B882, PLANTA_BASE!A:W, 8, FALSE), "DOCENTE / FACILITADOR"))</f>
        <v>DOC AUX T&amp;T/N/TC/EMPRENDIMIE/FUN.ACADE-ADMIN</v>
      </c>
      <c r="G882" s="4" t="str">
        <f>IF(B882="","",IFERROR(VLOOKUP(B882, PLANTA_BASE!A:W, 9, FALSE), "GENERAL"))</f>
        <v>EMPRENDIMIENTO</v>
      </c>
      <c r="H882" s="2" t="str">
        <f>IF(B882="","",IFERROR(VLOOKUP(B882, PLANTA_BASE!A:W, 17, FALSE), "GENERAL"))</f>
        <v>EMPRENDIMIENTO</v>
      </c>
    </row>
    <row r="883" spans="1:8" ht="20.100000000000001" customHeight="1" x14ac:dyDescent="0.25">
      <c r="A883" s="5" t="str">
        <f>IF(B883="","",IFERROR(VLOOKUP(B883, PLANTA_BASE!A:W, 2, FALSE), "NO ENCONTRADO EN PLANTA"))</f>
        <v>PRESENCIAL</v>
      </c>
      <c r="B883" s="6" t="s">
        <v>1770</v>
      </c>
      <c r="C883" s="7" t="s">
        <v>1771</v>
      </c>
      <c r="D883" s="5" t="str">
        <f>IF(B883="","",IFERROR(VLOOKUP(B883, PLANTA_BASE!A:W, 5, FALSE), "NO ENCONTRADO EN PLANTA"))</f>
        <v>REGIONAL BOGOTA</v>
      </c>
      <c r="E883" s="5" t="str">
        <f>IF(B883="","",IFERROR(VLOOKUP(B883, PLANTA_BASE!A:W, 6, FALSE), "NO ENCONTRADO EN PLANTA"))</f>
        <v>BOGOTA CENTRO</v>
      </c>
      <c r="F883" s="7" t="str">
        <f>IF(B883="","",IFERROR(VLOOKUP(B883, PLANTA_BASE!A:W, 8, FALSE), "DOCENTE / FACILITADOR"))</f>
        <v>DOC AUX T&amp;T/N/MT/CIEN BASI</v>
      </c>
      <c r="G883" s="7" t="str">
        <f>IF(B883="","",IFERROR(VLOOKUP(B883, PLANTA_BASE!A:W, 9, FALSE), "GENERAL"))</f>
        <v>CIENCIAS BASICAS</v>
      </c>
      <c r="H883" s="5" t="str">
        <f>IF(B883="","",IFERROR(VLOOKUP(B883, PLANTA_BASE!A:W, 17, FALSE), "GENERAL"))</f>
        <v>CIENCIAS BASICAS</v>
      </c>
    </row>
    <row r="884" spans="1:8" ht="20.100000000000001" customHeight="1" x14ac:dyDescent="0.25">
      <c r="A884" s="2" t="str">
        <f>IF(B884="","",IFERROR(VLOOKUP(B884, PLANTA_BASE!A:W, 2, FALSE), "NO ENCONTRADO EN PLANTA"))</f>
        <v>PRESENCIAL</v>
      </c>
      <c r="B884" s="3" t="s">
        <v>1772</v>
      </c>
      <c r="C884" s="4" t="s">
        <v>1773</v>
      </c>
      <c r="D884" s="2" t="str">
        <f>IF(B884="","",IFERROR(VLOOKUP(B884, PLANTA_BASE!A:W, 5, FALSE), "NO ENCONTRADO EN PLANTA"))</f>
        <v>REGIONAL BOGOTA</v>
      </c>
      <c r="E884" s="2" t="str">
        <f>IF(B884="","",IFERROR(VLOOKUP(B884, PLANTA_BASE!A:W, 6, FALSE), "NO ENCONTRADO EN PLANTA"))</f>
        <v>BOGOTA CENTRO</v>
      </c>
      <c r="F884" s="4" t="str">
        <f>IF(B884="","",IFERROR(VLOOKUP(B884, PLANTA_BASE!A:W, 8, FALSE), "DOCENTE / FACILITADOR"))</f>
        <v>DOC AUX T&amp;T/N/MT/CIEN BASI</v>
      </c>
      <c r="G884" s="4" t="str">
        <f>IF(B884="","",IFERROR(VLOOKUP(B884, PLANTA_BASE!A:W, 9, FALSE), "GENERAL"))</f>
        <v>CIENCIAS BASICAS</v>
      </c>
      <c r="H884" s="2" t="str">
        <f>IF(B884="","",IFERROR(VLOOKUP(B884, PLANTA_BASE!A:W, 17, FALSE), "GENERAL"))</f>
        <v>CIENCIAS BASICAS</v>
      </c>
    </row>
    <row r="885" spans="1:8" ht="20.100000000000001" customHeight="1" x14ac:dyDescent="0.25">
      <c r="A885" s="5" t="str">
        <f>IF(B885="","",IFERROR(VLOOKUP(B885, PLANTA_BASE!A:W, 2, FALSE), "NO ENCONTRADO EN PLANTA"))</f>
        <v>PRESENCIAL</v>
      </c>
      <c r="B885" s="6" t="s">
        <v>1774</v>
      </c>
      <c r="C885" s="7" t="s">
        <v>1775</v>
      </c>
      <c r="D885" s="5" t="str">
        <f>IF(B885="","",IFERROR(VLOOKUP(B885, PLANTA_BASE!A:W, 5, FALSE), "NO ENCONTRADO EN PLANTA"))</f>
        <v>REGIONAL BOGOTA</v>
      </c>
      <c r="E885" s="5" t="str">
        <f>IF(B885="","",IFERROR(VLOOKUP(B885, PLANTA_BASE!A:W, 6, FALSE), "NO ENCONTRADO EN PLANTA"))</f>
        <v>BOGOTA CENTRO</v>
      </c>
      <c r="F885" s="7" t="str">
        <f>IF(B885="","",IFERROR(VLOOKUP(B885, PLANTA_BASE!A:W, 8, FALSE), "DOCENTE / FACILITADOR"))</f>
        <v>DOCENTE ASESOR EN DERECHO LABORAL</v>
      </c>
      <c r="G885" s="7" t="str">
        <f>IF(B885="","",IFERROR(VLOOKUP(B885, PLANTA_BASE!A:W, 9, FALSE), "GENERAL"))</f>
        <v>DERECHO</v>
      </c>
      <c r="H885" s="5" t="str">
        <f>IF(B885="","",IFERROR(VLOOKUP(B885, PLANTA_BASE!A:W, 17, FALSE), "GENERAL"))</f>
        <v>DERECHO</v>
      </c>
    </row>
    <row r="886" spans="1:8" ht="20.100000000000001" customHeight="1" x14ac:dyDescent="0.25">
      <c r="A886" s="2" t="str">
        <f>IF(B886="","",IFERROR(VLOOKUP(B886, PLANTA_BASE!A:W, 2, FALSE), "NO ENCONTRADO EN PLANTA"))</f>
        <v>PRESENCIAL</v>
      </c>
      <c r="B886" s="3" t="s">
        <v>1776</v>
      </c>
      <c r="C886" s="4" t="s">
        <v>1777</v>
      </c>
      <c r="D886" s="2" t="str">
        <f>IF(B886="","",IFERROR(VLOOKUP(B886, PLANTA_BASE!A:W, 5, FALSE), "NO ENCONTRADO EN PLANTA"))</f>
        <v>REGIONAL BOGOTA</v>
      </c>
      <c r="E886" s="2" t="str">
        <f>IF(B886="","",IFERROR(VLOOKUP(B886, PLANTA_BASE!A:W, 6, FALSE), "NO ENCONTRADO EN PLANTA"))</f>
        <v>BOGOTA NORTE</v>
      </c>
      <c r="F886" s="4" t="str">
        <f>IF(B886="","",IFERROR(VLOOKUP(B886, PLANTA_BASE!A:W, 8, FALSE), "DOCENTE / FACILITADOR"))</f>
        <v>DOCENTE TITU/N/TC/INVESTIGA/INVESTIGACIO</v>
      </c>
      <c r="G886" s="4" t="str">
        <f>IF(B886="","",IFERROR(VLOOKUP(B886, PLANTA_BASE!A:W, 9, FALSE), "GENERAL"))</f>
        <v>INVESTIGACIONES</v>
      </c>
      <c r="H886" s="2" t="str">
        <f>IF(B886="","",IFERROR(VLOOKUP(B886, PLANTA_BASE!A:W, 17, FALSE), "GENERAL"))</f>
        <v>INVESTIGACIONES</v>
      </c>
    </row>
    <row r="887" spans="1:8" ht="20.100000000000001" customHeight="1" x14ac:dyDescent="0.25">
      <c r="A887" s="5" t="str">
        <f>IF(B887="","",IFERROR(VLOOKUP(B887, PLANTA_BASE!A:W, 2, FALSE), "NO ENCONTRADO EN PLANTA"))</f>
        <v>PRESENCIAL</v>
      </c>
      <c r="B887" s="6" t="s">
        <v>1778</v>
      </c>
      <c r="C887" s="7" t="s">
        <v>1779</v>
      </c>
      <c r="D887" s="5" t="str">
        <f>IF(B887="","",IFERROR(VLOOKUP(B887, PLANTA_BASE!A:W, 5, FALSE), "NO ENCONTRADO EN PLANTA"))</f>
        <v>REGIONAL BOGOTA</v>
      </c>
      <c r="E887" s="5" t="str">
        <f>IF(B887="","",IFERROR(VLOOKUP(B887, PLANTA_BASE!A:W, 6, FALSE), "NO ENCONTRADO EN PLANTA"))</f>
        <v>BOGOTA CENTRO</v>
      </c>
      <c r="F887" s="7" t="str">
        <f>IF(B887="","",IFERROR(VLOOKUP(B887, PLANTA_BASE!A:W, 8, FALSE), "DOCENTE / FACILITADOR"))</f>
        <v>DOCENTE ASOC/N/TC/INVESTIGACIONES/INVEST</v>
      </c>
      <c r="G887" s="7" t="str">
        <f>IF(B887="","",IFERROR(VLOOKUP(B887, PLANTA_BASE!A:W, 9, FALSE), "GENERAL"))</f>
        <v>INVESTIGACIONES</v>
      </c>
      <c r="H887" s="5" t="str">
        <f>IF(B887="","",IFERROR(VLOOKUP(B887, PLANTA_BASE!A:W, 17, FALSE), "GENERAL"))</f>
        <v>INVESTIGACIONES</v>
      </c>
    </row>
    <row r="888" spans="1:8" ht="20.100000000000001" customHeight="1" x14ac:dyDescent="0.25">
      <c r="A888" s="2" t="str">
        <f>IF(B888="","",IFERROR(VLOOKUP(B888, PLANTA_BASE!A:W, 2, FALSE), "NO ENCONTRADO EN PLANTA"))</f>
        <v>PRESENCIAL</v>
      </c>
      <c r="B888" s="3" t="s">
        <v>1780</v>
      </c>
      <c r="C888" s="4" t="s">
        <v>1781</v>
      </c>
      <c r="D888" s="2" t="str">
        <f>IF(B888="","",IFERROR(VLOOKUP(B888, PLANTA_BASE!A:W, 5, FALSE), "NO ENCONTRADO EN PLANTA"))</f>
        <v>REGIONAL BOGOTA</v>
      </c>
      <c r="E888" s="2" t="str">
        <f>IF(B888="","",IFERROR(VLOOKUP(B888, PLANTA_BASE!A:W, 6, FALSE), "NO ENCONTRADO EN PLANTA"))</f>
        <v>BOGOTA CENTRO</v>
      </c>
      <c r="F888" s="4" t="str">
        <f>IF(B888="","",IFERROR(VLOOKUP(B888, PLANTA_BASE!A:W, 8, FALSE), "DOCENTE / FACILITADOR"))</f>
        <v>DOC AUX T&amp;T/N/TC/DIS GRAFICO/FUN.ACADE-ADMIN</v>
      </c>
      <c r="G888" s="4" t="str">
        <f>IF(B888="","",IFERROR(VLOOKUP(B888, PLANTA_BASE!A:W, 9, FALSE), "GENERAL"))</f>
        <v>DISEÑO GRAFICO</v>
      </c>
      <c r="H888" s="2" t="str">
        <f>IF(B888="","",IFERROR(VLOOKUP(B888, PLANTA_BASE!A:W, 17, FALSE), "GENERAL"))</f>
        <v>DISEÑO GRAFICO</v>
      </c>
    </row>
    <row r="889" spans="1:8" ht="20.100000000000001" customHeight="1" x14ac:dyDescent="0.25">
      <c r="A889" s="5" t="str">
        <f>IF(B889="","",IFERROR(VLOOKUP(B889, PLANTA_BASE!A:W, 2, FALSE), "NO ENCONTRADO EN PLANTA"))</f>
        <v>PRESENCIAL</v>
      </c>
      <c r="B889" s="6" t="s">
        <v>1782</v>
      </c>
      <c r="C889" s="7" t="s">
        <v>1783</v>
      </c>
      <c r="D889" s="5" t="str">
        <f>IF(B889="","",IFERROR(VLOOKUP(B889, PLANTA_BASE!A:W, 5, FALSE), "NO ENCONTRADO EN PLANTA"))</f>
        <v>REGIONAL BOGOTA</v>
      </c>
      <c r="E889" s="5" t="str">
        <f>IF(B889="","",IFERROR(VLOOKUP(B889, PLANTA_BASE!A:W, 6, FALSE), "NO ENCONTRADO EN PLANTA"))</f>
        <v>BOGOTA CENTRO</v>
      </c>
      <c r="F889" s="7" t="str">
        <f>IF(B889="","",IFERROR(VLOOKUP(B889, PLANTA_BASE!A:W, 8, FALSE), "DOCENTE / FACILITADOR"))</f>
        <v>DOCENTE ASIS/N/TC/ADM EMP/FUN.ACADE-ADMIN</v>
      </c>
      <c r="G889" s="7" t="str">
        <f>IF(B889="","",IFERROR(VLOOKUP(B889, PLANTA_BASE!A:W, 9, FALSE), "GENERAL"))</f>
        <v>ADMINISTRACION DE EMPRESAS</v>
      </c>
      <c r="H889" s="5" t="str">
        <f>IF(B889="","",IFERROR(VLOOKUP(B889, PLANTA_BASE!A:W, 17, FALSE), "GENERAL"))</f>
        <v>ADMINISTRACION DE EMPRESAS</v>
      </c>
    </row>
    <row r="890" spans="1:8" ht="20.100000000000001" customHeight="1" x14ac:dyDescent="0.25">
      <c r="A890" s="2" t="str">
        <f>IF(B890="","",IFERROR(VLOOKUP(B890, PLANTA_BASE!A:W, 2, FALSE), "NO ENCONTRADO EN PLANTA"))</f>
        <v>PRESENCIAL</v>
      </c>
      <c r="B890" s="3" t="s">
        <v>1784</v>
      </c>
      <c r="C890" s="4" t="s">
        <v>1785</v>
      </c>
      <c r="D890" s="2" t="str">
        <f>IF(B890="","",IFERROR(VLOOKUP(B890, PLANTA_BASE!A:W, 5, FALSE), "NO ENCONTRADO EN PLANTA"))</f>
        <v>REGIONAL BOGOTA</v>
      </c>
      <c r="E890" s="2" t="str">
        <f>IF(B890="","",IFERROR(VLOOKUP(B890, PLANTA_BASE!A:W, 6, FALSE), "NO ENCONTRADO EN PLANTA"))</f>
        <v>BOGOTA CENTRO</v>
      </c>
      <c r="F890" s="4" t="str">
        <f>IF(B890="","",IFERROR(VLOOKUP(B890, PLANTA_BASE!A:W, 8, FALSE), "DOCENTE / FACILITADOR"))</f>
        <v>DOCENTE AUX/N/MT-ADM EM</v>
      </c>
      <c r="G890" s="4" t="str">
        <f>IF(B890="","",IFERROR(VLOOKUP(B890, PLANTA_BASE!A:W, 9, FALSE), "GENERAL"))</f>
        <v>ADMINISTRACION DE EMPRESAS</v>
      </c>
      <c r="H890" s="2" t="str">
        <f>IF(B890="","",IFERROR(VLOOKUP(B890, PLANTA_BASE!A:W, 17, FALSE), "GENERAL"))</f>
        <v>ADMINISTRACION DE EMPRESAS</v>
      </c>
    </row>
    <row r="891" spans="1:8" ht="20.100000000000001" customHeight="1" x14ac:dyDescent="0.25">
      <c r="A891" s="5" t="str">
        <f>IF(B891="","",IFERROR(VLOOKUP(B891, PLANTA_BASE!A:W, 2, FALSE), "NO ENCONTRADO EN PLANTA"))</f>
        <v>PRESENCIAL</v>
      </c>
      <c r="B891" s="6" t="s">
        <v>1786</v>
      </c>
      <c r="C891" s="7" t="s">
        <v>1787</v>
      </c>
      <c r="D891" s="5" t="str">
        <f>IF(B891="","",IFERROR(VLOOKUP(B891, PLANTA_BASE!A:W, 5, FALSE), "NO ENCONTRADO EN PLANTA"))</f>
        <v>REGIONAL BOGOTA</v>
      </c>
      <c r="E891" s="5" t="str">
        <f>IF(B891="","",IFERROR(VLOOKUP(B891, PLANTA_BASE!A:W, 6, FALSE), "NO ENCONTRADO EN PLANTA"))</f>
        <v>BOGOTA CENTRO</v>
      </c>
      <c r="F891" s="7" t="str">
        <f>IF(B891="","",IFERROR(VLOOKUP(B891, PLANTA_BASE!A:W, 8, FALSE), "DOCENTE / FACILITADOR"))</f>
        <v>DOC AUX T&amp;T/N/MT/ADM EM</v>
      </c>
      <c r="G891" s="7" t="str">
        <f>IF(B891="","",IFERROR(VLOOKUP(B891, PLANTA_BASE!A:W, 9, FALSE), "GENERAL"))</f>
        <v>ADMINISTRACION DE EMPRESAS</v>
      </c>
      <c r="H891" s="5" t="str">
        <f>IF(B891="","",IFERROR(VLOOKUP(B891, PLANTA_BASE!A:W, 17, FALSE), "GENERAL"))</f>
        <v>ADMINISTRACION DE EMPRESAS</v>
      </c>
    </row>
    <row r="892" spans="1:8" ht="20.100000000000001" customHeight="1" x14ac:dyDescent="0.25">
      <c r="A892" s="2" t="str">
        <f>IF(B892="","",IFERROR(VLOOKUP(B892, PLANTA_BASE!A:W, 2, FALSE), "NO ENCONTRADO EN PLANTA"))</f>
        <v>PRESENCIAL</v>
      </c>
      <c r="B892" s="3" t="s">
        <v>1788</v>
      </c>
      <c r="C892" s="4" t="s">
        <v>1789</v>
      </c>
      <c r="D892" s="2" t="str">
        <f>IF(B892="","",IFERROR(VLOOKUP(B892, PLANTA_BASE!A:W, 5, FALSE), "NO ENCONTRADO EN PLANTA"))</f>
        <v>REGIONAL BOGOTA</v>
      </c>
      <c r="E892" s="2" t="str">
        <f>IF(B892="","",IFERROR(VLOOKUP(B892, PLANTA_BASE!A:W, 6, FALSE), "NO ENCONTRADO EN PLANTA"))</f>
        <v>BOGOTA CENTRO</v>
      </c>
      <c r="F892" s="4" t="str">
        <f>IF(B892="","",IFERROR(VLOOKUP(B892, PLANTA_BASE!A:W, 8, FALSE), "DOCENTE / FACILITADOR"))</f>
        <v>DOCENTE AUX/N/TC/INVESTIGA/INVESTIGACION</v>
      </c>
      <c r="G892" s="4" t="str">
        <f>IF(B892="","",IFERROR(VLOOKUP(B892, PLANTA_BASE!A:W, 9, FALSE), "GENERAL"))</f>
        <v>INVESTIGACIONES</v>
      </c>
      <c r="H892" s="2" t="str">
        <f>IF(B892="","",IFERROR(VLOOKUP(B892, PLANTA_BASE!A:W, 17, FALSE), "GENERAL"))</f>
        <v>INVESTIGACIONES</v>
      </c>
    </row>
    <row r="893" spans="1:8" ht="20.100000000000001" customHeight="1" x14ac:dyDescent="0.25">
      <c r="A893" s="5" t="str">
        <f>IF(B893="","",IFERROR(VLOOKUP(B893, PLANTA_BASE!A:W, 2, FALSE), "NO ENCONTRADO EN PLANTA"))</f>
        <v>PRESENCIAL</v>
      </c>
      <c r="B893" s="6" t="s">
        <v>1790</v>
      </c>
      <c r="C893" s="7" t="s">
        <v>1791</v>
      </c>
      <c r="D893" s="5" t="str">
        <f>IF(B893="","",IFERROR(VLOOKUP(B893, PLANTA_BASE!A:W, 5, FALSE), "NO ENCONTRADO EN PLANTA"))</f>
        <v>REGIONAL BOGOTA</v>
      </c>
      <c r="E893" s="5" t="str">
        <f>IF(B893="","",IFERROR(VLOOKUP(B893, PLANTA_BASE!A:W, 6, FALSE), "NO ENCONTRADO EN PLANTA"))</f>
        <v>BOGOTA CENTRO</v>
      </c>
      <c r="F893" s="7" t="str">
        <f>IF(B893="","",IFERROR(VLOOKUP(B893, PLANTA_BASE!A:W, 8, FALSE), "DOCENTE / FACILITADOR"))</f>
        <v>DOCENTE ASOC/N/TC/DIS GRAFICO/FUN.ACADE-ADMIN</v>
      </c>
      <c r="G893" s="7" t="str">
        <f>IF(B893="","",IFERROR(VLOOKUP(B893, PLANTA_BASE!A:W, 9, FALSE), "GENERAL"))</f>
        <v>DISEÑO GRAFICO</v>
      </c>
      <c r="H893" s="5" t="str">
        <f>IF(B893="","",IFERROR(VLOOKUP(B893, PLANTA_BASE!A:W, 17, FALSE), "GENERAL"))</f>
        <v>DISEÑO GRAFICO</v>
      </c>
    </row>
    <row r="894" spans="1:8" ht="20.100000000000001" customHeight="1" x14ac:dyDescent="0.25">
      <c r="A894" s="2" t="str">
        <f>IF(B894="","",IFERROR(VLOOKUP(B894, PLANTA_BASE!A:W, 2, FALSE), "NO ENCONTRADO EN PLANTA"))</f>
        <v>PRESENCIAL</v>
      </c>
      <c r="B894" s="3" t="s">
        <v>1792</v>
      </c>
      <c r="C894" s="4" t="s">
        <v>1793</v>
      </c>
      <c r="D894" s="2" t="str">
        <f>IF(B894="","",IFERROR(VLOOKUP(B894, PLANTA_BASE!A:W, 5, FALSE), "NO ENCONTRADO EN PLANTA"))</f>
        <v>REGIONAL BOGOTA</v>
      </c>
      <c r="E894" s="2" t="str">
        <f>IF(B894="","",IFERROR(VLOOKUP(B894, PLANTA_BASE!A:W, 6, FALSE), "NO ENCONTRADO EN PLANTA"))</f>
        <v>BOGOTA CENTRO</v>
      </c>
      <c r="F894" s="4" t="str">
        <f>IF(B894="","",IFERROR(VLOOKUP(B894, PLANTA_BASE!A:W, 8, FALSE), "DOCENTE / FACILITADOR"))</f>
        <v>DOCENTE AUX/N/MT/CIEN BASI</v>
      </c>
      <c r="G894" s="4" t="str">
        <f>IF(B894="","",IFERROR(VLOOKUP(B894, PLANTA_BASE!A:W, 9, FALSE), "GENERAL"))</f>
        <v>CIENCIAS BASICAS</v>
      </c>
      <c r="H894" s="2" t="str">
        <f>IF(B894="","",IFERROR(VLOOKUP(B894, PLANTA_BASE!A:W, 17, FALSE), "GENERAL"))</f>
        <v>CIENCIAS BASICAS</v>
      </c>
    </row>
    <row r="895" spans="1:8" ht="20.100000000000001" customHeight="1" x14ac:dyDescent="0.25">
      <c r="A895" s="5" t="str">
        <f>IF(B895="","",IFERROR(VLOOKUP(B895, PLANTA_BASE!A:W, 2, FALSE), "NO ENCONTRADO EN PLANTA"))</f>
        <v>VIRTUAL</v>
      </c>
      <c r="B895" s="6" t="s">
        <v>1794</v>
      </c>
      <c r="C895" s="7" t="s">
        <v>1795</v>
      </c>
      <c r="D895" s="5" t="str">
        <f>IF(B895="","",IFERROR(VLOOKUP(B895, PLANTA_BASE!A:W, 5, FALSE), "NO ENCONTRADO EN PLANTA"))</f>
        <v>REGIONAL BOGOTA</v>
      </c>
      <c r="E895" s="5" t="str">
        <f>IF(B895="","",IFERROR(VLOOKUP(B895, PLANTA_BASE!A:W, 6, FALSE), "NO ENCONTRADO EN PLANTA"))</f>
        <v>BOGOTA CENTRO</v>
      </c>
      <c r="F895" s="7" t="str">
        <f>IF(B895="","",IFERROR(VLOOKUP(B895, PLANTA_BASE!A:W, 8, FALSE), "DOCENTE / FACILITADOR"))</f>
        <v>DOC TITU/N/V/TC/INVESTIGACIONES/INVESTIG</v>
      </c>
      <c r="G895" s="7" t="str">
        <f>IF(B895="","",IFERROR(VLOOKUP(B895, PLANTA_BASE!A:W, 9, FALSE), "GENERAL"))</f>
        <v>INVESTIGACIONES</v>
      </c>
      <c r="H895" s="5" t="str">
        <f>IF(B895="","",IFERROR(VLOOKUP(B895, PLANTA_BASE!A:W, 17, FALSE), "GENERAL"))</f>
        <v>INVESTIGACIONES</v>
      </c>
    </row>
    <row r="896" spans="1:8" ht="20.100000000000001" customHeight="1" x14ac:dyDescent="0.25">
      <c r="A896" s="2" t="str">
        <f>IF(B896="","",IFERROR(VLOOKUP(B896, PLANTA_BASE!A:W, 2, FALSE), "NO ENCONTRADO EN PLANTA"))</f>
        <v>PRESENCIAL</v>
      </c>
      <c r="B896" s="3" t="s">
        <v>1796</v>
      </c>
      <c r="C896" s="4" t="s">
        <v>1797</v>
      </c>
      <c r="D896" s="2" t="str">
        <f>IF(B896="","",IFERROR(VLOOKUP(B896, PLANTA_BASE!A:W, 5, FALSE), "NO ENCONTRADO EN PLANTA"))</f>
        <v>REGIONAL BOGOTA</v>
      </c>
      <c r="E896" s="2" t="str">
        <f>IF(B896="","",IFERROR(VLOOKUP(B896, PLANTA_BASE!A:W, 6, FALSE), "NO ENCONTRADO EN PLANTA"))</f>
        <v>BOGOTA CENTRO</v>
      </c>
      <c r="F896" s="4" t="str">
        <f>IF(B896="","",IFERROR(VLOOKUP(B896, PLANTA_BASE!A:W, 8, FALSE), "DOCENTE / FACILITADOR"))</f>
        <v>DOCENTE AUX/N/TC/INVESTIGA/INVESTIGACION</v>
      </c>
      <c r="G896" s="4" t="str">
        <f>IF(B896="","",IFERROR(VLOOKUP(B896, PLANTA_BASE!A:W, 9, FALSE), "GENERAL"))</f>
        <v>INVESTIGACIONES</v>
      </c>
      <c r="H896" s="2" t="str">
        <f>IF(B896="","",IFERROR(VLOOKUP(B896, PLANTA_BASE!A:W, 17, FALSE), "GENERAL"))</f>
        <v>INVESTIGACIONES</v>
      </c>
    </row>
    <row r="897" spans="1:8" ht="20.100000000000001" customHeight="1" x14ac:dyDescent="0.25">
      <c r="A897" s="5" t="str">
        <f>IF(B897="","",IFERROR(VLOOKUP(B897, PLANTA_BASE!A:W, 2, FALSE), "NO ENCONTRADO EN PLANTA"))</f>
        <v>PRESENCIAL</v>
      </c>
      <c r="B897" s="6" t="s">
        <v>1798</v>
      </c>
      <c r="C897" s="7" t="s">
        <v>1799</v>
      </c>
      <c r="D897" s="5" t="str">
        <f>IF(B897="","",IFERROR(VLOOKUP(B897, PLANTA_BASE!A:W, 5, FALSE), "NO ENCONTRADO EN PLANTA"))</f>
        <v>REGIONAL BOGOTA</v>
      </c>
      <c r="E897" s="5" t="str">
        <f>IF(B897="","",IFERROR(VLOOKUP(B897, PLANTA_BASE!A:W, 6, FALSE), "NO ENCONTRADO EN PLANTA"))</f>
        <v>BOGOTA CENTRO</v>
      </c>
      <c r="F897" s="7" t="str">
        <f>IF(B897="","",IFERROR(VLOOKUP(B897, PLANTA_BASE!A:W, 8, FALSE), "DOCENTE / FACILITADOR"))</f>
        <v>DOCENTE ASIS/N/TC/DIS GRAFICO/FUN.ACADE-ADMIN</v>
      </c>
      <c r="G897" s="7" t="str">
        <f>IF(B897="","",IFERROR(VLOOKUP(B897, PLANTA_BASE!A:W, 9, FALSE), "GENERAL"))</f>
        <v>DISEÑO GRAFICO</v>
      </c>
      <c r="H897" s="5" t="str">
        <f>IF(B897="","",IFERROR(VLOOKUP(B897, PLANTA_BASE!A:W, 17, FALSE), "GENERAL"))</f>
        <v>DISEÑO GRAFICO</v>
      </c>
    </row>
    <row r="898" spans="1:8" ht="20.100000000000001" customHeight="1" x14ac:dyDescent="0.25">
      <c r="A898" s="2" t="str">
        <f>IF(B898="","",IFERROR(VLOOKUP(B898, PLANTA_BASE!A:W, 2, FALSE), "NO ENCONTRADO EN PLANTA"))</f>
        <v>VIRTUAL</v>
      </c>
      <c r="B898" s="3" t="s">
        <v>1800</v>
      </c>
      <c r="C898" s="4" t="s">
        <v>1801</v>
      </c>
      <c r="D898" s="2" t="str">
        <f>IF(B898="","",IFERROR(VLOOKUP(B898, PLANTA_BASE!A:W, 5, FALSE), "NO ENCONTRADO EN PLANTA"))</f>
        <v>REGIONAL BOGOTA</v>
      </c>
      <c r="E898" s="2" t="str">
        <f>IF(B898="","",IFERROR(VLOOKUP(B898, PLANTA_BASE!A:W, 6, FALSE), "NO ENCONTRADO EN PLANTA"))</f>
        <v>BOGOTA CENTRO</v>
      </c>
      <c r="F898" s="4" t="str">
        <f>IF(B898="","",IFERROR(VLOOKUP(B898, PLANTA_BASE!A:W, 8, FALSE), "DOCENTE / FACILITADOR"))</f>
        <v>DOC ASIS/N/V/MT/ESP INTE NEGO</v>
      </c>
      <c r="G898" s="4" t="str">
        <f>IF(B898="","",IFERROR(VLOOKUP(B898, PLANTA_BASE!A:W, 9, FALSE), "GENERAL"))</f>
        <v>ESPECIALIZACION EN INTELIGENCIA DE NEGOCIOS</v>
      </c>
      <c r="H898" s="2" t="str">
        <f>IF(B898="","",IFERROR(VLOOKUP(B898, PLANTA_BASE!A:W, 17, FALSE), "GENERAL"))</f>
        <v>ESPECIALIZACION EN INTELIGENCIA DE NEGOCIOS</v>
      </c>
    </row>
    <row r="899" spans="1:8" ht="20.100000000000001" customHeight="1" x14ac:dyDescent="0.25">
      <c r="A899" s="5" t="str">
        <f>IF(B899="","",IFERROR(VLOOKUP(B899, PLANTA_BASE!A:W, 2, FALSE), "NO ENCONTRADO EN PLANTA"))</f>
        <v>VIRTUAL</v>
      </c>
      <c r="B899" s="6" t="s">
        <v>1802</v>
      </c>
      <c r="C899" s="7" t="s">
        <v>1803</v>
      </c>
      <c r="D899" s="5" t="str">
        <f>IF(B899="","",IFERROR(VLOOKUP(B899, PLANTA_BASE!A:W, 5, FALSE), "NO ENCONTRADO EN PLANTA"))</f>
        <v>REGIONAL BOGOTA</v>
      </c>
      <c r="E899" s="5" t="str">
        <f>IF(B899="","",IFERROR(VLOOKUP(B899, PLANTA_BASE!A:W, 6, FALSE), "NO ENCONTRADO EN PLANTA"))</f>
        <v>BOGOTA CENTRO</v>
      </c>
      <c r="F899" s="7" t="str">
        <f>IF(B899="","",IFERROR(VLOOKUP(B899, PLANTA_BASE!A:W, 8, FALSE), "DOCENTE / FACILITADOR"))</f>
        <v>DOC AUX/N/V/TC/ADM DE EMPRE/FUN.ACADE-ADMIN</v>
      </c>
      <c r="G899" s="7" t="str">
        <f>IF(B899="","",IFERROR(VLOOKUP(B899, PLANTA_BASE!A:W, 9, FALSE), "GENERAL"))</f>
        <v>ADMINISTRACION DE EMPRESAS</v>
      </c>
      <c r="H899" s="5" t="str">
        <f>IF(B899="","",IFERROR(VLOOKUP(B899, PLANTA_BASE!A:W, 17, FALSE), "GENERAL"))</f>
        <v>ADMINISTRACION DE EMPRESAS</v>
      </c>
    </row>
    <row r="900" spans="1:8" ht="20.100000000000001" customHeight="1" x14ac:dyDescent="0.25">
      <c r="A900" s="2" t="str">
        <f>IF(B900="","",IFERROR(VLOOKUP(B900, PLANTA_BASE!A:W, 2, FALSE), "NO ENCONTRADO EN PLANTA"))</f>
        <v>PRESENCIAL</v>
      </c>
      <c r="B900" s="3" t="s">
        <v>1804</v>
      </c>
      <c r="C900" s="4" t="s">
        <v>1805</v>
      </c>
      <c r="D900" s="2" t="str">
        <f>IF(B900="","",IFERROR(VLOOKUP(B900, PLANTA_BASE!A:W, 5, FALSE), "NO ENCONTRADO EN PLANTA"))</f>
        <v>REGIONAL BOGOTA</v>
      </c>
      <c r="E900" s="2" t="str">
        <f>IF(B900="","",IFERROR(VLOOKUP(B900, PLANTA_BASE!A:W, 6, FALSE), "NO ENCONTRADO EN PLANTA"))</f>
        <v>BOGOTA CENTRO</v>
      </c>
      <c r="F900" s="4" t="str">
        <f>IF(B900="","",IFERROR(VLOOKUP(B900, PLANTA_BASE!A:W, 8, FALSE), "DOCENTE / FACILITADOR"))</f>
        <v>DOCENTE ASIS/N/TC/INVESTIGA/INVESTIGACIO</v>
      </c>
      <c r="G900" s="4" t="str">
        <f>IF(B900="","",IFERROR(VLOOKUP(B900, PLANTA_BASE!A:W, 9, FALSE), "GENERAL"))</f>
        <v>INVESTIGACIONES</v>
      </c>
      <c r="H900" s="2" t="str">
        <f>IF(B900="","",IFERROR(VLOOKUP(B900, PLANTA_BASE!A:W, 17, FALSE), "GENERAL"))</f>
        <v>INVESTIGACIONES</v>
      </c>
    </row>
    <row r="901" spans="1:8" ht="20.100000000000001" customHeight="1" x14ac:dyDescent="0.25">
      <c r="A901" s="5" t="str">
        <f>IF(B901="","",IFERROR(VLOOKUP(B901, PLANTA_BASE!A:W, 2, FALSE), "NO ENCONTRADO EN PLANTA"))</f>
        <v>PRESENCIAL</v>
      </c>
      <c r="B901" s="6" t="s">
        <v>1806</v>
      </c>
      <c r="C901" s="7" t="s">
        <v>1807</v>
      </c>
      <c r="D901" s="5" t="str">
        <f>IF(B901="","",IFERROR(VLOOKUP(B901, PLANTA_BASE!A:W, 5, FALSE), "NO ENCONTRADO EN PLANTA"))</f>
        <v>REGIONAL BOGOTA</v>
      </c>
      <c r="E901" s="5" t="str">
        <f>IF(B901="","",IFERROR(VLOOKUP(B901, PLANTA_BASE!A:W, 6, FALSE), "NO ENCONTRADO EN PLANTA"))</f>
        <v>BOGOTA CENTRO</v>
      </c>
      <c r="F901" s="7" t="str">
        <f>IF(B901="","",IFERROR(VLOOKUP(B901, PLANTA_BASE!A:W, 8, FALSE), "DOCENTE / FACILITADOR"))</f>
        <v>DOC AUX T&amp;T/N/TC/DIS GRAFICO/FUN.ACADE-ADMIN</v>
      </c>
      <c r="G901" s="7" t="str">
        <f>IF(B901="","",IFERROR(VLOOKUP(B901, PLANTA_BASE!A:W, 9, FALSE), "GENERAL"))</f>
        <v>DISEÑO GRAFICO</v>
      </c>
      <c r="H901" s="5" t="str">
        <f>IF(B901="","",IFERROR(VLOOKUP(B901, PLANTA_BASE!A:W, 17, FALSE), "GENERAL"))</f>
        <v>DISEÑO GRAFICO</v>
      </c>
    </row>
    <row r="902" spans="1:8" ht="20.100000000000001" customHeight="1" x14ac:dyDescent="0.25">
      <c r="A902" s="2" t="str">
        <f>IF(B902="","",IFERROR(VLOOKUP(B902, PLANTA_BASE!A:W, 2, FALSE), "NO ENCONTRADO EN PLANTA"))</f>
        <v>PRESENCIAL</v>
      </c>
      <c r="B902" s="3" t="s">
        <v>1808</v>
      </c>
      <c r="C902" s="4" t="s">
        <v>1809</v>
      </c>
      <c r="D902" s="2" t="str">
        <f>IF(B902="","",IFERROR(VLOOKUP(B902, PLANTA_BASE!A:W, 5, FALSE), "NO ENCONTRADO EN PLANTA"))</f>
        <v>REGIONAL BOGOTA</v>
      </c>
      <c r="E902" s="2" t="str">
        <f>IF(B902="","",IFERROR(VLOOKUP(B902, PLANTA_BASE!A:W, 6, FALSE), "NO ENCONTRADO EN PLANTA"))</f>
        <v>BOGOTA CENTRO</v>
      </c>
      <c r="F902" s="4" t="str">
        <f>IF(B902="","",IFERROR(VLOOKUP(B902, PLANTA_BASE!A:W, 8, FALSE), "DOCENTE / FACILITADOR"))</f>
        <v>DOC AUX T&amp;T/N/TC/DIS GRAFICO/FUN.ACADE-ADMIN</v>
      </c>
      <c r="G902" s="4" t="str">
        <f>IF(B902="","",IFERROR(VLOOKUP(B902, PLANTA_BASE!A:W, 9, FALSE), "GENERAL"))</f>
        <v>DISEÑO GRAFICO</v>
      </c>
      <c r="H902" s="2" t="str">
        <f>IF(B902="","",IFERROR(VLOOKUP(B902, PLANTA_BASE!A:W, 17, FALSE), "GENERAL"))</f>
        <v>DISEÑO GRAFICO</v>
      </c>
    </row>
    <row r="903" spans="1:8" ht="20.100000000000001" customHeight="1" x14ac:dyDescent="0.25">
      <c r="A903" s="5" t="str">
        <f>IF(B903="","",IFERROR(VLOOKUP(B903, PLANTA_BASE!A:W, 2, FALSE), "NO ENCONTRADO EN PLANTA"))</f>
        <v>VIRTUAL</v>
      </c>
      <c r="B903" s="6" t="s">
        <v>1810</v>
      </c>
      <c r="C903" s="7" t="s">
        <v>1811</v>
      </c>
      <c r="D903" s="5" t="str">
        <f>IF(B903="","",IFERROR(VLOOKUP(B903, PLANTA_BASE!A:W, 5, FALSE), "NO ENCONTRADO EN PLANTA"))</f>
        <v>REGIONAL BOGOTA</v>
      </c>
      <c r="E903" s="5" t="str">
        <f>IF(B903="","",IFERROR(VLOOKUP(B903, PLANTA_BASE!A:W, 6, FALSE), "NO ENCONTRADO EN PLANTA"))</f>
        <v>BOGOTA CENTRO</v>
      </c>
      <c r="F903" s="7" t="str">
        <f>IF(B903="","",IFERROR(VLOOKUP(B903, PLANTA_BASE!A:W, 8, FALSE), "DOCENTE / FACILITADOR"))</f>
        <v>DOC AUX T&amp;T/N/V/TC/DIS GRAFICO/FUN.ACADE</v>
      </c>
      <c r="G903" s="7" t="str">
        <f>IF(B903="","",IFERROR(VLOOKUP(B903, PLANTA_BASE!A:W, 9, FALSE), "GENERAL"))</f>
        <v>DISEÑO GRAFICO</v>
      </c>
      <c r="H903" s="5" t="str">
        <f>IF(B903="","",IFERROR(VLOOKUP(B903, PLANTA_BASE!A:W, 17, FALSE), "GENERAL"))</f>
        <v>DISEÑO GRAFICO</v>
      </c>
    </row>
    <row r="904" spans="1:8" ht="20.100000000000001" customHeight="1" x14ac:dyDescent="0.25">
      <c r="A904" s="2" t="str">
        <f>IF(B904="","",IFERROR(VLOOKUP(B904, PLANTA_BASE!A:W, 2, FALSE), "NO ENCONTRADO EN PLANTA"))</f>
        <v/>
      </c>
      <c r="B904" s="3"/>
      <c r="C904" s="4" t="str">
        <f>IF(B904="","",IFERROR(VLOOKUP(B904, PLANTA_BASE!A:W, 3, FALSE), ""))</f>
        <v/>
      </c>
      <c r="D904" s="2" t="str">
        <f>IF(B904="","",IFERROR(VLOOKUP(B904, PLANTA_BASE!A:W, 5, FALSE), "NO ENCONTRADO EN PLANTA"))</f>
        <v/>
      </c>
      <c r="E904" s="2" t="str">
        <f>IF(B904="","",IFERROR(VLOOKUP(B904, PLANTA_BASE!A:W, 6, FALSE), "NO ENCONTRADO EN PLANTA"))</f>
        <v/>
      </c>
      <c r="F904" s="4" t="str">
        <f>IF(B904="","",IFERROR(VLOOKUP(B904, PLANTA_BASE!A:W, 8, FALSE), "DOCENTE / FACILITADOR"))</f>
        <v/>
      </c>
      <c r="G904" s="4" t="str">
        <f>IF(B904="","",IFERROR(VLOOKUP(B904, PLANTA_BASE!A:W, 9, FALSE), "GENERAL"))</f>
        <v/>
      </c>
      <c r="H904" s="2" t="str">
        <f>IF(B904="","",IFERROR(VLOOKUP(B904, PLANTA_BASE!A:W, 17, FALSE), "GENERAL"))</f>
        <v/>
      </c>
    </row>
    <row r="905" spans="1:8" ht="20.100000000000001" customHeight="1" x14ac:dyDescent="0.25">
      <c r="A905" s="5" t="str">
        <f>IF(B905="","",IFERROR(VLOOKUP(B905, PLANTA_BASE!A:W, 2, FALSE), "NO ENCONTRADO EN PLANTA"))</f>
        <v/>
      </c>
      <c r="B905" s="6"/>
      <c r="C905" s="7" t="str">
        <f>IF(B905="","",IFERROR(VLOOKUP(B905, PLANTA_BASE!A:W, 3, FALSE), ""))</f>
        <v/>
      </c>
      <c r="D905" s="5" t="str">
        <f>IF(B905="","",IFERROR(VLOOKUP(B905, PLANTA_BASE!A:W, 5, FALSE), "NO ENCONTRADO EN PLANTA"))</f>
        <v/>
      </c>
      <c r="E905" s="5" t="str">
        <f>IF(B905="","",IFERROR(VLOOKUP(B905, PLANTA_BASE!A:W, 6, FALSE), "NO ENCONTRADO EN PLANTA"))</f>
        <v/>
      </c>
      <c r="F905" s="7" t="str">
        <f>IF(B905="","",IFERROR(VLOOKUP(B905, PLANTA_BASE!A:W, 8, FALSE), "DOCENTE / FACILITADOR"))</f>
        <v/>
      </c>
      <c r="G905" s="7" t="str">
        <f>IF(B905="","",IFERROR(VLOOKUP(B905, PLANTA_BASE!A:W, 9, FALSE), "GENERAL"))</f>
        <v/>
      </c>
      <c r="H905" s="5" t="str">
        <f>IF(B905="","",IFERROR(VLOOKUP(B905, PLANTA_BASE!A:W, 17, FALSE), "GENERAL"))</f>
        <v/>
      </c>
    </row>
    <row r="906" spans="1:8" ht="20.100000000000001" customHeight="1" x14ac:dyDescent="0.25">
      <c r="A906" s="2" t="str">
        <f>IF(B906="","",IFERROR(VLOOKUP(B906, PLANTA_BASE!A:W, 2, FALSE), "NO ENCONTRADO EN PLANTA"))</f>
        <v/>
      </c>
      <c r="B906" s="3"/>
      <c r="C906" s="4" t="str">
        <f>IF(B906="","",IFERROR(VLOOKUP(B906, PLANTA_BASE!A:W, 3, FALSE), ""))</f>
        <v/>
      </c>
      <c r="D906" s="2" t="str">
        <f>IF(B906="","",IFERROR(VLOOKUP(B906, PLANTA_BASE!A:W, 5, FALSE), "NO ENCONTRADO EN PLANTA"))</f>
        <v/>
      </c>
      <c r="E906" s="2" t="str">
        <f>IF(B906="","",IFERROR(VLOOKUP(B906, PLANTA_BASE!A:W, 6, FALSE), "NO ENCONTRADO EN PLANTA"))</f>
        <v/>
      </c>
      <c r="F906" s="4" t="str">
        <f>IF(B906="","",IFERROR(VLOOKUP(B906, PLANTA_BASE!A:W, 8, FALSE), "DOCENTE / FACILITADOR"))</f>
        <v/>
      </c>
      <c r="G906" s="4" t="str">
        <f>IF(B906="","",IFERROR(VLOOKUP(B906, PLANTA_BASE!A:W, 9, FALSE), "GENERAL"))</f>
        <v/>
      </c>
      <c r="H906" s="2" t="str">
        <f>IF(B906="","",IFERROR(VLOOKUP(B906, PLANTA_BASE!A:W, 17, FALSE), "GENERAL"))</f>
        <v/>
      </c>
    </row>
    <row r="907" spans="1:8" ht="20.100000000000001" customHeight="1" x14ac:dyDescent="0.25">
      <c r="A907" s="5" t="str">
        <f>IF(B907="","",IFERROR(VLOOKUP(B907, PLANTA_BASE!A:W, 2, FALSE), "NO ENCONTRADO EN PLANTA"))</f>
        <v/>
      </c>
      <c r="B907" s="6"/>
      <c r="C907" s="7" t="str">
        <f>IF(B907="","",IFERROR(VLOOKUP(B907, PLANTA_BASE!A:W, 3, FALSE), ""))</f>
        <v/>
      </c>
      <c r="D907" s="5" t="str">
        <f>IF(B907="","",IFERROR(VLOOKUP(B907, PLANTA_BASE!A:W, 5, FALSE), "NO ENCONTRADO EN PLANTA"))</f>
        <v/>
      </c>
      <c r="E907" s="5" t="str">
        <f>IF(B907="","",IFERROR(VLOOKUP(B907, PLANTA_BASE!A:W, 6, FALSE), "NO ENCONTRADO EN PLANTA"))</f>
        <v/>
      </c>
      <c r="F907" s="7" t="str">
        <f>IF(B907="","",IFERROR(VLOOKUP(B907, PLANTA_BASE!A:W, 8, FALSE), "DOCENTE / FACILITADOR"))</f>
        <v/>
      </c>
      <c r="G907" s="7" t="str">
        <f>IF(B907="","",IFERROR(VLOOKUP(B907, PLANTA_BASE!A:W, 9, FALSE), "GENERAL"))</f>
        <v/>
      </c>
      <c r="H907" s="5" t="str">
        <f>IF(B907="","",IFERROR(VLOOKUP(B907, PLANTA_BASE!A:W, 17, FALSE), "GENERAL"))</f>
        <v/>
      </c>
    </row>
    <row r="908" spans="1:8" ht="20.100000000000001" customHeight="1" x14ac:dyDescent="0.25">
      <c r="A908" s="2" t="str">
        <f>IF(B908="","",IFERROR(VLOOKUP(B908, PLANTA_BASE!A:W, 2, FALSE), "NO ENCONTRADO EN PLANTA"))</f>
        <v/>
      </c>
      <c r="B908" s="3"/>
      <c r="C908" s="4" t="str">
        <f>IF(B908="","",IFERROR(VLOOKUP(B908, PLANTA_BASE!A:W, 3, FALSE), ""))</f>
        <v/>
      </c>
      <c r="D908" s="2" t="str">
        <f>IF(B908="","",IFERROR(VLOOKUP(B908, PLANTA_BASE!A:W, 5, FALSE), "NO ENCONTRADO EN PLANTA"))</f>
        <v/>
      </c>
      <c r="E908" s="2" t="str">
        <f>IF(B908="","",IFERROR(VLOOKUP(B908, PLANTA_BASE!A:W, 6, FALSE), "NO ENCONTRADO EN PLANTA"))</f>
        <v/>
      </c>
      <c r="F908" s="4" t="str">
        <f>IF(B908="","",IFERROR(VLOOKUP(B908, PLANTA_BASE!A:W, 8, FALSE), "DOCENTE / FACILITADOR"))</f>
        <v/>
      </c>
      <c r="G908" s="4" t="str">
        <f>IF(B908="","",IFERROR(VLOOKUP(B908, PLANTA_BASE!A:W, 9, FALSE), "GENERAL"))</f>
        <v/>
      </c>
      <c r="H908" s="2" t="str">
        <f>IF(B908="","",IFERROR(VLOOKUP(B908, PLANTA_BASE!A:W, 17, FALSE), "GENERAL"))</f>
        <v/>
      </c>
    </row>
    <row r="909" spans="1:8" ht="20.100000000000001" customHeight="1" x14ac:dyDescent="0.25">
      <c r="A909" s="5" t="str">
        <f>IF(B909="","",IFERROR(VLOOKUP(B909, PLANTA_BASE!A:W, 2, FALSE), "NO ENCONTRADO EN PLANTA"))</f>
        <v/>
      </c>
      <c r="B909" s="6"/>
      <c r="C909" s="7" t="str">
        <f>IF(B909="","",IFERROR(VLOOKUP(B909, PLANTA_BASE!A:W, 3, FALSE), ""))</f>
        <v/>
      </c>
      <c r="D909" s="5" t="str">
        <f>IF(B909="","",IFERROR(VLOOKUP(B909, PLANTA_BASE!A:W, 5, FALSE), "NO ENCONTRADO EN PLANTA"))</f>
        <v/>
      </c>
      <c r="E909" s="5" t="str">
        <f>IF(B909="","",IFERROR(VLOOKUP(B909, PLANTA_BASE!A:W, 6, FALSE), "NO ENCONTRADO EN PLANTA"))</f>
        <v/>
      </c>
      <c r="F909" s="7" t="str">
        <f>IF(B909="","",IFERROR(VLOOKUP(B909, PLANTA_BASE!A:W, 8, FALSE), "DOCENTE / FACILITADOR"))</f>
        <v/>
      </c>
      <c r="G909" s="7" t="str">
        <f>IF(B909="","",IFERROR(VLOOKUP(B909, PLANTA_BASE!A:W, 9, FALSE), "GENERAL"))</f>
        <v/>
      </c>
      <c r="H909" s="5" t="str">
        <f>IF(B909="","",IFERROR(VLOOKUP(B909, PLANTA_BASE!A:W, 17, FALSE), "GENERAL"))</f>
        <v/>
      </c>
    </row>
    <row r="910" spans="1:8" ht="20.100000000000001" customHeight="1" x14ac:dyDescent="0.25">
      <c r="A910" s="2" t="str">
        <f>IF(B910="","",IFERROR(VLOOKUP(B910, PLANTA_BASE!A:W, 2, FALSE), "NO ENCONTRADO EN PLANTA"))</f>
        <v/>
      </c>
      <c r="B910" s="3"/>
      <c r="C910" s="4" t="str">
        <f>IF(B910="","",IFERROR(VLOOKUP(B910, PLANTA_BASE!A:W, 3, FALSE), ""))</f>
        <v/>
      </c>
      <c r="D910" s="2" t="str">
        <f>IF(B910="","",IFERROR(VLOOKUP(B910, PLANTA_BASE!A:W, 5, FALSE), "NO ENCONTRADO EN PLANTA"))</f>
        <v/>
      </c>
      <c r="E910" s="2" t="str">
        <f>IF(B910="","",IFERROR(VLOOKUP(B910, PLANTA_BASE!A:W, 6, FALSE), "NO ENCONTRADO EN PLANTA"))</f>
        <v/>
      </c>
      <c r="F910" s="4" t="str">
        <f>IF(B910="","",IFERROR(VLOOKUP(B910, PLANTA_BASE!A:W, 8, FALSE), "DOCENTE / FACILITADOR"))</f>
        <v/>
      </c>
      <c r="G910" s="4" t="str">
        <f>IF(B910="","",IFERROR(VLOOKUP(B910, PLANTA_BASE!A:W, 9, FALSE), "GENERAL"))</f>
        <v/>
      </c>
      <c r="H910" s="2" t="str">
        <f>IF(B910="","",IFERROR(VLOOKUP(B910, PLANTA_BASE!A:W, 17, FALSE), "GENERAL"))</f>
        <v/>
      </c>
    </row>
    <row r="911" spans="1:8" ht="20.100000000000001" customHeight="1" x14ac:dyDescent="0.25">
      <c r="A911" s="5" t="str">
        <f>IF(B911="","",IFERROR(VLOOKUP(B911, PLANTA_BASE!A:W, 2, FALSE), "NO ENCONTRADO EN PLANTA"))</f>
        <v/>
      </c>
      <c r="B911" s="6"/>
      <c r="C911" s="7" t="str">
        <f>IF(B911="","",IFERROR(VLOOKUP(B911, PLANTA_BASE!A:W, 3, FALSE), ""))</f>
        <v/>
      </c>
      <c r="D911" s="5" t="str">
        <f>IF(B911="","",IFERROR(VLOOKUP(B911, PLANTA_BASE!A:W, 5, FALSE), "NO ENCONTRADO EN PLANTA"))</f>
        <v/>
      </c>
      <c r="E911" s="5" t="str">
        <f>IF(B911="","",IFERROR(VLOOKUP(B911, PLANTA_BASE!A:W, 6, FALSE), "NO ENCONTRADO EN PLANTA"))</f>
        <v/>
      </c>
      <c r="F911" s="7" t="str">
        <f>IF(B911="","",IFERROR(VLOOKUP(B911, PLANTA_BASE!A:W, 8, FALSE), "DOCENTE / FACILITADOR"))</f>
        <v/>
      </c>
      <c r="G911" s="7" t="str">
        <f>IF(B911="","",IFERROR(VLOOKUP(B911, PLANTA_BASE!A:W, 9, FALSE), "GENERAL"))</f>
        <v/>
      </c>
      <c r="H911" s="5" t="str">
        <f>IF(B911="","",IFERROR(VLOOKUP(B911, PLANTA_BASE!A:W, 17, FALSE), "GENERAL"))</f>
        <v/>
      </c>
    </row>
    <row r="912" spans="1:8" ht="20.100000000000001" customHeight="1" x14ac:dyDescent="0.25">
      <c r="A912" s="2" t="str">
        <f>IF(B912="","",IFERROR(VLOOKUP(B912, PLANTA_BASE!A:W, 2, FALSE), "NO ENCONTRADO EN PLANTA"))</f>
        <v/>
      </c>
      <c r="B912" s="3"/>
      <c r="C912" s="4" t="str">
        <f>IF(B912="","",IFERROR(VLOOKUP(B912, PLANTA_BASE!A:W, 3, FALSE), ""))</f>
        <v/>
      </c>
      <c r="D912" s="2" t="str">
        <f>IF(B912="","",IFERROR(VLOOKUP(B912, PLANTA_BASE!A:W, 5, FALSE), "NO ENCONTRADO EN PLANTA"))</f>
        <v/>
      </c>
      <c r="E912" s="2" t="str">
        <f>IF(B912="","",IFERROR(VLOOKUP(B912, PLANTA_BASE!A:W, 6, FALSE), "NO ENCONTRADO EN PLANTA"))</f>
        <v/>
      </c>
      <c r="F912" s="4" t="str">
        <f>IF(B912="","",IFERROR(VLOOKUP(B912, PLANTA_BASE!A:W, 8, FALSE), "DOCENTE / FACILITADOR"))</f>
        <v/>
      </c>
      <c r="G912" s="4" t="str">
        <f>IF(B912="","",IFERROR(VLOOKUP(B912, PLANTA_BASE!A:W, 9, FALSE), "GENERAL"))</f>
        <v/>
      </c>
      <c r="H912" s="2" t="str">
        <f>IF(B912="","",IFERROR(VLOOKUP(B912, PLANTA_BASE!A:W, 17, FALSE), "GENERAL"))</f>
        <v/>
      </c>
    </row>
    <row r="913" spans="1:8" ht="20.100000000000001" customHeight="1" x14ac:dyDescent="0.25">
      <c r="A913" s="5" t="str">
        <f>IF(B913="","",IFERROR(VLOOKUP(B913, PLANTA_BASE!A:W, 2, FALSE), "NO ENCONTRADO EN PLANTA"))</f>
        <v/>
      </c>
      <c r="B913" s="6"/>
      <c r="C913" s="7" t="str">
        <f>IF(B913="","",IFERROR(VLOOKUP(B913, PLANTA_BASE!A:W, 3, FALSE), ""))</f>
        <v/>
      </c>
      <c r="D913" s="5" t="str">
        <f>IF(B913="","",IFERROR(VLOOKUP(B913, PLANTA_BASE!A:W, 5, FALSE), "NO ENCONTRADO EN PLANTA"))</f>
        <v/>
      </c>
      <c r="E913" s="5" t="str">
        <f>IF(B913="","",IFERROR(VLOOKUP(B913, PLANTA_BASE!A:W, 6, FALSE), "NO ENCONTRADO EN PLANTA"))</f>
        <v/>
      </c>
      <c r="F913" s="7" t="str">
        <f>IF(B913="","",IFERROR(VLOOKUP(B913, PLANTA_BASE!A:W, 8, FALSE), "DOCENTE / FACILITADOR"))</f>
        <v/>
      </c>
      <c r="G913" s="7" t="str">
        <f>IF(B913="","",IFERROR(VLOOKUP(B913, PLANTA_BASE!A:W, 9, FALSE), "GENERAL"))</f>
        <v/>
      </c>
      <c r="H913" s="5" t="str">
        <f>IF(B913="","",IFERROR(VLOOKUP(B913, PLANTA_BASE!A:W, 17, FALSE), "GENERAL"))</f>
        <v/>
      </c>
    </row>
    <row r="914" spans="1:8" ht="20.100000000000001" customHeight="1" x14ac:dyDescent="0.25">
      <c r="A914" s="2" t="str">
        <f>IF(B914="","",IFERROR(VLOOKUP(B914, PLANTA_BASE!A:W, 2, FALSE), "NO ENCONTRADO EN PLANTA"))</f>
        <v/>
      </c>
      <c r="B914" s="3"/>
      <c r="C914" s="4" t="str">
        <f>IF(B914="","",IFERROR(VLOOKUP(B914, PLANTA_BASE!A:W, 3, FALSE), ""))</f>
        <v/>
      </c>
      <c r="D914" s="2" t="str">
        <f>IF(B914="","",IFERROR(VLOOKUP(B914, PLANTA_BASE!A:W, 5, FALSE), "NO ENCONTRADO EN PLANTA"))</f>
        <v/>
      </c>
      <c r="E914" s="2" t="str">
        <f>IF(B914="","",IFERROR(VLOOKUP(B914, PLANTA_BASE!A:W, 6, FALSE), "NO ENCONTRADO EN PLANTA"))</f>
        <v/>
      </c>
      <c r="F914" s="4" t="str">
        <f>IF(B914="","",IFERROR(VLOOKUP(B914, PLANTA_BASE!A:W, 8, FALSE), "DOCENTE / FACILITADOR"))</f>
        <v/>
      </c>
      <c r="G914" s="4" t="str">
        <f>IF(B914="","",IFERROR(VLOOKUP(B914, PLANTA_BASE!A:W, 9, FALSE), "GENERAL"))</f>
        <v/>
      </c>
      <c r="H914" s="2" t="str">
        <f>IF(B914="","",IFERROR(VLOOKUP(B914, PLANTA_BASE!A:W, 17, FALSE), "GENERAL"))</f>
        <v/>
      </c>
    </row>
    <row r="915" spans="1:8" ht="20.100000000000001" customHeight="1" x14ac:dyDescent="0.25">
      <c r="A915" s="5" t="str">
        <f>IF(B915="","",IFERROR(VLOOKUP(B915, PLANTA_BASE!A:W, 2, FALSE), "NO ENCONTRADO EN PLANTA"))</f>
        <v/>
      </c>
      <c r="B915" s="6"/>
      <c r="C915" s="7" t="str">
        <f>IF(B915="","",IFERROR(VLOOKUP(B915, PLANTA_BASE!A:W, 3, FALSE), ""))</f>
        <v/>
      </c>
      <c r="D915" s="5" t="str">
        <f>IF(B915="","",IFERROR(VLOOKUP(B915, PLANTA_BASE!A:W, 5, FALSE), "NO ENCONTRADO EN PLANTA"))</f>
        <v/>
      </c>
      <c r="E915" s="5" t="str">
        <f>IF(B915="","",IFERROR(VLOOKUP(B915, PLANTA_BASE!A:W, 6, FALSE), "NO ENCONTRADO EN PLANTA"))</f>
        <v/>
      </c>
      <c r="F915" s="7" t="str">
        <f>IF(B915="","",IFERROR(VLOOKUP(B915, PLANTA_BASE!A:W, 8, FALSE), "DOCENTE / FACILITADOR"))</f>
        <v/>
      </c>
      <c r="G915" s="7" t="str">
        <f>IF(B915="","",IFERROR(VLOOKUP(B915, PLANTA_BASE!A:W, 9, FALSE), "GENERAL"))</f>
        <v/>
      </c>
      <c r="H915" s="5" t="str">
        <f>IF(B915="","",IFERROR(VLOOKUP(B915, PLANTA_BASE!A:W, 17, FALSE), "GENERAL"))</f>
        <v/>
      </c>
    </row>
    <row r="916" spans="1:8" ht="20.100000000000001" customHeight="1" x14ac:dyDescent="0.25">
      <c r="A916" s="2" t="str">
        <f>IF(B916="","",IFERROR(VLOOKUP(B916, PLANTA_BASE!A:W, 2, FALSE), "NO ENCONTRADO EN PLANTA"))</f>
        <v/>
      </c>
      <c r="B916" s="3"/>
      <c r="C916" s="4" t="str">
        <f>IF(B916="","",IFERROR(VLOOKUP(B916, PLANTA_BASE!A:W, 3, FALSE), ""))</f>
        <v/>
      </c>
      <c r="D916" s="2" t="str">
        <f>IF(B916="","",IFERROR(VLOOKUP(B916, PLANTA_BASE!A:W, 5, FALSE), "NO ENCONTRADO EN PLANTA"))</f>
        <v/>
      </c>
      <c r="E916" s="2" t="str">
        <f>IF(B916="","",IFERROR(VLOOKUP(B916, PLANTA_BASE!A:W, 6, FALSE), "NO ENCONTRADO EN PLANTA"))</f>
        <v/>
      </c>
      <c r="F916" s="4" t="str">
        <f>IF(B916="","",IFERROR(VLOOKUP(B916, PLANTA_BASE!A:W, 8, FALSE), "DOCENTE / FACILITADOR"))</f>
        <v/>
      </c>
      <c r="G916" s="4" t="str">
        <f>IF(B916="","",IFERROR(VLOOKUP(B916, PLANTA_BASE!A:W, 9, FALSE), "GENERAL"))</f>
        <v/>
      </c>
      <c r="H916" s="2" t="str">
        <f>IF(B916="","",IFERROR(VLOOKUP(B916, PLANTA_BASE!A:W, 17, FALSE), "GENERAL"))</f>
        <v/>
      </c>
    </row>
    <row r="917" spans="1:8" ht="20.100000000000001" customHeight="1" x14ac:dyDescent="0.25">
      <c r="A917" s="5" t="str">
        <f>IF(B917="","",IFERROR(VLOOKUP(B917, PLANTA_BASE!A:W, 2, FALSE), "NO ENCONTRADO EN PLANTA"))</f>
        <v/>
      </c>
      <c r="B917" s="6"/>
      <c r="C917" s="7" t="str">
        <f>IF(B917="","",IFERROR(VLOOKUP(B917, PLANTA_BASE!A:W, 3, FALSE), ""))</f>
        <v/>
      </c>
      <c r="D917" s="5" t="str">
        <f>IF(B917="","",IFERROR(VLOOKUP(B917, PLANTA_BASE!A:W, 5, FALSE), "NO ENCONTRADO EN PLANTA"))</f>
        <v/>
      </c>
      <c r="E917" s="5" t="str">
        <f>IF(B917="","",IFERROR(VLOOKUP(B917, PLANTA_BASE!A:W, 6, FALSE), "NO ENCONTRADO EN PLANTA"))</f>
        <v/>
      </c>
      <c r="F917" s="7" t="str">
        <f>IF(B917="","",IFERROR(VLOOKUP(B917, PLANTA_BASE!A:W, 8, FALSE), "DOCENTE / FACILITADOR"))</f>
        <v/>
      </c>
      <c r="G917" s="7" t="str">
        <f>IF(B917="","",IFERROR(VLOOKUP(B917, PLANTA_BASE!A:W, 9, FALSE), "GENERAL"))</f>
        <v/>
      </c>
      <c r="H917" s="5" t="str">
        <f>IF(B917="","",IFERROR(VLOOKUP(B917, PLANTA_BASE!A:W, 17, FALSE), "GENERAL"))</f>
        <v/>
      </c>
    </row>
    <row r="918" spans="1:8" ht="20.100000000000001" customHeight="1" x14ac:dyDescent="0.25">
      <c r="A918" s="2" t="str">
        <f>IF(B918="","",IFERROR(VLOOKUP(B918, PLANTA_BASE!A:W, 2, FALSE), "NO ENCONTRADO EN PLANTA"))</f>
        <v/>
      </c>
      <c r="B918" s="3"/>
      <c r="C918" s="4" t="str">
        <f>IF(B918="","",IFERROR(VLOOKUP(B918, PLANTA_BASE!A:W, 3, FALSE), ""))</f>
        <v/>
      </c>
      <c r="D918" s="2" t="str">
        <f>IF(B918="","",IFERROR(VLOOKUP(B918, PLANTA_BASE!A:W, 5, FALSE), "NO ENCONTRADO EN PLANTA"))</f>
        <v/>
      </c>
      <c r="E918" s="2" t="str">
        <f>IF(B918="","",IFERROR(VLOOKUP(B918, PLANTA_BASE!A:W, 6, FALSE), "NO ENCONTRADO EN PLANTA"))</f>
        <v/>
      </c>
      <c r="F918" s="4" t="str">
        <f>IF(B918="","",IFERROR(VLOOKUP(B918, PLANTA_BASE!A:W, 8, FALSE), "DOCENTE / FACILITADOR"))</f>
        <v/>
      </c>
      <c r="G918" s="4" t="str">
        <f>IF(B918="","",IFERROR(VLOOKUP(B918, PLANTA_BASE!A:W, 9, FALSE), "GENERAL"))</f>
        <v/>
      </c>
      <c r="H918" s="2" t="str">
        <f>IF(B918="","",IFERROR(VLOOKUP(B918, PLANTA_BASE!A:W, 17, FALSE), "GENERAL"))</f>
        <v/>
      </c>
    </row>
    <row r="919" spans="1:8" ht="20.100000000000001" customHeight="1" x14ac:dyDescent="0.25">
      <c r="A919" s="5" t="str">
        <f>IF(B919="","",IFERROR(VLOOKUP(B919, PLANTA_BASE!A:W, 2, FALSE), "NO ENCONTRADO EN PLANTA"))</f>
        <v/>
      </c>
      <c r="B919" s="6"/>
      <c r="C919" s="7" t="str">
        <f>IF(B919="","",IFERROR(VLOOKUP(B919, PLANTA_BASE!A:W, 3, FALSE), ""))</f>
        <v/>
      </c>
      <c r="D919" s="5" t="str">
        <f>IF(B919="","",IFERROR(VLOOKUP(B919, PLANTA_BASE!A:W, 5, FALSE), "NO ENCONTRADO EN PLANTA"))</f>
        <v/>
      </c>
      <c r="E919" s="5" t="str">
        <f>IF(B919="","",IFERROR(VLOOKUP(B919, PLANTA_BASE!A:W, 6, FALSE), "NO ENCONTRADO EN PLANTA"))</f>
        <v/>
      </c>
      <c r="F919" s="7" t="str">
        <f>IF(B919="","",IFERROR(VLOOKUP(B919, PLANTA_BASE!A:W, 8, FALSE), "DOCENTE / FACILITADOR"))</f>
        <v/>
      </c>
      <c r="G919" s="7" t="str">
        <f>IF(B919="","",IFERROR(VLOOKUP(B919, PLANTA_BASE!A:W, 9, FALSE), "GENERAL"))</f>
        <v/>
      </c>
      <c r="H919" s="5" t="str">
        <f>IF(B919="","",IFERROR(VLOOKUP(B919, PLANTA_BASE!A:W, 17, FALSE), "GENERAL"))</f>
        <v/>
      </c>
    </row>
    <row r="920" spans="1:8" ht="20.100000000000001" customHeight="1" x14ac:dyDescent="0.25">
      <c r="A920" s="2" t="str">
        <f>IF(B920="","",IFERROR(VLOOKUP(B920, PLANTA_BASE!A:W, 2, FALSE), "NO ENCONTRADO EN PLANTA"))</f>
        <v/>
      </c>
      <c r="B920" s="3"/>
      <c r="C920" s="4" t="str">
        <f>IF(B920="","",IFERROR(VLOOKUP(B920, PLANTA_BASE!A:W, 3, FALSE), ""))</f>
        <v/>
      </c>
      <c r="D920" s="2" t="str">
        <f>IF(B920="","",IFERROR(VLOOKUP(B920, PLANTA_BASE!A:W, 5, FALSE), "NO ENCONTRADO EN PLANTA"))</f>
        <v/>
      </c>
      <c r="E920" s="2" t="str">
        <f>IF(B920="","",IFERROR(VLOOKUP(B920, PLANTA_BASE!A:W, 6, FALSE), "NO ENCONTRADO EN PLANTA"))</f>
        <v/>
      </c>
      <c r="F920" s="4" t="str">
        <f>IF(B920="","",IFERROR(VLOOKUP(B920, PLANTA_BASE!A:W, 8, FALSE), "DOCENTE / FACILITADOR"))</f>
        <v/>
      </c>
      <c r="G920" s="4" t="str">
        <f>IF(B920="","",IFERROR(VLOOKUP(B920, PLANTA_BASE!A:W, 9, FALSE), "GENERAL"))</f>
        <v/>
      </c>
      <c r="H920" s="2" t="str">
        <f>IF(B920="","",IFERROR(VLOOKUP(B920, PLANTA_BASE!A:W, 17, FALSE), "GENERAL"))</f>
        <v/>
      </c>
    </row>
    <row r="921" spans="1:8" ht="20.100000000000001" customHeight="1" x14ac:dyDescent="0.25">
      <c r="A921" s="5" t="str">
        <f>IF(B921="","",IFERROR(VLOOKUP(B921, PLANTA_BASE!A:W, 2, FALSE), "NO ENCONTRADO EN PLANTA"))</f>
        <v/>
      </c>
      <c r="B921" s="6"/>
      <c r="C921" s="7" t="str">
        <f>IF(B921="","",IFERROR(VLOOKUP(B921, PLANTA_BASE!A:W, 3, FALSE), ""))</f>
        <v/>
      </c>
      <c r="D921" s="5" t="str">
        <f>IF(B921="","",IFERROR(VLOOKUP(B921, PLANTA_BASE!A:W, 5, FALSE), "NO ENCONTRADO EN PLANTA"))</f>
        <v/>
      </c>
      <c r="E921" s="5" t="str">
        <f>IF(B921="","",IFERROR(VLOOKUP(B921, PLANTA_BASE!A:W, 6, FALSE), "NO ENCONTRADO EN PLANTA"))</f>
        <v/>
      </c>
      <c r="F921" s="7" t="str">
        <f>IF(B921="","",IFERROR(VLOOKUP(B921, PLANTA_BASE!A:W, 8, FALSE), "DOCENTE / FACILITADOR"))</f>
        <v/>
      </c>
      <c r="G921" s="7" t="str">
        <f>IF(B921="","",IFERROR(VLOOKUP(B921, PLANTA_BASE!A:W, 9, FALSE), "GENERAL"))</f>
        <v/>
      </c>
      <c r="H921" s="5" t="str">
        <f>IF(B921="","",IFERROR(VLOOKUP(B921, PLANTA_BASE!A:W, 17, FALSE), "GENERAL"))</f>
        <v/>
      </c>
    </row>
    <row r="922" spans="1:8" ht="20.100000000000001" customHeight="1" x14ac:dyDescent="0.25">
      <c r="A922" s="2" t="str">
        <f>IF(B922="","",IFERROR(VLOOKUP(B922, PLANTA_BASE!A:W, 2, FALSE), "NO ENCONTRADO EN PLANTA"))</f>
        <v/>
      </c>
      <c r="B922" s="3"/>
      <c r="C922" s="4" t="str">
        <f>IF(B922="","",IFERROR(VLOOKUP(B922, PLANTA_BASE!A:W, 3, FALSE), ""))</f>
        <v/>
      </c>
      <c r="D922" s="2" t="str">
        <f>IF(B922="","",IFERROR(VLOOKUP(B922, PLANTA_BASE!A:W, 5, FALSE), "NO ENCONTRADO EN PLANTA"))</f>
        <v/>
      </c>
      <c r="E922" s="2" t="str">
        <f>IF(B922="","",IFERROR(VLOOKUP(B922, PLANTA_BASE!A:W, 6, FALSE), "NO ENCONTRADO EN PLANTA"))</f>
        <v/>
      </c>
      <c r="F922" s="4" t="str">
        <f>IF(B922="","",IFERROR(VLOOKUP(B922, PLANTA_BASE!A:W, 8, FALSE), "DOCENTE / FACILITADOR"))</f>
        <v/>
      </c>
      <c r="G922" s="4" t="str">
        <f>IF(B922="","",IFERROR(VLOOKUP(B922, PLANTA_BASE!A:W, 9, FALSE), "GENERAL"))</f>
        <v/>
      </c>
      <c r="H922" s="2" t="str">
        <f>IF(B922="","",IFERROR(VLOOKUP(B922, PLANTA_BASE!A:W, 17, FALSE), "GENERAL"))</f>
        <v/>
      </c>
    </row>
    <row r="923" spans="1:8" ht="20.100000000000001" customHeight="1" x14ac:dyDescent="0.25">
      <c r="A923" s="5" t="str">
        <f>IF(B923="","",IFERROR(VLOOKUP(B923, PLANTA_BASE!A:W, 2, FALSE), "NO ENCONTRADO EN PLANTA"))</f>
        <v/>
      </c>
      <c r="B923" s="6"/>
      <c r="C923" s="7" t="str">
        <f>IF(B923="","",IFERROR(VLOOKUP(B923, PLANTA_BASE!A:W, 3, FALSE), ""))</f>
        <v/>
      </c>
      <c r="D923" s="5" t="str">
        <f>IF(B923="","",IFERROR(VLOOKUP(B923, PLANTA_BASE!A:W, 5, FALSE), "NO ENCONTRADO EN PLANTA"))</f>
        <v/>
      </c>
      <c r="E923" s="5" t="str">
        <f>IF(B923="","",IFERROR(VLOOKUP(B923, PLANTA_BASE!A:W, 6, FALSE), "NO ENCONTRADO EN PLANTA"))</f>
        <v/>
      </c>
      <c r="F923" s="7" t="str">
        <f>IF(B923="","",IFERROR(VLOOKUP(B923, PLANTA_BASE!A:W, 8, FALSE), "DOCENTE / FACILITADOR"))</f>
        <v/>
      </c>
      <c r="G923" s="7" t="str">
        <f>IF(B923="","",IFERROR(VLOOKUP(B923, PLANTA_BASE!A:W, 9, FALSE), "GENERAL"))</f>
        <v/>
      </c>
      <c r="H923" s="5" t="str">
        <f>IF(B923="","",IFERROR(VLOOKUP(B923, PLANTA_BASE!A:W, 17, FALSE), "GENERAL"))</f>
        <v/>
      </c>
    </row>
    <row r="924" spans="1:8" ht="20.100000000000001" customHeight="1" x14ac:dyDescent="0.25">
      <c r="A924" s="2" t="str">
        <f>IF(B924="","",IFERROR(VLOOKUP(B924, PLANTA_BASE!A:W, 2, FALSE), "NO ENCONTRADO EN PLANTA"))</f>
        <v/>
      </c>
      <c r="B924" s="3"/>
      <c r="C924" s="4" t="str">
        <f>IF(B924="","",IFERROR(VLOOKUP(B924, PLANTA_BASE!A:W, 3, FALSE), ""))</f>
        <v/>
      </c>
      <c r="D924" s="2" t="str">
        <f>IF(B924="","",IFERROR(VLOOKUP(B924, PLANTA_BASE!A:W, 5, FALSE), "NO ENCONTRADO EN PLANTA"))</f>
        <v/>
      </c>
      <c r="E924" s="2" t="str">
        <f>IF(B924="","",IFERROR(VLOOKUP(B924, PLANTA_BASE!A:W, 6, FALSE), "NO ENCONTRADO EN PLANTA"))</f>
        <v/>
      </c>
      <c r="F924" s="4" t="str">
        <f>IF(B924="","",IFERROR(VLOOKUP(B924, PLANTA_BASE!A:W, 8, FALSE), "DOCENTE / FACILITADOR"))</f>
        <v/>
      </c>
      <c r="G924" s="4" t="str">
        <f>IF(B924="","",IFERROR(VLOOKUP(B924, PLANTA_BASE!A:W, 9, FALSE), "GENERAL"))</f>
        <v/>
      </c>
      <c r="H924" s="2" t="str">
        <f>IF(B924="","",IFERROR(VLOOKUP(B924, PLANTA_BASE!A:W, 17, FALSE), "GENERAL"))</f>
        <v/>
      </c>
    </row>
    <row r="925" spans="1:8" ht="20.100000000000001" customHeight="1" x14ac:dyDescent="0.25">
      <c r="A925" s="5" t="str">
        <f>IF(B925="","",IFERROR(VLOOKUP(B925, PLANTA_BASE!A:W, 2, FALSE), "NO ENCONTRADO EN PLANTA"))</f>
        <v/>
      </c>
      <c r="B925" s="6"/>
      <c r="C925" s="7" t="str">
        <f>IF(B925="","",IFERROR(VLOOKUP(B925, PLANTA_BASE!A:W, 3, FALSE), ""))</f>
        <v/>
      </c>
      <c r="D925" s="5" t="str">
        <f>IF(B925="","",IFERROR(VLOOKUP(B925, PLANTA_BASE!A:W, 5, FALSE), "NO ENCONTRADO EN PLANTA"))</f>
        <v/>
      </c>
      <c r="E925" s="5" t="str">
        <f>IF(B925="","",IFERROR(VLOOKUP(B925, PLANTA_BASE!A:W, 6, FALSE), "NO ENCONTRADO EN PLANTA"))</f>
        <v/>
      </c>
      <c r="F925" s="7" t="str">
        <f>IF(B925="","",IFERROR(VLOOKUP(B925, PLANTA_BASE!A:W, 8, FALSE), "DOCENTE / FACILITADOR"))</f>
        <v/>
      </c>
      <c r="G925" s="7" t="str">
        <f>IF(B925="","",IFERROR(VLOOKUP(B925, PLANTA_BASE!A:W, 9, FALSE), "GENERAL"))</f>
        <v/>
      </c>
      <c r="H925" s="5" t="str">
        <f>IF(B925="","",IFERROR(VLOOKUP(B925, PLANTA_BASE!A:W, 17, FALSE), "GENERAL"))</f>
        <v/>
      </c>
    </row>
    <row r="926" spans="1:8" ht="20.100000000000001" customHeight="1" x14ac:dyDescent="0.25">
      <c r="A926" s="2" t="str">
        <f>IF(B926="","",IFERROR(VLOOKUP(B926, PLANTA_BASE!A:W, 2, FALSE), "NO ENCONTRADO EN PLANTA"))</f>
        <v/>
      </c>
      <c r="B926" s="3"/>
      <c r="C926" s="4" t="str">
        <f>IF(B926="","",IFERROR(VLOOKUP(B926, PLANTA_BASE!A:W, 3, FALSE), ""))</f>
        <v/>
      </c>
      <c r="D926" s="2" t="str">
        <f>IF(B926="","",IFERROR(VLOOKUP(B926, PLANTA_BASE!A:W, 5, FALSE), "NO ENCONTRADO EN PLANTA"))</f>
        <v/>
      </c>
      <c r="E926" s="2" t="str">
        <f>IF(B926="","",IFERROR(VLOOKUP(B926, PLANTA_BASE!A:W, 6, FALSE), "NO ENCONTRADO EN PLANTA"))</f>
        <v/>
      </c>
      <c r="F926" s="4" t="str">
        <f>IF(B926="","",IFERROR(VLOOKUP(B926, PLANTA_BASE!A:W, 8, FALSE), "DOCENTE / FACILITADOR"))</f>
        <v/>
      </c>
      <c r="G926" s="4" t="str">
        <f>IF(B926="","",IFERROR(VLOOKUP(B926, PLANTA_BASE!A:W, 9, FALSE), "GENERAL"))</f>
        <v/>
      </c>
      <c r="H926" s="2" t="str">
        <f>IF(B926="","",IFERROR(VLOOKUP(B926, PLANTA_BASE!A:W, 17, FALSE), "GENERAL"))</f>
        <v/>
      </c>
    </row>
    <row r="927" spans="1:8" ht="20.100000000000001" customHeight="1" x14ac:dyDescent="0.25">
      <c r="A927" s="5" t="str">
        <f>IF(B927="","",IFERROR(VLOOKUP(B927, PLANTA_BASE!A:W, 2, FALSE), "NO ENCONTRADO EN PLANTA"))</f>
        <v/>
      </c>
      <c r="B927" s="6"/>
      <c r="C927" s="7" t="str">
        <f>IF(B927="","",IFERROR(VLOOKUP(B927, PLANTA_BASE!A:W, 3, FALSE), ""))</f>
        <v/>
      </c>
      <c r="D927" s="5" t="str">
        <f>IF(B927="","",IFERROR(VLOOKUP(B927, PLANTA_BASE!A:W, 5, FALSE), "NO ENCONTRADO EN PLANTA"))</f>
        <v/>
      </c>
      <c r="E927" s="5" t="str">
        <f>IF(B927="","",IFERROR(VLOOKUP(B927, PLANTA_BASE!A:W, 6, FALSE), "NO ENCONTRADO EN PLANTA"))</f>
        <v/>
      </c>
      <c r="F927" s="7" t="str">
        <f>IF(B927="","",IFERROR(VLOOKUP(B927, PLANTA_BASE!A:W, 8, FALSE), "DOCENTE / FACILITADOR"))</f>
        <v/>
      </c>
      <c r="G927" s="7" t="str">
        <f>IF(B927="","",IFERROR(VLOOKUP(B927, PLANTA_BASE!A:W, 9, FALSE), "GENERAL"))</f>
        <v/>
      </c>
      <c r="H927" s="5" t="str">
        <f>IF(B927="","",IFERROR(VLOOKUP(B927, PLANTA_BASE!A:W, 17, FALSE), "GENERAL"))</f>
        <v/>
      </c>
    </row>
    <row r="928" spans="1:8" ht="20.100000000000001" customHeight="1" x14ac:dyDescent="0.25">
      <c r="A928" s="2" t="str">
        <f>IF(B928="","",IFERROR(VLOOKUP(B928, PLANTA_BASE!A:W, 2, FALSE), "NO ENCONTRADO EN PLANTA"))</f>
        <v/>
      </c>
      <c r="B928" s="3"/>
      <c r="C928" s="4" t="str">
        <f>IF(B928="","",IFERROR(VLOOKUP(B928, PLANTA_BASE!A:W, 3, FALSE), ""))</f>
        <v/>
      </c>
      <c r="D928" s="2" t="str">
        <f>IF(B928="","",IFERROR(VLOOKUP(B928, PLANTA_BASE!A:W, 5, FALSE), "NO ENCONTRADO EN PLANTA"))</f>
        <v/>
      </c>
      <c r="E928" s="2" t="str">
        <f>IF(B928="","",IFERROR(VLOOKUP(B928, PLANTA_BASE!A:W, 6, FALSE), "NO ENCONTRADO EN PLANTA"))</f>
        <v/>
      </c>
      <c r="F928" s="4" t="str">
        <f>IF(B928="","",IFERROR(VLOOKUP(B928, PLANTA_BASE!A:W, 8, FALSE), "DOCENTE / FACILITADOR"))</f>
        <v/>
      </c>
      <c r="G928" s="4" t="str">
        <f>IF(B928="","",IFERROR(VLOOKUP(B928, PLANTA_BASE!A:W, 9, FALSE), "GENERAL"))</f>
        <v/>
      </c>
      <c r="H928" s="2" t="str">
        <f>IF(B928="","",IFERROR(VLOOKUP(B928, PLANTA_BASE!A:W, 17, FALSE), "GENERAL"))</f>
        <v/>
      </c>
    </row>
    <row r="929" spans="1:8" ht="20.100000000000001" customHeight="1" x14ac:dyDescent="0.25">
      <c r="A929" s="5" t="str">
        <f>IF(B929="","",IFERROR(VLOOKUP(B929, PLANTA_BASE!A:W, 2, FALSE), "NO ENCONTRADO EN PLANTA"))</f>
        <v/>
      </c>
      <c r="B929" s="6"/>
      <c r="C929" s="7" t="str">
        <f>IF(B929="","",IFERROR(VLOOKUP(B929, PLANTA_BASE!A:W, 3, FALSE), ""))</f>
        <v/>
      </c>
      <c r="D929" s="5" t="str">
        <f>IF(B929="","",IFERROR(VLOOKUP(B929, PLANTA_BASE!A:W, 5, FALSE), "NO ENCONTRADO EN PLANTA"))</f>
        <v/>
      </c>
      <c r="E929" s="5" t="str">
        <f>IF(B929="","",IFERROR(VLOOKUP(B929, PLANTA_BASE!A:W, 6, FALSE), "NO ENCONTRADO EN PLANTA"))</f>
        <v/>
      </c>
      <c r="F929" s="7" t="str">
        <f>IF(B929="","",IFERROR(VLOOKUP(B929, PLANTA_BASE!A:W, 8, FALSE), "DOCENTE / FACILITADOR"))</f>
        <v/>
      </c>
      <c r="G929" s="7" t="str">
        <f>IF(B929="","",IFERROR(VLOOKUP(B929, PLANTA_BASE!A:W, 9, FALSE), "GENERAL"))</f>
        <v/>
      </c>
      <c r="H929" s="5" t="str">
        <f>IF(B929="","",IFERROR(VLOOKUP(B929, PLANTA_BASE!A:W, 17, FALSE), "GENERAL"))</f>
        <v/>
      </c>
    </row>
    <row r="930" spans="1:8" ht="20.100000000000001" customHeight="1" x14ac:dyDescent="0.25">
      <c r="A930" s="2" t="str">
        <f>IF(B930="","",IFERROR(VLOOKUP(B930, PLANTA_BASE!A:W, 2, FALSE), "NO ENCONTRADO EN PLANTA"))</f>
        <v/>
      </c>
      <c r="B930" s="3"/>
      <c r="C930" s="4" t="str">
        <f>IF(B930="","",IFERROR(VLOOKUP(B930, PLANTA_BASE!A:W, 3, FALSE), ""))</f>
        <v/>
      </c>
      <c r="D930" s="2" t="str">
        <f>IF(B930="","",IFERROR(VLOOKUP(B930, PLANTA_BASE!A:W, 5, FALSE), "NO ENCONTRADO EN PLANTA"))</f>
        <v/>
      </c>
      <c r="E930" s="2" t="str">
        <f>IF(B930="","",IFERROR(VLOOKUP(B930, PLANTA_BASE!A:W, 6, FALSE), "NO ENCONTRADO EN PLANTA"))</f>
        <v/>
      </c>
      <c r="F930" s="4" t="str">
        <f>IF(B930="","",IFERROR(VLOOKUP(B930, PLANTA_BASE!A:W, 8, FALSE), "DOCENTE / FACILITADOR"))</f>
        <v/>
      </c>
      <c r="G930" s="4" t="str">
        <f>IF(B930="","",IFERROR(VLOOKUP(B930, PLANTA_BASE!A:W, 9, FALSE), "GENERAL"))</f>
        <v/>
      </c>
      <c r="H930" s="2" t="str">
        <f>IF(B930="","",IFERROR(VLOOKUP(B930, PLANTA_BASE!A:W, 17, FALSE), "GENERAL"))</f>
        <v/>
      </c>
    </row>
    <row r="931" spans="1:8" ht="20.100000000000001" customHeight="1" x14ac:dyDescent="0.25">
      <c r="A931" s="5" t="str">
        <f>IF(B931="","",IFERROR(VLOOKUP(B931, PLANTA_BASE!A:W, 2, FALSE), "NO ENCONTRADO EN PLANTA"))</f>
        <v/>
      </c>
      <c r="B931" s="6"/>
      <c r="C931" s="7" t="str">
        <f>IF(B931="","",IFERROR(VLOOKUP(B931, PLANTA_BASE!A:W, 3, FALSE), ""))</f>
        <v/>
      </c>
      <c r="D931" s="5" t="str">
        <f>IF(B931="","",IFERROR(VLOOKUP(B931, PLANTA_BASE!A:W, 5, FALSE), "NO ENCONTRADO EN PLANTA"))</f>
        <v/>
      </c>
      <c r="E931" s="5" t="str">
        <f>IF(B931="","",IFERROR(VLOOKUP(B931, PLANTA_BASE!A:W, 6, FALSE), "NO ENCONTRADO EN PLANTA"))</f>
        <v/>
      </c>
      <c r="F931" s="7" t="str">
        <f>IF(B931="","",IFERROR(VLOOKUP(B931, PLANTA_BASE!A:W, 8, FALSE), "DOCENTE / FACILITADOR"))</f>
        <v/>
      </c>
      <c r="G931" s="7" t="str">
        <f>IF(B931="","",IFERROR(VLOOKUP(B931, PLANTA_BASE!A:W, 9, FALSE), "GENERAL"))</f>
        <v/>
      </c>
      <c r="H931" s="5" t="str">
        <f>IF(B931="","",IFERROR(VLOOKUP(B931, PLANTA_BASE!A:W, 17, FALSE), "GENERAL"))</f>
        <v/>
      </c>
    </row>
    <row r="932" spans="1:8" ht="20.100000000000001" customHeight="1" x14ac:dyDescent="0.25">
      <c r="A932" s="2" t="str">
        <f>IF(B932="","",IFERROR(VLOOKUP(B932, PLANTA_BASE!A:W, 2, FALSE), "NO ENCONTRADO EN PLANTA"))</f>
        <v/>
      </c>
      <c r="B932" s="3"/>
      <c r="C932" s="4" t="str">
        <f>IF(B932="","",IFERROR(VLOOKUP(B932, PLANTA_BASE!A:W, 3, FALSE), ""))</f>
        <v/>
      </c>
      <c r="D932" s="2" t="str">
        <f>IF(B932="","",IFERROR(VLOOKUP(B932, PLANTA_BASE!A:W, 5, FALSE), "NO ENCONTRADO EN PLANTA"))</f>
        <v/>
      </c>
      <c r="E932" s="2" t="str">
        <f>IF(B932="","",IFERROR(VLOOKUP(B932, PLANTA_BASE!A:W, 6, FALSE), "NO ENCONTRADO EN PLANTA"))</f>
        <v/>
      </c>
      <c r="F932" s="4" t="str">
        <f>IF(B932="","",IFERROR(VLOOKUP(B932, PLANTA_BASE!A:W, 8, FALSE), "DOCENTE / FACILITADOR"))</f>
        <v/>
      </c>
      <c r="G932" s="4" t="str">
        <f>IF(B932="","",IFERROR(VLOOKUP(B932, PLANTA_BASE!A:W, 9, FALSE), "GENERAL"))</f>
        <v/>
      </c>
      <c r="H932" s="2" t="str">
        <f>IF(B932="","",IFERROR(VLOOKUP(B932, PLANTA_BASE!A:W, 17, FALSE), "GENERAL"))</f>
        <v/>
      </c>
    </row>
    <row r="933" spans="1:8" ht="20.100000000000001" customHeight="1" x14ac:dyDescent="0.25">
      <c r="A933" s="5" t="str">
        <f>IF(B933="","",IFERROR(VLOOKUP(B933, PLANTA_BASE!A:W, 2, FALSE), "NO ENCONTRADO EN PLANTA"))</f>
        <v/>
      </c>
      <c r="B933" s="6"/>
      <c r="C933" s="7" t="str">
        <f>IF(B933="","",IFERROR(VLOOKUP(B933, PLANTA_BASE!A:W, 3, FALSE), ""))</f>
        <v/>
      </c>
      <c r="D933" s="5" t="str">
        <f>IF(B933="","",IFERROR(VLOOKUP(B933, PLANTA_BASE!A:W, 5, FALSE), "NO ENCONTRADO EN PLANTA"))</f>
        <v/>
      </c>
      <c r="E933" s="5" t="str">
        <f>IF(B933="","",IFERROR(VLOOKUP(B933, PLANTA_BASE!A:W, 6, FALSE), "NO ENCONTRADO EN PLANTA"))</f>
        <v/>
      </c>
      <c r="F933" s="7" t="str">
        <f>IF(B933="","",IFERROR(VLOOKUP(B933, PLANTA_BASE!A:W, 8, FALSE), "DOCENTE / FACILITADOR"))</f>
        <v/>
      </c>
      <c r="G933" s="7" t="str">
        <f>IF(B933="","",IFERROR(VLOOKUP(B933, PLANTA_BASE!A:W, 9, FALSE), "GENERAL"))</f>
        <v/>
      </c>
      <c r="H933" s="5" t="str">
        <f>IF(B933="","",IFERROR(VLOOKUP(B933, PLANTA_BASE!A:W, 17, FALSE), "GENERAL"))</f>
        <v/>
      </c>
    </row>
    <row r="934" spans="1:8" ht="20.100000000000001" customHeight="1" x14ac:dyDescent="0.25">
      <c r="A934" s="2" t="str">
        <f>IF(B934="","",IFERROR(VLOOKUP(B934, PLANTA_BASE!A:W, 2, FALSE), "NO ENCONTRADO EN PLANTA"))</f>
        <v/>
      </c>
      <c r="B934" s="3"/>
      <c r="C934" s="4" t="str">
        <f>IF(B934="","",IFERROR(VLOOKUP(B934, PLANTA_BASE!A:W, 3, FALSE), ""))</f>
        <v/>
      </c>
      <c r="D934" s="2" t="str">
        <f>IF(B934="","",IFERROR(VLOOKUP(B934, PLANTA_BASE!A:W, 5, FALSE), "NO ENCONTRADO EN PLANTA"))</f>
        <v/>
      </c>
      <c r="E934" s="2" t="str">
        <f>IF(B934="","",IFERROR(VLOOKUP(B934, PLANTA_BASE!A:W, 6, FALSE), "NO ENCONTRADO EN PLANTA"))</f>
        <v/>
      </c>
      <c r="F934" s="4" t="str">
        <f>IF(B934="","",IFERROR(VLOOKUP(B934, PLANTA_BASE!A:W, 8, FALSE), "DOCENTE / FACILITADOR"))</f>
        <v/>
      </c>
      <c r="G934" s="4" t="str">
        <f>IF(B934="","",IFERROR(VLOOKUP(B934, PLANTA_BASE!A:W, 9, FALSE), "GENERAL"))</f>
        <v/>
      </c>
      <c r="H934" s="2" t="str">
        <f>IF(B934="","",IFERROR(VLOOKUP(B934, PLANTA_BASE!A:W, 17, FALSE), "GENERAL"))</f>
        <v/>
      </c>
    </row>
    <row r="935" spans="1:8" ht="20.100000000000001" customHeight="1" x14ac:dyDescent="0.25">
      <c r="A935" s="5" t="str">
        <f>IF(B935="","",IFERROR(VLOOKUP(B935, PLANTA_BASE!A:W, 2, FALSE), "NO ENCONTRADO EN PLANTA"))</f>
        <v/>
      </c>
      <c r="B935" s="6"/>
      <c r="C935" s="7" t="str">
        <f>IF(B935="","",IFERROR(VLOOKUP(B935, PLANTA_BASE!A:W, 3, FALSE), ""))</f>
        <v/>
      </c>
      <c r="D935" s="5" t="str">
        <f>IF(B935="","",IFERROR(VLOOKUP(B935, PLANTA_BASE!A:W, 5, FALSE), "NO ENCONTRADO EN PLANTA"))</f>
        <v/>
      </c>
      <c r="E935" s="5" t="str">
        <f>IF(B935="","",IFERROR(VLOOKUP(B935, PLANTA_BASE!A:W, 6, FALSE), "NO ENCONTRADO EN PLANTA"))</f>
        <v/>
      </c>
      <c r="F935" s="7" t="str">
        <f>IF(B935="","",IFERROR(VLOOKUP(B935, PLANTA_BASE!A:W, 8, FALSE), "DOCENTE / FACILITADOR"))</f>
        <v/>
      </c>
      <c r="G935" s="7" t="str">
        <f>IF(B935="","",IFERROR(VLOOKUP(B935, PLANTA_BASE!A:W, 9, FALSE), "GENERAL"))</f>
        <v/>
      </c>
      <c r="H935" s="5" t="str">
        <f>IF(B935="","",IFERROR(VLOOKUP(B935, PLANTA_BASE!A:W, 17, FALSE), "GENERAL"))</f>
        <v/>
      </c>
    </row>
    <row r="936" spans="1:8" ht="20.100000000000001" customHeight="1" x14ac:dyDescent="0.25">
      <c r="A936" s="2" t="str">
        <f>IF(B936="","",IFERROR(VLOOKUP(B936, PLANTA_BASE!A:W, 2, FALSE), "NO ENCONTRADO EN PLANTA"))</f>
        <v/>
      </c>
      <c r="B936" s="3"/>
      <c r="C936" s="4" t="str">
        <f>IF(B936="","",IFERROR(VLOOKUP(B936, PLANTA_BASE!A:W, 3, FALSE), ""))</f>
        <v/>
      </c>
      <c r="D936" s="2" t="str">
        <f>IF(B936="","",IFERROR(VLOOKUP(B936, PLANTA_BASE!A:W, 5, FALSE), "NO ENCONTRADO EN PLANTA"))</f>
        <v/>
      </c>
      <c r="E936" s="2" t="str">
        <f>IF(B936="","",IFERROR(VLOOKUP(B936, PLANTA_BASE!A:W, 6, FALSE), "NO ENCONTRADO EN PLANTA"))</f>
        <v/>
      </c>
      <c r="F936" s="4" t="str">
        <f>IF(B936="","",IFERROR(VLOOKUP(B936, PLANTA_BASE!A:W, 8, FALSE), "DOCENTE / FACILITADOR"))</f>
        <v/>
      </c>
      <c r="G936" s="4" t="str">
        <f>IF(B936="","",IFERROR(VLOOKUP(B936, PLANTA_BASE!A:W, 9, FALSE), "GENERAL"))</f>
        <v/>
      </c>
      <c r="H936" s="2" t="str">
        <f>IF(B936="","",IFERROR(VLOOKUP(B936, PLANTA_BASE!A:W, 17, FALSE), "GENERAL"))</f>
        <v/>
      </c>
    </row>
    <row r="937" spans="1:8" ht="20.100000000000001" customHeight="1" x14ac:dyDescent="0.25">
      <c r="A937" s="5" t="str">
        <f>IF(B937="","",IFERROR(VLOOKUP(B937, PLANTA_BASE!A:W, 2, FALSE), "NO ENCONTRADO EN PLANTA"))</f>
        <v/>
      </c>
      <c r="B937" s="6"/>
      <c r="C937" s="7" t="str">
        <f>IF(B937="","",IFERROR(VLOOKUP(B937, PLANTA_BASE!A:W, 3, FALSE), ""))</f>
        <v/>
      </c>
      <c r="D937" s="5" t="str">
        <f>IF(B937="","",IFERROR(VLOOKUP(B937, PLANTA_BASE!A:W, 5, FALSE), "NO ENCONTRADO EN PLANTA"))</f>
        <v/>
      </c>
      <c r="E937" s="5" t="str">
        <f>IF(B937="","",IFERROR(VLOOKUP(B937, PLANTA_BASE!A:W, 6, FALSE), "NO ENCONTRADO EN PLANTA"))</f>
        <v/>
      </c>
      <c r="F937" s="7" t="str">
        <f>IF(B937="","",IFERROR(VLOOKUP(B937, PLANTA_BASE!A:W, 8, FALSE), "DOCENTE / FACILITADOR"))</f>
        <v/>
      </c>
      <c r="G937" s="7" t="str">
        <f>IF(B937="","",IFERROR(VLOOKUP(B937, PLANTA_BASE!A:W, 9, FALSE), "GENERAL"))</f>
        <v/>
      </c>
      <c r="H937" s="5" t="str">
        <f>IF(B937="","",IFERROR(VLOOKUP(B937, PLANTA_BASE!A:W, 17, FALSE), "GENERAL"))</f>
        <v/>
      </c>
    </row>
    <row r="938" spans="1:8" ht="20.100000000000001" customHeight="1" x14ac:dyDescent="0.25">
      <c r="A938" s="2" t="str">
        <f>IF(B938="","",IFERROR(VLOOKUP(B938, PLANTA_BASE!A:W, 2, FALSE), "NO ENCONTRADO EN PLANTA"))</f>
        <v/>
      </c>
      <c r="B938" s="3"/>
      <c r="C938" s="4" t="str">
        <f>IF(B938="","",IFERROR(VLOOKUP(B938, PLANTA_BASE!A:W, 3, FALSE), ""))</f>
        <v/>
      </c>
      <c r="D938" s="2" t="str">
        <f>IF(B938="","",IFERROR(VLOOKUP(B938, PLANTA_BASE!A:W, 5, FALSE), "NO ENCONTRADO EN PLANTA"))</f>
        <v/>
      </c>
      <c r="E938" s="2" t="str">
        <f>IF(B938="","",IFERROR(VLOOKUP(B938, PLANTA_BASE!A:W, 6, FALSE), "NO ENCONTRADO EN PLANTA"))</f>
        <v/>
      </c>
      <c r="F938" s="4" t="str">
        <f>IF(B938="","",IFERROR(VLOOKUP(B938, PLANTA_BASE!A:W, 8, FALSE), "DOCENTE / FACILITADOR"))</f>
        <v/>
      </c>
      <c r="G938" s="4" t="str">
        <f>IF(B938="","",IFERROR(VLOOKUP(B938, PLANTA_BASE!A:W, 9, FALSE), "GENERAL"))</f>
        <v/>
      </c>
      <c r="H938" s="2" t="str">
        <f>IF(B938="","",IFERROR(VLOOKUP(B938, PLANTA_BASE!A:W, 17, FALSE), "GENERAL"))</f>
        <v/>
      </c>
    </row>
    <row r="939" spans="1:8" ht="20.100000000000001" customHeight="1" x14ac:dyDescent="0.25">
      <c r="A939" s="5" t="str">
        <f>IF(B939="","",IFERROR(VLOOKUP(B939, PLANTA_BASE!A:W, 2, FALSE), "NO ENCONTRADO EN PLANTA"))</f>
        <v/>
      </c>
      <c r="B939" s="6"/>
      <c r="C939" s="7" t="str">
        <f>IF(B939="","",IFERROR(VLOOKUP(B939, PLANTA_BASE!A:W, 3, FALSE), ""))</f>
        <v/>
      </c>
      <c r="D939" s="5" t="str">
        <f>IF(B939="","",IFERROR(VLOOKUP(B939, PLANTA_BASE!A:W, 5, FALSE), "NO ENCONTRADO EN PLANTA"))</f>
        <v/>
      </c>
      <c r="E939" s="5" t="str">
        <f>IF(B939="","",IFERROR(VLOOKUP(B939, PLANTA_BASE!A:W, 6, FALSE), "NO ENCONTRADO EN PLANTA"))</f>
        <v/>
      </c>
      <c r="F939" s="7" t="str">
        <f>IF(B939="","",IFERROR(VLOOKUP(B939, PLANTA_BASE!A:W, 8, FALSE), "DOCENTE / FACILITADOR"))</f>
        <v/>
      </c>
      <c r="G939" s="7" t="str">
        <f>IF(B939="","",IFERROR(VLOOKUP(B939, PLANTA_BASE!A:W, 9, FALSE), "GENERAL"))</f>
        <v/>
      </c>
      <c r="H939" s="5" t="str">
        <f>IF(B939="","",IFERROR(VLOOKUP(B939, PLANTA_BASE!A:W, 17, FALSE), "GENERAL"))</f>
        <v/>
      </c>
    </row>
    <row r="940" spans="1:8" ht="20.100000000000001" customHeight="1" x14ac:dyDescent="0.25">
      <c r="A940" s="2" t="str">
        <f>IF(B940="","",IFERROR(VLOOKUP(B940, PLANTA_BASE!A:W, 2, FALSE), "NO ENCONTRADO EN PLANTA"))</f>
        <v/>
      </c>
      <c r="B940" s="3"/>
      <c r="C940" s="4" t="str">
        <f>IF(B940="","",IFERROR(VLOOKUP(B940, PLANTA_BASE!A:W, 3, FALSE), ""))</f>
        <v/>
      </c>
      <c r="D940" s="2" t="str">
        <f>IF(B940="","",IFERROR(VLOOKUP(B940, PLANTA_BASE!A:W, 5, FALSE), "NO ENCONTRADO EN PLANTA"))</f>
        <v/>
      </c>
      <c r="E940" s="2" t="str">
        <f>IF(B940="","",IFERROR(VLOOKUP(B940, PLANTA_BASE!A:W, 6, FALSE), "NO ENCONTRADO EN PLANTA"))</f>
        <v/>
      </c>
      <c r="F940" s="4" t="str">
        <f>IF(B940="","",IFERROR(VLOOKUP(B940, PLANTA_BASE!A:W, 8, FALSE), "DOCENTE / FACILITADOR"))</f>
        <v/>
      </c>
      <c r="G940" s="4" t="str">
        <f>IF(B940="","",IFERROR(VLOOKUP(B940, PLANTA_BASE!A:W, 9, FALSE), "GENERAL"))</f>
        <v/>
      </c>
      <c r="H940" s="2" t="str">
        <f>IF(B940="","",IFERROR(VLOOKUP(B940, PLANTA_BASE!A:W, 17, FALSE), "GENERAL"))</f>
        <v/>
      </c>
    </row>
    <row r="941" spans="1:8" ht="20.100000000000001" customHeight="1" x14ac:dyDescent="0.25">
      <c r="A941" s="5" t="str">
        <f>IF(B941="","",IFERROR(VLOOKUP(B941, PLANTA_BASE!A:W, 2, FALSE), "NO ENCONTRADO EN PLANTA"))</f>
        <v/>
      </c>
      <c r="B941" s="6"/>
      <c r="C941" s="7" t="str">
        <f>IF(B941="","",IFERROR(VLOOKUP(B941, PLANTA_BASE!A:W, 3, FALSE), ""))</f>
        <v/>
      </c>
      <c r="D941" s="5" t="str">
        <f>IF(B941="","",IFERROR(VLOOKUP(B941, PLANTA_BASE!A:W, 5, FALSE), "NO ENCONTRADO EN PLANTA"))</f>
        <v/>
      </c>
      <c r="E941" s="5" t="str">
        <f>IF(B941="","",IFERROR(VLOOKUP(B941, PLANTA_BASE!A:W, 6, FALSE), "NO ENCONTRADO EN PLANTA"))</f>
        <v/>
      </c>
      <c r="F941" s="7" t="str">
        <f>IF(B941="","",IFERROR(VLOOKUP(B941, PLANTA_BASE!A:W, 8, FALSE), "DOCENTE / FACILITADOR"))</f>
        <v/>
      </c>
      <c r="G941" s="7" t="str">
        <f>IF(B941="","",IFERROR(VLOOKUP(B941, PLANTA_BASE!A:W, 9, FALSE), "GENERAL"))</f>
        <v/>
      </c>
      <c r="H941" s="5" t="str">
        <f>IF(B941="","",IFERROR(VLOOKUP(B941, PLANTA_BASE!A:W, 17, FALSE), "GENERAL"))</f>
        <v/>
      </c>
    </row>
    <row r="942" spans="1:8" ht="20.100000000000001" customHeight="1" x14ac:dyDescent="0.25">
      <c r="A942" s="2" t="str">
        <f>IF(B942="","",IFERROR(VLOOKUP(B942, PLANTA_BASE!A:W, 2, FALSE), "NO ENCONTRADO EN PLANTA"))</f>
        <v/>
      </c>
      <c r="B942" s="3"/>
      <c r="C942" s="4" t="str">
        <f>IF(B942="","",IFERROR(VLOOKUP(B942, PLANTA_BASE!A:W, 3, FALSE), ""))</f>
        <v/>
      </c>
      <c r="D942" s="2" t="str">
        <f>IF(B942="","",IFERROR(VLOOKUP(B942, PLANTA_BASE!A:W, 5, FALSE), "NO ENCONTRADO EN PLANTA"))</f>
        <v/>
      </c>
      <c r="E942" s="2" t="str">
        <f>IF(B942="","",IFERROR(VLOOKUP(B942, PLANTA_BASE!A:W, 6, FALSE), "NO ENCONTRADO EN PLANTA"))</f>
        <v/>
      </c>
      <c r="F942" s="4" t="str">
        <f>IF(B942="","",IFERROR(VLOOKUP(B942, PLANTA_BASE!A:W, 8, FALSE), "DOCENTE / FACILITADOR"))</f>
        <v/>
      </c>
      <c r="G942" s="4" t="str">
        <f>IF(B942="","",IFERROR(VLOOKUP(B942, PLANTA_BASE!A:W, 9, FALSE), "GENERAL"))</f>
        <v/>
      </c>
      <c r="H942" s="2" t="str">
        <f>IF(B942="","",IFERROR(VLOOKUP(B942, PLANTA_BASE!A:W, 17, FALSE), "GENERAL"))</f>
        <v/>
      </c>
    </row>
    <row r="943" spans="1:8" ht="20.100000000000001" customHeight="1" x14ac:dyDescent="0.25">
      <c r="A943" s="5" t="str">
        <f>IF(B943="","",IFERROR(VLOOKUP(B943, PLANTA_BASE!A:W, 2, FALSE), "NO ENCONTRADO EN PLANTA"))</f>
        <v/>
      </c>
      <c r="B943" s="6"/>
      <c r="C943" s="7" t="str">
        <f>IF(B943="","",IFERROR(VLOOKUP(B943, PLANTA_BASE!A:W, 3, FALSE), ""))</f>
        <v/>
      </c>
      <c r="D943" s="5" t="str">
        <f>IF(B943="","",IFERROR(VLOOKUP(B943, PLANTA_BASE!A:W, 5, FALSE), "NO ENCONTRADO EN PLANTA"))</f>
        <v/>
      </c>
      <c r="E943" s="5" t="str">
        <f>IF(B943="","",IFERROR(VLOOKUP(B943, PLANTA_BASE!A:W, 6, FALSE), "NO ENCONTRADO EN PLANTA"))</f>
        <v/>
      </c>
      <c r="F943" s="7" t="str">
        <f>IF(B943="","",IFERROR(VLOOKUP(B943, PLANTA_BASE!A:W, 8, FALSE), "DOCENTE / FACILITADOR"))</f>
        <v/>
      </c>
      <c r="G943" s="7" t="str">
        <f>IF(B943="","",IFERROR(VLOOKUP(B943, PLANTA_BASE!A:W, 9, FALSE), "GENERAL"))</f>
        <v/>
      </c>
      <c r="H943" s="5" t="str">
        <f>IF(B943="","",IFERROR(VLOOKUP(B943, PLANTA_BASE!A:W, 17, FALSE), "GENERAL"))</f>
        <v/>
      </c>
    </row>
    <row r="944" spans="1:8" ht="20.100000000000001" customHeight="1" x14ac:dyDescent="0.25">
      <c r="A944" s="2" t="str">
        <f>IF(B944="","",IFERROR(VLOOKUP(B944, PLANTA_BASE!A:W, 2, FALSE), "NO ENCONTRADO EN PLANTA"))</f>
        <v/>
      </c>
      <c r="B944" s="3"/>
      <c r="C944" s="4" t="str">
        <f>IF(B944="","",IFERROR(VLOOKUP(B944, PLANTA_BASE!A:W, 3, FALSE), ""))</f>
        <v/>
      </c>
      <c r="D944" s="2" t="str">
        <f>IF(B944="","",IFERROR(VLOOKUP(B944, PLANTA_BASE!A:W, 5, FALSE), "NO ENCONTRADO EN PLANTA"))</f>
        <v/>
      </c>
      <c r="E944" s="2" t="str">
        <f>IF(B944="","",IFERROR(VLOOKUP(B944, PLANTA_BASE!A:W, 6, FALSE), "NO ENCONTRADO EN PLANTA"))</f>
        <v/>
      </c>
      <c r="F944" s="4" t="str">
        <f>IF(B944="","",IFERROR(VLOOKUP(B944, PLANTA_BASE!A:W, 8, FALSE), "DOCENTE / FACILITADOR"))</f>
        <v/>
      </c>
      <c r="G944" s="4" t="str">
        <f>IF(B944="","",IFERROR(VLOOKUP(B944, PLANTA_BASE!A:W, 9, FALSE), "GENERAL"))</f>
        <v/>
      </c>
      <c r="H944" s="2" t="str">
        <f>IF(B944="","",IFERROR(VLOOKUP(B944, PLANTA_BASE!A:W, 17, FALSE), "GENERAL"))</f>
        <v/>
      </c>
    </row>
    <row r="945" spans="1:8" ht="20.100000000000001" customHeight="1" x14ac:dyDescent="0.25">
      <c r="A945" s="5" t="str">
        <f>IF(B945="","",IFERROR(VLOOKUP(B945, PLANTA_BASE!A:W, 2, FALSE), "NO ENCONTRADO EN PLANTA"))</f>
        <v/>
      </c>
      <c r="B945" s="6"/>
      <c r="C945" s="7" t="str">
        <f>IF(B945="","",IFERROR(VLOOKUP(B945, PLANTA_BASE!A:W, 3, FALSE), ""))</f>
        <v/>
      </c>
      <c r="D945" s="5" t="str">
        <f>IF(B945="","",IFERROR(VLOOKUP(B945, PLANTA_BASE!A:W, 5, FALSE), "NO ENCONTRADO EN PLANTA"))</f>
        <v/>
      </c>
      <c r="E945" s="5" t="str">
        <f>IF(B945="","",IFERROR(VLOOKUP(B945, PLANTA_BASE!A:W, 6, FALSE), "NO ENCONTRADO EN PLANTA"))</f>
        <v/>
      </c>
      <c r="F945" s="7" t="str">
        <f>IF(B945="","",IFERROR(VLOOKUP(B945, PLANTA_BASE!A:W, 8, FALSE), "DOCENTE / FACILITADOR"))</f>
        <v/>
      </c>
      <c r="G945" s="7" t="str">
        <f>IF(B945="","",IFERROR(VLOOKUP(B945, PLANTA_BASE!A:W, 9, FALSE), "GENERAL"))</f>
        <v/>
      </c>
      <c r="H945" s="5" t="str">
        <f>IF(B945="","",IFERROR(VLOOKUP(B945, PLANTA_BASE!A:W, 17, FALSE), "GENERAL"))</f>
        <v/>
      </c>
    </row>
    <row r="946" spans="1:8" ht="20.100000000000001" customHeight="1" x14ac:dyDescent="0.25">
      <c r="A946" s="2" t="str">
        <f>IF(B946="","",IFERROR(VLOOKUP(B946, PLANTA_BASE!A:W, 2, FALSE), "NO ENCONTRADO EN PLANTA"))</f>
        <v/>
      </c>
      <c r="B946" s="3"/>
      <c r="C946" s="4" t="str">
        <f>IF(B946="","",IFERROR(VLOOKUP(B946, PLANTA_BASE!A:W, 3, FALSE), ""))</f>
        <v/>
      </c>
      <c r="D946" s="2" t="str">
        <f>IF(B946="","",IFERROR(VLOOKUP(B946, PLANTA_BASE!A:W, 5, FALSE), "NO ENCONTRADO EN PLANTA"))</f>
        <v/>
      </c>
      <c r="E946" s="2" t="str">
        <f>IF(B946="","",IFERROR(VLOOKUP(B946, PLANTA_BASE!A:W, 6, FALSE), "NO ENCONTRADO EN PLANTA"))</f>
        <v/>
      </c>
      <c r="F946" s="4" t="str">
        <f>IF(B946="","",IFERROR(VLOOKUP(B946, PLANTA_BASE!A:W, 8, FALSE), "DOCENTE / FACILITADOR"))</f>
        <v/>
      </c>
      <c r="G946" s="4" t="str">
        <f>IF(B946="","",IFERROR(VLOOKUP(B946, PLANTA_BASE!A:W, 9, FALSE), "GENERAL"))</f>
        <v/>
      </c>
      <c r="H946" s="2" t="str">
        <f>IF(B946="","",IFERROR(VLOOKUP(B946, PLANTA_BASE!A:W, 17, FALSE), "GENERAL"))</f>
        <v/>
      </c>
    </row>
    <row r="947" spans="1:8" ht="20.100000000000001" customHeight="1" x14ac:dyDescent="0.25">
      <c r="A947" s="5" t="str">
        <f>IF(B947="","",IFERROR(VLOOKUP(B947, PLANTA_BASE!A:W, 2, FALSE), "NO ENCONTRADO EN PLANTA"))</f>
        <v/>
      </c>
      <c r="B947" s="6"/>
      <c r="C947" s="7" t="str">
        <f>IF(B947="","",IFERROR(VLOOKUP(B947, PLANTA_BASE!A:W, 3, FALSE), ""))</f>
        <v/>
      </c>
      <c r="D947" s="5" t="str">
        <f>IF(B947="","",IFERROR(VLOOKUP(B947, PLANTA_BASE!A:W, 5, FALSE), "NO ENCONTRADO EN PLANTA"))</f>
        <v/>
      </c>
      <c r="E947" s="5" t="str">
        <f>IF(B947="","",IFERROR(VLOOKUP(B947, PLANTA_BASE!A:W, 6, FALSE), "NO ENCONTRADO EN PLANTA"))</f>
        <v/>
      </c>
      <c r="F947" s="7" t="str">
        <f>IF(B947="","",IFERROR(VLOOKUP(B947, PLANTA_BASE!A:W, 8, FALSE), "DOCENTE / FACILITADOR"))</f>
        <v/>
      </c>
      <c r="G947" s="7" t="str">
        <f>IF(B947="","",IFERROR(VLOOKUP(B947, PLANTA_BASE!A:W, 9, FALSE), "GENERAL"))</f>
        <v/>
      </c>
      <c r="H947" s="5" t="str">
        <f>IF(B947="","",IFERROR(VLOOKUP(B947, PLANTA_BASE!A:W, 17, FALSE), "GENERAL"))</f>
        <v/>
      </c>
    </row>
    <row r="948" spans="1:8" ht="20.100000000000001" customHeight="1" x14ac:dyDescent="0.25">
      <c r="A948" s="2" t="str">
        <f>IF(B948="","",IFERROR(VLOOKUP(B948, PLANTA_BASE!A:W, 2, FALSE), "NO ENCONTRADO EN PLANTA"))</f>
        <v/>
      </c>
      <c r="B948" s="3"/>
      <c r="C948" s="4" t="str">
        <f>IF(B948="","",IFERROR(VLOOKUP(B948, PLANTA_BASE!A:W, 3, FALSE), ""))</f>
        <v/>
      </c>
      <c r="D948" s="2" t="str">
        <f>IF(B948="","",IFERROR(VLOOKUP(B948, PLANTA_BASE!A:W, 5, FALSE), "NO ENCONTRADO EN PLANTA"))</f>
        <v/>
      </c>
      <c r="E948" s="2" t="str">
        <f>IF(B948="","",IFERROR(VLOOKUP(B948, PLANTA_BASE!A:W, 6, FALSE), "NO ENCONTRADO EN PLANTA"))</f>
        <v/>
      </c>
      <c r="F948" s="4" t="str">
        <f>IF(B948="","",IFERROR(VLOOKUP(B948, PLANTA_BASE!A:W, 8, FALSE), "DOCENTE / FACILITADOR"))</f>
        <v/>
      </c>
      <c r="G948" s="4" t="str">
        <f>IF(B948="","",IFERROR(VLOOKUP(B948, PLANTA_BASE!A:W, 9, FALSE), "GENERAL"))</f>
        <v/>
      </c>
      <c r="H948" s="2" t="str">
        <f>IF(B948="","",IFERROR(VLOOKUP(B948, PLANTA_BASE!A:W, 17, FALSE), "GENERAL"))</f>
        <v/>
      </c>
    </row>
    <row r="949" spans="1:8" ht="20.100000000000001" customHeight="1" x14ac:dyDescent="0.25">
      <c r="A949" s="5" t="str">
        <f>IF(B949="","",IFERROR(VLOOKUP(B949, PLANTA_BASE!A:W, 2, FALSE), "NO ENCONTRADO EN PLANTA"))</f>
        <v/>
      </c>
      <c r="B949" s="6"/>
      <c r="C949" s="7" t="str">
        <f>IF(B949="","",IFERROR(VLOOKUP(B949, PLANTA_BASE!A:W, 3, FALSE), ""))</f>
        <v/>
      </c>
      <c r="D949" s="5" t="str">
        <f>IF(B949="","",IFERROR(VLOOKUP(B949, PLANTA_BASE!A:W, 5, FALSE), "NO ENCONTRADO EN PLANTA"))</f>
        <v/>
      </c>
      <c r="E949" s="5" t="str">
        <f>IF(B949="","",IFERROR(VLOOKUP(B949, PLANTA_BASE!A:W, 6, FALSE), "NO ENCONTRADO EN PLANTA"))</f>
        <v/>
      </c>
      <c r="F949" s="7" t="str">
        <f>IF(B949="","",IFERROR(VLOOKUP(B949, PLANTA_BASE!A:W, 8, FALSE), "DOCENTE / FACILITADOR"))</f>
        <v/>
      </c>
      <c r="G949" s="7" t="str">
        <f>IF(B949="","",IFERROR(VLOOKUP(B949, PLANTA_BASE!A:W, 9, FALSE), "GENERAL"))</f>
        <v/>
      </c>
      <c r="H949" s="5" t="str">
        <f>IF(B949="","",IFERROR(VLOOKUP(B949, PLANTA_BASE!A:W, 17, FALSE), "GENERAL"))</f>
        <v/>
      </c>
    </row>
    <row r="950" spans="1:8" ht="20.100000000000001" customHeight="1" x14ac:dyDescent="0.25">
      <c r="A950" s="2" t="str">
        <f>IF(B950="","",IFERROR(VLOOKUP(B950, PLANTA_BASE!A:W, 2, FALSE), "NO ENCONTRADO EN PLANTA"))</f>
        <v/>
      </c>
      <c r="B950" s="3"/>
      <c r="C950" s="4" t="str">
        <f>IF(B950="","",IFERROR(VLOOKUP(B950, PLANTA_BASE!A:W, 3, FALSE), ""))</f>
        <v/>
      </c>
      <c r="D950" s="2" t="str">
        <f>IF(B950="","",IFERROR(VLOOKUP(B950, PLANTA_BASE!A:W, 5, FALSE), "NO ENCONTRADO EN PLANTA"))</f>
        <v/>
      </c>
      <c r="E950" s="2" t="str">
        <f>IF(B950="","",IFERROR(VLOOKUP(B950, PLANTA_BASE!A:W, 6, FALSE), "NO ENCONTRADO EN PLANTA"))</f>
        <v/>
      </c>
      <c r="F950" s="4" t="str">
        <f>IF(B950="","",IFERROR(VLOOKUP(B950, PLANTA_BASE!A:W, 8, FALSE), "DOCENTE / FACILITADOR"))</f>
        <v/>
      </c>
      <c r="G950" s="4" t="str">
        <f>IF(B950="","",IFERROR(VLOOKUP(B950, PLANTA_BASE!A:W, 9, FALSE), "GENERAL"))</f>
        <v/>
      </c>
      <c r="H950" s="2" t="str">
        <f>IF(B950="","",IFERROR(VLOOKUP(B950, PLANTA_BASE!A:W, 17, FALSE), "GENERAL"))</f>
        <v/>
      </c>
    </row>
    <row r="951" spans="1:8" ht="20.100000000000001" customHeight="1" x14ac:dyDescent="0.25">
      <c r="A951" s="5" t="str">
        <f>IF(B951="","",IFERROR(VLOOKUP(B951, PLANTA_BASE!A:W, 2, FALSE), "NO ENCONTRADO EN PLANTA"))</f>
        <v/>
      </c>
      <c r="B951" s="6"/>
      <c r="C951" s="7" t="str">
        <f>IF(B951="","",IFERROR(VLOOKUP(B951, PLANTA_BASE!A:W, 3, FALSE), ""))</f>
        <v/>
      </c>
      <c r="D951" s="5" t="str">
        <f>IF(B951="","",IFERROR(VLOOKUP(B951, PLANTA_BASE!A:W, 5, FALSE), "NO ENCONTRADO EN PLANTA"))</f>
        <v/>
      </c>
      <c r="E951" s="5" t="str">
        <f>IF(B951="","",IFERROR(VLOOKUP(B951, PLANTA_BASE!A:W, 6, FALSE), "NO ENCONTRADO EN PLANTA"))</f>
        <v/>
      </c>
      <c r="F951" s="7" t="str">
        <f>IF(B951="","",IFERROR(VLOOKUP(B951, PLANTA_BASE!A:W, 8, FALSE), "DOCENTE / FACILITADOR"))</f>
        <v/>
      </c>
      <c r="G951" s="7" t="str">
        <f>IF(B951="","",IFERROR(VLOOKUP(B951, PLANTA_BASE!A:W, 9, FALSE), "GENERAL"))</f>
        <v/>
      </c>
      <c r="H951" s="5" t="str">
        <f>IF(B951="","",IFERROR(VLOOKUP(B951, PLANTA_BASE!A:W, 17, FALSE), "GENERAL"))</f>
        <v/>
      </c>
    </row>
    <row r="952" spans="1:8" ht="20.100000000000001" customHeight="1" x14ac:dyDescent="0.25">
      <c r="A952" s="2" t="str">
        <f>IF(B952="","",IFERROR(VLOOKUP(B952, PLANTA_BASE!A:W, 2, FALSE), "NO ENCONTRADO EN PLANTA"))</f>
        <v/>
      </c>
      <c r="B952" s="3"/>
      <c r="C952" s="4" t="str">
        <f>IF(B952="","",IFERROR(VLOOKUP(B952, PLANTA_BASE!A:W, 3, FALSE), ""))</f>
        <v/>
      </c>
      <c r="D952" s="2" t="str">
        <f>IF(B952="","",IFERROR(VLOOKUP(B952, PLANTA_BASE!A:W, 5, FALSE), "NO ENCONTRADO EN PLANTA"))</f>
        <v/>
      </c>
      <c r="E952" s="2" t="str">
        <f>IF(B952="","",IFERROR(VLOOKUP(B952, PLANTA_BASE!A:W, 6, FALSE), "NO ENCONTRADO EN PLANTA"))</f>
        <v/>
      </c>
      <c r="F952" s="4" t="str">
        <f>IF(B952="","",IFERROR(VLOOKUP(B952, PLANTA_BASE!A:W, 8, FALSE), "DOCENTE / FACILITADOR"))</f>
        <v/>
      </c>
      <c r="G952" s="4" t="str">
        <f>IF(B952="","",IFERROR(VLOOKUP(B952, PLANTA_BASE!A:W, 9, FALSE), "GENERAL"))</f>
        <v/>
      </c>
      <c r="H952" s="2" t="str">
        <f>IF(B952="","",IFERROR(VLOOKUP(B952, PLANTA_BASE!A:W, 17, FALSE), "GENERAL"))</f>
        <v/>
      </c>
    </row>
    <row r="953" spans="1:8" ht="20.100000000000001" customHeight="1" x14ac:dyDescent="0.25">
      <c r="A953" s="5" t="str">
        <f>IF(B953="","",IFERROR(VLOOKUP(B953, PLANTA_BASE!A:W, 2, FALSE), "NO ENCONTRADO EN PLANTA"))</f>
        <v/>
      </c>
      <c r="B953" s="6"/>
      <c r="C953" s="7" t="str">
        <f>IF(B953="","",IFERROR(VLOOKUP(B953, PLANTA_BASE!A:W, 3, FALSE), ""))</f>
        <v/>
      </c>
      <c r="D953" s="5" t="str">
        <f>IF(B953="","",IFERROR(VLOOKUP(B953, PLANTA_BASE!A:W, 5, FALSE), "NO ENCONTRADO EN PLANTA"))</f>
        <v/>
      </c>
      <c r="E953" s="5" t="str">
        <f>IF(B953="","",IFERROR(VLOOKUP(B953, PLANTA_BASE!A:W, 6, FALSE), "NO ENCONTRADO EN PLANTA"))</f>
        <v/>
      </c>
      <c r="F953" s="7" t="str">
        <f>IF(B953="","",IFERROR(VLOOKUP(B953, PLANTA_BASE!A:W, 8, FALSE), "DOCENTE / FACILITADOR"))</f>
        <v/>
      </c>
      <c r="G953" s="7" t="str">
        <f>IF(B953="","",IFERROR(VLOOKUP(B953, PLANTA_BASE!A:W, 9, FALSE), "GENERAL"))</f>
        <v/>
      </c>
      <c r="H953" s="5" t="str">
        <f>IF(B953="","",IFERROR(VLOOKUP(B953, PLANTA_BASE!A:W, 17, FALSE), "GENERAL"))</f>
        <v/>
      </c>
    </row>
    <row r="954" spans="1:8" ht="20.100000000000001" customHeight="1" x14ac:dyDescent="0.25">
      <c r="A954" s="2" t="str">
        <f>IF(B954="","",IFERROR(VLOOKUP(B954, PLANTA_BASE!A:W, 2, FALSE), "NO ENCONTRADO EN PLANTA"))</f>
        <v/>
      </c>
      <c r="B954" s="3"/>
      <c r="C954" s="4" t="str">
        <f>IF(B954="","",IFERROR(VLOOKUP(B954, PLANTA_BASE!A:W, 3, FALSE), ""))</f>
        <v/>
      </c>
      <c r="D954" s="2" t="str">
        <f>IF(B954="","",IFERROR(VLOOKUP(B954, PLANTA_BASE!A:W, 5, FALSE), "NO ENCONTRADO EN PLANTA"))</f>
        <v/>
      </c>
      <c r="E954" s="2" t="str">
        <f>IF(B954="","",IFERROR(VLOOKUP(B954, PLANTA_BASE!A:W, 6, FALSE), "NO ENCONTRADO EN PLANTA"))</f>
        <v/>
      </c>
      <c r="F954" s="4" t="str">
        <f>IF(B954="","",IFERROR(VLOOKUP(B954, PLANTA_BASE!A:W, 8, FALSE), "DOCENTE / FACILITADOR"))</f>
        <v/>
      </c>
      <c r="G954" s="4" t="str">
        <f>IF(B954="","",IFERROR(VLOOKUP(B954, PLANTA_BASE!A:W, 9, FALSE), "GENERAL"))</f>
        <v/>
      </c>
      <c r="H954" s="2" t="str">
        <f>IF(B954="","",IFERROR(VLOOKUP(B954, PLANTA_BASE!A:W, 17, FALSE), "GENERAL"))</f>
        <v/>
      </c>
    </row>
    <row r="955" spans="1:8" ht="20.100000000000001" customHeight="1" x14ac:dyDescent="0.25">
      <c r="A955" s="5" t="str">
        <f>IF(B955="","",IFERROR(VLOOKUP(B955, PLANTA_BASE!A:W, 2, FALSE), "NO ENCONTRADO EN PLANTA"))</f>
        <v/>
      </c>
      <c r="B955" s="6"/>
      <c r="C955" s="7" t="str">
        <f>IF(B955="","",IFERROR(VLOOKUP(B955, PLANTA_BASE!A:W, 3, FALSE), ""))</f>
        <v/>
      </c>
      <c r="D955" s="5" t="str">
        <f>IF(B955="","",IFERROR(VLOOKUP(B955, PLANTA_BASE!A:W, 5, FALSE), "NO ENCONTRADO EN PLANTA"))</f>
        <v/>
      </c>
      <c r="E955" s="5" t="str">
        <f>IF(B955="","",IFERROR(VLOOKUP(B955, PLANTA_BASE!A:W, 6, FALSE), "NO ENCONTRADO EN PLANTA"))</f>
        <v/>
      </c>
      <c r="F955" s="7" t="str">
        <f>IF(B955="","",IFERROR(VLOOKUP(B955, PLANTA_BASE!A:W, 8, FALSE), "DOCENTE / FACILITADOR"))</f>
        <v/>
      </c>
      <c r="G955" s="7" t="str">
        <f>IF(B955="","",IFERROR(VLOOKUP(B955, PLANTA_BASE!A:W, 9, FALSE), "GENERAL"))</f>
        <v/>
      </c>
      <c r="H955" s="5" t="str">
        <f>IF(B955="","",IFERROR(VLOOKUP(B955, PLANTA_BASE!A:W, 17, FALSE), "GENERAL"))</f>
        <v/>
      </c>
    </row>
    <row r="956" spans="1:8" ht="20.100000000000001" customHeight="1" x14ac:dyDescent="0.25">
      <c r="A956" s="2" t="str">
        <f>IF(B956="","",IFERROR(VLOOKUP(B956, PLANTA_BASE!A:W, 2, FALSE), "NO ENCONTRADO EN PLANTA"))</f>
        <v/>
      </c>
      <c r="B956" s="3"/>
      <c r="C956" s="4" t="str">
        <f>IF(B956="","",IFERROR(VLOOKUP(B956, PLANTA_BASE!A:W, 3, FALSE), ""))</f>
        <v/>
      </c>
      <c r="D956" s="2" t="str">
        <f>IF(B956="","",IFERROR(VLOOKUP(B956, PLANTA_BASE!A:W, 5, FALSE), "NO ENCONTRADO EN PLANTA"))</f>
        <v/>
      </c>
      <c r="E956" s="2" t="str">
        <f>IF(B956="","",IFERROR(VLOOKUP(B956, PLANTA_BASE!A:W, 6, FALSE), "NO ENCONTRADO EN PLANTA"))</f>
        <v/>
      </c>
      <c r="F956" s="4" t="str">
        <f>IF(B956="","",IFERROR(VLOOKUP(B956, PLANTA_BASE!A:W, 8, FALSE), "DOCENTE / FACILITADOR"))</f>
        <v/>
      </c>
      <c r="G956" s="4" t="str">
        <f>IF(B956="","",IFERROR(VLOOKUP(B956, PLANTA_BASE!A:W, 9, FALSE), "GENERAL"))</f>
        <v/>
      </c>
      <c r="H956" s="2" t="str">
        <f>IF(B956="","",IFERROR(VLOOKUP(B956, PLANTA_BASE!A:W, 17, FALSE), "GENERAL"))</f>
        <v/>
      </c>
    </row>
    <row r="957" spans="1:8" ht="20.100000000000001" customHeight="1" x14ac:dyDescent="0.25">
      <c r="A957" s="5" t="str">
        <f>IF(B957="","",IFERROR(VLOOKUP(B957, PLANTA_BASE!A:W, 2, FALSE), "NO ENCONTRADO EN PLANTA"))</f>
        <v/>
      </c>
      <c r="B957" s="6"/>
      <c r="C957" s="7" t="str">
        <f>IF(B957="","",IFERROR(VLOOKUP(B957, PLANTA_BASE!A:W, 3, FALSE), ""))</f>
        <v/>
      </c>
      <c r="D957" s="5" t="str">
        <f>IF(B957="","",IFERROR(VLOOKUP(B957, PLANTA_BASE!A:W, 5, FALSE), "NO ENCONTRADO EN PLANTA"))</f>
        <v/>
      </c>
      <c r="E957" s="5" t="str">
        <f>IF(B957="","",IFERROR(VLOOKUP(B957, PLANTA_BASE!A:W, 6, FALSE), "NO ENCONTRADO EN PLANTA"))</f>
        <v/>
      </c>
      <c r="F957" s="7" t="str">
        <f>IF(B957="","",IFERROR(VLOOKUP(B957, PLANTA_BASE!A:W, 8, FALSE), "DOCENTE / FACILITADOR"))</f>
        <v/>
      </c>
      <c r="G957" s="7" t="str">
        <f>IF(B957="","",IFERROR(VLOOKUP(B957, PLANTA_BASE!A:W, 9, FALSE), "GENERAL"))</f>
        <v/>
      </c>
      <c r="H957" s="5" t="str">
        <f>IF(B957="","",IFERROR(VLOOKUP(B957, PLANTA_BASE!A:W, 17, FALSE), "GENERAL"))</f>
        <v/>
      </c>
    </row>
    <row r="958" spans="1:8" ht="20.100000000000001" customHeight="1" x14ac:dyDescent="0.25">
      <c r="A958" s="2" t="str">
        <f>IF(B958="","",IFERROR(VLOOKUP(B958, PLANTA_BASE!A:W, 2, FALSE), "NO ENCONTRADO EN PLANTA"))</f>
        <v/>
      </c>
      <c r="B958" s="3"/>
      <c r="C958" s="4" t="str">
        <f>IF(B958="","",IFERROR(VLOOKUP(B958, PLANTA_BASE!A:W, 3, FALSE), ""))</f>
        <v/>
      </c>
      <c r="D958" s="2" t="str">
        <f>IF(B958="","",IFERROR(VLOOKUP(B958, PLANTA_BASE!A:W, 5, FALSE), "NO ENCONTRADO EN PLANTA"))</f>
        <v/>
      </c>
      <c r="E958" s="2" t="str">
        <f>IF(B958="","",IFERROR(VLOOKUP(B958, PLANTA_BASE!A:W, 6, FALSE), "NO ENCONTRADO EN PLANTA"))</f>
        <v/>
      </c>
      <c r="F958" s="4" t="str">
        <f>IF(B958="","",IFERROR(VLOOKUP(B958, PLANTA_BASE!A:W, 8, FALSE), "DOCENTE / FACILITADOR"))</f>
        <v/>
      </c>
      <c r="G958" s="4" t="str">
        <f>IF(B958="","",IFERROR(VLOOKUP(B958, PLANTA_BASE!A:W, 9, FALSE), "GENERAL"))</f>
        <v/>
      </c>
      <c r="H958" s="2" t="str">
        <f>IF(B958="","",IFERROR(VLOOKUP(B958, PLANTA_BASE!A:W, 17, FALSE), "GENERAL"))</f>
        <v/>
      </c>
    </row>
    <row r="959" spans="1:8" ht="20.100000000000001" customHeight="1" x14ac:dyDescent="0.25">
      <c r="A959" s="5" t="str">
        <f>IF(B959="","",IFERROR(VLOOKUP(B959, PLANTA_BASE!A:W, 2, FALSE), "NO ENCONTRADO EN PLANTA"))</f>
        <v/>
      </c>
      <c r="B959" s="6"/>
      <c r="C959" s="7" t="str">
        <f>IF(B959="","",IFERROR(VLOOKUP(B959, PLANTA_BASE!A:W, 3, FALSE), ""))</f>
        <v/>
      </c>
      <c r="D959" s="5" t="str">
        <f>IF(B959="","",IFERROR(VLOOKUP(B959, PLANTA_BASE!A:W, 5, FALSE), "NO ENCONTRADO EN PLANTA"))</f>
        <v/>
      </c>
      <c r="E959" s="5" t="str">
        <f>IF(B959="","",IFERROR(VLOOKUP(B959, PLANTA_BASE!A:W, 6, FALSE), "NO ENCONTRADO EN PLANTA"))</f>
        <v/>
      </c>
      <c r="F959" s="7" t="str">
        <f>IF(B959="","",IFERROR(VLOOKUP(B959, PLANTA_BASE!A:W, 8, FALSE), "DOCENTE / FACILITADOR"))</f>
        <v/>
      </c>
      <c r="G959" s="7" t="str">
        <f>IF(B959="","",IFERROR(VLOOKUP(B959, PLANTA_BASE!A:W, 9, FALSE), "GENERAL"))</f>
        <v/>
      </c>
      <c r="H959" s="5" t="str">
        <f>IF(B959="","",IFERROR(VLOOKUP(B959, PLANTA_BASE!A:W, 17, FALSE), "GENERAL"))</f>
        <v/>
      </c>
    </row>
    <row r="960" spans="1:8" ht="20.100000000000001" customHeight="1" x14ac:dyDescent="0.25">
      <c r="A960" s="2" t="str">
        <f>IF(B960="","",IFERROR(VLOOKUP(B960, PLANTA_BASE!A:W, 2, FALSE), "NO ENCONTRADO EN PLANTA"))</f>
        <v/>
      </c>
      <c r="B960" s="3"/>
      <c r="C960" s="4" t="str">
        <f>IF(B960="","",IFERROR(VLOOKUP(B960, PLANTA_BASE!A:W, 3, FALSE), ""))</f>
        <v/>
      </c>
      <c r="D960" s="2" t="str">
        <f>IF(B960="","",IFERROR(VLOOKUP(B960, PLANTA_BASE!A:W, 5, FALSE), "NO ENCONTRADO EN PLANTA"))</f>
        <v/>
      </c>
      <c r="E960" s="2" t="str">
        <f>IF(B960="","",IFERROR(VLOOKUP(B960, PLANTA_BASE!A:W, 6, FALSE), "NO ENCONTRADO EN PLANTA"))</f>
        <v/>
      </c>
      <c r="F960" s="4" t="str">
        <f>IF(B960="","",IFERROR(VLOOKUP(B960, PLANTA_BASE!A:W, 8, FALSE), "DOCENTE / FACILITADOR"))</f>
        <v/>
      </c>
      <c r="G960" s="4" t="str">
        <f>IF(B960="","",IFERROR(VLOOKUP(B960, PLANTA_BASE!A:W, 9, FALSE), "GENERAL"))</f>
        <v/>
      </c>
      <c r="H960" s="2" t="str">
        <f>IF(B960="","",IFERROR(VLOOKUP(B960, PLANTA_BASE!A:W, 17, FALSE), "GENERAL"))</f>
        <v/>
      </c>
    </row>
    <row r="961" spans="1:8" ht="20.100000000000001" customHeight="1" x14ac:dyDescent="0.25">
      <c r="A961" s="5" t="str">
        <f>IF(B961="","",IFERROR(VLOOKUP(B961, PLANTA_BASE!A:W, 2, FALSE), "NO ENCONTRADO EN PLANTA"))</f>
        <v/>
      </c>
      <c r="B961" s="6"/>
      <c r="C961" s="7" t="str">
        <f>IF(B961="","",IFERROR(VLOOKUP(B961, PLANTA_BASE!A:W, 3, FALSE), ""))</f>
        <v/>
      </c>
      <c r="D961" s="5" t="str">
        <f>IF(B961="","",IFERROR(VLOOKUP(B961, PLANTA_BASE!A:W, 5, FALSE), "NO ENCONTRADO EN PLANTA"))</f>
        <v/>
      </c>
      <c r="E961" s="5" t="str">
        <f>IF(B961="","",IFERROR(VLOOKUP(B961, PLANTA_BASE!A:W, 6, FALSE), "NO ENCONTRADO EN PLANTA"))</f>
        <v/>
      </c>
      <c r="F961" s="7" t="str">
        <f>IF(B961="","",IFERROR(VLOOKUP(B961, PLANTA_BASE!A:W, 8, FALSE), "DOCENTE / FACILITADOR"))</f>
        <v/>
      </c>
      <c r="G961" s="7" t="str">
        <f>IF(B961="","",IFERROR(VLOOKUP(B961, PLANTA_BASE!A:W, 9, FALSE), "GENERAL"))</f>
        <v/>
      </c>
      <c r="H961" s="5" t="str">
        <f>IF(B961="","",IFERROR(VLOOKUP(B961, PLANTA_BASE!A:W, 17, FALSE), "GENERAL"))</f>
        <v/>
      </c>
    </row>
    <row r="962" spans="1:8" ht="20.100000000000001" customHeight="1" x14ac:dyDescent="0.25">
      <c r="A962" s="2" t="str">
        <f>IF(B962="","",IFERROR(VLOOKUP(B962, PLANTA_BASE!A:W, 2, FALSE), "NO ENCONTRADO EN PLANTA"))</f>
        <v/>
      </c>
      <c r="B962" s="3"/>
      <c r="C962" s="4" t="str">
        <f>IF(B962="","",IFERROR(VLOOKUP(B962, PLANTA_BASE!A:W, 3, FALSE), ""))</f>
        <v/>
      </c>
      <c r="D962" s="2" t="str">
        <f>IF(B962="","",IFERROR(VLOOKUP(B962, PLANTA_BASE!A:W, 5, FALSE), "NO ENCONTRADO EN PLANTA"))</f>
        <v/>
      </c>
      <c r="E962" s="2" t="str">
        <f>IF(B962="","",IFERROR(VLOOKUP(B962, PLANTA_BASE!A:W, 6, FALSE), "NO ENCONTRADO EN PLANTA"))</f>
        <v/>
      </c>
      <c r="F962" s="4" t="str">
        <f>IF(B962="","",IFERROR(VLOOKUP(B962, PLANTA_BASE!A:W, 8, FALSE), "DOCENTE / FACILITADOR"))</f>
        <v/>
      </c>
      <c r="G962" s="4" t="str">
        <f>IF(B962="","",IFERROR(VLOOKUP(B962, PLANTA_BASE!A:W, 9, FALSE), "GENERAL"))</f>
        <v/>
      </c>
      <c r="H962" s="2" t="str">
        <f>IF(B962="","",IFERROR(VLOOKUP(B962, PLANTA_BASE!A:W, 17, FALSE), "GENERAL"))</f>
        <v/>
      </c>
    </row>
    <row r="963" spans="1:8" ht="20.100000000000001" customHeight="1" x14ac:dyDescent="0.25">
      <c r="A963" s="5" t="str">
        <f>IF(B963="","",IFERROR(VLOOKUP(B963, PLANTA_BASE!A:W, 2, FALSE), "NO ENCONTRADO EN PLANTA"))</f>
        <v/>
      </c>
      <c r="B963" s="6"/>
      <c r="C963" s="7" t="str">
        <f>IF(B963="","",IFERROR(VLOOKUP(B963, PLANTA_BASE!A:W, 3, FALSE), ""))</f>
        <v/>
      </c>
      <c r="D963" s="5" t="str">
        <f>IF(B963="","",IFERROR(VLOOKUP(B963, PLANTA_BASE!A:W, 5, FALSE), "NO ENCONTRADO EN PLANTA"))</f>
        <v/>
      </c>
      <c r="E963" s="5" t="str">
        <f>IF(B963="","",IFERROR(VLOOKUP(B963, PLANTA_BASE!A:W, 6, FALSE), "NO ENCONTRADO EN PLANTA"))</f>
        <v/>
      </c>
      <c r="F963" s="7" t="str">
        <f>IF(B963="","",IFERROR(VLOOKUP(B963, PLANTA_BASE!A:W, 8, FALSE), "DOCENTE / FACILITADOR"))</f>
        <v/>
      </c>
      <c r="G963" s="7" t="str">
        <f>IF(B963="","",IFERROR(VLOOKUP(B963, PLANTA_BASE!A:W, 9, FALSE), "GENERAL"))</f>
        <v/>
      </c>
      <c r="H963" s="5" t="str">
        <f>IF(B963="","",IFERROR(VLOOKUP(B963, PLANTA_BASE!A:W, 17, FALSE), "GENERAL"))</f>
        <v/>
      </c>
    </row>
    <row r="964" spans="1:8" ht="20.100000000000001" customHeight="1" x14ac:dyDescent="0.25">
      <c r="A964" s="2" t="str">
        <f>IF(B964="","",IFERROR(VLOOKUP(B964, PLANTA_BASE!A:W, 2, FALSE), "NO ENCONTRADO EN PLANTA"))</f>
        <v/>
      </c>
      <c r="B964" s="3"/>
      <c r="C964" s="4" t="str">
        <f>IF(B964="","",IFERROR(VLOOKUP(B964, PLANTA_BASE!A:W, 3, FALSE), ""))</f>
        <v/>
      </c>
      <c r="D964" s="2" t="str">
        <f>IF(B964="","",IFERROR(VLOOKUP(B964, PLANTA_BASE!A:W, 5, FALSE), "NO ENCONTRADO EN PLANTA"))</f>
        <v/>
      </c>
      <c r="E964" s="2" t="str">
        <f>IF(B964="","",IFERROR(VLOOKUP(B964, PLANTA_BASE!A:W, 6, FALSE), "NO ENCONTRADO EN PLANTA"))</f>
        <v/>
      </c>
      <c r="F964" s="4" t="str">
        <f>IF(B964="","",IFERROR(VLOOKUP(B964, PLANTA_BASE!A:W, 8, FALSE), "DOCENTE / FACILITADOR"))</f>
        <v/>
      </c>
      <c r="G964" s="4" t="str">
        <f>IF(B964="","",IFERROR(VLOOKUP(B964, PLANTA_BASE!A:W, 9, FALSE), "GENERAL"))</f>
        <v/>
      </c>
      <c r="H964" s="2" t="str">
        <f>IF(B964="","",IFERROR(VLOOKUP(B964, PLANTA_BASE!A:W, 17, FALSE), "GENERAL"))</f>
        <v/>
      </c>
    </row>
    <row r="965" spans="1:8" ht="20.100000000000001" customHeight="1" x14ac:dyDescent="0.25">
      <c r="A965" s="5" t="str">
        <f>IF(B965="","",IFERROR(VLOOKUP(B965, PLANTA_BASE!A:W, 2, FALSE), "NO ENCONTRADO EN PLANTA"))</f>
        <v/>
      </c>
      <c r="B965" s="6"/>
      <c r="C965" s="7" t="str">
        <f>IF(B965="","",IFERROR(VLOOKUP(B965, PLANTA_BASE!A:W, 3, FALSE), ""))</f>
        <v/>
      </c>
      <c r="D965" s="5" t="str">
        <f>IF(B965="","",IFERROR(VLOOKUP(B965, PLANTA_BASE!A:W, 5, FALSE), "NO ENCONTRADO EN PLANTA"))</f>
        <v/>
      </c>
      <c r="E965" s="5" t="str">
        <f>IF(B965="","",IFERROR(VLOOKUP(B965, PLANTA_BASE!A:W, 6, FALSE), "NO ENCONTRADO EN PLANTA"))</f>
        <v/>
      </c>
      <c r="F965" s="7" t="str">
        <f>IF(B965="","",IFERROR(VLOOKUP(B965, PLANTA_BASE!A:W, 8, FALSE), "DOCENTE / FACILITADOR"))</f>
        <v/>
      </c>
      <c r="G965" s="7" t="str">
        <f>IF(B965="","",IFERROR(VLOOKUP(B965, PLANTA_BASE!A:W, 9, FALSE), "GENERAL"))</f>
        <v/>
      </c>
      <c r="H965" s="5" t="str">
        <f>IF(B965="","",IFERROR(VLOOKUP(B965, PLANTA_BASE!A:W, 17, FALSE), "GENERAL"))</f>
        <v/>
      </c>
    </row>
    <row r="966" spans="1:8" ht="20.100000000000001" customHeight="1" x14ac:dyDescent="0.25">
      <c r="A966" s="2" t="str">
        <f>IF(B966="","",IFERROR(VLOOKUP(B966, PLANTA_BASE!A:W, 2, FALSE), "NO ENCONTRADO EN PLANTA"))</f>
        <v/>
      </c>
      <c r="B966" s="3"/>
      <c r="C966" s="4" t="str">
        <f>IF(B966="","",IFERROR(VLOOKUP(B966, PLANTA_BASE!A:W, 3, FALSE), ""))</f>
        <v/>
      </c>
      <c r="D966" s="2" t="str">
        <f>IF(B966="","",IFERROR(VLOOKUP(B966, PLANTA_BASE!A:W, 5, FALSE), "NO ENCONTRADO EN PLANTA"))</f>
        <v/>
      </c>
      <c r="E966" s="2" t="str">
        <f>IF(B966="","",IFERROR(VLOOKUP(B966, PLANTA_BASE!A:W, 6, FALSE), "NO ENCONTRADO EN PLANTA"))</f>
        <v/>
      </c>
      <c r="F966" s="4" t="str">
        <f>IF(B966="","",IFERROR(VLOOKUP(B966, PLANTA_BASE!A:W, 8, FALSE), "DOCENTE / FACILITADOR"))</f>
        <v/>
      </c>
      <c r="G966" s="4" t="str">
        <f>IF(B966="","",IFERROR(VLOOKUP(B966, PLANTA_BASE!A:W, 9, FALSE), "GENERAL"))</f>
        <v/>
      </c>
      <c r="H966" s="2" t="str">
        <f>IF(B966="","",IFERROR(VLOOKUP(B966, PLANTA_BASE!A:W, 17, FALSE), "GENERAL"))</f>
        <v/>
      </c>
    </row>
    <row r="967" spans="1:8" ht="20.100000000000001" customHeight="1" x14ac:dyDescent="0.25">
      <c r="A967" s="5" t="str">
        <f>IF(B967="","",IFERROR(VLOOKUP(B967, PLANTA_BASE!A:W, 2, FALSE), "NO ENCONTRADO EN PLANTA"))</f>
        <v/>
      </c>
      <c r="B967" s="6"/>
      <c r="C967" s="7" t="str">
        <f>IF(B967="","",IFERROR(VLOOKUP(B967, PLANTA_BASE!A:W, 3, FALSE), ""))</f>
        <v/>
      </c>
      <c r="D967" s="5" t="str">
        <f>IF(B967="","",IFERROR(VLOOKUP(B967, PLANTA_BASE!A:W, 5, FALSE), "NO ENCONTRADO EN PLANTA"))</f>
        <v/>
      </c>
      <c r="E967" s="5" t="str">
        <f>IF(B967="","",IFERROR(VLOOKUP(B967, PLANTA_BASE!A:W, 6, FALSE), "NO ENCONTRADO EN PLANTA"))</f>
        <v/>
      </c>
      <c r="F967" s="7" t="str">
        <f>IF(B967="","",IFERROR(VLOOKUP(B967, PLANTA_BASE!A:W, 8, FALSE), "DOCENTE / FACILITADOR"))</f>
        <v/>
      </c>
      <c r="G967" s="7" t="str">
        <f>IF(B967="","",IFERROR(VLOOKUP(B967, PLANTA_BASE!A:W, 9, FALSE), "GENERAL"))</f>
        <v/>
      </c>
      <c r="H967" s="5" t="str">
        <f>IF(B967="","",IFERROR(VLOOKUP(B967, PLANTA_BASE!A:W, 17, FALSE), "GENERAL"))</f>
        <v/>
      </c>
    </row>
    <row r="968" spans="1:8" ht="20.100000000000001" customHeight="1" x14ac:dyDescent="0.25">
      <c r="A968" s="2" t="str">
        <f>IF(B968="","",IFERROR(VLOOKUP(B968, PLANTA_BASE!A:W, 2, FALSE), "NO ENCONTRADO EN PLANTA"))</f>
        <v/>
      </c>
      <c r="B968" s="3"/>
      <c r="C968" s="4" t="str">
        <f>IF(B968="","",IFERROR(VLOOKUP(B968, PLANTA_BASE!A:W, 3, FALSE), ""))</f>
        <v/>
      </c>
      <c r="D968" s="2" t="str">
        <f>IF(B968="","",IFERROR(VLOOKUP(B968, PLANTA_BASE!A:W, 5, FALSE), "NO ENCONTRADO EN PLANTA"))</f>
        <v/>
      </c>
      <c r="E968" s="2" t="str">
        <f>IF(B968="","",IFERROR(VLOOKUP(B968, PLANTA_BASE!A:W, 6, FALSE), "NO ENCONTRADO EN PLANTA"))</f>
        <v/>
      </c>
      <c r="F968" s="4" t="str">
        <f>IF(B968="","",IFERROR(VLOOKUP(B968, PLANTA_BASE!A:W, 8, FALSE), "DOCENTE / FACILITADOR"))</f>
        <v/>
      </c>
      <c r="G968" s="4" t="str">
        <f>IF(B968="","",IFERROR(VLOOKUP(B968, PLANTA_BASE!A:W, 9, FALSE), "GENERAL"))</f>
        <v/>
      </c>
      <c r="H968" s="2" t="str">
        <f>IF(B968="","",IFERROR(VLOOKUP(B968, PLANTA_BASE!A:W, 17, FALSE), "GENERAL"))</f>
        <v/>
      </c>
    </row>
    <row r="969" spans="1:8" ht="20.100000000000001" customHeight="1" x14ac:dyDescent="0.25">
      <c r="A969" s="5" t="str">
        <f>IF(B969="","",IFERROR(VLOOKUP(B969, PLANTA_BASE!A:W, 2, FALSE), "NO ENCONTRADO EN PLANTA"))</f>
        <v/>
      </c>
      <c r="B969" s="6"/>
      <c r="C969" s="7" t="str">
        <f>IF(B969="","",IFERROR(VLOOKUP(B969, PLANTA_BASE!A:W, 3, FALSE), ""))</f>
        <v/>
      </c>
      <c r="D969" s="5" t="str">
        <f>IF(B969="","",IFERROR(VLOOKUP(B969, PLANTA_BASE!A:W, 5, FALSE), "NO ENCONTRADO EN PLANTA"))</f>
        <v/>
      </c>
      <c r="E969" s="5" t="str">
        <f>IF(B969="","",IFERROR(VLOOKUP(B969, PLANTA_BASE!A:W, 6, FALSE), "NO ENCONTRADO EN PLANTA"))</f>
        <v/>
      </c>
      <c r="F969" s="7" t="str">
        <f>IF(B969="","",IFERROR(VLOOKUP(B969, PLANTA_BASE!A:W, 8, FALSE), "DOCENTE / FACILITADOR"))</f>
        <v/>
      </c>
      <c r="G969" s="7" t="str">
        <f>IF(B969="","",IFERROR(VLOOKUP(B969, PLANTA_BASE!A:W, 9, FALSE), "GENERAL"))</f>
        <v/>
      </c>
      <c r="H969" s="5" t="str">
        <f>IF(B969="","",IFERROR(VLOOKUP(B969, PLANTA_BASE!A:W, 17, FALSE), "GENERAL"))</f>
        <v/>
      </c>
    </row>
    <row r="970" spans="1:8" ht="20.100000000000001" customHeight="1" x14ac:dyDescent="0.25">
      <c r="A970" s="2" t="str">
        <f>IF(B970="","",IFERROR(VLOOKUP(B970, PLANTA_BASE!A:W, 2, FALSE), "NO ENCONTRADO EN PLANTA"))</f>
        <v/>
      </c>
      <c r="B970" s="3"/>
      <c r="C970" s="4" t="str">
        <f>IF(B970="","",IFERROR(VLOOKUP(B970, PLANTA_BASE!A:W, 3, FALSE), ""))</f>
        <v/>
      </c>
      <c r="D970" s="2" t="str">
        <f>IF(B970="","",IFERROR(VLOOKUP(B970, PLANTA_BASE!A:W, 5, FALSE), "NO ENCONTRADO EN PLANTA"))</f>
        <v/>
      </c>
      <c r="E970" s="2" t="str">
        <f>IF(B970="","",IFERROR(VLOOKUP(B970, PLANTA_BASE!A:W, 6, FALSE), "NO ENCONTRADO EN PLANTA"))</f>
        <v/>
      </c>
      <c r="F970" s="4" t="str">
        <f>IF(B970="","",IFERROR(VLOOKUP(B970, PLANTA_BASE!A:W, 8, FALSE), "DOCENTE / FACILITADOR"))</f>
        <v/>
      </c>
      <c r="G970" s="4" t="str">
        <f>IF(B970="","",IFERROR(VLOOKUP(B970, PLANTA_BASE!A:W, 9, FALSE), "GENERAL"))</f>
        <v/>
      </c>
      <c r="H970" s="2" t="str">
        <f>IF(B970="","",IFERROR(VLOOKUP(B970, PLANTA_BASE!A:W, 17, FALSE), "GENERAL"))</f>
        <v/>
      </c>
    </row>
    <row r="971" spans="1:8" ht="20.100000000000001" customHeight="1" x14ac:dyDescent="0.25">
      <c r="A971" s="5" t="str">
        <f>IF(B971="","",IFERROR(VLOOKUP(B971, PLANTA_BASE!A:W, 2, FALSE), "NO ENCONTRADO EN PLANTA"))</f>
        <v/>
      </c>
      <c r="B971" s="6"/>
      <c r="C971" s="7" t="str">
        <f>IF(B971="","",IFERROR(VLOOKUP(B971, PLANTA_BASE!A:W, 3, FALSE), ""))</f>
        <v/>
      </c>
      <c r="D971" s="5" t="str">
        <f>IF(B971="","",IFERROR(VLOOKUP(B971, PLANTA_BASE!A:W, 5, FALSE), "NO ENCONTRADO EN PLANTA"))</f>
        <v/>
      </c>
      <c r="E971" s="5" t="str">
        <f>IF(B971="","",IFERROR(VLOOKUP(B971, PLANTA_BASE!A:W, 6, FALSE), "NO ENCONTRADO EN PLANTA"))</f>
        <v/>
      </c>
      <c r="F971" s="7" t="str">
        <f>IF(B971="","",IFERROR(VLOOKUP(B971, PLANTA_BASE!A:W, 8, FALSE), "DOCENTE / FACILITADOR"))</f>
        <v/>
      </c>
      <c r="G971" s="7" t="str">
        <f>IF(B971="","",IFERROR(VLOOKUP(B971, PLANTA_BASE!A:W, 9, FALSE), "GENERAL"))</f>
        <v/>
      </c>
      <c r="H971" s="5" t="str">
        <f>IF(B971="","",IFERROR(VLOOKUP(B971, PLANTA_BASE!A:W, 17, FALSE), "GENERAL"))</f>
        <v/>
      </c>
    </row>
    <row r="972" spans="1:8" ht="20.100000000000001" customHeight="1" x14ac:dyDescent="0.25">
      <c r="A972" s="2" t="str">
        <f>IF(B972="","",IFERROR(VLOOKUP(B972, PLANTA_BASE!A:W, 2, FALSE), "NO ENCONTRADO EN PLANTA"))</f>
        <v/>
      </c>
      <c r="B972" s="3"/>
      <c r="C972" s="4" t="str">
        <f>IF(B972="","",IFERROR(VLOOKUP(B972, PLANTA_BASE!A:W, 3, FALSE), ""))</f>
        <v/>
      </c>
      <c r="D972" s="2" t="str">
        <f>IF(B972="","",IFERROR(VLOOKUP(B972, PLANTA_BASE!A:W, 5, FALSE), "NO ENCONTRADO EN PLANTA"))</f>
        <v/>
      </c>
      <c r="E972" s="2" t="str">
        <f>IF(B972="","",IFERROR(VLOOKUP(B972, PLANTA_BASE!A:W, 6, FALSE), "NO ENCONTRADO EN PLANTA"))</f>
        <v/>
      </c>
      <c r="F972" s="4" t="str">
        <f>IF(B972="","",IFERROR(VLOOKUP(B972, PLANTA_BASE!A:W, 8, FALSE), "DOCENTE / FACILITADOR"))</f>
        <v/>
      </c>
      <c r="G972" s="4" t="str">
        <f>IF(B972="","",IFERROR(VLOOKUP(B972, PLANTA_BASE!A:W, 9, FALSE), "GENERAL"))</f>
        <v/>
      </c>
      <c r="H972" s="2" t="str">
        <f>IF(B972="","",IFERROR(VLOOKUP(B972, PLANTA_BASE!A:W, 17, FALSE), "GENERAL"))</f>
        <v/>
      </c>
    </row>
    <row r="973" spans="1:8" ht="20.100000000000001" customHeight="1" x14ac:dyDescent="0.25">
      <c r="A973" s="5" t="str">
        <f>IF(B973="","",IFERROR(VLOOKUP(B973, PLANTA_BASE!A:W, 2, FALSE), "NO ENCONTRADO EN PLANTA"))</f>
        <v/>
      </c>
      <c r="B973" s="6"/>
      <c r="C973" s="7" t="str">
        <f>IF(B973="","",IFERROR(VLOOKUP(B973, PLANTA_BASE!A:W, 3, FALSE), ""))</f>
        <v/>
      </c>
      <c r="D973" s="5" t="str">
        <f>IF(B973="","",IFERROR(VLOOKUP(B973, PLANTA_BASE!A:W, 5, FALSE), "NO ENCONTRADO EN PLANTA"))</f>
        <v/>
      </c>
      <c r="E973" s="5" t="str">
        <f>IF(B973="","",IFERROR(VLOOKUP(B973, PLANTA_BASE!A:W, 6, FALSE), "NO ENCONTRADO EN PLANTA"))</f>
        <v/>
      </c>
      <c r="F973" s="7" t="str">
        <f>IF(B973="","",IFERROR(VLOOKUP(B973, PLANTA_BASE!A:W, 8, FALSE), "DOCENTE / FACILITADOR"))</f>
        <v/>
      </c>
      <c r="G973" s="7" t="str">
        <f>IF(B973="","",IFERROR(VLOOKUP(B973, PLANTA_BASE!A:W, 9, FALSE), "GENERAL"))</f>
        <v/>
      </c>
      <c r="H973" s="5" t="str">
        <f>IF(B973="","",IFERROR(VLOOKUP(B973, PLANTA_BASE!A:W, 17, FALSE), "GENERAL"))</f>
        <v/>
      </c>
    </row>
    <row r="974" spans="1:8" ht="20.100000000000001" customHeight="1" x14ac:dyDescent="0.25">
      <c r="A974" s="2" t="str">
        <f>IF(B974="","",IFERROR(VLOOKUP(B974, PLANTA_BASE!A:W, 2, FALSE), "NO ENCONTRADO EN PLANTA"))</f>
        <v/>
      </c>
      <c r="B974" s="3"/>
      <c r="C974" s="4" t="str">
        <f>IF(B974="","",IFERROR(VLOOKUP(B974, PLANTA_BASE!A:W, 3, FALSE), ""))</f>
        <v/>
      </c>
      <c r="D974" s="2" t="str">
        <f>IF(B974="","",IFERROR(VLOOKUP(B974, PLANTA_BASE!A:W, 5, FALSE), "NO ENCONTRADO EN PLANTA"))</f>
        <v/>
      </c>
      <c r="E974" s="2" t="str">
        <f>IF(B974="","",IFERROR(VLOOKUP(B974, PLANTA_BASE!A:W, 6, FALSE), "NO ENCONTRADO EN PLANTA"))</f>
        <v/>
      </c>
      <c r="F974" s="4" t="str">
        <f>IF(B974="","",IFERROR(VLOOKUP(B974, PLANTA_BASE!A:W, 8, FALSE), "DOCENTE / FACILITADOR"))</f>
        <v/>
      </c>
      <c r="G974" s="4" t="str">
        <f>IF(B974="","",IFERROR(VLOOKUP(B974, PLANTA_BASE!A:W, 9, FALSE), "GENERAL"))</f>
        <v/>
      </c>
      <c r="H974" s="2" t="str">
        <f>IF(B974="","",IFERROR(VLOOKUP(B974, PLANTA_BASE!A:W, 17, FALSE), "GENERAL"))</f>
        <v/>
      </c>
    </row>
    <row r="975" spans="1:8" ht="20.100000000000001" customHeight="1" x14ac:dyDescent="0.25">
      <c r="A975" s="5" t="str">
        <f>IF(B975="","",IFERROR(VLOOKUP(B975, PLANTA_BASE!A:W, 2, FALSE), "NO ENCONTRADO EN PLANTA"))</f>
        <v/>
      </c>
      <c r="B975" s="6"/>
      <c r="C975" s="7" t="str">
        <f>IF(B975="","",IFERROR(VLOOKUP(B975, PLANTA_BASE!A:W, 3, FALSE), ""))</f>
        <v/>
      </c>
      <c r="D975" s="5" t="str">
        <f>IF(B975="","",IFERROR(VLOOKUP(B975, PLANTA_BASE!A:W, 5, FALSE), "NO ENCONTRADO EN PLANTA"))</f>
        <v/>
      </c>
      <c r="E975" s="5" t="str">
        <f>IF(B975="","",IFERROR(VLOOKUP(B975, PLANTA_BASE!A:W, 6, FALSE), "NO ENCONTRADO EN PLANTA"))</f>
        <v/>
      </c>
      <c r="F975" s="7" t="str">
        <f>IF(B975="","",IFERROR(VLOOKUP(B975, PLANTA_BASE!A:W, 8, FALSE), "DOCENTE / FACILITADOR"))</f>
        <v/>
      </c>
      <c r="G975" s="7" t="str">
        <f>IF(B975="","",IFERROR(VLOOKUP(B975, PLANTA_BASE!A:W, 9, FALSE), "GENERAL"))</f>
        <v/>
      </c>
      <c r="H975" s="5" t="str">
        <f>IF(B975="","",IFERROR(VLOOKUP(B975, PLANTA_BASE!A:W, 17, FALSE), "GENERAL"))</f>
        <v/>
      </c>
    </row>
    <row r="976" spans="1:8" ht="20.100000000000001" customHeight="1" x14ac:dyDescent="0.25">
      <c r="A976" s="2" t="str">
        <f>IF(B976="","",IFERROR(VLOOKUP(B976, PLANTA_BASE!A:W, 2, FALSE), "NO ENCONTRADO EN PLANTA"))</f>
        <v/>
      </c>
      <c r="B976" s="3"/>
      <c r="C976" s="4" t="str">
        <f>IF(B976="","",IFERROR(VLOOKUP(B976, PLANTA_BASE!A:W, 3, FALSE), ""))</f>
        <v/>
      </c>
      <c r="D976" s="2" t="str">
        <f>IF(B976="","",IFERROR(VLOOKUP(B976, PLANTA_BASE!A:W, 5, FALSE), "NO ENCONTRADO EN PLANTA"))</f>
        <v/>
      </c>
      <c r="E976" s="2" t="str">
        <f>IF(B976="","",IFERROR(VLOOKUP(B976, PLANTA_BASE!A:W, 6, FALSE), "NO ENCONTRADO EN PLANTA"))</f>
        <v/>
      </c>
      <c r="F976" s="4" t="str">
        <f>IF(B976="","",IFERROR(VLOOKUP(B976, PLANTA_BASE!A:W, 8, FALSE), "DOCENTE / FACILITADOR"))</f>
        <v/>
      </c>
      <c r="G976" s="4" t="str">
        <f>IF(B976="","",IFERROR(VLOOKUP(B976, PLANTA_BASE!A:W, 9, FALSE), "GENERAL"))</f>
        <v/>
      </c>
      <c r="H976" s="2" t="str">
        <f>IF(B976="","",IFERROR(VLOOKUP(B976, PLANTA_BASE!A:W, 17, FALSE), "GENERAL"))</f>
        <v/>
      </c>
    </row>
    <row r="977" spans="1:8" ht="20.100000000000001" customHeight="1" x14ac:dyDescent="0.25">
      <c r="A977" s="5" t="str">
        <f>IF(B977="","",IFERROR(VLOOKUP(B977, PLANTA_BASE!A:W, 2, FALSE), "NO ENCONTRADO EN PLANTA"))</f>
        <v/>
      </c>
      <c r="B977" s="6"/>
      <c r="C977" s="7" t="str">
        <f>IF(B977="","",IFERROR(VLOOKUP(B977, PLANTA_BASE!A:W, 3, FALSE), ""))</f>
        <v/>
      </c>
      <c r="D977" s="5" t="str">
        <f>IF(B977="","",IFERROR(VLOOKUP(B977, PLANTA_BASE!A:W, 5, FALSE), "NO ENCONTRADO EN PLANTA"))</f>
        <v/>
      </c>
      <c r="E977" s="5" t="str">
        <f>IF(B977="","",IFERROR(VLOOKUP(B977, PLANTA_BASE!A:W, 6, FALSE), "NO ENCONTRADO EN PLANTA"))</f>
        <v/>
      </c>
      <c r="F977" s="7" t="str">
        <f>IF(B977="","",IFERROR(VLOOKUP(B977, PLANTA_BASE!A:W, 8, FALSE), "DOCENTE / FACILITADOR"))</f>
        <v/>
      </c>
      <c r="G977" s="7" t="str">
        <f>IF(B977="","",IFERROR(VLOOKUP(B977, PLANTA_BASE!A:W, 9, FALSE), "GENERAL"))</f>
        <v/>
      </c>
      <c r="H977" s="5" t="str">
        <f>IF(B977="","",IFERROR(VLOOKUP(B977, PLANTA_BASE!A:W, 17, FALSE), "GENERAL"))</f>
        <v/>
      </c>
    </row>
    <row r="978" spans="1:8" ht="20.100000000000001" customHeight="1" x14ac:dyDescent="0.25">
      <c r="A978" s="2" t="str">
        <f>IF(B978="","",IFERROR(VLOOKUP(B978, PLANTA_BASE!A:W, 2, FALSE), "NO ENCONTRADO EN PLANTA"))</f>
        <v/>
      </c>
      <c r="B978" s="3"/>
      <c r="C978" s="4" t="str">
        <f>IF(B978="","",IFERROR(VLOOKUP(B978, PLANTA_BASE!A:W, 3, FALSE), ""))</f>
        <v/>
      </c>
      <c r="D978" s="2" t="str">
        <f>IF(B978="","",IFERROR(VLOOKUP(B978, PLANTA_BASE!A:W, 5, FALSE), "NO ENCONTRADO EN PLANTA"))</f>
        <v/>
      </c>
      <c r="E978" s="2" t="str">
        <f>IF(B978="","",IFERROR(VLOOKUP(B978, PLANTA_BASE!A:W, 6, FALSE), "NO ENCONTRADO EN PLANTA"))</f>
        <v/>
      </c>
      <c r="F978" s="4" t="str">
        <f>IF(B978="","",IFERROR(VLOOKUP(B978, PLANTA_BASE!A:W, 8, FALSE), "DOCENTE / FACILITADOR"))</f>
        <v/>
      </c>
      <c r="G978" s="4" t="str">
        <f>IF(B978="","",IFERROR(VLOOKUP(B978, PLANTA_BASE!A:W, 9, FALSE), "GENERAL"))</f>
        <v/>
      </c>
      <c r="H978" s="2" t="str">
        <f>IF(B978="","",IFERROR(VLOOKUP(B978, PLANTA_BASE!A:W, 17, FALSE), "GENERAL"))</f>
        <v/>
      </c>
    </row>
    <row r="979" spans="1:8" ht="20.100000000000001" customHeight="1" x14ac:dyDescent="0.25">
      <c r="A979" s="5" t="str">
        <f>IF(B979="","",IFERROR(VLOOKUP(B979, PLANTA_BASE!A:W, 2, FALSE), "NO ENCONTRADO EN PLANTA"))</f>
        <v/>
      </c>
      <c r="B979" s="6"/>
      <c r="C979" s="7" t="str">
        <f>IF(B979="","",IFERROR(VLOOKUP(B979, PLANTA_BASE!A:W, 3, FALSE), ""))</f>
        <v/>
      </c>
      <c r="D979" s="5" t="str">
        <f>IF(B979="","",IFERROR(VLOOKUP(B979, PLANTA_BASE!A:W, 5, FALSE), "NO ENCONTRADO EN PLANTA"))</f>
        <v/>
      </c>
      <c r="E979" s="5" t="str">
        <f>IF(B979="","",IFERROR(VLOOKUP(B979, PLANTA_BASE!A:W, 6, FALSE), "NO ENCONTRADO EN PLANTA"))</f>
        <v/>
      </c>
      <c r="F979" s="7" t="str">
        <f>IF(B979="","",IFERROR(VLOOKUP(B979, PLANTA_BASE!A:W, 8, FALSE), "DOCENTE / FACILITADOR"))</f>
        <v/>
      </c>
      <c r="G979" s="7" t="str">
        <f>IF(B979="","",IFERROR(VLOOKUP(B979, PLANTA_BASE!A:W, 9, FALSE), "GENERAL"))</f>
        <v/>
      </c>
      <c r="H979" s="5" t="str">
        <f>IF(B979="","",IFERROR(VLOOKUP(B979, PLANTA_BASE!A:W, 17, FALSE), "GENERAL"))</f>
        <v/>
      </c>
    </row>
    <row r="980" spans="1:8" ht="20.100000000000001" customHeight="1" x14ac:dyDescent="0.25">
      <c r="A980" s="2" t="str">
        <f>IF(B980="","",IFERROR(VLOOKUP(B980, PLANTA_BASE!A:W, 2, FALSE), "NO ENCONTRADO EN PLANTA"))</f>
        <v/>
      </c>
      <c r="B980" s="3"/>
      <c r="C980" s="4" t="str">
        <f>IF(B980="","",IFERROR(VLOOKUP(B980, PLANTA_BASE!A:W, 3, FALSE), ""))</f>
        <v/>
      </c>
      <c r="D980" s="2" t="str">
        <f>IF(B980="","",IFERROR(VLOOKUP(B980, PLANTA_BASE!A:W, 5, FALSE), "NO ENCONTRADO EN PLANTA"))</f>
        <v/>
      </c>
      <c r="E980" s="2" t="str">
        <f>IF(B980="","",IFERROR(VLOOKUP(B980, PLANTA_BASE!A:W, 6, FALSE), "NO ENCONTRADO EN PLANTA"))</f>
        <v/>
      </c>
      <c r="F980" s="4" t="str">
        <f>IF(B980="","",IFERROR(VLOOKUP(B980, PLANTA_BASE!A:W, 8, FALSE), "DOCENTE / FACILITADOR"))</f>
        <v/>
      </c>
      <c r="G980" s="4" t="str">
        <f>IF(B980="","",IFERROR(VLOOKUP(B980, PLANTA_BASE!A:W, 9, FALSE), "GENERAL"))</f>
        <v/>
      </c>
      <c r="H980" s="2" t="str">
        <f>IF(B980="","",IFERROR(VLOOKUP(B980, PLANTA_BASE!A:W, 17, FALSE), "GENERAL"))</f>
        <v/>
      </c>
    </row>
    <row r="981" spans="1:8" ht="20.100000000000001" customHeight="1" x14ac:dyDescent="0.25">
      <c r="A981" s="5" t="str">
        <f>IF(B981="","",IFERROR(VLOOKUP(B981, PLANTA_BASE!A:W, 2, FALSE), "NO ENCONTRADO EN PLANTA"))</f>
        <v/>
      </c>
      <c r="B981" s="6"/>
      <c r="C981" s="7" t="str">
        <f>IF(B981="","",IFERROR(VLOOKUP(B981, PLANTA_BASE!A:W, 3, FALSE), ""))</f>
        <v/>
      </c>
      <c r="D981" s="5" t="str">
        <f>IF(B981="","",IFERROR(VLOOKUP(B981, PLANTA_BASE!A:W, 5, FALSE), "NO ENCONTRADO EN PLANTA"))</f>
        <v/>
      </c>
      <c r="E981" s="5" t="str">
        <f>IF(B981="","",IFERROR(VLOOKUP(B981, PLANTA_BASE!A:W, 6, FALSE), "NO ENCONTRADO EN PLANTA"))</f>
        <v/>
      </c>
      <c r="F981" s="7" t="str">
        <f>IF(B981="","",IFERROR(VLOOKUP(B981, PLANTA_BASE!A:W, 8, FALSE), "DOCENTE / FACILITADOR"))</f>
        <v/>
      </c>
      <c r="G981" s="7" t="str">
        <f>IF(B981="","",IFERROR(VLOOKUP(B981, PLANTA_BASE!A:W, 9, FALSE), "GENERAL"))</f>
        <v/>
      </c>
      <c r="H981" s="5" t="str">
        <f>IF(B981="","",IFERROR(VLOOKUP(B981, PLANTA_BASE!A:W, 17, FALSE), "GENERAL"))</f>
        <v/>
      </c>
    </row>
    <row r="982" spans="1:8" ht="20.100000000000001" customHeight="1" x14ac:dyDescent="0.25">
      <c r="A982" s="2" t="str">
        <f>IF(B982="","",IFERROR(VLOOKUP(B982, PLANTA_BASE!A:W, 2, FALSE), "NO ENCONTRADO EN PLANTA"))</f>
        <v/>
      </c>
      <c r="B982" s="3"/>
      <c r="C982" s="4" t="str">
        <f>IF(B982="","",IFERROR(VLOOKUP(B982, PLANTA_BASE!A:W, 3, FALSE), ""))</f>
        <v/>
      </c>
      <c r="D982" s="2" t="str">
        <f>IF(B982="","",IFERROR(VLOOKUP(B982, PLANTA_BASE!A:W, 5, FALSE), "NO ENCONTRADO EN PLANTA"))</f>
        <v/>
      </c>
      <c r="E982" s="2" t="str">
        <f>IF(B982="","",IFERROR(VLOOKUP(B982, PLANTA_BASE!A:W, 6, FALSE), "NO ENCONTRADO EN PLANTA"))</f>
        <v/>
      </c>
      <c r="F982" s="4" t="str">
        <f>IF(B982="","",IFERROR(VLOOKUP(B982, PLANTA_BASE!A:W, 8, FALSE), "DOCENTE / FACILITADOR"))</f>
        <v/>
      </c>
      <c r="G982" s="4" t="str">
        <f>IF(B982="","",IFERROR(VLOOKUP(B982, PLANTA_BASE!A:W, 9, FALSE), "GENERAL"))</f>
        <v/>
      </c>
      <c r="H982" s="2" t="str">
        <f>IF(B982="","",IFERROR(VLOOKUP(B982, PLANTA_BASE!A:W, 17, FALSE), "GENERAL"))</f>
        <v/>
      </c>
    </row>
    <row r="983" spans="1:8" ht="20.100000000000001" customHeight="1" x14ac:dyDescent="0.25">
      <c r="A983" s="5" t="str">
        <f>IF(B983="","",IFERROR(VLOOKUP(B983, PLANTA_BASE!A:W, 2, FALSE), "NO ENCONTRADO EN PLANTA"))</f>
        <v/>
      </c>
      <c r="B983" s="6"/>
      <c r="C983" s="7" t="str">
        <f>IF(B983="","",IFERROR(VLOOKUP(B983, PLANTA_BASE!A:W, 3, FALSE), ""))</f>
        <v/>
      </c>
      <c r="D983" s="5" t="str">
        <f>IF(B983="","",IFERROR(VLOOKUP(B983, PLANTA_BASE!A:W, 5, FALSE), "NO ENCONTRADO EN PLANTA"))</f>
        <v/>
      </c>
      <c r="E983" s="5" t="str">
        <f>IF(B983="","",IFERROR(VLOOKUP(B983, PLANTA_BASE!A:W, 6, FALSE), "NO ENCONTRADO EN PLANTA"))</f>
        <v/>
      </c>
      <c r="F983" s="7" t="str">
        <f>IF(B983="","",IFERROR(VLOOKUP(B983, PLANTA_BASE!A:W, 8, FALSE), "DOCENTE / FACILITADOR"))</f>
        <v/>
      </c>
      <c r="G983" s="7" t="str">
        <f>IF(B983="","",IFERROR(VLOOKUP(B983, PLANTA_BASE!A:W, 9, FALSE), "GENERAL"))</f>
        <v/>
      </c>
      <c r="H983" s="5" t="str">
        <f>IF(B983="","",IFERROR(VLOOKUP(B983, PLANTA_BASE!A:W, 17, FALSE), "GENERAL"))</f>
        <v/>
      </c>
    </row>
    <row r="984" spans="1:8" ht="20.100000000000001" customHeight="1" x14ac:dyDescent="0.25">
      <c r="A984" s="2" t="str">
        <f>IF(B984="","",IFERROR(VLOOKUP(B984, PLANTA_BASE!A:W, 2, FALSE), "NO ENCONTRADO EN PLANTA"))</f>
        <v/>
      </c>
      <c r="B984" s="3"/>
      <c r="C984" s="4" t="str">
        <f>IF(B984="","",IFERROR(VLOOKUP(B984, PLANTA_BASE!A:W, 3, FALSE), ""))</f>
        <v/>
      </c>
      <c r="D984" s="2" t="str">
        <f>IF(B984="","",IFERROR(VLOOKUP(B984, PLANTA_BASE!A:W, 5, FALSE), "NO ENCONTRADO EN PLANTA"))</f>
        <v/>
      </c>
      <c r="E984" s="2" t="str">
        <f>IF(B984="","",IFERROR(VLOOKUP(B984, PLANTA_BASE!A:W, 6, FALSE), "NO ENCONTRADO EN PLANTA"))</f>
        <v/>
      </c>
      <c r="F984" s="4" t="str">
        <f>IF(B984="","",IFERROR(VLOOKUP(B984, PLANTA_BASE!A:W, 8, FALSE), "DOCENTE / FACILITADOR"))</f>
        <v/>
      </c>
      <c r="G984" s="4" t="str">
        <f>IF(B984="","",IFERROR(VLOOKUP(B984, PLANTA_BASE!A:W, 9, FALSE), "GENERAL"))</f>
        <v/>
      </c>
      <c r="H984" s="2" t="str">
        <f>IF(B984="","",IFERROR(VLOOKUP(B984, PLANTA_BASE!A:W, 17, FALSE), "GENERAL"))</f>
        <v/>
      </c>
    </row>
    <row r="985" spans="1:8" ht="20.100000000000001" customHeight="1" x14ac:dyDescent="0.25">
      <c r="A985" s="5" t="str">
        <f>IF(B985="","",IFERROR(VLOOKUP(B985, PLANTA_BASE!A:W, 2, FALSE), "NO ENCONTRADO EN PLANTA"))</f>
        <v/>
      </c>
      <c r="B985" s="6"/>
      <c r="C985" s="7" t="str">
        <f>IF(B985="","",IFERROR(VLOOKUP(B985, PLANTA_BASE!A:W, 3, FALSE), ""))</f>
        <v/>
      </c>
      <c r="D985" s="5" t="str">
        <f>IF(B985="","",IFERROR(VLOOKUP(B985, PLANTA_BASE!A:W, 5, FALSE), "NO ENCONTRADO EN PLANTA"))</f>
        <v/>
      </c>
      <c r="E985" s="5" t="str">
        <f>IF(B985="","",IFERROR(VLOOKUP(B985, PLANTA_BASE!A:W, 6, FALSE), "NO ENCONTRADO EN PLANTA"))</f>
        <v/>
      </c>
      <c r="F985" s="7" t="str">
        <f>IF(B985="","",IFERROR(VLOOKUP(B985, PLANTA_BASE!A:W, 8, FALSE), "DOCENTE / FACILITADOR"))</f>
        <v/>
      </c>
      <c r="G985" s="7" t="str">
        <f>IF(B985="","",IFERROR(VLOOKUP(B985, PLANTA_BASE!A:W, 9, FALSE), "GENERAL"))</f>
        <v/>
      </c>
      <c r="H985" s="5" t="str">
        <f>IF(B985="","",IFERROR(VLOOKUP(B985, PLANTA_BASE!A:W, 17, FALSE), "GENERAL"))</f>
        <v/>
      </c>
    </row>
    <row r="986" spans="1:8" ht="20.100000000000001" customHeight="1" x14ac:dyDescent="0.25">
      <c r="A986" s="2" t="str">
        <f>IF(B986="","",IFERROR(VLOOKUP(B986, PLANTA_BASE!A:W, 2, FALSE), "NO ENCONTRADO EN PLANTA"))</f>
        <v/>
      </c>
      <c r="B986" s="3"/>
      <c r="C986" s="4" t="str">
        <f>IF(B986="","",IFERROR(VLOOKUP(B986, PLANTA_BASE!A:W, 3, FALSE), ""))</f>
        <v/>
      </c>
      <c r="D986" s="2" t="str">
        <f>IF(B986="","",IFERROR(VLOOKUP(B986, PLANTA_BASE!A:W, 5, FALSE), "NO ENCONTRADO EN PLANTA"))</f>
        <v/>
      </c>
      <c r="E986" s="2" t="str">
        <f>IF(B986="","",IFERROR(VLOOKUP(B986, PLANTA_BASE!A:W, 6, FALSE), "NO ENCONTRADO EN PLANTA"))</f>
        <v/>
      </c>
      <c r="F986" s="4" t="str">
        <f>IF(B986="","",IFERROR(VLOOKUP(B986, PLANTA_BASE!A:W, 8, FALSE), "DOCENTE / FACILITADOR"))</f>
        <v/>
      </c>
      <c r="G986" s="4" t="str">
        <f>IF(B986="","",IFERROR(VLOOKUP(B986, PLANTA_BASE!A:W, 9, FALSE), "GENERAL"))</f>
        <v/>
      </c>
      <c r="H986" s="2" t="str">
        <f>IF(B986="","",IFERROR(VLOOKUP(B986, PLANTA_BASE!A:W, 17, FALSE), "GENERAL"))</f>
        <v/>
      </c>
    </row>
    <row r="987" spans="1:8" ht="20.100000000000001" customHeight="1" x14ac:dyDescent="0.25">
      <c r="A987" s="5" t="str">
        <f>IF(B987="","",IFERROR(VLOOKUP(B987, PLANTA_BASE!A:W, 2, FALSE), "NO ENCONTRADO EN PLANTA"))</f>
        <v/>
      </c>
      <c r="B987" s="6"/>
      <c r="C987" s="7" t="str">
        <f>IF(B987="","",IFERROR(VLOOKUP(B987, PLANTA_BASE!A:W, 3, FALSE), ""))</f>
        <v/>
      </c>
      <c r="D987" s="5" t="str">
        <f>IF(B987="","",IFERROR(VLOOKUP(B987, PLANTA_BASE!A:W, 5, FALSE), "NO ENCONTRADO EN PLANTA"))</f>
        <v/>
      </c>
      <c r="E987" s="5" t="str">
        <f>IF(B987="","",IFERROR(VLOOKUP(B987, PLANTA_BASE!A:W, 6, FALSE), "NO ENCONTRADO EN PLANTA"))</f>
        <v/>
      </c>
      <c r="F987" s="7" t="str">
        <f>IF(B987="","",IFERROR(VLOOKUP(B987, PLANTA_BASE!A:W, 8, FALSE), "DOCENTE / FACILITADOR"))</f>
        <v/>
      </c>
      <c r="G987" s="7" t="str">
        <f>IF(B987="","",IFERROR(VLOOKUP(B987, PLANTA_BASE!A:W, 9, FALSE), "GENERAL"))</f>
        <v/>
      </c>
      <c r="H987" s="5" t="str">
        <f>IF(B987="","",IFERROR(VLOOKUP(B987, PLANTA_BASE!A:W, 17, FALSE), "GENERAL"))</f>
        <v/>
      </c>
    </row>
    <row r="988" spans="1:8" ht="20.100000000000001" customHeight="1" x14ac:dyDescent="0.25">
      <c r="A988" s="2" t="str">
        <f>IF(B988="","",IFERROR(VLOOKUP(B988, PLANTA_BASE!A:W, 2, FALSE), "NO ENCONTRADO EN PLANTA"))</f>
        <v/>
      </c>
      <c r="B988" s="3"/>
      <c r="C988" s="4" t="str">
        <f>IF(B988="","",IFERROR(VLOOKUP(B988, PLANTA_BASE!A:W, 3, FALSE), ""))</f>
        <v/>
      </c>
      <c r="D988" s="2" t="str">
        <f>IF(B988="","",IFERROR(VLOOKUP(B988, PLANTA_BASE!A:W, 5, FALSE), "NO ENCONTRADO EN PLANTA"))</f>
        <v/>
      </c>
      <c r="E988" s="2" t="str">
        <f>IF(B988="","",IFERROR(VLOOKUP(B988, PLANTA_BASE!A:W, 6, FALSE), "NO ENCONTRADO EN PLANTA"))</f>
        <v/>
      </c>
      <c r="F988" s="4" t="str">
        <f>IF(B988="","",IFERROR(VLOOKUP(B988, PLANTA_BASE!A:W, 8, FALSE), "DOCENTE / FACILITADOR"))</f>
        <v/>
      </c>
      <c r="G988" s="4" t="str">
        <f>IF(B988="","",IFERROR(VLOOKUP(B988, PLANTA_BASE!A:W, 9, FALSE), "GENERAL"))</f>
        <v/>
      </c>
      <c r="H988" s="2" t="str">
        <f>IF(B988="","",IFERROR(VLOOKUP(B988, PLANTA_BASE!A:W, 17, FALSE), "GENERAL"))</f>
        <v/>
      </c>
    </row>
    <row r="989" spans="1:8" ht="20.100000000000001" customHeight="1" x14ac:dyDescent="0.25">
      <c r="A989" s="5" t="str">
        <f>IF(B989="","",IFERROR(VLOOKUP(B989, PLANTA_BASE!A:W, 2, FALSE), "NO ENCONTRADO EN PLANTA"))</f>
        <v/>
      </c>
      <c r="B989" s="6"/>
      <c r="C989" s="7" t="str">
        <f>IF(B989="","",IFERROR(VLOOKUP(B989, PLANTA_BASE!A:W, 3, FALSE), ""))</f>
        <v/>
      </c>
      <c r="D989" s="5" t="str">
        <f>IF(B989="","",IFERROR(VLOOKUP(B989, PLANTA_BASE!A:W, 5, FALSE), "NO ENCONTRADO EN PLANTA"))</f>
        <v/>
      </c>
      <c r="E989" s="5" t="str">
        <f>IF(B989="","",IFERROR(VLOOKUP(B989, PLANTA_BASE!A:W, 6, FALSE), "NO ENCONTRADO EN PLANTA"))</f>
        <v/>
      </c>
      <c r="F989" s="7" t="str">
        <f>IF(B989="","",IFERROR(VLOOKUP(B989, PLANTA_BASE!A:W, 8, FALSE), "DOCENTE / FACILITADOR"))</f>
        <v/>
      </c>
      <c r="G989" s="7" t="str">
        <f>IF(B989="","",IFERROR(VLOOKUP(B989, PLANTA_BASE!A:W, 9, FALSE), "GENERAL"))</f>
        <v/>
      </c>
      <c r="H989" s="5" t="str">
        <f>IF(B989="","",IFERROR(VLOOKUP(B989, PLANTA_BASE!A:W, 17, FALSE), "GENERAL"))</f>
        <v/>
      </c>
    </row>
    <row r="990" spans="1:8" ht="20.100000000000001" customHeight="1" x14ac:dyDescent="0.25">
      <c r="A990" s="2" t="str">
        <f>IF(B990="","",IFERROR(VLOOKUP(B990, PLANTA_BASE!A:W, 2, FALSE), "NO ENCONTRADO EN PLANTA"))</f>
        <v/>
      </c>
      <c r="B990" s="3"/>
      <c r="C990" s="4" t="str">
        <f>IF(B990="","",IFERROR(VLOOKUP(B990, PLANTA_BASE!A:W, 3, FALSE), ""))</f>
        <v/>
      </c>
      <c r="D990" s="2" t="str">
        <f>IF(B990="","",IFERROR(VLOOKUP(B990, PLANTA_BASE!A:W, 5, FALSE), "NO ENCONTRADO EN PLANTA"))</f>
        <v/>
      </c>
      <c r="E990" s="2" t="str">
        <f>IF(B990="","",IFERROR(VLOOKUP(B990, PLANTA_BASE!A:W, 6, FALSE), "NO ENCONTRADO EN PLANTA"))</f>
        <v/>
      </c>
      <c r="F990" s="4" t="str">
        <f>IF(B990="","",IFERROR(VLOOKUP(B990, PLANTA_BASE!A:W, 8, FALSE), "DOCENTE / FACILITADOR"))</f>
        <v/>
      </c>
      <c r="G990" s="4" t="str">
        <f>IF(B990="","",IFERROR(VLOOKUP(B990, PLANTA_BASE!A:W, 9, FALSE), "GENERAL"))</f>
        <v/>
      </c>
      <c r="H990" s="2" t="str">
        <f>IF(B990="","",IFERROR(VLOOKUP(B990, PLANTA_BASE!A:W, 17, FALSE), "GENERAL"))</f>
        <v/>
      </c>
    </row>
    <row r="991" spans="1:8" ht="20.100000000000001" customHeight="1" x14ac:dyDescent="0.25">
      <c r="A991" s="5" t="str">
        <f>IF(B991="","",IFERROR(VLOOKUP(B991, PLANTA_BASE!A:W, 2, FALSE), "NO ENCONTRADO EN PLANTA"))</f>
        <v/>
      </c>
      <c r="B991" s="6"/>
      <c r="C991" s="7" t="str">
        <f>IF(B991="","",IFERROR(VLOOKUP(B991, PLANTA_BASE!A:W, 3, FALSE), ""))</f>
        <v/>
      </c>
      <c r="D991" s="5" t="str">
        <f>IF(B991="","",IFERROR(VLOOKUP(B991, PLANTA_BASE!A:W, 5, FALSE), "NO ENCONTRADO EN PLANTA"))</f>
        <v/>
      </c>
      <c r="E991" s="5" t="str">
        <f>IF(B991="","",IFERROR(VLOOKUP(B991, PLANTA_BASE!A:W, 6, FALSE), "NO ENCONTRADO EN PLANTA"))</f>
        <v/>
      </c>
      <c r="F991" s="7" t="str">
        <f>IF(B991="","",IFERROR(VLOOKUP(B991, PLANTA_BASE!A:W, 8, FALSE), "DOCENTE / FACILITADOR"))</f>
        <v/>
      </c>
      <c r="G991" s="7" t="str">
        <f>IF(B991="","",IFERROR(VLOOKUP(B991, PLANTA_BASE!A:W, 9, FALSE), "GENERAL"))</f>
        <v/>
      </c>
      <c r="H991" s="5" t="str">
        <f>IF(B991="","",IFERROR(VLOOKUP(B991, PLANTA_BASE!A:W, 17, FALSE), "GENERAL"))</f>
        <v/>
      </c>
    </row>
    <row r="992" spans="1:8" ht="20.100000000000001" customHeight="1" x14ac:dyDescent="0.25">
      <c r="A992" s="2" t="str">
        <f>IF(B992="","",IFERROR(VLOOKUP(B992, PLANTA_BASE!A:W, 2, FALSE), "NO ENCONTRADO EN PLANTA"))</f>
        <v/>
      </c>
      <c r="B992" s="3"/>
      <c r="C992" s="4" t="str">
        <f>IF(B992="","",IFERROR(VLOOKUP(B992, PLANTA_BASE!A:W, 3, FALSE), ""))</f>
        <v/>
      </c>
      <c r="D992" s="2" t="str">
        <f>IF(B992="","",IFERROR(VLOOKUP(B992, PLANTA_BASE!A:W, 5, FALSE), "NO ENCONTRADO EN PLANTA"))</f>
        <v/>
      </c>
      <c r="E992" s="2" t="str">
        <f>IF(B992="","",IFERROR(VLOOKUP(B992, PLANTA_BASE!A:W, 6, FALSE), "NO ENCONTRADO EN PLANTA"))</f>
        <v/>
      </c>
      <c r="F992" s="4" t="str">
        <f>IF(B992="","",IFERROR(VLOOKUP(B992, PLANTA_BASE!A:W, 8, FALSE), "DOCENTE / FACILITADOR"))</f>
        <v/>
      </c>
      <c r="G992" s="4" t="str">
        <f>IF(B992="","",IFERROR(VLOOKUP(B992, PLANTA_BASE!A:W, 9, FALSE), "GENERAL"))</f>
        <v/>
      </c>
      <c r="H992" s="2" t="str">
        <f>IF(B992="","",IFERROR(VLOOKUP(B992, PLANTA_BASE!A:W, 17, FALSE), "GENERAL"))</f>
        <v/>
      </c>
    </row>
    <row r="993" spans="1:8" ht="20.100000000000001" customHeight="1" x14ac:dyDescent="0.25">
      <c r="A993" s="5" t="str">
        <f>IF(B993="","",IFERROR(VLOOKUP(B993, PLANTA_BASE!A:W, 2, FALSE), "NO ENCONTRADO EN PLANTA"))</f>
        <v/>
      </c>
      <c r="B993" s="6"/>
      <c r="C993" s="7" t="str">
        <f>IF(B993="","",IFERROR(VLOOKUP(B993, PLANTA_BASE!A:W, 3, FALSE), ""))</f>
        <v/>
      </c>
      <c r="D993" s="5" t="str">
        <f>IF(B993="","",IFERROR(VLOOKUP(B993, PLANTA_BASE!A:W, 5, FALSE), "NO ENCONTRADO EN PLANTA"))</f>
        <v/>
      </c>
      <c r="E993" s="5" t="str">
        <f>IF(B993="","",IFERROR(VLOOKUP(B993, PLANTA_BASE!A:W, 6, FALSE), "NO ENCONTRADO EN PLANTA"))</f>
        <v/>
      </c>
      <c r="F993" s="7" t="str">
        <f>IF(B993="","",IFERROR(VLOOKUP(B993, PLANTA_BASE!A:W, 8, FALSE), "DOCENTE / FACILITADOR"))</f>
        <v/>
      </c>
      <c r="G993" s="7" t="str">
        <f>IF(B993="","",IFERROR(VLOOKUP(B993, PLANTA_BASE!A:W, 9, FALSE), "GENERAL"))</f>
        <v/>
      </c>
      <c r="H993" s="5" t="str">
        <f>IF(B993="","",IFERROR(VLOOKUP(B993, PLANTA_BASE!A:W, 17, FALSE), "GENERAL"))</f>
        <v/>
      </c>
    </row>
    <row r="994" spans="1:8" ht="20.100000000000001" customHeight="1" x14ac:dyDescent="0.25">
      <c r="A994" s="2" t="str">
        <f>IF(B994="","",IFERROR(VLOOKUP(B994, PLANTA_BASE!A:W, 2, FALSE), "NO ENCONTRADO EN PLANTA"))</f>
        <v/>
      </c>
      <c r="B994" s="3"/>
      <c r="C994" s="4" t="str">
        <f>IF(B994="","",IFERROR(VLOOKUP(B994, PLANTA_BASE!A:W, 3, FALSE), ""))</f>
        <v/>
      </c>
      <c r="D994" s="2" t="str">
        <f>IF(B994="","",IFERROR(VLOOKUP(B994, PLANTA_BASE!A:W, 5, FALSE), "NO ENCONTRADO EN PLANTA"))</f>
        <v/>
      </c>
      <c r="E994" s="2" t="str">
        <f>IF(B994="","",IFERROR(VLOOKUP(B994, PLANTA_BASE!A:W, 6, FALSE), "NO ENCONTRADO EN PLANTA"))</f>
        <v/>
      </c>
      <c r="F994" s="4" t="str">
        <f>IF(B994="","",IFERROR(VLOOKUP(B994, PLANTA_BASE!A:W, 8, FALSE), "DOCENTE / FACILITADOR"))</f>
        <v/>
      </c>
      <c r="G994" s="4" t="str">
        <f>IF(B994="","",IFERROR(VLOOKUP(B994, PLANTA_BASE!A:W, 9, FALSE), "GENERAL"))</f>
        <v/>
      </c>
      <c r="H994" s="2" t="str">
        <f>IF(B994="","",IFERROR(VLOOKUP(B994, PLANTA_BASE!A:W, 17, FALSE), "GENERAL"))</f>
        <v/>
      </c>
    </row>
    <row r="995" spans="1:8" ht="20.100000000000001" customHeight="1" x14ac:dyDescent="0.25">
      <c r="A995" s="5" t="str">
        <f>IF(B995="","",IFERROR(VLOOKUP(B995, PLANTA_BASE!A:W, 2, FALSE), "NO ENCONTRADO EN PLANTA"))</f>
        <v/>
      </c>
      <c r="B995" s="6"/>
      <c r="C995" s="7" t="str">
        <f>IF(B995="","",IFERROR(VLOOKUP(B995, PLANTA_BASE!A:W, 3, FALSE), ""))</f>
        <v/>
      </c>
      <c r="D995" s="5" t="str">
        <f>IF(B995="","",IFERROR(VLOOKUP(B995, PLANTA_BASE!A:W, 5, FALSE), "NO ENCONTRADO EN PLANTA"))</f>
        <v/>
      </c>
      <c r="E995" s="5" t="str">
        <f>IF(B995="","",IFERROR(VLOOKUP(B995, PLANTA_BASE!A:W, 6, FALSE), "NO ENCONTRADO EN PLANTA"))</f>
        <v/>
      </c>
      <c r="F995" s="7" t="str">
        <f>IF(B995="","",IFERROR(VLOOKUP(B995, PLANTA_BASE!A:W, 8, FALSE), "DOCENTE / FACILITADOR"))</f>
        <v/>
      </c>
      <c r="G995" s="7" t="str">
        <f>IF(B995="","",IFERROR(VLOOKUP(B995, PLANTA_BASE!A:W, 9, FALSE), "GENERAL"))</f>
        <v/>
      </c>
      <c r="H995" s="5" t="str">
        <f>IF(B995="","",IFERROR(VLOOKUP(B995, PLANTA_BASE!A:W, 17, FALSE), "GENERAL"))</f>
        <v/>
      </c>
    </row>
    <row r="996" spans="1:8" ht="20.100000000000001" customHeight="1" x14ac:dyDescent="0.25">
      <c r="A996" s="2" t="str">
        <f>IF(B996="","",IFERROR(VLOOKUP(B996, PLANTA_BASE!A:W, 2, FALSE), "NO ENCONTRADO EN PLANTA"))</f>
        <v/>
      </c>
      <c r="B996" s="3"/>
      <c r="C996" s="4" t="str">
        <f>IF(B996="","",IFERROR(VLOOKUP(B996, PLANTA_BASE!A:W, 3, FALSE), ""))</f>
        <v/>
      </c>
      <c r="D996" s="2" t="str">
        <f>IF(B996="","",IFERROR(VLOOKUP(B996, PLANTA_BASE!A:W, 5, FALSE), "NO ENCONTRADO EN PLANTA"))</f>
        <v/>
      </c>
      <c r="E996" s="2" t="str">
        <f>IF(B996="","",IFERROR(VLOOKUP(B996, PLANTA_BASE!A:W, 6, FALSE), "NO ENCONTRADO EN PLANTA"))</f>
        <v/>
      </c>
      <c r="F996" s="4" t="str">
        <f>IF(B996="","",IFERROR(VLOOKUP(B996, PLANTA_BASE!A:W, 8, FALSE), "DOCENTE / FACILITADOR"))</f>
        <v/>
      </c>
      <c r="G996" s="4" t="str">
        <f>IF(B996="","",IFERROR(VLOOKUP(B996, PLANTA_BASE!A:W, 9, FALSE), "GENERAL"))</f>
        <v/>
      </c>
      <c r="H996" s="2" t="str">
        <f>IF(B996="","",IFERROR(VLOOKUP(B996, PLANTA_BASE!A:W, 17, FALSE), "GENERAL"))</f>
        <v/>
      </c>
    </row>
    <row r="997" spans="1:8" ht="20.100000000000001" customHeight="1" x14ac:dyDescent="0.25">
      <c r="A997" s="5" t="str">
        <f>IF(B997="","",IFERROR(VLOOKUP(B997, PLANTA_BASE!A:W, 2, FALSE), "NO ENCONTRADO EN PLANTA"))</f>
        <v/>
      </c>
      <c r="B997" s="6"/>
      <c r="C997" s="7" t="str">
        <f>IF(B997="","",IFERROR(VLOOKUP(B997, PLANTA_BASE!A:W, 3, FALSE), ""))</f>
        <v/>
      </c>
      <c r="D997" s="5" t="str">
        <f>IF(B997="","",IFERROR(VLOOKUP(B997, PLANTA_BASE!A:W, 5, FALSE), "NO ENCONTRADO EN PLANTA"))</f>
        <v/>
      </c>
      <c r="E997" s="5" t="str">
        <f>IF(B997="","",IFERROR(VLOOKUP(B997, PLANTA_BASE!A:W, 6, FALSE), "NO ENCONTRADO EN PLANTA"))</f>
        <v/>
      </c>
      <c r="F997" s="7" t="str">
        <f>IF(B997="","",IFERROR(VLOOKUP(B997, PLANTA_BASE!A:W, 8, FALSE), "DOCENTE / FACILITADOR"))</f>
        <v/>
      </c>
      <c r="G997" s="7" t="str">
        <f>IF(B997="","",IFERROR(VLOOKUP(B997, PLANTA_BASE!A:W, 9, FALSE), "GENERAL"))</f>
        <v/>
      </c>
      <c r="H997" s="5" t="str">
        <f>IF(B997="","",IFERROR(VLOOKUP(B997, PLANTA_BASE!A:W, 17, FALSE), "GENERAL"))</f>
        <v/>
      </c>
    </row>
    <row r="998" spans="1:8" ht="20.100000000000001" customHeight="1" x14ac:dyDescent="0.25">
      <c r="A998" s="2" t="str">
        <f>IF(B998="","",IFERROR(VLOOKUP(B998, PLANTA_BASE!A:W, 2, FALSE), "NO ENCONTRADO EN PLANTA"))</f>
        <v/>
      </c>
      <c r="B998" s="3"/>
      <c r="C998" s="4" t="str">
        <f>IF(B998="","",IFERROR(VLOOKUP(B998, PLANTA_BASE!A:W, 3, FALSE), ""))</f>
        <v/>
      </c>
      <c r="D998" s="2" t="str">
        <f>IF(B998="","",IFERROR(VLOOKUP(B998, PLANTA_BASE!A:W, 5, FALSE), "NO ENCONTRADO EN PLANTA"))</f>
        <v/>
      </c>
      <c r="E998" s="2" t="str">
        <f>IF(B998="","",IFERROR(VLOOKUP(B998, PLANTA_BASE!A:W, 6, FALSE), "NO ENCONTRADO EN PLANTA"))</f>
        <v/>
      </c>
      <c r="F998" s="4" t="str">
        <f>IF(B998="","",IFERROR(VLOOKUP(B998, PLANTA_BASE!A:W, 8, FALSE), "DOCENTE / FACILITADOR"))</f>
        <v/>
      </c>
      <c r="G998" s="4" t="str">
        <f>IF(B998="","",IFERROR(VLOOKUP(B998, PLANTA_BASE!A:W, 9, FALSE), "GENERAL"))</f>
        <v/>
      </c>
      <c r="H998" s="2" t="str">
        <f>IF(B998="","",IFERROR(VLOOKUP(B998, PLANTA_BASE!A:W, 17, FALSE), "GENERAL"))</f>
        <v/>
      </c>
    </row>
    <row r="999" spans="1:8" ht="20.100000000000001" customHeight="1" x14ac:dyDescent="0.25">
      <c r="A999" s="5" t="str">
        <f>IF(B999="","",IFERROR(VLOOKUP(B999, PLANTA_BASE!A:W, 2, FALSE), "NO ENCONTRADO EN PLANTA"))</f>
        <v/>
      </c>
      <c r="B999" s="6"/>
      <c r="C999" s="7" t="str">
        <f>IF(B999="","",IFERROR(VLOOKUP(B999, PLANTA_BASE!A:W, 3, FALSE), ""))</f>
        <v/>
      </c>
      <c r="D999" s="5" t="str">
        <f>IF(B999="","",IFERROR(VLOOKUP(B999, PLANTA_BASE!A:W, 5, FALSE), "NO ENCONTRADO EN PLANTA"))</f>
        <v/>
      </c>
      <c r="E999" s="5" t="str">
        <f>IF(B999="","",IFERROR(VLOOKUP(B999, PLANTA_BASE!A:W, 6, FALSE), "NO ENCONTRADO EN PLANTA"))</f>
        <v/>
      </c>
      <c r="F999" s="7" t="str">
        <f>IF(B999="","",IFERROR(VLOOKUP(B999, PLANTA_BASE!A:W, 8, FALSE), "DOCENTE / FACILITADOR"))</f>
        <v/>
      </c>
      <c r="G999" s="7" t="str">
        <f>IF(B999="","",IFERROR(VLOOKUP(B999, PLANTA_BASE!A:W, 9, FALSE), "GENERAL"))</f>
        <v/>
      </c>
      <c r="H999" s="5" t="str">
        <f>IF(B999="","",IFERROR(VLOOKUP(B999, PLANTA_BASE!A:W, 17, FALSE), "GENERAL"))</f>
        <v/>
      </c>
    </row>
    <row r="1000" spans="1:8" ht="20.100000000000001" customHeight="1" x14ac:dyDescent="0.25">
      <c r="A1000" s="2" t="str">
        <f>IF(B1000="","",IFERROR(VLOOKUP(B1000, PLANTA_BASE!A:W, 2, FALSE), "NO ENCONTRADO EN PLANTA"))</f>
        <v/>
      </c>
      <c r="B1000" s="3"/>
      <c r="C1000" s="4" t="str">
        <f>IF(B1000="","",IFERROR(VLOOKUP(B1000, PLANTA_BASE!A:W, 3, FALSE), ""))</f>
        <v/>
      </c>
      <c r="D1000" s="2" t="str">
        <f>IF(B1000="","",IFERROR(VLOOKUP(B1000, PLANTA_BASE!A:W, 5, FALSE), "NO ENCONTRADO EN PLANTA"))</f>
        <v/>
      </c>
      <c r="E1000" s="2" t="str">
        <f>IF(B1000="","",IFERROR(VLOOKUP(B1000, PLANTA_BASE!A:W, 6, FALSE), "NO ENCONTRADO EN PLANTA"))</f>
        <v/>
      </c>
      <c r="F1000" s="4" t="str">
        <f>IF(B1000="","",IFERROR(VLOOKUP(B1000, PLANTA_BASE!A:W, 8, FALSE), "DOCENTE / FACILITADOR"))</f>
        <v/>
      </c>
      <c r="G1000" s="4" t="str">
        <f>IF(B1000="","",IFERROR(VLOOKUP(B1000, PLANTA_BASE!A:W, 9, FALSE), "GENERAL"))</f>
        <v/>
      </c>
      <c r="H1000" s="2" t="str">
        <f>IF(B1000="","",IFERROR(VLOOKUP(B1000, PLANTA_BASE!A:W, 17, FALSE), "GENERAL"))</f>
        <v/>
      </c>
    </row>
    <row r="1001" spans="1:8" ht="20.100000000000001" customHeight="1" x14ac:dyDescent="0.25">
      <c r="A1001" s="5" t="str">
        <f>IF(B1001="","",IFERROR(VLOOKUP(B1001, PLANTA_BASE!A:W, 2, FALSE), "NO ENCONTRADO EN PLANTA"))</f>
        <v/>
      </c>
      <c r="B1001" s="6"/>
      <c r="C1001" s="7" t="str">
        <f>IF(B1001="","",IFERROR(VLOOKUP(B1001, PLANTA_BASE!A:W, 3, FALSE), ""))</f>
        <v/>
      </c>
      <c r="D1001" s="5" t="str">
        <f>IF(B1001="","",IFERROR(VLOOKUP(B1001, PLANTA_BASE!A:W, 5, FALSE), "NO ENCONTRADO EN PLANTA"))</f>
        <v/>
      </c>
      <c r="E1001" s="5" t="str">
        <f>IF(B1001="","",IFERROR(VLOOKUP(B1001, PLANTA_BASE!A:W, 6, FALSE), "NO ENCONTRADO EN PLANTA"))</f>
        <v/>
      </c>
      <c r="F1001" s="7" t="str">
        <f>IF(B1001="","",IFERROR(VLOOKUP(B1001, PLANTA_BASE!A:W, 8, FALSE), "DOCENTE / FACILITADOR"))</f>
        <v/>
      </c>
      <c r="G1001" s="7" t="str">
        <f>IF(B1001="","",IFERROR(VLOOKUP(B1001, PLANTA_BASE!A:W, 9, FALSE), "GENERAL"))</f>
        <v/>
      </c>
      <c r="H1001" s="5" t="str">
        <f>IF(B1001="","",IFERROR(VLOOKUP(B1001, PLANTA_BASE!A:W, 17, FALSE), "GENERAL"))</f>
        <v/>
      </c>
    </row>
    <row r="1002" spans="1:8" ht="20.100000000000001" customHeight="1" x14ac:dyDescent="0.25">
      <c r="A1002" s="2" t="str">
        <f>IF(B1002="","",IFERROR(VLOOKUP(B1002, PLANTA_BASE!A:W, 2, FALSE), "NO ENCONTRADO EN PLANTA"))</f>
        <v/>
      </c>
      <c r="B1002" s="3"/>
      <c r="C1002" s="4" t="str">
        <f>IF(B1002="","",IFERROR(VLOOKUP(B1002, PLANTA_BASE!A:W, 3, FALSE), ""))</f>
        <v/>
      </c>
      <c r="D1002" s="2" t="str">
        <f>IF(B1002="","",IFERROR(VLOOKUP(B1002, PLANTA_BASE!A:W, 5, FALSE), "NO ENCONTRADO EN PLANTA"))</f>
        <v/>
      </c>
      <c r="E1002" s="2" t="str">
        <f>IF(B1002="","",IFERROR(VLOOKUP(B1002, PLANTA_BASE!A:W, 6, FALSE), "NO ENCONTRADO EN PLANTA"))</f>
        <v/>
      </c>
      <c r="F1002" s="4" t="str">
        <f>IF(B1002="","",IFERROR(VLOOKUP(B1002, PLANTA_BASE!A:W, 8, FALSE), "DOCENTE / FACILITADOR"))</f>
        <v/>
      </c>
      <c r="G1002" s="4" t="str">
        <f>IF(B1002="","",IFERROR(VLOOKUP(B1002, PLANTA_BASE!A:W, 9, FALSE), "GENERAL"))</f>
        <v/>
      </c>
      <c r="H1002" s="2" t="str">
        <f>IF(B1002="","",IFERROR(VLOOKUP(B1002, PLANTA_BASE!A:W, 17, FALSE), "GENERAL"))</f>
        <v/>
      </c>
    </row>
    <row r="1003" spans="1:8" ht="20.100000000000001" customHeight="1" x14ac:dyDescent="0.25">
      <c r="A1003" s="5" t="str">
        <f>IF(B1003="","",IFERROR(VLOOKUP(B1003, PLANTA_BASE!A:W, 2, FALSE), "NO ENCONTRADO EN PLANTA"))</f>
        <v/>
      </c>
      <c r="B1003" s="6"/>
      <c r="C1003" s="7" t="str">
        <f>IF(B1003="","",IFERROR(VLOOKUP(B1003, PLANTA_BASE!A:W, 3, FALSE), ""))</f>
        <v/>
      </c>
      <c r="D1003" s="5" t="str">
        <f>IF(B1003="","",IFERROR(VLOOKUP(B1003, PLANTA_BASE!A:W, 5, FALSE), "NO ENCONTRADO EN PLANTA"))</f>
        <v/>
      </c>
      <c r="E1003" s="5" t="str">
        <f>IF(B1003="","",IFERROR(VLOOKUP(B1003, PLANTA_BASE!A:W, 6, FALSE), "NO ENCONTRADO EN PLANTA"))</f>
        <v/>
      </c>
      <c r="F1003" s="7" t="str">
        <f>IF(B1003="","",IFERROR(VLOOKUP(B1003, PLANTA_BASE!A:W, 8, FALSE), "DOCENTE / FACILITADOR"))</f>
        <v/>
      </c>
      <c r="G1003" s="7" t="str">
        <f>IF(B1003="","",IFERROR(VLOOKUP(B1003, PLANTA_BASE!A:W, 9, FALSE), "GENERAL"))</f>
        <v/>
      </c>
      <c r="H1003" s="5" t="str">
        <f>IF(B1003="","",IFERROR(VLOOKUP(B1003, PLANTA_BASE!A:W, 17, FALSE), "GENERAL"))</f>
        <v/>
      </c>
    </row>
    <row r="1004" spans="1:8" ht="20.100000000000001" customHeight="1" x14ac:dyDescent="0.25">
      <c r="A1004" s="2" t="str">
        <f>IF(B1004="","",IFERROR(VLOOKUP(B1004, PLANTA_BASE!A:W, 2, FALSE), "NO ENCONTRADO EN PLANTA"))</f>
        <v/>
      </c>
      <c r="B1004" s="3"/>
      <c r="C1004" s="4" t="str">
        <f>IF(B1004="","",IFERROR(VLOOKUP(B1004, PLANTA_BASE!A:W, 3, FALSE), ""))</f>
        <v/>
      </c>
      <c r="D1004" s="2" t="str">
        <f>IF(B1004="","",IFERROR(VLOOKUP(B1004, PLANTA_BASE!A:W, 5, FALSE), "NO ENCONTRADO EN PLANTA"))</f>
        <v/>
      </c>
      <c r="E1004" s="2" t="str">
        <f>IF(B1004="","",IFERROR(VLOOKUP(B1004, PLANTA_BASE!A:W, 6, FALSE), "NO ENCONTRADO EN PLANTA"))</f>
        <v/>
      </c>
      <c r="F1004" s="4" t="str">
        <f>IF(B1004="","",IFERROR(VLOOKUP(B1004, PLANTA_BASE!A:W, 8, FALSE), "DOCENTE / FACILITADOR"))</f>
        <v/>
      </c>
      <c r="G1004" s="4" t="str">
        <f>IF(B1004="","",IFERROR(VLOOKUP(B1004, PLANTA_BASE!A:W, 9, FALSE), "GENERAL"))</f>
        <v/>
      </c>
      <c r="H1004" s="2" t="str">
        <f>IF(B1004="","",IFERROR(VLOOKUP(B1004, PLANTA_BASE!A:W, 17, FALSE), "GENERAL"))</f>
        <v/>
      </c>
    </row>
    <row r="1005" spans="1:8" ht="20.100000000000001" customHeight="1" x14ac:dyDescent="0.25">
      <c r="A1005" s="5" t="str">
        <f>IF(B1005="","",IFERROR(VLOOKUP(B1005, PLANTA_BASE!A:W, 2, FALSE), "NO ENCONTRADO EN PLANTA"))</f>
        <v/>
      </c>
      <c r="B1005" s="6"/>
      <c r="C1005" s="7" t="str">
        <f>IF(B1005="","",IFERROR(VLOOKUP(B1005, PLANTA_BASE!A:W, 3, FALSE), ""))</f>
        <v/>
      </c>
      <c r="D1005" s="5" t="str">
        <f>IF(B1005="","",IFERROR(VLOOKUP(B1005, PLANTA_BASE!A:W, 5, FALSE), "NO ENCONTRADO EN PLANTA"))</f>
        <v/>
      </c>
      <c r="E1005" s="5" t="str">
        <f>IF(B1005="","",IFERROR(VLOOKUP(B1005, PLANTA_BASE!A:W, 6, FALSE), "NO ENCONTRADO EN PLANTA"))</f>
        <v/>
      </c>
      <c r="F1005" s="7" t="str">
        <f>IF(B1005="","",IFERROR(VLOOKUP(B1005, PLANTA_BASE!A:W, 8, FALSE), "DOCENTE / FACILITADOR"))</f>
        <v/>
      </c>
      <c r="G1005" s="7" t="str">
        <f>IF(B1005="","",IFERROR(VLOOKUP(B1005, PLANTA_BASE!A:W, 9, FALSE), "GENERAL"))</f>
        <v/>
      </c>
      <c r="H1005" s="5" t="str">
        <f>IF(B1005="","",IFERROR(VLOOKUP(B1005, PLANTA_BASE!A:W, 17, FALSE), "GENERAL"))</f>
        <v/>
      </c>
    </row>
    <row r="1006" spans="1:8" ht="20.100000000000001" customHeight="1" x14ac:dyDescent="0.25">
      <c r="A1006" s="2" t="str">
        <f>IF(B1006="","",IFERROR(VLOOKUP(B1006, PLANTA_BASE!A:W, 2, FALSE), "NO ENCONTRADO EN PLANTA"))</f>
        <v/>
      </c>
      <c r="B1006" s="3"/>
      <c r="C1006" s="4" t="str">
        <f>IF(B1006="","",IFERROR(VLOOKUP(B1006, PLANTA_BASE!A:W, 3, FALSE), ""))</f>
        <v/>
      </c>
      <c r="D1006" s="2" t="str">
        <f>IF(B1006="","",IFERROR(VLOOKUP(B1006, PLANTA_BASE!A:W, 5, FALSE), "NO ENCONTRADO EN PLANTA"))</f>
        <v/>
      </c>
      <c r="E1006" s="2" t="str">
        <f>IF(B1006="","",IFERROR(VLOOKUP(B1006, PLANTA_BASE!A:W, 6, FALSE), "NO ENCONTRADO EN PLANTA"))</f>
        <v/>
      </c>
      <c r="F1006" s="4" t="str">
        <f>IF(B1006="","",IFERROR(VLOOKUP(B1006, PLANTA_BASE!A:W, 8, FALSE), "DOCENTE / FACILITADOR"))</f>
        <v/>
      </c>
      <c r="G1006" s="4" t="str">
        <f>IF(B1006="","",IFERROR(VLOOKUP(B1006, PLANTA_BASE!A:W, 9, FALSE), "GENERAL"))</f>
        <v/>
      </c>
      <c r="H1006" s="2" t="str">
        <f>IF(B1006="","",IFERROR(VLOOKUP(B1006, PLANTA_BASE!A:W, 17, FALSE), "GENERAL"))</f>
        <v/>
      </c>
    </row>
    <row r="1007" spans="1:8" ht="20.100000000000001" customHeight="1" x14ac:dyDescent="0.25">
      <c r="A1007" s="5" t="str">
        <f>IF(B1007="","",IFERROR(VLOOKUP(B1007, PLANTA_BASE!A:W, 2, FALSE), "NO ENCONTRADO EN PLANTA"))</f>
        <v/>
      </c>
      <c r="B1007" s="6"/>
      <c r="C1007" s="7" t="str">
        <f>IF(B1007="","",IFERROR(VLOOKUP(B1007, PLANTA_BASE!A:W, 3, FALSE), ""))</f>
        <v/>
      </c>
      <c r="D1007" s="5" t="str">
        <f>IF(B1007="","",IFERROR(VLOOKUP(B1007, PLANTA_BASE!A:W, 5, FALSE), "NO ENCONTRADO EN PLANTA"))</f>
        <v/>
      </c>
      <c r="E1007" s="5" t="str">
        <f>IF(B1007="","",IFERROR(VLOOKUP(B1007, PLANTA_BASE!A:W, 6, FALSE), "NO ENCONTRADO EN PLANTA"))</f>
        <v/>
      </c>
      <c r="F1007" s="7" t="str">
        <f>IF(B1007="","",IFERROR(VLOOKUP(B1007, PLANTA_BASE!A:W, 8, FALSE), "DOCENTE / FACILITADOR"))</f>
        <v/>
      </c>
      <c r="G1007" s="7" t="str">
        <f>IF(B1007="","",IFERROR(VLOOKUP(B1007, PLANTA_BASE!A:W, 9, FALSE), "GENERAL"))</f>
        <v/>
      </c>
      <c r="H1007" s="5" t="str">
        <f>IF(B1007="","",IFERROR(VLOOKUP(B1007, PLANTA_BASE!A:W, 17, FALSE), "GENERAL"))</f>
        <v/>
      </c>
    </row>
    <row r="1008" spans="1:8" ht="20.100000000000001" customHeight="1" x14ac:dyDescent="0.25">
      <c r="A1008" s="2" t="str">
        <f>IF(B1008="","",IFERROR(VLOOKUP(B1008, PLANTA_BASE!A:W, 2, FALSE), "NO ENCONTRADO EN PLANTA"))</f>
        <v/>
      </c>
      <c r="B1008" s="3"/>
      <c r="C1008" s="4" t="str">
        <f>IF(B1008="","",IFERROR(VLOOKUP(B1008, PLANTA_BASE!A:W, 3, FALSE), ""))</f>
        <v/>
      </c>
      <c r="D1008" s="2" t="str">
        <f>IF(B1008="","",IFERROR(VLOOKUP(B1008, PLANTA_BASE!A:W, 5, FALSE), "NO ENCONTRADO EN PLANTA"))</f>
        <v/>
      </c>
      <c r="E1008" s="2" t="str">
        <f>IF(B1008="","",IFERROR(VLOOKUP(B1008, PLANTA_BASE!A:W, 6, FALSE), "NO ENCONTRADO EN PLANTA"))</f>
        <v/>
      </c>
      <c r="F1008" s="4" t="str">
        <f>IF(B1008="","",IFERROR(VLOOKUP(B1008, PLANTA_BASE!A:W, 8, FALSE), "DOCENTE / FACILITADOR"))</f>
        <v/>
      </c>
      <c r="G1008" s="4" t="str">
        <f>IF(B1008="","",IFERROR(VLOOKUP(B1008, PLANTA_BASE!A:W, 9, FALSE), "GENERAL"))</f>
        <v/>
      </c>
      <c r="H1008" s="2" t="str">
        <f>IF(B1008="","",IFERROR(VLOOKUP(B1008, PLANTA_BASE!A:W, 17, FALSE), "GENERAL"))</f>
        <v/>
      </c>
    </row>
    <row r="1009" spans="1:8" ht="20.100000000000001" customHeight="1" x14ac:dyDescent="0.25">
      <c r="A1009" s="5" t="str">
        <f>IF(B1009="","",IFERROR(VLOOKUP(B1009, PLANTA_BASE!A:W, 2, FALSE), "NO ENCONTRADO EN PLANTA"))</f>
        <v/>
      </c>
      <c r="B1009" s="6"/>
      <c r="C1009" s="7" t="str">
        <f>IF(B1009="","",IFERROR(VLOOKUP(B1009, PLANTA_BASE!A:W, 3, FALSE), ""))</f>
        <v/>
      </c>
      <c r="D1009" s="5" t="str">
        <f>IF(B1009="","",IFERROR(VLOOKUP(B1009, PLANTA_BASE!A:W, 5, FALSE), "NO ENCONTRADO EN PLANTA"))</f>
        <v/>
      </c>
      <c r="E1009" s="5" t="str">
        <f>IF(B1009="","",IFERROR(VLOOKUP(B1009, PLANTA_BASE!A:W, 6, FALSE), "NO ENCONTRADO EN PLANTA"))</f>
        <v/>
      </c>
      <c r="F1009" s="7" t="str">
        <f>IF(B1009="","",IFERROR(VLOOKUP(B1009, PLANTA_BASE!A:W, 8, FALSE), "DOCENTE / FACILITADOR"))</f>
        <v/>
      </c>
      <c r="G1009" s="7" t="str">
        <f>IF(B1009="","",IFERROR(VLOOKUP(B1009, PLANTA_BASE!A:W, 9, FALSE), "GENERAL"))</f>
        <v/>
      </c>
      <c r="H1009" s="5" t="str">
        <f>IF(B1009="","",IFERROR(VLOOKUP(B1009, PLANTA_BASE!A:W, 17, FALSE), "GENERAL"))</f>
        <v/>
      </c>
    </row>
    <row r="1010" spans="1:8" ht="20.100000000000001" customHeight="1" x14ac:dyDescent="0.25">
      <c r="A1010" s="2" t="str">
        <f>IF(B1010="","",IFERROR(VLOOKUP(B1010, PLANTA_BASE!A:W, 2, FALSE), "NO ENCONTRADO EN PLANTA"))</f>
        <v/>
      </c>
      <c r="B1010" s="3"/>
      <c r="C1010" s="4" t="str">
        <f>IF(B1010="","",IFERROR(VLOOKUP(B1010, PLANTA_BASE!A:W, 3, FALSE), ""))</f>
        <v/>
      </c>
      <c r="D1010" s="2" t="str">
        <f>IF(B1010="","",IFERROR(VLOOKUP(B1010, PLANTA_BASE!A:W, 5, FALSE), "NO ENCONTRADO EN PLANTA"))</f>
        <v/>
      </c>
      <c r="E1010" s="2" t="str">
        <f>IF(B1010="","",IFERROR(VLOOKUP(B1010, PLANTA_BASE!A:W, 6, FALSE), "NO ENCONTRADO EN PLANTA"))</f>
        <v/>
      </c>
      <c r="F1010" s="4" t="str">
        <f>IF(B1010="","",IFERROR(VLOOKUP(B1010, PLANTA_BASE!A:W, 8, FALSE), "DOCENTE / FACILITADOR"))</f>
        <v/>
      </c>
      <c r="G1010" s="4" t="str">
        <f>IF(B1010="","",IFERROR(VLOOKUP(B1010, PLANTA_BASE!A:W, 9, FALSE), "GENERAL"))</f>
        <v/>
      </c>
      <c r="H1010" s="2" t="str">
        <f>IF(B1010="","",IFERROR(VLOOKUP(B1010, PLANTA_BASE!A:W, 17, FALSE), "GENERAL"))</f>
        <v/>
      </c>
    </row>
    <row r="1011" spans="1:8" ht="20.100000000000001" customHeight="1" x14ac:dyDescent="0.25">
      <c r="A1011" s="5" t="str">
        <f>IF(B1011="","",IFERROR(VLOOKUP(B1011, PLANTA_BASE!A:W, 2, FALSE), "NO ENCONTRADO EN PLANTA"))</f>
        <v/>
      </c>
      <c r="B1011" s="6"/>
      <c r="C1011" s="7" t="str">
        <f>IF(B1011="","",IFERROR(VLOOKUP(B1011, PLANTA_BASE!A:W, 3, FALSE), ""))</f>
        <v/>
      </c>
      <c r="D1011" s="5" t="str">
        <f>IF(B1011="","",IFERROR(VLOOKUP(B1011, PLANTA_BASE!A:W, 5, FALSE), "NO ENCONTRADO EN PLANTA"))</f>
        <v/>
      </c>
      <c r="E1011" s="5" t="str">
        <f>IF(B1011="","",IFERROR(VLOOKUP(B1011, PLANTA_BASE!A:W, 6, FALSE), "NO ENCONTRADO EN PLANTA"))</f>
        <v/>
      </c>
      <c r="F1011" s="7" t="str">
        <f>IF(B1011="","",IFERROR(VLOOKUP(B1011, PLANTA_BASE!A:W, 8, FALSE), "DOCENTE / FACILITADOR"))</f>
        <v/>
      </c>
      <c r="G1011" s="7" t="str">
        <f>IF(B1011="","",IFERROR(VLOOKUP(B1011, PLANTA_BASE!A:W, 9, FALSE), "GENERAL"))</f>
        <v/>
      </c>
      <c r="H1011" s="5" t="str">
        <f>IF(B1011="","",IFERROR(VLOOKUP(B1011, PLANTA_BASE!A:W, 17, FALSE), "GENERAL"))</f>
        <v/>
      </c>
    </row>
    <row r="1012" spans="1:8" ht="20.100000000000001" customHeight="1" x14ac:dyDescent="0.25">
      <c r="A1012" s="2" t="str">
        <f>IF(B1012="","",IFERROR(VLOOKUP(B1012, PLANTA_BASE!A:W, 2, FALSE), "NO ENCONTRADO EN PLANTA"))</f>
        <v/>
      </c>
      <c r="B1012" s="3"/>
      <c r="C1012" s="4" t="str">
        <f>IF(B1012="","",IFERROR(VLOOKUP(B1012, PLANTA_BASE!A:W, 3, FALSE), ""))</f>
        <v/>
      </c>
      <c r="D1012" s="2" t="str">
        <f>IF(B1012="","",IFERROR(VLOOKUP(B1012, PLANTA_BASE!A:W, 5, FALSE), "NO ENCONTRADO EN PLANTA"))</f>
        <v/>
      </c>
      <c r="E1012" s="2" t="str">
        <f>IF(B1012="","",IFERROR(VLOOKUP(B1012, PLANTA_BASE!A:W, 6, FALSE), "NO ENCONTRADO EN PLANTA"))</f>
        <v/>
      </c>
      <c r="F1012" s="4" t="str">
        <f>IF(B1012="","",IFERROR(VLOOKUP(B1012, PLANTA_BASE!A:W, 8, FALSE), "DOCENTE / FACILITADOR"))</f>
        <v/>
      </c>
      <c r="G1012" s="4" t="str">
        <f>IF(B1012="","",IFERROR(VLOOKUP(B1012, PLANTA_BASE!A:W, 9, FALSE), "GENERAL"))</f>
        <v/>
      </c>
      <c r="H1012" s="2" t="str">
        <f>IF(B1012="","",IFERROR(VLOOKUP(B1012, PLANTA_BASE!A:W, 17, FALSE), "GENERAL"))</f>
        <v/>
      </c>
    </row>
    <row r="1013" spans="1:8" ht="20.100000000000001" customHeight="1" x14ac:dyDescent="0.25">
      <c r="A1013" s="5" t="str">
        <f>IF(B1013="","",IFERROR(VLOOKUP(B1013, PLANTA_BASE!A:W, 2, FALSE), "NO ENCONTRADO EN PLANTA"))</f>
        <v/>
      </c>
      <c r="B1013" s="6"/>
      <c r="C1013" s="7" t="str">
        <f>IF(B1013="","",IFERROR(VLOOKUP(B1013, PLANTA_BASE!A:W, 3, FALSE), ""))</f>
        <v/>
      </c>
      <c r="D1013" s="5" t="str">
        <f>IF(B1013="","",IFERROR(VLOOKUP(B1013, PLANTA_BASE!A:W, 5, FALSE), "NO ENCONTRADO EN PLANTA"))</f>
        <v/>
      </c>
      <c r="E1013" s="5" t="str">
        <f>IF(B1013="","",IFERROR(VLOOKUP(B1013, PLANTA_BASE!A:W, 6, FALSE), "NO ENCONTRADO EN PLANTA"))</f>
        <v/>
      </c>
      <c r="F1013" s="7" t="str">
        <f>IF(B1013="","",IFERROR(VLOOKUP(B1013, PLANTA_BASE!A:W, 8, FALSE), "DOCENTE / FACILITADOR"))</f>
        <v/>
      </c>
      <c r="G1013" s="7" t="str">
        <f>IF(B1013="","",IFERROR(VLOOKUP(B1013, PLANTA_BASE!A:W, 9, FALSE), "GENERAL"))</f>
        <v/>
      </c>
      <c r="H1013" s="5" t="str">
        <f>IF(B1013="","",IFERROR(VLOOKUP(B1013, PLANTA_BASE!A:W, 17, FALSE), "GENERAL"))</f>
        <v/>
      </c>
    </row>
    <row r="1014" spans="1:8" ht="20.100000000000001" customHeight="1" x14ac:dyDescent="0.25">
      <c r="A1014" s="2" t="str">
        <f>IF(B1014="","",IFERROR(VLOOKUP(B1014, PLANTA_BASE!A:W, 2, FALSE), "NO ENCONTRADO EN PLANTA"))</f>
        <v/>
      </c>
      <c r="B1014" s="3"/>
      <c r="C1014" s="4" t="str">
        <f>IF(B1014="","",IFERROR(VLOOKUP(B1014, PLANTA_BASE!A:W, 3, FALSE), ""))</f>
        <v/>
      </c>
      <c r="D1014" s="2" t="str">
        <f>IF(B1014="","",IFERROR(VLOOKUP(B1014, PLANTA_BASE!A:W, 5, FALSE), "NO ENCONTRADO EN PLANTA"))</f>
        <v/>
      </c>
      <c r="E1014" s="2" t="str">
        <f>IF(B1014="","",IFERROR(VLOOKUP(B1014, PLANTA_BASE!A:W, 6, FALSE), "NO ENCONTRADO EN PLANTA"))</f>
        <v/>
      </c>
      <c r="F1014" s="4" t="str">
        <f>IF(B1014="","",IFERROR(VLOOKUP(B1014, PLANTA_BASE!A:W, 8, FALSE), "DOCENTE / FACILITADOR"))</f>
        <v/>
      </c>
      <c r="G1014" s="4" t="str">
        <f>IF(B1014="","",IFERROR(VLOOKUP(B1014, PLANTA_BASE!A:W, 9, FALSE), "GENERAL"))</f>
        <v/>
      </c>
      <c r="H1014" s="2" t="str">
        <f>IF(B1014="","",IFERROR(VLOOKUP(B1014, PLANTA_BASE!A:W, 17, FALSE), "GENERAL"))</f>
        <v/>
      </c>
    </row>
    <row r="1015" spans="1:8" ht="20.100000000000001" customHeight="1" x14ac:dyDescent="0.25">
      <c r="A1015" s="5" t="str">
        <f>IF(B1015="","",IFERROR(VLOOKUP(B1015, PLANTA_BASE!A:W, 2, FALSE), "NO ENCONTRADO EN PLANTA"))</f>
        <v/>
      </c>
      <c r="B1015" s="6"/>
      <c r="C1015" s="7" t="str">
        <f>IF(B1015="","",IFERROR(VLOOKUP(B1015, PLANTA_BASE!A:W, 3, FALSE), ""))</f>
        <v/>
      </c>
      <c r="D1015" s="5" t="str">
        <f>IF(B1015="","",IFERROR(VLOOKUP(B1015, PLANTA_BASE!A:W, 5, FALSE), "NO ENCONTRADO EN PLANTA"))</f>
        <v/>
      </c>
      <c r="E1015" s="5" t="str">
        <f>IF(B1015="","",IFERROR(VLOOKUP(B1015, PLANTA_BASE!A:W, 6, FALSE), "NO ENCONTRADO EN PLANTA"))</f>
        <v/>
      </c>
      <c r="F1015" s="7" t="str">
        <f>IF(B1015="","",IFERROR(VLOOKUP(B1015, PLANTA_BASE!A:W, 8, FALSE), "DOCENTE / FACILITADOR"))</f>
        <v/>
      </c>
      <c r="G1015" s="7" t="str">
        <f>IF(B1015="","",IFERROR(VLOOKUP(B1015, PLANTA_BASE!A:W, 9, FALSE), "GENERAL"))</f>
        <v/>
      </c>
      <c r="H1015" s="5" t="str">
        <f>IF(B1015="","",IFERROR(VLOOKUP(B1015, PLANTA_BASE!A:W, 17, FALSE), "GENERAL"))</f>
        <v/>
      </c>
    </row>
    <row r="1016" spans="1:8" ht="20.100000000000001" customHeight="1" x14ac:dyDescent="0.25">
      <c r="A1016" s="2" t="str">
        <f>IF(B1016="","",IFERROR(VLOOKUP(B1016, PLANTA_BASE!A:W, 2, FALSE), "NO ENCONTRADO EN PLANTA"))</f>
        <v/>
      </c>
      <c r="B1016" s="3"/>
      <c r="C1016" s="4" t="str">
        <f>IF(B1016="","",IFERROR(VLOOKUP(B1016, PLANTA_BASE!A:W, 3, FALSE), ""))</f>
        <v/>
      </c>
      <c r="D1016" s="2" t="str">
        <f>IF(B1016="","",IFERROR(VLOOKUP(B1016, PLANTA_BASE!A:W, 5, FALSE), "NO ENCONTRADO EN PLANTA"))</f>
        <v/>
      </c>
      <c r="E1016" s="2" t="str">
        <f>IF(B1016="","",IFERROR(VLOOKUP(B1016, PLANTA_BASE!A:W, 6, FALSE), "NO ENCONTRADO EN PLANTA"))</f>
        <v/>
      </c>
      <c r="F1016" s="4" t="str">
        <f>IF(B1016="","",IFERROR(VLOOKUP(B1016, PLANTA_BASE!A:W, 8, FALSE), "DOCENTE / FACILITADOR"))</f>
        <v/>
      </c>
      <c r="G1016" s="4" t="str">
        <f>IF(B1016="","",IFERROR(VLOOKUP(B1016, PLANTA_BASE!A:W, 9, FALSE), "GENERAL"))</f>
        <v/>
      </c>
      <c r="H1016" s="2" t="str">
        <f>IF(B1016="","",IFERROR(VLOOKUP(B1016, PLANTA_BASE!A:W, 17, FALSE), "GENERAL"))</f>
        <v/>
      </c>
    </row>
    <row r="1017" spans="1:8" ht="20.100000000000001" customHeight="1" x14ac:dyDescent="0.25">
      <c r="A1017" s="5" t="str">
        <f>IF(B1017="","",IFERROR(VLOOKUP(B1017, PLANTA_BASE!A:W, 2, FALSE), "NO ENCONTRADO EN PLANTA"))</f>
        <v/>
      </c>
      <c r="B1017" s="6"/>
      <c r="C1017" s="7" t="str">
        <f>IF(B1017="","",IFERROR(VLOOKUP(B1017, PLANTA_BASE!A:W, 3, FALSE), ""))</f>
        <v/>
      </c>
      <c r="D1017" s="5" t="str">
        <f>IF(B1017="","",IFERROR(VLOOKUP(B1017, PLANTA_BASE!A:W, 5, FALSE), "NO ENCONTRADO EN PLANTA"))</f>
        <v/>
      </c>
      <c r="E1017" s="5" t="str">
        <f>IF(B1017="","",IFERROR(VLOOKUP(B1017, PLANTA_BASE!A:W, 6, FALSE), "NO ENCONTRADO EN PLANTA"))</f>
        <v/>
      </c>
      <c r="F1017" s="7" t="str">
        <f>IF(B1017="","",IFERROR(VLOOKUP(B1017, PLANTA_BASE!A:W, 8, FALSE), "DOCENTE / FACILITADOR"))</f>
        <v/>
      </c>
      <c r="G1017" s="7" t="str">
        <f>IF(B1017="","",IFERROR(VLOOKUP(B1017, PLANTA_BASE!A:W, 9, FALSE), "GENERAL"))</f>
        <v/>
      </c>
      <c r="H1017" s="5" t="str">
        <f>IF(B1017="","",IFERROR(VLOOKUP(B1017, PLANTA_BASE!A:W, 17, FALSE), "GENERAL"))</f>
        <v/>
      </c>
    </row>
    <row r="1018" spans="1:8" ht="20.100000000000001" customHeight="1" x14ac:dyDescent="0.25">
      <c r="A1018" s="2" t="str">
        <f>IF(B1018="","",IFERROR(VLOOKUP(B1018, PLANTA_BASE!A:W, 2, FALSE), "NO ENCONTRADO EN PLANTA"))</f>
        <v/>
      </c>
      <c r="B1018" s="3"/>
      <c r="C1018" s="4" t="str">
        <f>IF(B1018="","",IFERROR(VLOOKUP(B1018, PLANTA_BASE!A:W, 3, FALSE), ""))</f>
        <v/>
      </c>
      <c r="D1018" s="2" t="str">
        <f>IF(B1018="","",IFERROR(VLOOKUP(B1018, PLANTA_BASE!A:W, 5, FALSE), "NO ENCONTRADO EN PLANTA"))</f>
        <v/>
      </c>
      <c r="E1018" s="2" t="str">
        <f>IF(B1018="","",IFERROR(VLOOKUP(B1018, PLANTA_BASE!A:W, 6, FALSE), "NO ENCONTRADO EN PLANTA"))</f>
        <v/>
      </c>
      <c r="F1018" s="4" t="str">
        <f>IF(B1018="","",IFERROR(VLOOKUP(B1018, PLANTA_BASE!A:W, 8, FALSE), "DOCENTE / FACILITADOR"))</f>
        <v/>
      </c>
      <c r="G1018" s="4" t="str">
        <f>IF(B1018="","",IFERROR(VLOOKUP(B1018, PLANTA_BASE!A:W, 9, FALSE), "GENERAL"))</f>
        <v/>
      </c>
      <c r="H1018" s="2" t="str">
        <f>IF(B1018="","",IFERROR(VLOOKUP(B1018, PLANTA_BASE!A:W, 17, FALSE), "GENERAL"))</f>
        <v/>
      </c>
    </row>
    <row r="1019" spans="1:8" ht="20.100000000000001" customHeight="1" x14ac:dyDescent="0.25">
      <c r="A1019" s="5" t="str">
        <f>IF(B1019="","",IFERROR(VLOOKUP(B1019, PLANTA_BASE!A:W, 2, FALSE), "NO ENCONTRADO EN PLANTA"))</f>
        <v/>
      </c>
      <c r="B1019" s="6"/>
      <c r="C1019" s="7" t="str">
        <f>IF(B1019="","",IFERROR(VLOOKUP(B1019, PLANTA_BASE!A:W, 3, FALSE), ""))</f>
        <v/>
      </c>
      <c r="D1019" s="5" t="str">
        <f>IF(B1019="","",IFERROR(VLOOKUP(B1019, PLANTA_BASE!A:W, 5, FALSE), "NO ENCONTRADO EN PLANTA"))</f>
        <v/>
      </c>
      <c r="E1019" s="5" t="str">
        <f>IF(B1019="","",IFERROR(VLOOKUP(B1019, PLANTA_BASE!A:W, 6, FALSE), "NO ENCONTRADO EN PLANTA"))</f>
        <v/>
      </c>
      <c r="F1019" s="7" t="str">
        <f>IF(B1019="","",IFERROR(VLOOKUP(B1019, PLANTA_BASE!A:W, 8, FALSE), "DOCENTE / FACILITADOR"))</f>
        <v/>
      </c>
      <c r="G1019" s="7" t="str">
        <f>IF(B1019="","",IFERROR(VLOOKUP(B1019, PLANTA_BASE!A:W, 9, FALSE), "GENERAL"))</f>
        <v/>
      </c>
      <c r="H1019" s="5" t="str">
        <f>IF(B1019="","",IFERROR(VLOOKUP(B1019, PLANTA_BASE!A:W, 17, FALSE), "GENERAL"))</f>
        <v/>
      </c>
    </row>
    <row r="1020" spans="1:8" ht="20.100000000000001" customHeight="1" x14ac:dyDescent="0.25">
      <c r="A1020" s="2" t="str">
        <f>IF(B1020="","",IFERROR(VLOOKUP(B1020, PLANTA_BASE!A:W, 2, FALSE), "NO ENCONTRADO EN PLANTA"))</f>
        <v/>
      </c>
      <c r="B1020" s="3"/>
      <c r="C1020" s="4" t="str">
        <f>IF(B1020="","",IFERROR(VLOOKUP(B1020, PLANTA_BASE!A:W, 3, FALSE), ""))</f>
        <v/>
      </c>
      <c r="D1020" s="2" t="str">
        <f>IF(B1020="","",IFERROR(VLOOKUP(B1020, PLANTA_BASE!A:W, 5, FALSE), "NO ENCONTRADO EN PLANTA"))</f>
        <v/>
      </c>
      <c r="E1020" s="2" t="str">
        <f>IF(B1020="","",IFERROR(VLOOKUP(B1020, PLANTA_BASE!A:W, 6, FALSE), "NO ENCONTRADO EN PLANTA"))</f>
        <v/>
      </c>
      <c r="F1020" s="4" t="str">
        <f>IF(B1020="","",IFERROR(VLOOKUP(B1020, PLANTA_BASE!A:W, 8, FALSE), "DOCENTE / FACILITADOR"))</f>
        <v/>
      </c>
      <c r="G1020" s="4" t="str">
        <f>IF(B1020="","",IFERROR(VLOOKUP(B1020, PLANTA_BASE!A:W, 9, FALSE), "GENERAL"))</f>
        <v/>
      </c>
      <c r="H1020" s="2" t="str">
        <f>IF(B1020="","",IFERROR(VLOOKUP(B1020, PLANTA_BASE!A:W, 17, FALSE), "GENERAL"))</f>
        <v/>
      </c>
    </row>
    <row r="1021" spans="1:8" ht="20.100000000000001" customHeight="1" x14ac:dyDescent="0.25">
      <c r="A1021" s="5" t="str">
        <f>IF(B1021="","",IFERROR(VLOOKUP(B1021, PLANTA_BASE!A:W, 2, FALSE), "NO ENCONTRADO EN PLANTA"))</f>
        <v/>
      </c>
      <c r="B1021" s="6"/>
      <c r="C1021" s="7" t="str">
        <f>IF(B1021="","",IFERROR(VLOOKUP(B1021, PLANTA_BASE!A:W, 3, FALSE), ""))</f>
        <v/>
      </c>
      <c r="D1021" s="5" t="str">
        <f>IF(B1021="","",IFERROR(VLOOKUP(B1021, PLANTA_BASE!A:W, 5, FALSE), "NO ENCONTRADO EN PLANTA"))</f>
        <v/>
      </c>
      <c r="E1021" s="5" t="str">
        <f>IF(B1021="","",IFERROR(VLOOKUP(B1021, PLANTA_BASE!A:W, 6, FALSE), "NO ENCONTRADO EN PLANTA"))</f>
        <v/>
      </c>
      <c r="F1021" s="7" t="str">
        <f>IF(B1021="","",IFERROR(VLOOKUP(B1021, PLANTA_BASE!A:W, 8, FALSE), "DOCENTE / FACILITADOR"))</f>
        <v/>
      </c>
      <c r="G1021" s="7" t="str">
        <f>IF(B1021="","",IFERROR(VLOOKUP(B1021, PLANTA_BASE!A:W, 9, FALSE), "GENERAL"))</f>
        <v/>
      </c>
      <c r="H1021" s="5" t="str">
        <f>IF(B1021="","",IFERROR(VLOOKUP(B1021, PLANTA_BASE!A:W, 17, FALSE), "GENERAL"))</f>
        <v/>
      </c>
    </row>
    <row r="1022" spans="1:8" ht="20.100000000000001" customHeight="1" x14ac:dyDescent="0.25">
      <c r="A1022" s="2" t="str">
        <f>IF(B1022="","",IFERROR(VLOOKUP(B1022, PLANTA_BASE!A:W, 2, FALSE), "NO ENCONTRADO EN PLANTA"))</f>
        <v/>
      </c>
      <c r="B1022" s="3"/>
      <c r="C1022" s="4" t="str">
        <f>IF(B1022="","",IFERROR(VLOOKUP(B1022, PLANTA_BASE!A:W, 3, FALSE), ""))</f>
        <v/>
      </c>
      <c r="D1022" s="2" t="str">
        <f>IF(B1022="","",IFERROR(VLOOKUP(B1022, PLANTA_BASE!A:W, 5, FALSE), "NO ENCONTRADO EN PLANTA"))</f>
        <v/>
      </c>
      <c r="E1022" s="2" t="str">
        <f>IF(B1022="","",IFERROR(VLOOKUP(B1022, PLANTA_BASE!A:W, 6, FALSE), "NO ENCONTRADO EN PLANTA"))</f>
        <v/>
      </c>
      <c r="F1022" s="4" t="str">
        <f>IF(B1022="","",IFERROR(VLOOKUP(B1022, PLANTA_BASE!A:W, 8, FALSE), "DOCENTE / FACILITADOR"))</f>
        <v/>
      </c>
      <c r="G1022" s="4" t="str">
        <f>IF(B1022="","",IFERROR(VLOOKUP(B1022, PLANTA_BASE!A:W, 9, FALSE), "GENERAL"))</f>
        <v/>
      </c>
      <c r="H1022" s="2" t="str">
        <f>IF(B1022="","",IFERROR(VLOOKUP(B1022, PLANTA_BASE!A:W, 17, FALSE), "GENERAL"))</f>
        <v/>
      </c>
    </row>
    <row r="1023" spans="1:8" ht="20.100000000000001" customHeight="1" x14ac:dyDescent="0.25">
      <c r="A1023" s="5" t="str">
        <f>IF(B1023="","",IFERROR(VLOOKUP(B1023, PLANTA_BASE!A:W, 2, FALSE), "NO ENCONTRADO EN PLANTA"))</f>
        <v/>
      </c>
      <c r="B1023" s="6"/>
      <c r="C1023" s="7" t="str">
        <f>IF(B1023="","",IFERROR(VLOOKUP(B1023, PLANTA_BASE!A:W, 3, FALSE), ""))</f>
        <v/>
      </c>
      <c r="D1023" s="5" t="str">
        <f>IF(B1023="","",IFERROR(VLOOKUP(B1023, PLANTA_BASE!A:W, 5, FALSE), "NO ENCONTRADO EN PLANTA"))</f>
        <v/>
      </c>
      <c r="E1023" s="5" t="str">
        <f>IF(B1023="","",IFERROR(VLOOKUP(B1023, PLANTA_BASE!A:W, 6, FALSE), "NO ENCONTRADO EN PLANTA"))</f>
        <v/>
      </c>
      <c r="F1023" s="7" t="str">
        <f>IF(B1023="","",IFERROR(VLOOKUP(B1023, PLANTA_BASE!A:W, 8, FALSE), "DOCENTE / FACILITADOR"))</f>
        <v/>
      </c>
      <c r="G1023" s="7" t="str">
        <f>IF(B1023="","",IFERROR(VLOOKUP(B1023, PLANTA_BASE!A:W, 9, FALSE), "GENERAL"))</f>
        <v/>
      </c>
      <c r="H1023" s="5" t="str">
        <f>IF(B1023="","",IFERROR(VLOOKUP(B1023, PLANTA_BASE!A:W, 17, FALSE), "GENERAL"))</f>
        <v/>
      </c>
    </row>
    <row r="1024" spans="1:8" ht="20.100000000000001" customHeight="1" x14ac:dyDescent="0.25">
      <c r="A1024" s="2" t="str">
        <f>IF(B1024="","",IFERROR(VLOOKUP(B1024, PLANTA_BASE!A:W, 2, FALSE), "NO ENCONTRADO EN PLANTA"))</f>
        <v/>
      </c>
      <c r="B1024" s="3"/>
      <c r="C1024" s="4" t="str">
        <f>IF(B1024="","",IFERROR(VLOOKUP(B1024, PLANTA_BASE!A:W, 3, FALSE), ""))</f>
        <v/>
      </c>
      <c r="D1024" s="2" t="str">
        <f>IF(B1024="","",IFERROR(VLOOKUP(B1024, PLANTA_BASE!A:W, 5, FALSE), "NO ENCONTRADO EN PLANTA"))</f>
        <v/>
      </c>
      <c r="E1024" s="2" t="str">
        <f>IF(B1024="","",IFERROR(VLOOKUP(B1024, PLANTA_BASE!A:W, 6, FALSE), "NO ENCONTRADO EN PLANTA"))</f>
        <v/>
      </c>
      <c r="F1024" s="4" t="str">
        <f>IF(B1024="","",IFERROR(VLOOKUP(B1024, PLANTA_BASE!A:W, 8, FALSE), "DOCENTE / FACILITADOR"))</f>
        <v/>
      </c>
      <c r="G1024" s="4" t="str">
        <f>IF(B1024="","",IFERROR(VLOOKUP(B1024, PLANTA_BASE!A:W, 9, FALSE), "GENERAL"))</f>
        <v/>
      </c>
      <c r="H1024" s="2" t="str">
        <f>IF(B1024="","",IFERROR(VLOOKUP(B1024, PLANTA_BASE!A:W, 17, FALSE), "GENERAL"))</f>
        <v/>
      </c>
    </row>
    <row r="1025" spans="1:8" ht="20.100000000000001" customHeight="1" x14ac:dyDescent="0.25">
      <c r="A1025" s="5" t="str">
        <f>IF(B1025="","",IFERROR(VLOOKUP(B1025, PLANTA_BASE!A:W, 2, FALSE), "NO ENCONTRADO EN PLANTA"))</f>
        <v/>
      </c>
      <c r="B1025" s="6"/>
      <c r="C1025" s="7" t="str">
        <f>IF(B1025="","",IFERROR(VLOOKUP(B1025, PLANTA_BASE!A:W, 3, FALSE), ""))</f>
        <v/>
      </c>
      <c r="D1025" s="5" t="str">
        <f>IF(B1025="","",IFERROR(VLOOKUP(B1025, PLANTA_BASE!A:W, 5, FALSE), "NO ENCONTRADO EN PLANTA"))</f>
        <v/>
      </c>
      <c r="E1025" s="5" t="str">
        <f>IF(B1025="","",IFERROR(VLOOKUP(B1025, PLANTA_BASE!A:W, 6, FALSE), "NO ENCONTRADO EN PLANTA"))</f>
        <v/>
      </c>
      <c r="F1025" s="7" t="str">
        <f>IF(B1025="","",IFERROR(VLOOKUP(B1025, PLANTA_BASE!A:W, 8, FALSE), "DOCENTE / FACILITADOR"))</f>
        <v/>
      </c>
      <c r="G1025" s="7" t="str">
        <f>IF(B1025="","",IFERROR(VLOOKUP(B1025, PLANTA_BASE!A:W, 9, FALSE), "GENERAL"))</f>
        <v/>
      </c>
      <c r="H1025" s="5" t="str">
        <f>IF(B1025="","",IFERROR(VLOOKUP(B1025, PLANTA_BASE!A:W, 17, FALSE), "GENERAL"))</f>
        <v/>
      </c>
    </row>
    <row r="1026" spans="1:8" ht="20.100000000000001" customHeight="1" x14ac:dyDescent="0.25">
      <c r="A1026" s="2" t="str">
        <f>IF(B1026="","",IFERROR(VLOOKUP(B1026, PLANTA_BASE!A:W, 2, FALSE), "NO ENCONTRADO EN PLANTA"))</f>
        <v/>
      </c>
      <c r="B1026" s="3"/>
      <c r="C1026" s="4" t="str">
        <f>IF(B1026="","",IFERROR(VLOOKUP(B1026, PLANTA_BASE!A:W, 3, FALSE), ""))</f>
        <v/>
      </c>
      <c r="D1026" s="2" t="str">
        <f>IF(B1026="","",IFERROR(VLOOKUP(B1026, PLANTA_BASE!A:W, 5, FALSE), "NO ENCONTRADO EN PLANTA"))</f>
        <v/>
      </c>
      <c r="E1026" s="2" t="str">
        <f>IF(B1026="","",IFERROR(VLOOKUP(B1026, PLANTA_BASE!A:W, 6, FALSE), "NO ENCONTRADO EN PLANTA"))</f>
        <v/>
      </c>
      <c r="F1026" s="4" t="str">
        <f>IF(B1026="","",IFERROR(VLOOKUP(B1026, PLANTA_BASE!A:W, 8, FALSE), "DOCENTE / FACILITADOR"))</f>
        <v/>
      </c>
      <c r="G1026" s="4" t="str">
        <f>IF(B1026="","",IFERROR(VLOOKUP(B1026, PLANTA_BASE!A:W, 9, FALSE), "GENERAL"))</f>
        <v/>
      </c>
      <c r="H1026" s="2" t="str">
        <f>IF(B1026="","",IFERROR(VLOOKUP(B1026, PLANTA_BASE!A:W, 17, FALSE), "GENERAL"))</f>
        <v/>
      </c>
    </row>
    <row r="1027" spans="1:8" ht="20.100000000000001" customHeight="1" x14ac:dyDescent="0.25">
      <c r="A1027" s="5" t="str">
        <f>IF(B1027="","",IFERROR(VLOOKUP(B1027, PLANTA_BASE!A:W, 2, FALSE), "NO ENCONTRADO EN PLANTA"))</f>
        <v/>
      </c>
      <c r="B1027" s="6"/>
      <c r="C1027" s="7" t="str">
        <f>IF(B1027="","",IFERROR(VLOOKUP(B1027, PLANTA_BASE!A:W, 3, FALSE), ""))</f>
        <v/>
      </c>
      <c r="D1027" s="5" t="str">
        <f>IF(B1027="","",IFERROR(VLOOKUP(B1027, PLANTA_BASE!A:W, 5, FALSE), "NO ENCONTRADO EN PLANTA"))</f>
        <v/>
      </c>
      <c r="E1027" s="5" t="str">
        <f>IF(B1027="","",IFERROR(VLOOKUP(B1027, PLANTA_BASE!A:W, 6, FALSE), "NO ENCONTRADO EN PLANTA"))</f>
        <v/>
      </c>
      <c r="F1027" s="7" t="str">
        <f>IF(B1027="","",IFERROR(VLOOKUP(B1027, PLANTA_BASE!A:W, 8, FALSE), "DOCENTE / FACILITADOR"))</f>
        <v/>
      </c>
      <c r="G1027" s="7" t="str">
        <f>IF(B1027="","",IFERROR(VLOOKUP(B1027, PLANTA_BASE!A:W, 9, FALSE), "GENERAL"))</f>
        <v/>
      </c>
      <c r="H1027" s="5" t="str">
        <f>IF(B1027="","",IFERROR(VLOOKUP(B1027, PLANTA_BASE!A:W, 17, FALSE), "GENERAL"))</f>
        <v/>
      </c>
    </row>
    <row r="1028" spans="1:8" ht="20.100000000000001" customHeight="1" x14ac:dyDescent="0.25">
      <c r="A1028" s="2" t="str">
        <f>IF(B1028="","",IFERROR(VLOOKUP(B1028, PLANTA_BASE!A:W, 2, FALSE), "NO ENCONTRADO EN PLANTA"))</f>
        <v/>
      </c>
      <c r="B1028" s="3"/>
      <c r="C1028" s="4" t="str">
        <f>IF(B1028="","",IFERROR(VLOOKUP(B1028, PLANTA_BASE!A:W, 3, FALSE), ""))</f>
        <v/>
      </c>
      <c r="D1028" s="2" t="str">
        <f>IF(B1028="","",IFERROR(VLOOKUP(B1028, PLANTA_BASE!A:W, 5, FALSE), "NO ENCONTRADO EN PLANTA"))</f>
        <v/>
      </c>
      <c r="E1028" s="2" t="str">
        <f>IF(B1028="","",IFERROR(VLOOKUP(B1028, PLANTA_BASE!A:W, 6, FALSE), "NO ENCONTRADO EN PLANTA"))</f>
        <v/>
      </c>
      <c r="F1028" s="4" t="str">
        <f>IF(B1028="","",IFERROR(VLOOKUP(B1028, PLANTA_BASE!A:W, 8, FALSE), "DOCENTE / FACILITADOR"))</f>
        <v/>
      </c>
      <c r="G1028" s="4" t="str">
        <f>IF(B1028="","",IFERROR(VLOOKUP(B1028, PLANTA_BASE!A:W, 9, FALSE), "GENERAL"))</f>
        <v/>
      </c>
      <c r="H1028" s="2" t="str">
        <f>IF(B1028="","",IFERROR(VLOOKUP(B1028, PLANTA_BASE!A:W, 17, FALSE), "GENERAL"))</f>
        <v/>
      </c>
    </row>
    <row r="1029" spans="1:8" ht="20.100000000000001" customHeight="1" x14ac:dyDescent="0.25">
      <c r="A1029" s="5" t="str">
        <f>IF(B1029="","",IFERROR(VLOOKUP(B1029, PLANTA_BASE!A:W, 2, FALSE), "NO ENCONTRADO EN PLANTA"))</f>
        <v/>
      </c>
      <c r="B1029" s="6"/>
      <c r="C1029" s="7" t="str">
        <f>IF(B1029="","",IFERROR(VLOOKUP(B1029, PLANTA_BASE!A:W, 3, FALSE), ""))</f>
        <v/>
      </c>
      <c r="D1029" s="5" t="str">
        <f>IF(B1029="","",IFERROR(VLOOKUP(B1029, PLANTA_BASE!A:W, 5, FALSE), "NO ENCONTRADO EN PLANTA"))</f>
        <v/>
      </c>
      <c r="E1029" s="5" t="str">
        <f>IF(B1029="","",IFERROR(VLOOKUP(B1029, PLANTA_BASE!A:W, 6, FALSE), "NO ENCONTRADO EN PLANTA"))</f>
        <v/>
      </c>
      <c r="F1029" s="7" t="str">
        <f>IF(B1029="","",IFERROR(VLOOKUP(B1029, PLANTA_BASE!A:W, 8, FALSE), "DOCENTE / FACILITADOR"))</f>
        <v/>
      </c>
      <c r="G1029" s="7" t="str">
        <f>IF(B1029="","",IFERROR(VLOOKUP(B1029, PLANTA_BASE!A:W, 9, FALSE), "GENERAL"))</f>
        <v/>
      </c>
      <c r="H1029" s="5" t="str">
        <f>IF(B1029="","",IFERROR(VLOOKUP(B1029, PLANTA_BASE!A:W, 17, FALSE), "GENERAL"))</f>
        <v/>
      </c>
    </row>
    <row r="1030" spans="1:8" ht="20.100000000000001" customHeight="1" x14ac:dyDescent="0.25">
      <c r="A1030" s="2" t="str">
        <f>IF(B1030="","",IFERROR(VLOOKUP(B1030, PLANTA_BASE!A:W, 2, FALSE), "NO ENCONTRADO EN PLANTA"))</f>
        <v/>
      </c>
      <c r="B1030" s="3"/>
      <c r="C1030" s="4" t="str">
        <f>IF(B1030="","",IFERROR(VLOOKUP(B1030, PLANTA_BASE!A:W, 3, FALSE), ""))</f>
        <v/>
      </c>
      <c r="D1030" s="2" t="str">
        <f>IF(B1030="","",IFERROR(VLOOKUP(B1030, PLANTA_BASE!A:W, 5, FALSE), "NO ENCONTRADO EN PLANTA"))</f>
        <v/>
      </c>
      <c r="E1030" s="2" t="str">
        <f>IF(B1030="","",IFERROR(VLOOKUP(B1030, PLANTA_BASE!A:W, 6, FALSE), "NO ENCONTRADO EN PLANTA"))</f>
        <v/>
      </c>
      <c r="F1030" s="4" t="str">
        <f>IF(B1030="","",IFERROR(VLOOKUP(B1030, PLANTA_BASE!A:W, 8, FALSE), "DOCENTE / FACILITADOR"))</f>
        <v/>
      </c>
      <c r="G1030" s="4" t="str">
        <f>IF(B1030="","",IFERROR(VLOOKUP(B1030, PLANTA_BASE!A:W, 9, FALSE), "GENERAL"))</f>
        <v/>
      </c>
      <c r="H1030" s="2" t="str">
        <f>IF(B1030="","",IFERROR(VLOOKUP(B1030, PLANTA_BASE!A:W, 17, FALSE), "GENERAL"))</f>
        <v/>
      </c>
    </row>
    <row r="1031" spans="1:8" ht="20.100000000000001" customHeight="1" x14ac:dyDescent="0.25">
      <c r="A1031" s="5" t="str">
        <f>IF(B1031="","",IFERROR(VLOOKUP(B1031, PLANTA_BASE!A:W, 2, FALSE), "NO ENCONTRADO EN PLANTA"))</f>
        <v/>
      </c>
      <c r="B1031" s="6"/>
      <c r="C1031" s="7" t="str">
        <f>IF(B1031="","",IFERROR(VLOOKUP(B1031, PLANTA_BASE!A:W, 3, FALSE), ""))</f>
        <v/>
      </c>
      <c r="D1031" s="5" t="str">
        <f>IF(B1031="","",IFERROR(VLOOKUP(B1031, PLANTA_BASE!A:W, 5, FALSE), "NO ENCONTRADO EN PLANTA"))</f>
        <v/>
      </c>
      <c r="E1031" s="5" t="str">
        <f>IF(B1031="","",IFERROR(VLOOKUP(B1031, PLANTA_BASE!A:W, 6, FALSE), "NO ENCONTRADO EN PLANTA"))</f>
        <v/>
      </c>
      <c r="F1031" s="7" t="str">
        <f>IF(B1031="","",IFERROR(VLOOKUP(B1031, PLANTA_BASE!A:W, 8, FALSE), "DOCENTE / FACILITADOR"))</f>
        <v/>
      </c>
      <c r="G1031" s="7" t="str">
        <f>IF(B1031="","",IFERROR(VLOOKUP(B1031, PLANTA_BASE!A:W, 9, FALSE), "GENERAL"))</f>
        <v/>
      </c>
      <c r="H1031" s="5" t="str">
        <f>IF(B1031="","",IFERROR(VLOOKUP(B1031, PLANTA_BASE!A:W, 17, FALSE), "GENERAL"))</f>
        <v/>
      </c>
    </row>
    <row r="1032" spans="1:8" ht="20.100000000000001" customHeight="1" x14ac:dyDescent="0.25">
      <c r="A1032" s="2" t="str">
        <f>IF(B1032="","",IFERROR(VLOOKUP(B1032, PLANTA_BASE!A:W, 2, FALSE), "NO ENCONTRADO EN PLANTA"))</f>
        <v/>
      </c>
      <c r="B1032" s="3"/>
      <c r="C1032" s="4" t="str">
        <f>IF(B1032="","",IFERROR(VLOOKUP(B1032, PLANTA_BASE!A:W, 3, FALSE), ""))</f>
        <v/>
      </c>
      <c r="D1032" s="2" t="str">
        <f>IF(B1032="","",IFERROR(VLOOKUP(B1032, PLANTA_BASE!A:W, 5, FALSE), "NO ENCONTRADO EN PLANTA"))</f>
        <v/>
      </c>
      <c r="E1032" s="2" t="str">
        <f>IF(B1032="","",IFERROR(VLOOKUP(B1032, PLANTA_BASE!A:W, 6, FALSE), "NO ENCONTRADO EN PLANTA"))</f>
        <v/>
      </c>
      <c r="F1032" s="4" t="str">
        <f>IF(B1032="","",IFERROR(VLOOKUP(B1032, PLANTA_BASE!A:W, 8, FALSE), "DOCENTE / FACILITADOR"))</f>
        <v/>
      </c>
      <c r="G1032" s="4" t="str">
        <f>IF(B1032="","",IFERROR(VLOOKUP(B1032, PLANTA_BASE!A:W, 9, FALSE), "GENERAL"))</f>
        <v/>
      </c>
      <c r="H1032" s="2" t="str">
        <f>IF(B1032="","",IFERROR(VLOOKUP(B1032, PLANTA_BASE!A:W, 17, FALSE), "GENERAL"))</f>
        <v/>
      </c>
    </row>
    <row r="1033" spans="1:8" ht="20.100000000000001" customHeight="1" x14ac:dyDescent="0.25">
      <c r="A1033" s="5" t="str">
        <f>IF(B1033="","",IFERROR(VLOOKUP(B1033, PLANTA_BASE!A:W, 2, FALSE), "NO ENCONTRADO EN PLANTA"))</f>
        <v/>
      </c>
      <c r="B1033" s="6"/>
      <c r="C1033" s="7" t="str">
        <f>IF(B1033="","",IFERROR(VLOOKUP(B1033, PLANTA_BASE!A:W, 3, FALSE), ""))</f>
        <v/>
      </c>
      <c r="D1033" s="5" t="str">
        <f>IF(B1033="","",IFERROR(VLOOKUP(B1033, PLANTA_BASE!A:W, 5, FALSE), "NO ENCONTRADO EN PLANTA"))</f>
        <v/>
      </c>
      <c r="E1033" s="5" t="str">
        <f>IF(B1033="","",IFERROR(VLOOKUP(B1033, PLANTA_BASE!A:W, 6, FALSE), "NO ENCONTRADO EN PLANTA"))</f>
        <v/>
      </c>
      <c r="F1033" s="7" t="str">
        <f>IF(B1033="","",IFERROR(VLOOKUP(B1033, PLANTA_BASE!A:W, 8, FALSE), "DOCENTE / FACILITADOR"))</f>
        <v/>
      </c>
      <c r="G1033" s="7" t="str">
        <f>IF(B1033="","",IFERROR(VLOOKUP(B1033, PLANTA_BASE!A:W, 9, FALSE), "GENERAL"))</f>
        <v/>
      </c>
      <c r="H1033" s="5" t="str">
        <f>IF(B1033="","",IFERROR(VLOOKUP(B1033, PLANTA_BASE!A:W, 17, FALSE), "GENERAL"))</f>
        <v/>
      </c>
    </row>
    <row r="1034" spans="1:8" ht="20.100000000000001" customHeight="1" x14ac:dyDescent="0.25">
      <c r="A1034" s="2" t="str">
        <f>IF(B1034="","",IFERROR(VLOOKUP(B1034, PLANTA_BASE!A:W, 2, FALSE), "NO ENCONTRADO EN PLANTA"))</f>
        <v/>
      </c>
      <c r="B1034" s="3"/>
      <c r="C1034" s="4" t="str">
        <f>IF(B1034="","",IFERROR(VLOOKUP(B1034, PLANTA_BASE!A:W, 3, FALSE), ""))</f>
        <v/>
      </c>
      <c r="D1034" s="2" t="str">
        <f>IF(B1034="","",IFERROR(VLOOKUP(B1034, PLANTA_BASE!A:W, 5, FALSE), "NO ENCONTRADO EN PLANTA"))</f>
        <v/>
      </c>
      <c r="E1034" s="2" t="str">
        <f>IF(B1034="","",IFERROR(VLOOKUP(B1034, PLANTA_BASE!A:W, 6, FALSE), "NO ENCONTRADO EN PLANTA"))</f>
        <v/>
      </c>
      <c r="F1034" s="4" t="str">
        <f>IF(B1034="","",IFERROR(VLOOKUP(B1034, PLANTA_BASE!A:W, 8, FALSE), "DOCENTE / FACILITADOR"))</f>
        <v/>
      </c>
      <c r="G1034" s="4" t="str">
        <f>IF(B1034="","",IFERROR(VLOOKUP(B1034, PLANTA_BASE!A:W, 9, FALSE), "GENERAL"))</f>
        <v/>
      </c>
      <c r="H1034" s="2" t="str">
        <f>IF(B1034="","",IFERROR(VLOOKUP(B1034, PLANTA_BASE!A:W, 17, FALSE), "GENERAL"))</f>
        <v/>
      </c>
    </row>
    <row r="1035" spans="1:8" ht="20.100000000000001" customHeight="1" x14ac:dyDescent="0.25">
      <c r="A1035" s="5" t="str">
        <f>IF(B1035="","",IFERROR(VLOOKUP(B1035, PLANTA_BASE!A:W, 2, FALSE), "NO ENCONTRADO EN PLANTA"))</f>
        <v/>
      </c>
      <c r="B1035" s="6"/>
      <c r="C1035" s="7" t="str">
        <f>IF(B1035="","",IFERROR(VLOOKUP(B1035, PLANTA_BASE!A:W, 3, FALSE), ""))</f>
        <v/>
      </c>
      <c r="D1035" s="5" t="str">
        <f>IF(B1035="","",IFERROR(VLOOKUP(B1035, PLANTA_BASE!A:W, 5, FALSE), "NO ENCONTRADO EN PLANTA"))</f>
        <v/>
      </c>
      <c r="E1035" s="5" t="str">
        <f>IF(B1035="","",IFERROR(VLOOKUP(B1035, PLANTA_BASE!A:W, 6, FALSE), "NO ENCONTRADO EN PLANTA"))</f>
        <v/>
      </c>
      <c r="F1035" s="7" t="str">
        <f>IF(B1035="","",IFERROR(VLOOKUP(B1035, PLANTA_BASE!A:W, 8, FALSE), "DOCENTE / FACILITADOR"))</f>
        <v/>
      </c>
      <c r="G1035" s="7" t="str">
        <f>IF(B1035="","",IFERROR(VLOOKUP(B1035, PLANTA_BASE!A:W, 9, FALSE), "GENERAL"))</f>
        <v/>
      </c>
      <c r="H1035" s="5" t="str">
        <f>IF(B1035="","",IFERROR(VLOOKUP(B1035, PLANTA_BASE!A:W, 17, FALSE), "GENERAL"))</f>
        <v/>
      </c>
    </row>
    <row r="1036" spans="1:8" ht="20.100000000000001" customHeight="1" x14ac:dyDescent="0.25">
      <c r="A1036" s="2" t="str">
        <f>IF(B1036="","",IFERROR(VLOOKUP(B1036, PLANTA_BASE!A:W, 2, FALSE), "NO ENCONTRADO EN PLANTA"))</f>
        <v/>
      </c>
      <c r="B1036" s="3"/>
      <c r="C1036" s="4" t="str">
        <f>IF(B1036="","",IFERROR(VLOOKUP(B1036, PLANTA_BASE!A:W, 3, FALSE), ""))</f>
        <v/>
      </c>
      <c r="D1036" s="2" t="str">
        <f>IF(B1036="","",IFERROR(VLOOKUP(B1036, PLANTA_BASE!A:W, 5, FALSE), "NO ENCONTRADO EN PLANTA"))</f>
        <v/>
      </c>
      <c r="E1036" s="2" t="str">
        <f>IF(B1036="","",IFERROR(VLOOKUP(B1036, PLANTA_BASE!A:W, 6, FALSE), "NO ENCONTRADO EN PLANTA"))</f>
        <v/>
      </c>
      <c r="F1036" s="4" t="str">
        <f>IF(B1036="","",IFERROR(VLOOKUP(B1036, PLANTA_BASE!A:W, 8, FALSE), "DOCENTE / FACILITADOR"))</f>
        <v/>
      </c>
      <c r="G1036" s="4" t="str">
        <f>IF(B1036="","",IFERROR(VLOOKUP(B1036, PLANTA_BASE!A:W, 9, FALSE), "GENERAL"))</f>
        <v/>
      </c>
      <c r="H1036" s="2" t="str">
        <f>IF(B1036="","",IFERROR(VLOOKUP(B1036, PLANTA_BASE!A:W, 17, FALSE), "GENERAL"))</f>
        <v/>
      </c>
    </row>
    <row r="1037" spans="1:8" ht="20.100000000000001" customHeight="1" x14ac:dyDescent="0.25">
      <c r="A1037" s="5" t="str">
        <f>IF(B1037="","",IFERROR(VLOOKUP(B1037, PLANTA_BASE!A:W, 2, FALSE), "NO ENCONTRADO EN PLANTA"))</f>
        <v/>
      </c>
      <c r="B1037" s="6"/>
      <c r="C1037" s="7" t="str">
        <f>IF(B1037="","",IFERROR(VLOOKUP(B1037, PLANTA_BASE!A:W, 3, FALSE), ""))</f>
        <v/>
      </c>
      <c r="D1037" s="5" t="str">
        <f>IF(B1037="","",IFERROR(VLOOKUP(B1037, PLANTA_BASE!A:W, 5, FALSE), "NO ENCONTRADO EN PLANTA"))</f>
        <v/>
      </c>
      <c r="E1037" s="5" t="str">
        <f>IF(B1037="","",IFERROR(VLOOKUP(B1037, PLANTA_BASE!A:W, 6, FALSE), "NO ENCONTRADO EN PLANTA"))</f>
        <v/>
      </c>
      <c r="F1037" s="7" t="str">
        <f>IF(B1037="","",IFERROR(VLOOKUP(B1037, PLANTA_BASE!A:W, 8, FALSE), "DOCENTE / FACILITADOR"))</f>
        <v/>
      </c>
      <c r="G1037" s="7" t="str">
        <f>IF(B1037="","",IFERROR(VLOOKUP(B1037, PLANTA_BASE!A:W, 9, FALSE), "GENERAL"))</f>
        <v/>
      </c>
      <c r="H1037" s="5" t="str">
        <f>IF(B1037="","",IFERROR(VLOOKUP(B1037, PLANTA_BASE!A:W, 17, FALSE), "GENERAL"))</f>
        <v/>
      </c>
    </row>
    <row r="1038" spans="1:8" ht="20.100000000000001" customHeight="1" x14ac:dyDescent="0.25">
      <c r="A1038" s="2" t="str">
        <f>IF(B1038="","",IFERROR(VLOOKUP(B1038, PLANTA_BASE!A:W, 2, FALSE), "NO ENCONTRADO EN PLANTA"))</f>
        <v/>
      </c>
      <c r="B1038" s="3"/>
      <c r="C1038" s="4" t="str">
        <f>IF(B1038="","",IFERROR(VLOOKUP(B1038, PLANTA_BASE!A:W, 3, FALSE), ""))</f>
        <v/>
      </c>
      <c r="D1038" s="2" t="str">
        <f>IF(B1038="","",IFERROR(VLOOKUP(B1038, PLANTA_BASE!A:W, 5, FALSE), "NO ENCONTRADO EN PLANTA"))</f>
        <v/>
      </c>
      <c r="E1038" s="2" t="str">
        <f>IF(B1038="","",IFERROR(VLOOKUP(B1038, PLANTA_BASE!A:W, 6, FALSE), "NO ENCONTRADO EN PLANTA"))</f>
        <v/>
      </c>
      <c r="F1038" s="4" t="str">
        <f>IF(B1038="","",IFERROR(VLOOKUP(B1038, PLANTA_BASE!A:W, 8, FALSE), "DOCENTE / FACILITADOR"))</f>
        <v/>
      </c>
      <c r="G1038" s="4" t="str">
        <f>IF(B1038="","",IFERROR(VLOOKUP(B1038, PLANTA_BASE!A:W, 9, FALSE), "GENERAL"))</f>
        <v/>
      </c>
      <c r="H1038" s="2" t="str">
        <f>IF(B1038="","",IFERROR(VLOOKUP(B1038, PLANTA_BASE!A:W, 17, FALSE), "GENERAL"))</f>
        <v/>
      </c>
    </row>
    <row r="1039" spans="1:8" ht="20.100000000000001" customHeight="1" x14ac:dyDescent="0.25">
      <c r="A1039" s="5" t="str">
        <f>IF(B1039="","",IFERROR(VLOOKUP(B1039, PLANTA_BASE!A:W, 2, FALSE), "NO ENCONTRADO EN PLANTA"))</f>
        <v/>
      </c>
      <c r="B1039" s="6"/>
      <c r="C1039" s="7" t="str">
        <f>IF(B1039="","",IFERROR(VLOOKUP(B1039, PLANTA_BASE!A:W, 3, FALSE), ""))</f>
        <v/>
      </c>
      <c r="D1039" s="5" t="str">
        <f>IF(B1039="","",IFERROR(VLOOKUP(B1039, PLANTA_BASE!A:W, 5, FALSE), "NO ENCONTRADO EN PLANTA"))</f>
        <v/>
      </c>
      <c r="E1039" s="5" t="str">
        <f>IF(B1039="","",IFERROR(VLOOKUP(B1039, PLANTA_BASE!A:W, 6, FALSE), "NO ENCONTRADO EN PLANTA"))</f>
        <v/>
      </c>
      <c r="F1039" s="7" t="str">
        <f>IF(B1039="","",IFERROR(VLOOKUP(B1039, PLANTA_BASE!A:W, 8, FALSE), "DOCENTE / FACILITADOR"))</f>
        <v/>
      </c>
      <c r="G1039" s="7" t="str">
        <f>IF(B1039="","",IFERROR(VLOOKUP(B1039, PLANTA_BASE!A:W, 9, FALSE), "GENERAL"))</f>
        <v/>
      </c>
      <c r="H1039" s="5" t="str">
        <f>IF(B1039="","",IFERROR(VLOOKUP(B1039, PLANTA_BASE!A:W, 17, FALSE), "GENERAL"))</f>
        <v/>
      </c>
    </row>
    <row r="1040" spans="1:8" ht="20.100000000000001" customHeight="1" x14ac:dyDescent="0.25">
      <c r="A1040" s="2" t="str">
        <f>IF(B1040="","",IFERROR(VLOOKUP(B1040, PLANTA_BASE!A:W, 2, FALSE), "NO ENCONTRADO EN PLANTA"))</f>
        <v/>
      </c>
      <c r="B1040" s="3"/>
      <c r="C1040" s="4" t="str">
        <f>IF(B1040="","",IFERROR(VLOOKUP(B1040, PLANTA_BASE!A:W, 3, FALSE), ""))</f>
        <v/>
      </c>
      <c r="D1040" s="2" t="str">
        <f>IF(B1040="","",IFERROR(VLOOKUP(B1040, PLANTA_BASE!A:W, 5, FALSE), "NO ENCONTRADO EN PLANTA"))</f>
        <v/>
      </c>
      <c r="E1040" s="2" t="str">
        <f>IF(B1040="","",IFERROR(VLOOKUP(B1040, PLANTA_BASE!A:W, 6, FALSE), "NO ENCONTRADO EN PLANTA"))</f>
        <v/>
      </c>
      <c r="F1040" s="4" t="str">
        <f>IF(B1040="","",IFERROR(VLOOKUP(B1040, PLANTA_BASE!A:W, 8, FALSE), "DOCENTE / FACILITADOR"))</f>
        <v/>
      </c>
      <c r="G1040" s="4" t="str">
        <f>IF(B1040="","",IFERROR(VLOOKUP(B1040, PLANTA_BASE!A:W, 9, FALSE), "GENERAL"))</f>
        <v/>
      </c>
      <c r="H1040" s="2" t="str">
        <f>IF(B1040="","",IFERROR(VLOOKUP(B1040, PLANTA_BASE!A:W, 17, FALSE), "GENERAL"))</f>
        <v/>
      </c>
    </row>
    <row r="1041" spans="1:8" ht="20.100000000000001" customHeight="1" x14ac:dyDescent="0.25">
      <c r="A1041" s="5" t="str">
        <f>IF(B1041="","",IFERROR(VLOOKUP(B1041, PLANTA_BASE!A:W, 2, FALSE), "NO ENCONTRADO EN PLANTA"))</f>
        <v/>
      </c>
      <c r="B1041" s="6"/>
      <c r="C1041" s="7" t="str">
        <f>IF(B1041="","",IFERROR(VLOOKUP(B1041, PLANTA_BASE!A:W, 3, FALSE), ""))</f>
        <v/>
      </c>
      <c r="D1041" s="5" t="str">
        <f>IF(B1041="","",IFERROR(VLOOKUP(B1041, PLANTA_BASE!A:W, 5, FALSE), "NO ENCONTRADO EN PLANTA"))</f>
        <v/>
      </c>
      <c r="E1041" s="5" t="str">
        <f>IF(B1041="","",IFERROR(VLOOKUP(B1041, PLANTA_BASE!A:W, 6, FALSE), "NO ENCONTRADO EN PLANTA"))</f>
        <v/>
      </c>
      <c r="F1041" s="7" t="str">
        <f>IF(B1041="","",IFERROR(VLOOKUP(B1041, PLANTA_BASE!A:W, 8, FALSE), "DOCENTE / FACILITADOR"))</f>
        <v/>
      </c>
      <c r="G1041" s="7" t="str">
        <f>IF(B1041="","",IFERROR(VLOOKUP(B1041, PLANTA_BASE!A:W, 9, FALSE), "GENERAL"))</f>
        <v/>
      </c>
      <c r="H1041" s="5" t="str">
        <f>IF(B1041="","",IFERROR(VLOOKUP(B1041, PLANTA_BASE!A:W, 17, FALSE), "GENERAL"))</f>
        <v/>
      </c>
    </row>
    <row r="1042" spans="1:8" ht="20.100000000000001" customHeight="1" x14ac:dyDescent="0.25">
      <c r="A1042" s="2" t="str">
        <f>IF(B1042="","",IFERROR(VLOOKUP(B1042, PLANTA_BASE!A:W, 2, FALSE), "NO ENCONTRADO EN PLANTA"))</f>
        <v/>
      </c>
      <c r="B1042" s="3"/>
      <c r="C1042" s="4" t="str">
        <f>IF(B1042="","",IFERROR(VLOOKUP(B1042, PLANTA_BASE!A:W, 3, FALSE), ""))</f>
        <v/>
      </c>
      <c r="D1042" s="2" t="str">
        <f>IF(B1042="","",IFERROR(VLOOKUP(B1042, PLANTA_BASE!A:W, 5, FALSE), "NO ENCONTRADO EN PLANTA"))</f>
        <v/>
      </c>
      <c r="E1042" s="2" t="str">
        <f>IF(B1042="","",IFERROR(VLOOKUP(B1042, PLANTA_BASE!A:W, 6, FALSE), "NO ENCONTRADO EN PLANTA"))</f>
        <v/>
      </c>
      <c r="F1042" s="4" t="str">
        <f>IF(B1042="","",IFERROR(VLOOKUP(B1042, PLANTA_BASE!A:W, 8, FALSE), "DOCENTE / FACILITADOR"))</f>
        <v/>
      </c>
      <c r="G1042" s="4" t="str">
        <f>IF(B1042="","",IFERROR(VLOOKUP(B1042, PLANTA_BASE!A:W, 9, FALSE), "GENERAL"))</f>
        <v/>
      </c>
      <c r="H1042" s="2" t="str">
        <f>IF(B1042="","",IFERROR(VLOOKUP(B1042, PLANTA_BASE!A:W, 17, FALSE), "GENERAL"))</f>
        <v/>
      </c>
    </row>
    <row r="1043" spans="1:8" ht="20.100000000000001" customHeight="1" x14ac:dyDescent="0.25">
      <c r="A1043" s="5" t="str">
        <f>IF(B1043="","",IFERROR(VLOOKUP(B1043, PLANTA_BASE!A:W, 2, FALSE), "NO ENCONTRADO EN PLANTA"))</f>
        <v/>
      </c>
      <c r="B1043" s="6"/>
      <c r="C1043" s="7" t="str">
        <f>IF(B1043="","",IFERROR(VLOOKUP(B1043, PLANTA_BASE!A:W, 3, FALSE), ""))</f>
        <v/>
      </c>
      <c r="D1043" s="5" t="str">
        <f>IF(B1043="","",IFERROR(VLOOKUP(B1043, PLANTA_BASE!A:W, 5, FALSE), "NO ENCONTRADO EN PLANTA"))</f>
        <v/>
      </c>
      <c r="E1043" s="5" t="str">
        <f>IF(B1043="","",IFERROR(VLOOKUP(B1043, PLANTA_BASE!A:W, 6, FALSE), "NO ENCONTRADO EN PLANTA"))</f>
        <v/>
      </c>
      <c r="F1043" s="7" t="str">
        <f>IF(B1043="","",IFERROR(VLOOKUP(B1043, PLANTA_BASE!A:W, 8, FALSE), "DOCENTE / FACILITADOR"))</f>
        <v/>
      </c>
      <c r="G1043" s="7" t="str">
        <f>IF(B1043="","",IFERROR(VLOOKUP(B1043, PLANTA_BASE!A:W, 9, FALSE), "GENERAL"))</f>
        <v/>
      </c>
      <c r="H1043" s="5" t="str">
        <f>IF(B1043="","",IFERROR(VLOOKUP(B1043, PLANTA_BASE!A:W, 17, FALSE), "GENERAL"))</f>
        <v/>
      </c>
    </row>
    <row r="1044" spans="1:8" ht="20.100000000000001" customHeight="1" x14ac:dyDescent="0.25">
      <c r="A1044" s="2" t="str">
        <f>IF(B1044="","",IFERROR(VLOOKUP(B1044, PLANTA_BASE!A:W, 2, FALSE), "NO ENCONTRADO EN PLANTA"))</f>
        <v/>
      </c>
      <c r="B1044" s="3"/>
      <c r="C1044" s="4" t="str">
        <f>IF(B1044="","",IFERROR(VLOOKUP(B1044, PLANTA_BASE!A:W, 3, FALSE), ""))</f>
        <v/>
      </c>
      <c r="D1044" s="2" t="str">
        <f>IF(B1044="","",IFERROR(VLOOKUP(B1044, PLANTA_BASE!A:W, 5, FALSE), "NO ENCONTRADO EN PLANTA"))</f>
        <v/>
      </c>
      <c r="E1044" s="2" t="str">
        <f>IF(B1044="","",IFERROR(VLOOKUP(B1044, PLANTA_BASE!A:W, 6, FALSE), "NO ENCONTRADO EN PLANTA"))</f>
        <v/>
      </c>
      <c r="F1044" s="4" t="str">
        <f>IF(B1044="","",IFERROR(VLOOKUP(B1044, PLANTA_BASE!A:W, 8, FALSE), "DOCENTE / FACILITADOR"))</f>
        <v/>
      </c>
      <c r="G1044" s="4" t="str">
        <f>IF(B1044="","",IFERROR(VLOOKUP(B1044, PLANTA_BASE!A:W, 9, FALSE), "GENERAL"))</f>
        <v/>
      </c>
      <c r="H1044" s="2" t="str">
        <f>IF(B1044="","",IFERROR(VLOOKUP(B1044, PLANTA_BASE!A:W, 17, FALSE), "GENERAL"))</f>
        <v/>
      </c>
    </row>
    <row r="1045" spans="1:8" ht="20.100000000000001" customHeight="1" x14ac:dyDescent="0.25">
      <c r="A1045" s="5" t="str">
        <f>IF(B1045="","",IFERROR(VLOOKUP(B1045, PLANTA_BASE!A:W, 2, FALSE), "NO ENCONTRADO EN PLANTA"))</f>
        <v/>
      </c>
      <c r="B1045" s="6"/>
      <c r="C1045" s="7" t="str">
        <f>IF(B1045="","",IFERROR(VLOOKUP(B1045, PLANTA_BASE!A:W, 3, FALSE), ""))</f>
        <v/>
      </c>
      <c r="D1045" s="5" t="str">
        <f>IF(B1045="","",IFERROR(VLOOKUP(B1045, PLANTA_BASE!A:W, 5, FALSE), "NO ENCONTRADO EN PLANTA"))</f>
        <v/>
      </c>
      <c r="E1045" s="5" t="str">
        <f>IF(B1045="","",IFERROR(VLOOKUP(B1045, PLANTA_BASE!A:W, 6, FALSE), "NO ENCONTRADO EN PLANTA"))</f>
        <v/>
      </c>
      <c r="F1045" s="7" t="str">
        <f>IF(B1045="","",IFERROR(VLOOKUP(B1045, PLANTA_BASE!A:W, 8, FALSE), "DOCENTE / FACILITADOR"))</f>
        <v/>
      </c>
      <c r="G1045" s="7" t="str">
        <f>IF(B1045="","",IFERROR(VLOOKUP(B1045, PLANTA_BASE!A:W, 9, FALSE), "GENERAL"))</f>
        <v/>
      </c>
      <c r="H1045" s="5" t="str">
        <f>IF(B1045="","",IFERROR(VLOOKUP(B1045, PLANTA_BASE!A:W, 17, FALSE), "GENERAL"))</f>
        <v/>
      </c>
    </row>
    <row r="1046" spans="1:8" ht="20.100000000000001" customHeight="1" x14ac:dyDescent="0.25">
      <c r="A1046" s="2" t="str">
        <f>IF(B1046="","",IFERROR(VLOOKUP(B1046, PLANTA_BASE!A:W, 2, FALSE), "NO ENCONTRADO EN PLANTA"))</f>
        <v/>
      </c>
      <c r="B1046" s="3"/>
      <c r="C1046" s="4" t="str">
        <f>IF(B1046="","",IFERROR(VLOOKUP(B1046, PLANTA_BASE!A:W, 3, FALSE), ""))</f>
        <v/>
      </c>
      <c r="D1046" s="2" t="str">
        <f>IF(B1046="","",IFERROR(VLOOKUP(B1046, PLANTA_BASE!A:W, 5, FALSE), "NO ENCONTRADO EN PLANTA"))</f>
        <v/>
      </c>
      <c r="E1046" s="2" t="str">
        <f>IF(B1046="","",IFERROR(VLOOKUP(B1046, PLANTA_BASE!A:W, 6, FALSE), "NO ENCONTRADO EN PLANTA"))</f>
        <v/>
      </c>
      <c r="F1046" s="4" t="str">
        <f>IF(B1046="","",IFERROR(VLOOKUP(B1046, PLANTA_BASE!A:W, 8, FALSE), "DOCENTE / FACILITADOR"))</f>
        <v/>
      </c>
      <c r="G1046" s="4" t="str">
        <f>IF(B1046="","",IFERROR(VLOOKUP(B1046, PLANTA_BASE!A:W, 9, FALSE), "GENERAL"))</f>
        <v/>
      </c>
      <c r="H1046" s="2" t="str">
        <f>IF(B1046="","",IFERROR(VLOOKUP(B1046, PLANTA_BASE!A:W, 17, FALSE), "GENERAL"))</f>
        <v/>
      </c>
    </row>
    <row r="1047" spans="1:8" ht="20.100000000000001" customHeight="1" x14ac:dyDescent="0.25">
      <c r="A1047" s="5" t="str">
        <f>IF(B1047="","",IFERROR(VLOOKUP(B1047, PLANTA_BASE!A:W, 2, FALSE), "NO ENCONTRADO EN PLANTA"))</f>
        <v/>
      </c>
      <c r="B1047" s="6"/>
      <c r="C1047" s="7" t="str">
        <f>IF(B1047="","",IFERROR(VLOOKUP(B1047, PLANTA_BASE!A:W, 3, FALSE), ""))</f>
        <v/>
      </c>
      <c r="D1047" s="5" t="str">
        <f>IF(B1047="","",IFERROR(VLOOKUP(B1047, PLANTA_BASE!A:W, 5, FALSE), "NO ENCONTRADO EN PLANTA"))</f>
        <v/>
      </c>
      <c r="E1047" s="5" t="str">
        <f>IF(B1047="","",IFERROR(VLOOKUP(B1047, PLANTA_BASE!A:W, 6, FALSE), "NO ENCONTRADO EN PLANTA"))</f>
        <v/>
      </c>
      <c r="F1047" s="7" t="str">
        <f>IF(B1047="","",IFERROR(VLOOKUP(B1047, PLANTA_BASE!A:W, 8, FALSE), "DOCENTE / FACILITADOR"))</f>
        <v/>
      </c>
      <c r="G1047" s="7" t="str">
        <f>IF(B1047="","",IFERROR(VLOOKUP(B1047, PLANTA_BASE!A:W, 9, FALSE), "GENERAL"))</f>
        <v/>
      </c>
      <c r="H1047" s="5" t="str">
        <f>IF(B1047="","",IFERROR(VLOOKUP(B1047, PLANTA_BASE!A:W, 17, FALSE), "GENERAL"))</f>
        <v/>
      </c>
    </row>
    <row r="1048" spans="1:8" ht="20.100000000000001" customHeight="1" x14ac:dyDescent="0.25">
      <c r="A1048" s="2" t="str">
        <f>IF(B1048="","",IFERROR(VLOOKUP(B1048, PLANTA_BASE!A:W, 2, FALSE), "NO ENCONTRADO EN PLANTA"))</f>
        <v/>
      </c>
      <c r="B1048" s="3"/>
      <c r="C1048" s="4" t="str">
        <f>IF(B1048="","",IFERROR(VLOOKUP(B1048, PLANTA_BASE!A:W, 3, FALSE), ""))</f>
        <v/>
      </c>
      <c r="D1048" s="2" t="str">
        <f>IF(B1048="","",IFERROR(VLOOKUP(B1048, PLANTA_BASE!A:W, 5, FALSE), "NO ENCONTRADO EN PLANTA"))</f>
        <v/>
      </c>
      <c r="E1048" s="2" t="str">
        <f>IF(B1048="","",IFERROR(VLOOKUP(B1048, PLANTA_BASE!A:W, 6, FALSE), "NO ENCONTRADO EN PLANTA"))</f>
        <v/>
      </c>
      <c r="F1048" s="4" t="str">
        <f>IF(B1048="","",IFERROR(VLOOKUP(B1048, PLANTA_BASE!A:W, 8, FALSE), "DOCENTE / FACILITADOR"))</f>
        <v/>
      </c>
      <c r="G1048" s="4" t="str">
        <f>IF(B1048="","",IFERROR(VLOOKUP(B1048, PLANTA_BASE!A:W, 9, FALSE), "GENERAL"))</f>
        <v/>
      </c>
      <c r="H1048" s="2" t="str">
        <f>IF(B1048="","",IFERROR(VLOOKUP(B1048, PLANTA_BASE!A:W, 17, FALSE), "GENERAL"))</f>
        <v/>
      </c>
    </row>
    <row r="1049" spans="1:8" ht="20.100000000000001" customHeight="1" x14ac:dyDescent="0.25">
      <c r="A1049" s="5" t="str">
        <f>IF(B1049="","",IFERROR(VLOOKUP(B1049, PLANTA_BASE!A:W, 2, FALSE), "NO ENCONTRADO EN PLANTA"))</f>
        <v/>
      </c>
      <c r="B1049" s="6"/>
      <c r="C1049" s="7" t="str">
        <f>IF(B1049="","",IFERROR(VLOOKUP(B1049, PLANTA_BASE!A:W, 3, FALSE), ""))</f>
        <v/>
      </c>
      <c r="D1049" s="5" t="str">
        <f>IF(B1049="","",IFERROR(VLOOKUP(B1049, PLANTA_BASE!A:W, 5, FALSE), "NO ENCONTRADO EN PLANTA"))</f>
        <v/>
      </c>
      <c r="E1049" s="5" t="str">
        <f>IF(B1049="","",IFERROR(VLOOKUP(B1049, PLANTA_BASE!A:W, 6, FALSE), "NO ENCONTRADO EN PLANTA"))</f>
        <v/>
      </c>
      <c r="F1049" s="7" t="str">
        <f>IF(B1049="","",IFERROR(VLOOKUP(B1049, PLANTA_BASE!A:W, 8, FALSE), "DOCENTE / FACILITADOR"))</f>
        <v/>
      </c>
      <c r="G1049" s="7" t="str">
        <f>IF(B1049="","",IFERROR(VLOOKUP(B1049, PLANTA_BASE!A:W, 9, FALSE), "GENERAL"))</f>
        <v/>
      </c>
      <c r="H1049" s="5" t="str">
        <f>IF(B1049="","",IFERROR(VLOOKUP(B1049, PLANTA_BASE!A:W, 17, FALSE), "GENERAL"))</f>
        <v/>
      </c>
    </row>
    <row r="1050" spans="1:8" ht="20.100000000000001" customHeight="1" x14ac:dyDescent="0.25">
      <c r="A1050" s="2" t="str">
        <f>IF(B1050="","",IFERROR(VLOOKUP(B1050, PLANTA_BASE!A:W, 2, FALSE), "NO ENCONTRADO EN PLANTA"))</f>
        <v/>
      </c>
      <c r="B1050" s="3"/>
      <c r="C1050" s="4" t="str">
        <f>IF(B1050="","",IFERROR(VLOOKUP(B1050, PLANTA_BASE!A:W, 3, FALSE), ""))</f>
        <v/>
      </c>
      <c r="D1050" s="2" t="str">
        <f>IF(B1050="","",IFERROR(VLOOKUP(B1050, PLANTA_BASE!A:W, 5, FALSE), "NO ENCONTRADO EN PLANTA"))</f>
        <v/>
      </c>
      <c r="E1050" s="2" t="str">
        <f>IF(B1050="","",IFERROR(VLOOKUP(B1050, PLANTA_BASE!A:W, 6, FALSE), "NO ENCONTRADO EN PLANTA"))</f>
        <v/>
      </c>
      <c r="F1050" s="4" t="str">
        <f>IF(B1050="","",IFERROR(VLOOKUP(B1050, PLANTA_BASE!A:W, 8, FALSE), "DOCENTE / FACILITADOR"))</f>
        <v/>
      </c>
      <c r="G1050" s="4" t="str">
        <f>IF(B1050="","",IFERROR(VLOOKUP(B1050, PLANTA_BASE!A:W, 9, FALSE), "GENERAL"))</f>
        <v/>
      </c>
      <c r="H1050" s="2" t="str">
        <f>IF(B1050="","",IFERROR(VLOOKUP(B1050, PLANTA_BASE!A:W, 17, FALSE), "GENERAL"))</f>
        <v/>
      </c>
    </row>
    <row r="1051" spans="1:8" ht="20.100000000000001" customHeight="1" x14ac:dyDescent="0.25">
      <c r="A1051" s="5" t="str">
        <f>IF(B1051="","",IFERROR(VLOOKUP(B1051, PLANTA_BASE!A:W, 2, FALSE), "NO ENCONTRADO EN PLANTA"))</f>
        <v/>
      </c>
      <c r="B1051" s="6"/>
      <c r="C1051" s="7" t="str">
        <f>IF(B1051="","",IFERROR(VLOOKUP(B1051, PLANTA_BASE!A:W, 3, FALSE), ""))</f>
        <v/>
      </c>
      <c r="D1051" s="5" t="str">
        <f>IF(B1051="","",IFERROR(VLOOKUP(B1051, PLANTA_BASE!A:W, 5, FALSE), "NO ENCONTRADO EN PLANTA"))</f>
        <v/>
      </c>
      <c r="E1051" s="5" t="str">
        <f>IF(B1051="","",IFERROR(VLOOKUP(B1051, PLANTA_BASE!A:W, 6, FALSE), "NO ENCONTRADO EN PLANTA"))</f>
        <v/>
      </c>
      <c r="F1051" s="7" t="str">
        <f>IF(B1051="","",IFERROR(VLOOKUP(B1051, PLANTA_BASE!A:W, 8, FALSE), "DOCENTE / FACILITADOR"))</f>
        <v/>
      </c>
      <c r="G1051" s="7" t="str">
        <f>IF(B1051="","",IFERROR(VLOOKUP(B1051, PLANTA_BASE!A:W, 9, FALSE), "GENERAL"))</f>
        <v/>
      </c>
      <c r="H1051" s="5" t="str">
        <f>IF(B1051="","",IFERROR(VLOOKUP(B1051, PLANTA_BASE!A:W, 17, FALSE), "GENERAL"))</f>
        <v/>
      </c>
    </row>
    <row r="1052" spans="1:8" ht="20.100000000000001" customHeight="1" x14ac:dyDescent="0.25">
      <c r="A1052" s="2" t="str">
        <f>IF(B1052="","",IFERROR(VLOOKUP(B1052, PLANTA_BASE!A:W, 2, FALSE), "NO ENCONTRADO EN PLANTA"))</f>
        <v/>
      </c>
      <c r="B1052" s="3"/>
      <c r="C1052" s="4" t="str">
        <f>IF(B1052="","",IFERROR(VLOOKUP(B1052, PLANTA_BASE!A:W, 3, FALSE), ""))</f>
        <v/>
      </c>
      <c r="D1052" s="2" t="str">
        <f>IF(B1052="","",IFERROR(VLOOKUP(B1052, PLANTA_BASE!A:W, 5, FALSE), "NO ENCONTRADO EN PLANTA"))</f>
        <v/>
      </c>
      <c r="E1052" s="2" t="str">
        <f>IF(B1052="","",IFERROR(VLOOKUP(B1052, PLANTA_BASE!A:W, 6, FALSE), "NO ENCONTRADO EN PLANTA"))</f>
        <v/>
      </c>
      <c r="F1052" s="4" t="str">
        <f>IF(B1052="","",IFERROR(VLOOKUP(B1052, PLANTA_BASE!A:W, 8, FALSE), "DOCENTE / FACILITADOR"))</f>
        <v/>
      </c>
      <c r="G1052" s="4" t="str">
        <f>IF(B1052="","",IFERROR(VLOOKUP(B1052, PLANTA_BASE!A:W, 9, FALSE), "GENERAL"))</f>
        <v/>
      </c>
      <c r="H1052" s="2" t="str">
        <f>IF(B1052="","",IFERROR(VLOOKUP(B1052, PLANTA_BASE!A:W, 17, FALSE), "GENERAL"))</f>
        <v/>
      </c>
    </row>
    <row r="1053" spans="1:8" ht="20.100000000000001" customHeight="1" x14ac:dyDescent="0.25">
      <c r="A1053" s="5" t="str">
        <f>IF(B1053="","",IFERROR(VLOOKUP(B1053, PLANTA_BASE!A:W, 2, FALSE), "NO ENCONTRADO EN PLANTA"))</f>
        <v/>
      </c>
      <c r="B1053" s="6"/>
      <c r="C1053" s="7" t="str">
        <f>IF(B1053="","",IFERROR(VLOOKUP(B1053, PLANTA_BASE!A:W, 3, FALSE), ""))</f>
        <v/>
      </c>
      <c r="D1053" s="5" t="str">
        <f>IF(B1053="","",IFERROR(VLOOKUP(B1053, PLANTA_BASE!A:W, 5, FALSE), "NO ENCONTRADO EN PLANTA"))</f>
        <v/>
      </c>
      <c r="E1053" s="5" t="str">
        <f>IF(B1053="","",IFERROR(VLOOKUP(B1053, PLANTA_BASE!A:W, 6, FALSE), "NO ENCONTRADO EN PLANTA"))</f>
        <v/>
      </c>
      <c r="F1053" s="7" t="str">
        <f>IF(B1053="","",IFERROR(VLOOKUP(B1053, PLANTA_BASE!A:W, 8, FALSE), "DOCENTE / FACILITADOR"))</f>
        <v/>
      </c>
      <c r="G1053" s="7" t="str">
        <f>IF(B1053="","",IFERROR(VLOOKUP(B1053, PLANTA_BASE!A:W, 9, FALSE), "GENERAL"))</f>
        <v/>
      </c>
      <c r="H1053" s="5" t="str">
        <f>IF(B1053="","",IFERROR(VLOOKUP(B1053, PLANTA_BASE!A:W, 17, FALSE), "GENERAL"))</f>
        <v/>
      </c>
    </row>
    <row r="1054" spans="1:8" ht="20.100000000000001" customHeight="1" x14ac:dyDescent="0.25">
      <c r="A1054" s="2" t="str">
        <f>IF(B1054="","",IFERROR(VLOOKUP(B1054, PLANTA_BASE!A:W, 2, FALSE), "NO ENCONTRADO EN PLANTA"))</f>
        <v/>
      </c>
      <c r="B1054" s="3"/>
      <c r="C1054" s="4" t="str">
        <f>IF(B1054="","",IFERROR(VLOOKUP(B1054, PLANTA_BASE!A:W, 3, FALSE), ""))</f>
        <v/>
      </c>
      <c r="D1054" s="2" t="str">
        <f>IF(B1054="","",IFERROR(VLOOKUP(B1054, PLANTA_BASE!A:W, 5, FALSE), "NO ENCONTRADO EN PLANTA"))</f>
        <v/>
      </c>
      <c r="E1054" s="2" t="str">
        <f>IF(B1054="","",IFERROR(VLOOKUP(B1054, PLANTA_BASE!A:W, 6, FALSE), "NO ENCONTRADO EN PLANTA"))</f>
        <v/>
      </c>
      <c r="F1054" s="4" t="str">
        <f>IF(B1054="","",IFERROR(VLOOKUP(B1054, PLANTA_BASE!A:W, 8, FALSE), "DOCENTE / FACILITADOR"))</f>
        <v/>
      </c>
      <c r="G1054" s="4" t="str">
        <f>IF(B1054="","",IFERROR(VLOOKUP(B1054, PLANTA_BASE!A:W, 9, FALSE), "GENERAL"))</f>
        <v/>
      </c>
      <c r="H1054" s="2" t="str">
        <f>IF(B1054="","",IFERROR(VLOOKUP(B1054, PLANTA_BASE!A:W, 17, FALSE), "GENERAL"))</f>
        <v/>
      </c>
    </row>
    <row r="1055" spans="1:8" ht="20.100000000000001" customHeight="1" x14ac:dyDescent="0.25">
      <c r="A1055" s="5" t="str">
        <f>IF(B1055="","",IFERROR(VLOOKUP(B1055, PLANTA_BASE!A:W, 2, FALSE), "NO ENCONTRADO EN PLANTA"))</f>
        <v/>
      </c>
      <c r="B1055" s="6"/>
      <c r="C1055" s="7" t="str">
        <f>IF(B1055="","",IFERROR(VLOOKUP(B1055, PLANTA_BASE!A:W, 3, FALSE), ""))</f>
        <v/>
      </c>
      <c r="D1055" s="5" t="str">
        <f>IF(B1055="","",IFERROR(VLOOKUP(B1055, PLANTA_BASE!A:W, 5, FALSE), "NO ENCONTRADO EN PLANTA"))</f>
        <v/>
      </c>
      <c r="E1055" s="5" t="str">
        <f>IF(B1055="","",IFERROR(VLOOKUP(B1055, PLANTA_BASE!A:W, 6, FALSE), "NO ENCONTRADO EN PLANTA"))</f>
        <v/>
      </c>
      <c r="F1055" s="7" t="str">
        <f>IF(B1055="","",IFERROR(VLOOKUP(B1055, PLANTA_BASE!A:W, 8, FALSE), "DOCENTE / FACILITADOR"))</f>
        <v/>
      </c>
      <c r="G1055" s="7" t="str">
        <f>IF(B1055="","",IFERROR(VLOOKUP(B1055, PLANTA_BASE!A:W, 9, FALSE), "GENERAL"))</f>
        <v/>
      </c>
      <c r="H1055" s="5" t="str">
        <f>IF(B1055="","",IFERROR(VLOOKUP(B1055, PLANTA_BASE!A:W, 17, FALSE), "GENERAL"))</f>
        <v/>
      </c>
    </row>
    <row r="1056" spans="1:8" ht="20.100000000000001" customHeight="1" x14ac:dyDescent="0.25">
      <c r="A1056" s="2" t="str">
        <f>IF(B1056="","",IFERROR(VLOOKUP(B1056, PLANTA_BASE!A:W, 2, FALSE), "NO ENCONTRADO EN PLANTA"))</f>
        <v/>
      </c>
      <c r="B1056" s="3"/>
      <c r="C1056" s="4" t="str">
        <f>IF(B1056="","",IFERROR(VLOOKUP(B1056, PLANTA_BASE!A:W, 3, FALSE), ""))</f>
        <v/>
      </c>
      <c r="D1056" s="2" t="str">
        <f>IF(B1056="","",IFERROR(VLOOKUP(B1056, PLANTA_BASE!A:W, 5, FALSE), "NO ENCONTRADO EN PLANTA"))</f>
        <v/>
      </c>
      <c r="E1056" s="2" t="str">
        <f>IF(B1056="","",IFERROR(VLOOKUP(B1056, PLANTA_BASE!A:W, 6, FALSE), "NO ENCONTRADO EN PLANTA"))</f>
        <v/>
      </c>
      <c r="F1056" s="4" t="str">
        <f>IF(B1056="","",IFERROR(VLOOKUP(B1056, PLANTA_BASE!A:W, 8, FALSE), "DOCENTE / FACILITADOR"))</f>
        <v/>
      </c>
      <c r="G1056" s="4" t="str">
        <f>IF(B1056="","",IFERROR(VLOOKUP(B1056, PLANTA_BASE!A:W, 9, FALSE), "GENERAL"))</f>
        <v/>
      </c>
      <c r="H1056" s="2" t="str">
        <f>IF(B1056="","",IFERROR(VLOOKUP(B1056, PLANTA_BASE!A:W, 17, FALSE), "GENERAL"))</f>
        <v/>
      </c>
    </row>
    <row r="1057" spans="1:8" ht="20.100000000000001" customHeight="1" x14ac:dyDescent="0.25">
      <c r="A1057" s="5" t="str">
        <f>IF(B1057="","",IFERROR(VLOOKUP(B1057, PLANTA_BASE!A:W, 2, FALSE), "NO ENCONTRADO EN PLANTA"))</f>
        <v/>
      </c>
      <c r="B1057" s="6"/>
      <c r="C1057" s="7" t="str">
        <f>IF(B1057="","",IFERROR(VLOOKUP(B1057, PLANTA_BASE!A:W, 3, FALSE), ""))</f>
        <v/>
      </c>
      <c r="D1057" s="5" t="str">
        <f>IF(B1057="","",IFERROR(VLOOKUP(B1057, PLANTA_BASE!A:W, 5, FALSE), "NO ENCONTRADO EN PLANTA"))</f>
        <v/>
      </c>
      <c r="E1057" s="5" t="str">
        <f>IF(B1057="","",IFERROR(VLOOKUP(B1057, PLANTA_BASE!A:W, 6, FALSE), "NO ENCONTRADO EN PLANTA"))</f>
        <v/>
      </c>
      <c r="F1057" s="7" t="str">
        <f>IF(B1057="","",IFERROR(VLOOKUP(B1057, PLANTA_BASE!A:W, 8, FALSE), "DOCENTE / FACILITADOR"))</f>
        <v/>
      </c>
      <c r="G1057" s="7" t="str">
        <f>IF(B1057="","",IFERROR(VLOOKUP(B1057, PLANTA_BASE!A:W, 9, FALSE), "GENERAL"))</f>
        <v/>
      </c>
      <c r="H1057" s="5" t="str">
        <f>IF(B1057="","",IFERROR(VLOOKUP(B1057, PLANTA_BASE!A:W, 17, FALSE), "GENERAL"))</f>
        <v/>
      </c>
    </row>
    <row r="1058" spans="1:8" ht="20.100000000000001" customHeight="1" x14ac:dyDescent="0.25">
      <c r="A1058" s="2" t="str">
        <f>IF(B1058="","",IFERROR(VLOOKUP(B1058, PLANTA_BASE!A:W, 2, FALSE), "NO ENCONTRADO EN PLANTA"))</f>
        <v/>
      </c>
      <c r="B1058" s="3"/>
      <c r="C1058" s="4" t="str">
        <f>IF(B1058="","",IFERROR(VLOOKUP(B1058, PLANTA_BASE!A:W, 3, FALSE), ""))</f>
        <v/>
      </c>
      <c r="D1058" s="2" t="str">
        <f>IF(B1058="","",IFERROR(VLOOKUP(B1058, PLANTA_BASE!A:W, 5, FALSE), "NO ENCONTRADO EN PLANTA"))</f>
        <v/>
      </c>
      <c r="E1058" s="2" t="str">
        <f>IF(B1058="","",IFERROR(VLOOKUP(B1058, PLANTA_BASE!A:W, 6, FALSE), "NO ENCONTRADO EN PLANTA"))</f>
        <v/>
      </c>
      <c r="F1058" s="4" t="str">
        <f>IF(B1058="","",IFERROR(VLOOKUP(B1058, PLANTA_BASE!A:W, 8, FALSE), "DOCENTE / FACILITADOR"))</f>
        <v/>
      </c>
      <c r="G1058" s="4" t="str">
        <f>IF(B1058="","",IFERROR(VLOOKUP(B1058, PLANTA_BASE!A:W, 9, FALSE), "GENERAL"))</f>
        <v/>
      </c>
      <c r="H1058" s="2" t="str">
        <f>IF(B1058="","",IFERROR(VLOOKUP(B1058, PLANTA_BASE!A:W, 17, FALSE), "GENERAL"))</f>
        <v/>
      </c>
    </row>
    <row r="1059" spans="1:8" ht="20.100000000000001" customHeight="1" x14ac:dyDescent="0.25">
      <c r="A1059" s="5" t="str">
        <f>IF(B1059="","",IFERROR(VLOOKUP(B1059, PLANTA_BASE!A:W, 2, FALSE), "NO ENCONTRADO EN PLANTA"))</f>
        <v/>
      </c>
      <c r="B1059" s="6"/>
      <c r="C1059" s="7" t="str">
        <f>IF(B1059="","",IFERROR(VLOOKUP(B1059, PLANTA_BASE!A:W, 3, FALSE), ""))</f>
        <v/>
      </c>
      <c r="D1059" s="5" t="str">
        <f>IF(B1059="","",IFERROR(VLOOKUP(B1059, PLANTA_BASE!A:W, 5, FALSE), "NO ENCONTRADO EN PLANTA"))</f>
        <v/>
      </c>
      <c r="E1059" s="5" t="str">
        <f>IF(B1059="","",IFERROR(VLOOKUP(B1059, PLANTA_BASE!A:W, 6, FALSE), "NO ENCONTRADO EN PLANTA"))</f>
        <v/>
      </c>
      <c r="F1059" s="7" t="str">
        <f>IF(B1059="","",IFERROR(VLOOKUP(B1059, PLANTA_BASE!A:W, 8, FALSE), "DOCENTE / FACILITADOR"))</f>
        <v/>
      </c>
      <c r="G1059" s="7" t="str">
        <f>IF(B1059="","",IFERROR(VLOOKUP(B1059, PLANTA_BASE!A:W, 9, FALSE), "GENERAL"))</f>
        <v/>
      </c>
      <c r="H1059" s="5" t="str">
        <f>IF(B1059="","",IFERROR(VLOOKUP(B1059, PLANTA_BASE!A:W, 17, FALSE), "GENERAL"))</f>
        <v/>
      </c>
    </row>
    <row r="1060" spans="1:8" ht="20.100000000000001" customHeight="1" x14ac:dyDescent="0.25">
      <c r="A1060" s="2" t="str">
        <f>IF(B1060="","",IFERROR(VLOOKUP(B1060, PLANTA_BASE!A:W, 2, FALSE), "NO ENCONTRADO EN PLANTA"))</f>
        <v/>
      </c>
      <c r="B1060" s="3"/>
      <c r="C1060" s="4" t="str">
        <f>IF(B1060="","",IFERROR(VLOOKUP(B1060, PLANTA_BASE!A:W, 3, FALSE), ""))</f>
        <v/>
      </c>
      <c r="D1060" s="2" t="str">
        <f>IF(B1060="","",IFERROR(VLOOKUP(B1060, PLANTA_BASE!A:W, 5, FALSE), "NO ENCONTRADO EN PLANTA"))</f>
        <v/>
      </c>
      <c r="E1060" s="2" t="str">
        <f>IF(B1060="","",IFERROR(VLOOKUP(B1060, PLANTA_BASE!A:W, 6, FALSE), "NO ENCONTRADO EN PLANTA"))</f>
        <v/>
      </c>
      <c r="F1060" s="4" t="str">
        <f>IF(B1060="","",IFERROR(VLOOKUP(B1060, PLANTA_BASE!A:W, 8, FALSE), "DOCENTE / FACILITADOR"))</f>
        <v/>
      </c>
      <c r="G1060" s="4" t="str">
        <f>IF(B1060="","",IFERROR(VLOOKUP(B1060, PLANTA_BASE!A:W, 9, FALSE), "GENERAL"))</f>
        <v/>
      </c>
      <c r="H1060" s="2" t="str">
        <f>IF(B1060="","",IFERROR(VLOOKUP(B1060, PLANTA_BASE!A:W, 17, FALSE), "GENERAL"))</f>
        <v/>
      </c>
    </row>
    <row r="1061" spans="1:8" ht="20.100000000000001" customHeight="1" x14ac:dyDescent="0.25">
      <c r="A1061" s="5" t="str">
        <f>IF(B1061="","",IFERROR(VLOOKUP(B1061, PLANTA_BASE!A:W, 2, FALSE), "NO ENCONTRADO EN PLANTA"))</f>
        <v/>
      </c>
      <c r="B1061" s="6"/>
      <c r="C1061" s="7" t="str">
        <f>IF(B1061="","",IFERROR(VLOOKUP(B1061, PLANTA_BASE!A:W, 3, FALSE), ""))</f>
        <v/>
      </c>
      <c r="D1061" s="5" t="str">
        <f>IF(B1061="","",IFERROR(VLOOKUP(B1061, PLANTA_BASE!A:W, 5, FALSE), "NO ENCONTRADO EN PLANTA"))</f>
        <v/>
      </c>
      <c r="E1061" s="5" t="str">
        <f>IF(B1061="","",IFERROR(VLOOKUP(B1061, PLANTA_BASE!A:W, 6, FALSE), "NO ENCONTRADO EN PLANTA"))</f>
        <v/>
      </c>
      <c r="F1061" s="7" t="str">
        <f>IF(B1061="","",IFERROR(VLOOKUP(B1061, PLANTA_BASE!A:W, 8, FALSE), "DOCENTE / FACILITADOR"))</f>
        <v/>
      </c>
      <c r="G1061" s="7" t="str">
        <f>IF(B1061="","",IFERROR(VLOOKUP(B1061, PLANTA_BASE!A:W, 9, FALSE), "GENERAL"))</f>
        <v/>
      </c>
      <c r="H1061" s="5" t="str">
        <f>IF(B1061="","",IFERROR(VLOOKUP(B1061, PLANTA_BASE!A:W, 17, FALSE), "GENERAL"))</f>
        <v/>
      </c>
    </row>
    <row r="1062" spans="1:8" ht="20.100000000000001" customHeight="1" x14ac:dyDescent="0.25">
      <c r="A1062" s="2" t="str">
        <f>IF(B1062="","",IFERROR(VLOOKUP(B1062, PLANTA_BASE!A:W, 2, FALSE), "NO ENCONTRADO EN PLANTA"))</f>
        <v/>
      </c>
      <c r="B1062" s="3"/>
      <c r="C1062" s="4" t="str">
        <f>IF(B1062="","",IFERROR(VLOOKUP(B1062, PLANTA_BASE!A:W, 3, FALSE), ""))</f>
        <v/>
      </c>
      <c r="D1062" s="2" t="str">
        <f>IF(B1062="","",IFERROR(VLOOKUP(B1062, PLANTA_BASE!A:W, 5, FALSE), "NO ENCONTRADO EN PLANTA"))</f>
        <v/>
      </c>
      <c r="E1062" s="2" t="str">
        <f>IF(B1062="","",IFERROR(VLOOKUP(B1062, PLANTA_BASE!A:W, 6, FALSE), "NO ENCONTRADO EN PLANTA"))</f>
        <v/>
      </c>
      <c r="F1062" s="4" t="str">
        <f>IF(B1062="","",IFERROR(VLOOKUP(B1062, PLANTA_BASE!A:W, 8, FALSE), "DOCENTE / FACILITADOR"))</f>
        <v/>
      </c>
      <c r="G1062" s="4" t="str">
        <f>IF(B1062="","",IFERROR(VLOOKUP(B1062, PLANTA_BASE!A:W, 9, FALSE), "GENERAL"))</f>
        <v/>
      </c>
      <c r="H1062" s="2" t="str">
        <f>IF(B1062="","",IFERROR(VLOOKUP(B1062, PLANTA_BASE!A:W, 17, FALSE), "GENERAL"))</f>
        <v/>
      </c>
    </row>
    <row r="1063" spans="1:8" ht="20.100000000000001" customHeight="1" x14ac:dyDescent="0.25">
      <c r="A1063" s="5" t="str">
        <f>IF(B1063="","",IFERROR(VLOOKUP(B1063, PLANTA_BASE!A:W, 2, FALSE), "NO ENCONTRADO EN PLANTA"))</f>
        <v/>
      </c>
      <c r="B1063" s="6"/>
      <c r="C1063" s="7" t="str">
        <f>IF(B1063="","",IFERROR(VLOOKUP(B1063, PLANTA_BASE!A:W, 3, FALSE), ""))</f>
        <v/>
      </c>
      <c r="D1063" s="5" t="str">
        <f>IF(B1063="","",IFERROR(VLOOKUP(B1063, PLANTA_BASE!A:W, 5, FALSE), "NO ENCONTRADO EN PLANTA"))</f>
        <v/>
      </c>
      <c r="E1063" s="5" t="str">
        <f>IF(B1063="","",IFERROR(VLOOKUP(B1063, PLANTA_BASE!A:W, 6, FALSE), "NO ENCONTRADO EN PLANTA"))</f>
        <v/>
      </c>
      <c r="F1063" s="7" t="str">
        <f>IF(B1063="","",IFERROR(VLOOKUP(B1063, PLANTA_BASE!A:W, 8, FALSE), "DOCENTE / FACILITADOR"))</f>
        <v/>
      </c>
      <c r="G1063" s="7" t="str">
        <f>IF(B1063="","",IFERROR(VLOOKUP(B1063, PLANTA_BASE!A:W, 9, FALSE), "GENERAL"))</f>
        <v/>
      </c>
      <c r="H1063" s="5" t="str">
        <f>IF(B1063="","",IFERROR(VLOOKUP(B1063, PLANTA_BASE!A:W, 17, FALSE), "GENERAL"))</f>
        <v/>
      </c>
    </row>
    <row r="1064" spans="1:8" ht="20.100000000000001" customHeight="1" x14ac:dyDescent="0.25">
      <c r="A1064" s="2" t="str">
        <f>IF(B1064="","",IFERROR(VLOOKUP(B1064, PLANTA_BASE!A:W, 2, FALSE), "NO ENCONTRADO EN PLANTA"))</f>
        <v/>
      </c>
      <c r="B1064" s="3"/>
      <c r="C1064" s="4" t="str">
        <f>IF(B1064="","",IFERROR(VLOOKUP(B1064, PLANTA_BASE!A:W, 3, FALSE), ""))</f>
        <v/>
      </c>
      <c r="D1064" s="2" t="str">
        <f>IF(B1064="","",IFERROR(VLOOKUP(B1064, PLANTA_BASE!A:W, 5, FALSE), "NO ENCONTRADO EN PLANTA"))</f>
        <v/>
      </c>
      <c r="E1064" s="2" t="str">
        <f>IF(B1064="","",IFERROR(VLOOKUP(B1064, PLANTA_BASE!A:W, 6, FALSE), "NO ENCONTRADO EN PLANTA"))</f>
        <v/>
      </c>
      <c r="F1064" s="4" t="str">
        <f>IF(B1064="","",IFERROR(VLOOKUP(B1064, PLANTA_BASE!A:W, 8, FALSE), "DOCENTE / FACILITADOR"))</f>
        <v/>
      </c>
      <c r="G1064" s="4" t="str">
        <f>IF(B1064="","",IFERROR(VLOOKUP(B1064, PLANTA_BASE!A:W, 9, FALSE), "GENERAL"))</f>
        <v/>
      </c>
      <c r="H1064" s="2" t="str">
        <f>IF(B1064="","",IFERROR(VLOOKUP(B1064, PLANTA_BASE!A:W, 17, FALSE), "GENERAL"))</f>
        <v/>
      </c>
    </row>
    <row r="1065" spans="1:8" ht="20.100000000000001" customHeight="1" x14ac:dyDescent="0.25">
      <c r="A1065" s="5" t="str">
        <f>IF(B1065="","",IFERROR(VLOOKUP(B1065, PLANTA_BASE!A:W, 2, FALSE), "NO ENCONTRADO EN PLANTA"))</f>
        <v/>
      </c>
      <c r="B1065" s="6"/>
      <c r="C1065" s="7" t="str">
        <f>IF(B1065="","",IFERROR(VLOOKUP(B1065, PLANTA_BASE!A:W, 3, FALSE), ""))</f>
        <v/>
      </c>
      <c r="D1065" s="5" t="str">
        <f>IF(B1065="","",IFERROR(VLOOKUP(B1065, PLANTA_BASE!A:W, 5, FALSE), "NO ENCONTRADO EN PLANTA"))</f>
        <v/>
      </c>
      <c r="E1065" s="5" t="str">
        <f>IF(B1065="","",IFERROR(VLOOKUP(B1065, PLANTA_BASE!A:W, 6, FALSE), "NO ENCONTRADO EN PLANTA"))</f>
        <v/>
      </c>
      <c r="F1065" s="7" t="str">
        <f>IF(B1065="","",IFERROR(VLOOKUP(B1065, PLANTA_BASE!A:W, 8, FALSE), "DOCENTE / FACILITADOR"))</f>
        <v/>
      </c>
      <c r="G1065" s="7" t="str">
        <f>IF(B1065="","",IFERROR(VLOOKUP(B1065, PLANTA_BASE!A:W, 9, FALSE), "GENERAL"))</f>
        <v/>
      </c>
      <c r="H1065" s="5" t="str">
        <f>IF(B1065="","",IFERROR(VLOOKUP(B1065, PLANTA_BASE!A:W, 17, FALSE), "GENERAL"))</f>
        <v/>
      </c>
    </row>
    <row r="1066" spans="1:8" ht="20.100000000000001" customHeight="1" x14ac:dyDescent="0.25">
      <c r="A1066" s="2" t="str">
        <f>IF(B1066="","",IFERROR(VLOOKUP(B1066, PLANTA_BASE!A:W, 2, FALSE), "NO ENCONTRADO EN PLANTA"))</f>
        <v/>
      </c>
      <c r="B1066" s="3"/>
      <c r="C1066" s="4" t="str">
        <f>IF(B1066="","",IFERROR(VLOOKUP(B1066, PLANTA_BASE!A:W, 3, FALSE), ""))</f>
        <v/>
      </c>
      <c r="D1066" s="2" t="str">
        <f>IF(B1066="","",IFERROR(VLOOKUP(B1066, PLANTA_BASE!A:W, 5, FALSE), "NO ENCONTRADO EN PLANTA"))</f>
        <v/>
      </c>
      <c r="E1066" s="2" t="str">
        <f>IF(B1066="","",IFERROR(VLOOKUP(B1066, PLANTA_BASE!A:W, 6, FALSE), "NO ENCONTRADO EN PLANTA"))</f>
        <v/>
      </c>
      <c r="F1066" s="4" t="str">
        <f>IF(B1066="","",IFERROR(VLOOKUP(B1066, PLANTA_BASE!A:W, 8, FALSE), "DOCENTE / FACILITADOR"))</f>
        <v/>
      </c>
      <c r="G1066" s="4" t="str">
        <f>IF(B1066="","",IFERROR(VLOOKUP(B1066, PLANTA_BASE!A:W, 9, FALSE), "GENERAL"))</f>
        <v/>
      </c>
      <c r="H1066" s="2" t="str">
        <f>IF(B1066="","",IFERROR(VLOOKUP(B1066, PLANTA_BASE!A:W, 17, FALSE), "GENERAL"))</f>
        <v/>
      </c>
    </row>
    <row r="1067" spans="1:8" ht="20.100000000000001" customHeight="1" x14ac:dyDescent="0.25">
      <c r="A1067" s="5" t="str">
        <f>IF(B1067="","",IFERROR(VLOOKUP(B1067, PLANTA_BASE!A:W, 2, FALSE), "NO ENCONTRADO EN PLANTA"))</f>
        <v/>
      </c>
      <c r="B1067" s="6"/>
      <c r="C1067" s="7" t="str">
        <f>IF(B1067="","",IFERROR(VLOOKUP(B1067, PLANTA_BASE!A:W, 3, FALSE), ""))</f>
        <v/>
      </c>
      <c r="D1067" s="5" t="str">
        <f>IF(B1067="","",IFERROR(VLOOKUP(B1067, PLANTA_BASE!A:W, 5, FALSE), "NO ENCONTRADO EN PLANTA"))</f>
        <v/>
      </c>
      <c r="E1067" s="5" t="str">
        <f>IF(B1067="","",IFERROR(VLOOKUP(B1067, PLANTA_BASE!A:W, 6, FALSE), "NO ENCONTRADO EN PLANTA"))</f>
        <v/>
      </c>
      <c r="F1067" s="7" t="str">
        <f>IF(B1067="","",IFERROR(VLOOKUP(B1067, PLANTA_BASE!A:W, 8, FALSE), "DOCENTE / FACILITADOR"))</f>
        <v/>
      </c>
      <c r="G1067" s="7" t="str">
        <f>IF(B1067="","",IFERROR(VLOOKUP(B1067, PLANTA_BASE!A:W, 9, FALSE), "GENERAL"))</f>
        <v/>
      </c>
      <c r="H1067" s="5" t="str">
        <f>IF(B1067="","",IFERROR(VLOOKUP(B1067, PLANTA_BASE!A:W, 17, FALSE), "GENERAL"))</f>
        <v/>
      </c>
    </row>
    <row r="1068" spans="1:8" ht="20.100000000000001" customHeight="1" x14ac:dyDescent="0.25">
      <c r="A1068" s="2" t="str">
        <f>IF(B1068="","",IFERROR(VLOOKUP(B1068, PLANTA_BASE!A:W, 2, FALSE), "NO ENCONTRADO EN PLANTA"))</f>
        <v/>
      </c>
      <c r="B1068" s="3"/>
      <c r="C1068" s="4" t="str">
        <f>IF(B1068="","",IFERROR(VLOOKUP(B1068, PLANTA_BASE!A:W, 3, FALSE), ""))</f>
        <v/>
      </c>
      <c r="D1068" s="2" t="str">
        <f>IF(B1068="","",IFERROR(VLOOKUP(B1068, PLANTA_BASE!A:W, 5, FALSE), "NO ENCONTRADO EN PLANTA"))</f>
        <v/>
      </c>
      <c r="E1068" s="2" t="str">
        <f>IF(B1068="","",IFERROR(VLOOKUP(B1068, PLANTA_BASE!A:W, 6, FALSE), "NO ENCONTRADO EN PLANTA"))</f>
        <v/>
      </c>
      <c r="F1068" s="4" t="str">
        <f>IF(B1068="","",IFERROR(VLOOKUP(B1068, PLANTA_BASE!A:W, 8, FALSE), "DOCENTE / FACILITADOR"))</f>
        <v/>
      </c>
      <c r="G1068" s="4" t="str">
        <f>IF(B1068="","",IFERROR(VLOOKUP(B1068, PLANTA_BASE!A:W, 9, FALSE), "GENERAL"))</f>
        <v/>
      </c>
      <c r="H1068" s="2" t="str">
        <f>IF(B1068="","",IFERROR(VLOOKUP(B1068, PLANTA_BASE!A:W, 17, FALSE), "GENERAL"))</f>
        <v/>
      </c>
    </row>
    <row r="1069" spans="1:8" ht="20.100000000000001" customHeight="1" x14ac:dyDescent="0.25">
      <c r="A1069" s="5" t="str">
        <f>IF(B1069="","",IFERROR(VLOOKUP(B1069, PLANTA_BASE!A:W, 2, FALSE), "NO ENCONTRADO EN PLANTA"))</f>
        <v/>
      </c>
      <c r="B1069" s="6"/>
      <c r="C1069" s="7" t="str">
        <f>IF(B1069="","",IFERROR(VLOOKUP(B1069, PLANTA_BASE!A:W, 3, FALSE), ""))</f>
        <v/>
      </c>
      <c r="D1069" s="5" t="str">
        <f>IF(B1069="","",IFERROR(VLOOKUP(B1069, PLANTA_BASE!A:W, 5, FALSE), "NO ENCONTRADO EN PLANTA"))</f>
        <v/>
      </c>
      <c r="E1069" s="5" t="str">
        <f>IF(B1069="","",IFERROR(VLOOKUP(B1069, PLANTA_BASE!A:W, 6, FALSE), "NO ENCONTRADO EN PLANTA"))</f>
        <v/>
      </c>
      <c r="F1069" s="7" t="str">
        <f>IF(B1069="","",IFERROR(VLOOKUP(B1069, PLANTA_BASE!A:W, 8, FALSE), "DOCENTE / FACILITADOR"))</f>
        <v/>
      </c>
      <c r="G1069" s="7" t="str">
        <f>IF(B1069="","",IFERROR(VLOOKUP(B1069, PLANTA_BASE!A:W, 9, FALSE), "GENERAL"))</f>
        <v/>
      </c>
      <c r="H1069" s="5" t="str">
        <f>IF(B1069="","",IFERROR(VLOOKUP(B1069, PLANTA_BASE!A:W, 17, FALSE), "GENERAL"))</f>
        <v/>
      </c>
    </row>
    <row r="1070" spans="1:8" ht="20.100000000000001" customHeight="1" x14ac:dyDescent="0.25">
      <c r="A1070" s="2" t="str">
        <f>IF(B1070="","",IFERROR(VLOOKUP(B1070, PLANTA_BASE!A:W, 2, FALSE), "NO ENCONTRADO EN PLANTA"))</f>
        <v/>
      </c>
      <c r="B1070" s="3"/>
      <c r="C1070" s="4" t="str">
        <f>IF(B1070="","",IFERROR(VLOOKUP(B1070, PLANTA_BASE!A:W, 3, FALSE), ""))</f>
        <v/>
      </c>
      <c r="D1070" s="2" t="str">
        <f>IF(B1070="","",IFERROR(VLOOKUP(B1070, PLANTA_BASE!A:W, 5, FALSE), "NO ENCONTRADO EN PLANTA"))</f>
        <v/>
      </c>
      <c r="E1070" s="2" t="str">
        <f>IF(B1070="","",IFERROR(VLOOKUP(B1070, PLANTA_BASE!A:W, 6, FALSE), "NO ENCONTRADO EN PLANTA"))</f>
        <v/>
      </c>
      <c r="F1070" s="4" t="str">
        <f>IF(B1070="","",IFERROR(VLOOKUP(B1070, PLANTA_BASE!A:W, 8, FALSE), "DOCENTE / FACILITADOR"))</f>
        <v/>
      </c>
      <c r="G1070" s="4" t="str">
        <f>IF(B1070="","",IFERROR(VLOOKUP(B1070, PLANTA_BASE!A:W, 9, FALSE), "GENERAL"))</f>
        <v/>
      </c>
      <c r="H1070" s="2" t="str">
        <f>IF(B1070="","",IFERROR(VLOOKUP(B1070, PLANTA_BASE!A:W, 17, FALSE), "GENERAL"))</f>
        <v/>
      </c>
    </row>
    <row r="1071" spans="1:8" ht="20.100000000000001" customHeight="1" x14ac:dyDescent="0.25">
      <c r="A1071" s="5" t="str">
        <f>IF(B1071="","",IFERROR(VLOOKUP(B1071, PLANTA_BASE!A:W, 2, FALSE), "NO ENCONTRADO EN PLANTA"))</f>
        <v/>
      </c>
      <c r="B1071" s="6"/>
      <c r="C1071" s="7" t="str">
        <f>IF(B1071="","",IFERROR(VLOOKUP(B1071, PLANTA_BASE!A:W, 3, FALSE), ""))</f>
        <v/>
      </c>
      <c r="D1071" s="5" t="str">
        <f>IF(B1071="","",IFERROR(VLOOKUP(B1071, PLANTA_BASE!A:W, 5, FALSE), "NO ENCONTRADO EN PLANTA"))</f>
        <v/>
      </c>
      <c r="E1071" s="5" t="str">
        <f>IF(B1071="","",IFERROR(VLOOKUP(B1071, PLANTA_BASE!A:W, 6, FALSE), "NO ENCONTRADO EN PLANTA"))</f>
        <v/>
      </c>
      <c r="F1071" s="7" t="str">
        <f>IF(B1071="","",IFERROR(VLOOKUP(B1071, PLANTA_BASE!A:W, 8, FALSE), "DOCENTE / FACILITADOR"))</f>
        <v/>
      </c>
      <c r="G1071" s="7" t="str">
        <f>IF(B1071="","",IFERROR(VLOOKUP(B1071, PLANTA_BASE!A:W, 9, FALSE), "GENERAL"))</f>
        <v/>
      </c>
      <c r="H1071" s="5" t="str">
        <f>IF(B1071="","",IFERROR(VLOOKUP(B1071, PLANTA_BASE!A:W, 17, FALSE), "GENERAL"))</f>
        <v/>
      </c>
    </row>
    <row r="1072" spans="1:8" ht="20.100000000000001" customHeight="1" x14ac:dyDescent="0.25">
      <c r="A1072" s="2" t="str">
        <f>IF(B1072="","",IFERROR(VLOOKUP(B1072, PLANTA_BASE!A:W, 2, FALSE), "NO ENCONTRADO EN PLANTA"))</f>
        <v/>
      </c>
      <c r="B1072" s="3"/>
      <c r="C1072" s="4" t="str">
        <f>IF(B1072="","",IFERROR(VLOOKUP(B1072, PLANTA_BASE!A:W, 3, FALSE), ""))</f>
        <v/>
      </c>
      <c r="D1072" s="2" t="str">
        <f>IF(B1072="","",IFERROR(VLOOKUP(B1072, PLANTA_BASE!A:W, 5, FALSE), "NO ENCONTRADO EN PLANTA"))</f>
        <v/>
      </c>
      <c r="E1072" s="2" t="str">
        <f>IF(B1072="","",IFERROR(VLOOKUP(B1072, PLANTA_BASE!A:W, 6, FALSE), "NO ENCONTRADO EN PLANTA"))</f>
        <v/>
      </c>
      <c r="F1072" s="4" t="str">
        <f>IF(B1072="","",IFERROR(VLOOKUP(B1072, PLANTA_BASE!A:W, 8, FALSE), "DOCENTE / FACILITADOR"))</f>
        <v/>
      </c>
      <c r="G1072" s="4" t="str">
        <f>IF(B1072="","",IFERROR(VLOOKUP(B1072, PLANTA_BASE!A:W, 9, FALSE), "GENERAL"))</f>
        <v/>
      </c>
      <c r="H1072" s="2" t="str">
        <f>IF(B1072="","",IFERROR(VLOOKUP(B1072, PLANTA_BASE!A:W, 17, FALSE), "GENERAL"))</f>
        <v/>
      </c>
    </row>
    <row r="1073" spans="1:8" ht="20.100000000000001" customHeight="1" x14ac:dyDescent="0.25">
      <c r="A1073" s="5" t="str">
        <f>IF(B1073="","",IFERROR(VLOOKUP(B1073, PLANTA_BASE!A:W, 2, FALSE), "NO ENCONTRADO EN PLANTA"))</f>
        <v/>
      </c>
      <c r="B1073" s="6"/>
      <c r="C1073" s="7" t="str">
        <f>IF(B1073="","",IFERROR(VLOOKUP(B1073, PLANTA_BASE!A:W, 3, FALSE), ""))</f>
        <v/>
      </c>
      <c r="D1073" s="5" t="str">
        <f>IF(B1073="","",IFERROR(VLOOKUP(B1073, PLANTA_BASE!A:W, 5, FALSE), "NO ENCONTRADO EN PLANTA"))</f>
        <v/>
      </c>
      <c r="E1073" s="5" t="str">
        <f>IF(B1073="","",IFERROR(VLOOKUP(B1073, PLANTA_BASE!A:W, 6, FALSE), "NO ENCONTRADO EN PLANTA"))</f>
        <v/>
      </c>
      <c r="F1073" s="7" t="str">
        <f>IF(B1073="","",IFERROR(VLOOKUP(B1073, PLANTA_BASE!A:W, 8, FALSE), "DOCENTE / FACILITADOR"))</f>
        <v/>
      </c>
      <c r="G1073" s="7" t="str">
        <f>IF(B1073="","",IFERROR(VLOOKUP(B1073, PLANTA_BASE!A:W, 9, FALSE), "GENERAL"))</f>
        <v/>
      </c>
      <c r="H1073" s="5" t="str">
        <f>IF(B1073="","",IFERROR(VLOOKUP(B1073, PLANTA_BASE!A:W, 17, FALSE), "GENERAL"))</f>
        <v/>
      </c>
    </row>
    <row r="1074" spans="1:8" ht="20.100000000000001" customHeight="1" x14ac:dyDescent="0.25">
      <c r="A1074" s="2" t="str">
        <f>IF(B1074="","",IFERROR(VLOOKUP(B1074, PLANTA_BASE!A:W, 2, FALSE), "NO ENCONTRADO EN PLANTA"))</f>
        <v/>
      </c>
      <c r="B1074" s="3"/>
      <c r="C1074" s="4" t="str">
        <f>IF(B1074="","",IFERROR(VLOOKUP(B1074, PLANTA_BASE!A:W, 3, FALSE), ""))</f>
        <v/>
      </c>
      <c r="D1074" s="2" t="str">
        <f>IF(B1074="","",IFERROR(VLOOKUP(B1074, PLANTA_BASE!A:W, 5, FALSE), "NO ENCONTRADO EN PLANTA"))</f>
        <v/>
      </c>
      <c r="E1074" s="2" t="str">
        <f>IF(B1074="","",IFERROR(VLOOKUP(B1074, PLANTA_BASE!A:W, 6, FALSE), "NO ENCONTRADO EN PLANTA"))</f>
        <v/>
      </c>
      <c r="F1074" s="4" t="str">
        <f>IF(B1074="","",IFERROR(VLOOKUP(B1074, PLANTA_BASE!A:W, 8, FALSE), "DOCENTE / FACILITADOR"))</f>
        <v/>
      </c>
      <c r="G1074" s="4" t="str">
        <f>IF(B1074="","",IFERROR(VLOOKUP(B1074, PLANTA_BASE!A:W, 9, FALSE), "GENERAL"))</f>
        <v/>
      </c>
      <c r="H1074" s="2" t="str">
        <f>IF(B1074="","",IFERROR(VLOOKUP(B1074, PLANTA_BASE!A:W, 17, FALSE), "GENERAL"))</f>
        <v/>
      </c>
    </row>
    <row r="1075" spans="1:8" ht="20.100000000000001" customHeight="1" x14ac:dyDescent="0.25">
      <c r="A1075" s="5" t="str">
        <f>IF(B1075="","",IFERROR(VLOOKUP(B1075, PLANTA_BASE!A:W, 2, FALSE), "NO ENCONTRADO EN PLANTA"))</f>
        <v/>
      </c>
      <c r="B1075" s="6"/>
      <c r="C1075" s="7" t="str">
        <f>IF(B1075="","",IFERROR(VLOOKUP(B1075, PLANTA_BASE!A:W, 3, FALSE), ""))</f>
        <v/>
      </c>
      <c r="D1075" s="5" t="str">
        <f>IF(B1075="","",IFERROR(VLOOKUP(B1075, PLANTA_BASE!A:W, 5, FALSE), "NO ENCONTRADO EN PLANTA"))</f>
        <v/>
      </c>
      <c r="E1075" s="5" t="str">
        <f>IF(B1075="","",IFERROR(VLOOKUP(B1075, PLANTA_BASE!A:W, 6, FALSE), "NO ENCONTRADO EN PLANTA"))</f>
        <v/>
      </c>
      <c r="F1075" s="7" t="str">
        <f>IF(B1075="","",IFERROR(VLOOKUP(B1075, PLANTA_BASE!A:W, 8, FALSE), "DOCENTE / FACILITADOR"))</f>
        <v/>
      </c>
      <c r="G1075" s="7" t="str">
        <f>IF(B1075="","",IFERROR(VLOOKUP(B1075, PLANTA_BASE!A:W, 9, FALSE), "GENERAL"))</f>
        <v/>
      </c>
      <c r="H1075" s="5" t="str">
        <f>IF(B1075="","",IFERROR(VLOOKUP(B1075, PLANTA_BASE!A:W, 17, FALSE), "GENERAL"))</f>
        <v/>
      </c>
    </row>
    <row r="1076" spans="1:8" ht="20.100000000000001" customHeight="1" x14ac:dyDescent="0.25">
      <c r="A1076" s="2" t="str">
        <f>IF(B1076="","",IFERROR(VLOOKUP(B1076, PLANTA_BASE!A:W, 2, FALSE), "NO ENCONTRADO EN PLANTA"))</f>
        <v/>
      </c>
      <c r="B1076" s="3"/>
      <c r="C1076" s="4" t="str">
        <f>IF(B1076="","",IFERROR(VLOOKUP(B1076, PLANTA_BASE!A:W, 3, FALSE), ""))</f>
        <v/>
      </c>
      <c r="D1076" s="2" t="str">
        <f>IF(B1076="","",IFERROR(VLOOKUP(B1076, PLANTA_BASE!A:W, 5, FALSE), "NO ENCONTRADO EN PLANTA"))</f>
        <v/>
      </c>
      <c r="E1076" s="2" t="str">
        <f>IF(B1076="","",IFERROR(VLOOKUP(B1076, PLANTA_BASE!A:W, 6, FALSE), "NO ENCONTRADO EN PLANTA"))</f>
        <v/>
      </c>
      <c r="F1076" s="4" t="str">
        <f>IF(B1076="","",IFERROR(VLOOKUP(B1076, PLANTA_BASE!A:W, 8, FALSE), "DOCENTE / FACILITADOR"))</f>
        <v/>
      </c>
      <c r="G1076" s="4" t="str">
        <f>IF(B1076="","",IFERROR(VLOOKUP(B1076, PLANTA_BASE!A:W, 9, FALSE), "GENERAL"))</f>
        <v/>
      </c>
      <c r="H1076" s="2" t="str">
        <f>IF(B1076="","",IFERROR(VLOOKUP(B1076, PLANTA_BASE!A:W, 17, FALSE), "GENERAL"))</f>
        <v/>
      </c>
    </row>
    <row r="1077" spans="1:8" ht="20.100000000000001" customHeight="1" x14ac:dyDescent="0.25">
      <c r="A1077" s="5" t="str">
        <f>IF(B1077="","",IFERROR(VLOOKUP(B1077, PLANTA_BASE!A:W, 2, FALSE), "NO ENCONTRADO EN PLANTA"))</f>
        <v/>
      </c>
      <c r="B1077" s="6"/>
      <c r="C1077" s="7" t="str">
        <f>IF(B1077="","",IFERROR(VLOOKUP(B1077, PLANTA_BASE!A:W, 3, FALSE), ""))</f>
        <v/>
      </c>
      <c r="D1077" s="5" t="str">
        <f>IF(B1077="","",IFERROR(VLOOKUP(B1077, PLANTA_BASE!A:W, 5, FALSE), "NO ENCONTRADO EN PLANTA"))</f>
        <v/>
      </c>
      <c r="E1077" s="5" t="str">
        <f>IF(B1077="","",IFERROR(VLOOKUP(B1077, PLANTA_BASE!A:W, 6, FALSE), "NO ENCONTRADO EN PLANTA"))</f>
        <v/>
      </c>
      <c r="F1077" s="7" t="str">
        <f>IF(B1077="","",IFERROR(VLOOKUP(B1077, PLANTA_BASE!A:W, 8, FALSE), "DOCENTE / FACILITADOR"))</f>
        <v/>
      </c>
      <c r="G1077" s="7" t="str">
        <f>IF(B1077="","",IFERROR(VLOOKUP(B1077, PLANTA_BASE!A:W, 9, FALSE), "GENERAL"))</f>
        <v/>
      </c>
      <c r="H1077" s="5" t="str">
        <f>IF(B1077="","",IFERROR(VLOOKUP(B1077, PLANTA_BASE!A:W, 17, FALSE), "GENERAL"))</f>
        <v/>
      </c>
    </row>
    <row r="1078" spans="1:8" ht="20.100000000000001" customHeight="1" x14ac:dyDescent="0.25">
      <c r="A1078" s="2" t="str">
        <f>IF(B1078="","",IFERROR(VLOOKUP(B1078, PLANTA_BASE!A:W, 2, FALSE), "NO ENCONTRADO EN PLANTA"))</f>
        <v/>
      </c>
      <c r="B1078" s="3"/>
      <c r="C1078" s="4" t="str">
        <f>IF(B1078="","",IFERROR(VLOOKUP(B1078, PLANTA_BASE!A:W, 3, FALSE), ""))</f>
        <v/>
      </c>
      <c r="D1078" s="2" t="str">
        <f>IF(B1078="","",IFERROR(VLOOKUP(B1078, PLANTA_BASE!A:W, 5, FALSE), "NO ENCONTRADO EN PLANTA"))</f>
        <v/>
      </c>
      <c r="E1078" s="2" t="str">
        <f>IF(B1078="","",IFERROR(VLOOKUP(B1078, PLANTA_BASE!A:W, 6, FALSE), "NO ENCONTRADO EN PLANTA"))</f>
        <v/>
      </c>
      <c r="F1078" s="4" t="str">
        <f>IF(B1078="","",IFERROR(VLOOKUP(B1078, PLANTA_BASE!A:W, 8, FALSE), "DOCENTE / FACILITADOR"))</f>
        <v/>
      </c>
      <c r="G1078" s="4" t="str">
        <f>IF(B1078="","",IFERROR(VLOOKUP(B1078, PLANTA_BASE!A:W, 9, FALSE), "GENERAL"))</f>
        <v/>
      </c>
      <c r="H1078" s="2" t="str">
        <f>IF(B1078="","",IFERROR(VLOOKUP(B1078, PLANTA_BASE!A:W, 17, FALSE), "GENERAL"))</f>
        <v/>
      </c>
    </row>
    <row r="1079" spans="1:8" ht="20.100000000000001" customHeight="1" x14ac:dyDescent="0.25">
      <c r="A1079" s="5" t="str">
        <f>IF(B1079="","",IFERROR(VLOOKUP(B1079, PLANTA_BASE!A:W, 2, FALSE), "NO ENCONTRADO EN PLANTA"))</f>
        <v/>
      </c>
      <c r="B1079" s="6"/>
      <c r="C1079" s="7" t="str">
        <f>IF(B1079="","",IFERROR(VLOOKUP(B1079, PLANTA_BASE!A:W, 3, FALSE), ""))</f>
        <v/>
      </c>
      <c r="D1079" s="5" t="str">
        <f>IF(B1079="","",IFERROR(VLOOKUP(B1079, PLANTA_BASE!A:W, 5, FALSE), "NO ENCONTRADO EN PLANTA"))</f>
        <v/>
      </c>
      <c r="E1079" s="5" t="str">
        <f>IF(B1079="","",IFERROR(VLOOKUP(B1079, PLANTA_BASE!A:W, 6, FALSE), "NO ENCONTRADO EN PLANTA"))</f>
        <v/>
      </c>
      <c r="F1079" s="7" t="str">
        <f>IF(B1079="","",IFERROR(VLOOKUP(B1079, PLANTA_BASE!A:W, 8, FALSE), "DOCENTE / FACILITADOR"))</f>
        <v/>
      </c>
      <c r="G1079" s="7" t="str">
        <f>IF(B1079="","",IFERROR(VLOOKUP(B1079, PLANTA_BASE!A:W, 9, FALSE), "GENERAL"))</f>
        <v/>
      </c>
      <c r="H1079" s="5" t="str">
        <f>IF(B1079="","",IFERROR(VLOOKUP(B1079, PLANTA_BASE!A:W, 17, FALSE), "GENERAL"))</f>
        <v/>
      </c>
    </row>
    <row r="1080" spans="1:8" ht="20.100000000000001" customHeight="1" x14ac:dyDescent="0.25">
      <c r="A1080" s="2" t="str">
        <f>IF(B1080="","",IFERROR(VLOOKUP(B1080, PLANTA_BASE!A:W, 2, FALSE), "NO ENCONTRADO EN PLANTA"))</f>
        <v/>
      </c>
      <c r="B1080" s="3"/>
      <c r="C1080" s="4" t="str">
        <f>IF(B1080="","",IFERROR(VLOOKUP(B1080, PLANTA_BASE!A:W, 3, FALSE), ""))</f>
        <v/>
      </c>
      <c r="D1080" s="2" t="str">
        <f>IF(B1080="","",IFERROR(VLOOKUP(B1080, PLANTA_BASE!A:W, 5, FALSE), "NO ENCONTRADO EN PLANTA"))</f>
        <v/>
      </c>
      <c r="E1080" s="2" t="str">
        <f>IF(B1080="","",IFERROR(VLOOKUP(B1080, PLANTA_BASE!A:W, 6, FALSE), "NO ENCONTRADO EN PLANTA"))</f>
        <v/>
      </c>
      <c r="F1080" s="4" t="str">
        <f>IF(B1080="","",IFERROR(VLOOKUP(B1080, PLANTA_BASE!A:W, 8, FALSE), "DOCENTE / FACILITADOR"))</f>
        <v/>
      </c>
      <c r="G1080" s="4" t="str">
        <f>IF(B1080="","",IFERROR(VLOOKUP(B1080, PLANTA_BASE!A:W, 9, FALSE), "GENERAL"))</f>
        <v/>
      </c>
      <c r="H1080" s="2" t="str">
        <f>IF(B1080="","",IFERROR(VLOOKUP(B1080, PLANTA_BASE!A:W, 17, FALSE), "GENERAL"))</f>
        <v/>
      </c>
    </row>
    <row r="1081" spans="1:8" ht="20.100000000000001" customHeight="1" x14ac:dyDescent="0.25">
      <c r="A1081" s="5" t="str">
        <f>IF(B1081="","",IFERROR(VLOOKUP(B1081, PLANTA_BASE!A:W, 2, FALSE), "NO ENCONTRADO EN PLANTA"))</f>
        <v/>
      </c>
      <c r="B1081" s="6"/>
      <c r="C1081" s="7" t="str">
        <f>IF(B1081="","",IFERROR(VLOOKUP(B1081, PLANTA_BASE!A:W, 3, FALSE), ""))</f>
        <v/>
      </c>
      <c r="D1081" s="5" t="str">
        <f>IF(B1081="","",IFERROR(VLOOKUP(B1081, PLANTA_BASE!A:W, 5, FALSE), "NO ENCONTRADO EN PLANTA"))</f>
        <v/>
      </c>
      <c r="E1081" s="5" t="str">
        <f>IF(B1081="","",IFERROR(VLOOKUP(B1081, PLANTA_BASE!A:W, 6, FALSE), "NO ENCONTRADO EN PLANTA"))</f>
        <v/>
      </c>
      <c r="F1081" s="7" t="str">
        <f>IF(B1081="","",IFERROR(VLOOKUP(B1081, PLANTA_BASE!A:W, 8, FALSE), "DOCENTE / FACILITADOR"))</f>
        <v/>
      </c>
      <c r="G1081" s="7" t="str">
        <f>IF(B1081="","",IFERROR(VLOOKUP(B1081, PLANTA_BASE!A:W, 9, FALSE), "GENERAL"))</f>
        <v/>
      </c>
      <c r="H1081" s="5" t="str">
        <f>IF(B1081="","",IFERROR(VLOOKUP(B1081, PLANTA_BASE!A:W, 17, FALSE), "GENERAL"))</f>
        <v/>
      </c>
    </row>
    <row r="1082" spans="1:8" ht="20.100000000000001" customHeight="1" x14ac:dyDescent="0.25">
      <c r="A1082" s="2" t="str">
        <f>IF(B1082="","",IFERROR(VLOOKUP(B1082, PLANTA_BASE!A:W, 2, FALSE), "NO ENCONTRADO EN PLANTA"))</f>
        <v/>
      </c>
      <c r="B1082" s="3"/>
      <c r="C1082" s="4" t="str">
        <f>IF(B1082="","",IFERROR(VLOOKUP(B1082, PLANTA_BASE!A:W, 3, FALSE), ""))</f>
        <v/>
      </c>
      <c r="D1082" s="2" t="str">
        <f>IF(B1082="","",IFERROR(VLOOKUP(B1082, PLANTA_BASE!A:W, 5, FALSE), "NO ENCONTRADO EN PLANTA"))</f>
        <v/>
      </c>
      <c r="E1082" s="2" t="str">
        <f>IF(B1082="","",IFERROR(VLOOKUP(B1082, PLANTA_BASE!A:W, 6, FALSE), "NO ENCONTRADO EN PLANTA"))</f>
        <v/>
      </c>
      <c r="F1082" s="4" t="str">
        <f>IF(B1082="","",IFERROR(VLOOKUP(B1082, PLANTA_BASE!A:W, 8, FALSE), "DOCENTE / FACILITADOR"))</f>
        <v/>
      </c>
      <c r="G1082" s="4" t="str">
        <f>IF(B1082="","",IFERROR(VLOOKUP(B1082, PLANTA_BASE!A:W, 9, FALSE), "GENERAL"))</f>
        <v/>
      </c>
      <c r="H1082" s="2" t="str">
        <f>IF(B1082="","",IFERROR(VLOOKUP(B1082, PLANTA_BASE!A:W, 17, FALSE), "GENERAL"))</f>
        <v/>
      </c>
    </row>
    <row r="1083" spans="1:8" ht="20.100000000000001" customHeight="1" x14ac:dyDescent="0.25">
      <c r="A1083" s="5" t="str">
        <f>IF(B1083="","",IFERROR(VLOOKUP(B1083, PLANTA_BASE!A:W, 2, FALSE), "NO ENCONTRADO EN PLANTA"))</f>
        <v/>
      </c>
      <c r="B1083" s="6"/>
      <c r="C1083" s="7" t="str">
        <f>IF(B1083="","",IFERROR(VLOOKUP(B1083, PLANTA_BASE!A:W, 3, FALSE), ""))</f>
        <v/>
      </c>
      <c r="D1083" s="5" t="str">
        <f>IF(B1083="","",IFERROR(VLOOKUP(B1083, PLANTA_BASE!A:W, 5, FALSE), "NO ENCONTRADO EN PLANTA"))</f>
        <v/>
      </c>
      <c r="E1083" s="5" t="str">
        <f>IF(B1083="","",IFERROR(VLOOKUP(B1083, PLANTA_BASE!A:W, 6, FALSE), "NO ENCONTRADO EN PLANTA"))</f>
        <v/>
      </c>
      <c r="F1083" s="7" t="str">
        <f>IF(B1083="","",IFERROR(VLOOKUP(B1083, PLANTA_BASE!A:W, 8, FALSE), "DOCENTE / FACILITADOR"))</f>
        <v/>
      </c>
      <c r="G1083" s="7" t="str">
        <f>IF(B1083="","",IFERROR(VLOOKUP(B1083, PLANTA_BASE!A:W, 9, FALSE), "GENERAL"))</f>
        <v/>
      </c>
      <c r="H1083" s="5" t="str">
        <f>IF(B1083="","",IFERROR(VLOOKUP(B1083, PLANTA_BASE!A:W, 17, FALSE), "GENERAL"))</f>
        <v/>
      </c>
    </row>
    <row r="1084" spans="1:8" ht="20.100000000000001" customHeight="1" x14ac:dyDescent="0.25">
      <c r="A1084" s="2" t="str">
        <f>IF(B1084="","",IFERROR(VLOOKUP(B1084, PLANTA_BASE!A:W, 2, FALSE), "NO ENCONTRADO EN PLANTA"))</f>
        <v/>
      </c>
      <c r="B1084" s="3"/>
      <c r="C1084" s="4" t="str">
        <f>IF(B1084="","",IFERROR(VLOOKUP(B1084, PLANTA_BASE!A:W, 3, FALSE), ""))</f>
        <v/>
      </c>
      <c r="D1084" s="2" t="str">
        <f>IF(B1084="","",IFERROR(VLOOKUP(B1084, PLANTA_BASE!A:W, 5, FALSE), "NO ENCONTRADO EN PLANTA"))</f>
        <v/>
      </c>
      <c r="E1084" s="2" t="str">
        <f>IF(B1084="","",IFERROR(VLOOKUP(B1084, PLANTA_BASE!A:W, 6, FALSE), "NO ENCONTRADO EN PLANTA"))</f>
        <v/>
      </c>
      <c r="F1084" s="4" t="str">
        <f>IF(B1084="","",IFERROR(VLOOKUP(B1084, PLANTA_BASE!A:W, 8, FALSE), "DOCENTE / FACILITADOR"))</f>
        <v/>
      </c>
      <c r="G1084" s="4" t="str">
        <f>IF(B1084="","",IFERROR(VLOOKUP(B1084, PLANTA_BASE!A:W, 9, FALSE), "GENERAL"))</f>
        <v/>
      </c>
      <c r="H1084" s="2" t="str">
        <f>IF(B1084="","",IFERROR(VLOOKUP(B1084, PLANTA_BASE!A:W, 17, FALSE), "GENERAL"))</f>
        <v/>
      </c>
    </row>
    <row r="1085" spans="1:8" ht="20.100000000000001" customHeight="1" x14ac:dyDescent="0.25">
      <c r="A1085" s="5" t="str">
        <f>IF(B1085="","",IFERROR(VLOOKUP(B1085, PLANTA_BASE!A:W, 2, FALSE), "NO ENCONTRADO EN PLANTA"))</f>
        <v/>
      </c>
      <c r="B1085" s="6"/>
      <c r="C1085" s="7" t="str">
        <f>IF(B1085="","",IFERROR(VLOOKUP(B1085, PLANTA_BASE!A:W, 3, FALSE), ""))</f>
        <v/>
      </c>
      <c r="D1085" s="5" t="str">
        <f>IF(B1085="","",IFERROR(VLOOKUP(B1085, PLANTA_BASE!A:W, 5, FALSE), "NO ENCONTRADO EN PLANTA"))</f>
        <v/>
      </c>
      <c r="E1085" s="5" t="str">
        <f>IF(B1085="","",IFERROR(VLOOKUP(B1085, PLANTA_BASE!A:W, 6, FALSE), "NO ENCONTRADO EN PLANTA"))</f>
        <v/>
      </c>
      <c r="F1085" s="7" t="str">
        <f>IF(B1085="","",IFERROR(VLOOKUP(B1085, PLANTA_BASE!A:W, 8, FALSE), "DOCENTE / FACILITADOR"))</f>
        <v/>
      </c>
      <c r="G1085" s="7" t="str">
        <f>IF(B1085="","",IFERROR(VLOOKUP(B1085, PLANTA_BASE!A:W, 9, FALSE), "GENERAL"))</f>
        <v/>
      </c>
      <c r="H1085" s="5" t="str">
        <f>IF(B1085="","",IFERROR(VLOOKUP(B1085, PLANTA_BASE!A:W, 17, FALSE), "GENERAL"))</f>
        <v/>
      </c>
    </row>
    <row r="1086" spans="1:8" ht="20.100000000000001" customHeight="1" x14ac:dyDescent="0.25">
      <c r="A1086" s="2" t="str">
        <f>IF(B1086="","",IFERROR(VLOOKUP(B1086, PLANTA_BASE!A:W, 2, FALSE), "NO ENCONTRADO EN PLANTA"))</f>
        <v/>
      </c>
      <c r="B1086" s="3"/>
      <c r="C1086" s="4" t="str">
        <f>IF(B1086="","",IFERROR(VLOOKUP(B1086, PLANTA_BASE!A:W, 3, FALSE), ""))</f>
        <v/>
      </c>
      <c r="D1086" s="2" t="str">
        <f>IF(B1086="","",IFERROR(VLOOKUP(B1086, PLANTA_BASE!A:W, 5, FALSE), "NO ENCONTRADO EN PLANTA"))</f>
        <v/>
      </c>
      <c r="E1086" s="2" t="str">
        <f>IF(B1086="","",IFERROR(VLOOKUP(B1086, PLANTA_BASE!A:W, 6, FALSE), "NO ENCONTRADO EN PLANTA"))</f>
        <v/>
      </c>
      <c r="F1086" s="4" t="str">
        <f>IF(B1086="","",IFERROR(VLOOKUP(B1086, PLANTA_BASE!A:W, 8, FALSE), "DOCENTE / FACILITADOR"))</f>
        <v/>
      </c>
      <c r="G1086" s="4" t="str">
        <f>IF(B1086="","",IFERROR(VLOOKUP(B1086, PLANTA_BASE!A:W, 9, FALSE), "GENERAL"))</f>
        <v/>
      </c>
      <c r="H1086" s="2" t="str">
        <f>IF(B1086="","",IFERROR(VLOOKUP(B1086, PLANTA_BASE!A:W, 17, FALSE), "GENERAL"))</f>
        <v/>
      </c>
    </row>
    <row r="1087" spans="1:8" ht="20.100000000000001" customHeight="1" x14ac:dyDescent="0.25">
      <c r="A1087" s="5" t="str">
        <f>IF(B1087="","",IFERROR(VLOOKUP(B1087, PLANTA_BASE!A:W, 2, FALSE), "NO ENCONTRADO EN PLANTA"))</f>
        <v/>
      </c>
      <c r="B1087" s="6"/>
      <c r="C1087" s="7" t="str">
        <f>IF(B1087="","",IFERROR(VLOOKUP(B1087, PLANTA_BASE!A:W, 3, FALSE), ""))</f>
        <v/>
      </c>
      <c r="D1087" s="5" t="str">
        <f>IF(B1087="","",IFERROR(VLOOKUP(B1087, PLANTA_BASE!A:W, 5, FALSE), "NO ENCONTRADO EN PLANTA"))</f>
        <v/>
      </c>
      <c r="E1087" s="5" t="str">
        <f>IF(B1087="","",IFERROR(VLOOKUP(B1087, PLANTA_BASE!A:W, 6, FALSE), "NO ENCONTRADO EN PLANTA"))</f>
        <v/>
      </c>
      <c r="F1087" s="7" t="str">
        <f>IF(B1087="","",IFERROR(VLOOKUP(B1087, PLANTA_BASE!A:W, 8, FALSE), "DOCENTE / FACILITADOR"))</f>
        <v/>
      </c>
      <c r="G1087" s="7" t="str">
        <f>IF(B1087="","",IFERROR(VLOOKUP(B1087, PLANTA_BASE!A:W, 9, FALSE), "GENERAL"))</f>
        <v/>
      </c>
      <c r="H1087" s="5" t="str">
        <f>IF(B1087="","",IFERROR(VLOOKUP(B1087, PLANTA_BASE!A:W, 17, FALSE), "GENERAL"))</f>
        <v/>
      </c>
    </row>
    <row r="1088" spans="1:8" ht="20.100000000000001" customHeight="1" x14ac:dyDescent="0.25">
      <c r="A1088" s="2" t="str">
        <f>IF(B1088="","",IFERROR(VLOOKUP(B1088, PLANTA_BASE!A:W, 2, FALSE), "NO ENCONTRADO EN PLANTA"))</f>
        <v/>
      </c>
      <c r="B1088" s="3"/>
      <c r="C1088" s="4" t="str">
        <f>IF(B1088="","",IFERROR(VLOOKUP(B1088, PLANTA_BASE!A:W, 3, FALSE), ""))</f>
        <v/>
      </c>
      <c r="D1088" s="2" t="str">
        <f>IF(B1088="","",IFERROR(VLOOKUP(B1088, PLANTA_BASE!A:W, 5, FALSE), "NO ENCONTRADO EN PLANTA"))</f>
        <v/>
      </c>
      <c r="E1088" s="2" t="str">
        <f>IF(B1088="","",IFERROR(VLOOKUP(B1088, PLANTA_BASE!A:W, 6, FALSE), "NO ENCONTRADO EN PLANTA"))</f>
        <v/>
      </c>
      <c r="F1088" s="4" t="str">
        <f>IF(B1088="","",IFERROR(VLOOKUP(B1088, PLANTA_BASE!A:W, 8, FALSE), "DOCENTE / FACILITADOR"))</f>
        <v/>
      </c>
      <c r="G1088" s="4" t="str">
        <f>IF(B1088="","",IFERROR(VLOOKUP(B1088, PLANTA_BASE!A:W, 9, FALSE), "GENERAL"))</f>
        <v/>
      </c>
      <c r="H1088" s="2" t="str">
        <f>IF(B1088="","",IFERROR(VLOOKUP(B1088, PLANTA_BASE!A:W, 17, FALSE), "GENERAL"))</f>
        <v/>
      </c>
    </row>
    <row r="1089" spans="1:8" ht="20.100000000000001" customHeight="1" x14ac:dyDescent="0.25">
      <c r="A1089" s="5" t="str">
        <f>IF(B1089="","",IFERROR(VLOOKUP(B1089, PLANTA_BASE!A:W, 2, FALSE), "NO ENCONTRADO EN PLANTA"))</f>
        <v/>
      </c>
      <c r="B1089" s="6"/>
      <c r="C1089" s="7" t="str">
        <f>IF(B1089="","",IFERROR(VLOOKUP(B1089, PLANTA_BASE!A:W, 3, FALSE), ""))</f>
        <v/>
      </c>
      <c r="D1089" s="5" t="str">
        <f>IF(B1089="","",IFERROR(VLOOKUP(B1089, PLANTA_BASE!A:W, 5, FALSE), "NO ENCONTRADO EN PLANTA"))</f>
        <v/>
      </c>
      <c r="E1089" s="5" t="str">
        <f>IF(B1089="","",IFERROR(VLOOKUP(B1089, PLANTA_BASE!A:W, 6, FALSE), "NO ENCONTRADO EN PLANTA"))</f>
        <v/>
      </c>
      <c r="F1089" s="7" t="str">
        <f>IF(B1089="","",IFERROR(VLOOKUP(B1089, PLANTA_BASE!A:W, 8, FALSE), "DOCENTE / FACILITADOR"))</f>
        <v/>
      </c>
      <c r="G1089" s="7" t="str">
        <f>IF(B1089="","",IFERROR(VLOOKUP(B1089, PLANTA_BASE!A:W, 9, FALSE), "GENERAL"))</f>
        <v/>
      </c>
      <c r="H1089" s="5" t="str">
        <f>IF(B1089="","",IFERROR(VLOOKUP(B1089, PLANTA_BASE!A:W, 17, FALSE), "GENERAL"))</f>
        <v/>
      </c>
    </row>
    <row r="1090" spans="1:8" ht="20.100000000000001" customHeight="1" x14ac:dyDescent="0.25">
      <c r="A1090" s="2" t="str">
        <f>IF(B1090="","",IFERROR(VLOOKUP(B1090, PLANTA_BASE!A:W, 2, FALSE), "NO ENCONTRADO EN PLANTA"))</f>
        <v/>
      </c>
      <c r="B1090" s="3"/>
      <c r="C1090" s="4" t="str">
        <f>IF(B1090="","",IFERROR(VLOOKUP(B1090, PLANTA_BASE!A:W, 3, FALSE), ""))</f>
        <v/>
      </c>
      <c r="D1090" s="2" t="str">
        <f>IF(B1090="","",IFERROR(VLOOKUP(B1090, PLANTA_BASE!A:W, 5, FALSE), "NO ENCONTRADO EN PLANTA"))</f>
        <v/>
      </c>
      <c r="E1090" s="2" t="str">
        <f>IF(B1090="","",IFERROR(VLOOKUP(B1090, PLANTA_BASE!A:W, 6, FALSE), "NO ENCONTRADO EN PLANTA"))</f>
        <v/>
      </c>
      <c r="F1090" s="4" t="str">
        <f>IF(B1090="","",IFERROR(VLOOKUP(B1090, PLANTA_BASE!A:W, 8, FALSE), "DOCENTE / FACILITADOR"))</f>
        <v/>
      </c>
      <c r="G1090" s="4" t="str">
        <f>IF(B1090="","",IFERROR(VLOOKUP(B1090, PLANTA_BASE!A:W, 9, FALSE), "GENERAL"))</f>
        <v/>
      </c>
      <c r="H1090" s="2" t="str">
        <f>IF(B1090="","",IFERROR(VLOOKUP(B1090, PLANTA_BASE!A:W, 17, FALSE), "GENERAL"))</f>
        <v/>
      </c>
    </row>
    <row r="1091" spans="1:8" ht="20.100000000000001" customHeight="1" x14ac:dyDescent="0.25">
      <c r="A1091" s="5" t="str">
        <f>IF(B1091="","",IFERROR(VLOOKUP(B1091, PLANTA_BASE!A:W, 2, FALSE), "NO ENCONTRADO EN PLANTA"))</f>
        <v/>
      </c>
      <c r="B1091" s="6"/>
      <c r="C1091" s="7" t="str">
        <f>IF(B1091="","",IFERROR(VLOOKUP(B1091, PLANTA_BASE!A:W, 3, FALSE), ""))</f>
        <v/>
      </c>
      <c r="D1091" s="5" t="str">
        <f>IF(B1091="","",IFERROR(VLOOKUP(B1091, PLANTA_BASE!A:W, 5, FALSE), "NO ENCONTRADO EN PLANTA"))</f>
        <v/>
      </c>
      <c r="E1091" s="5" t="str">
        <f>IF(B1091="","",IFERROR(VLOOKUP(B1091, PLANTA_BASE!A:W, 6, FALSE), "NO ENCONTRADO EN PLANTA"))</f>
        <v/>
      </c>
      <c r="F1091" s="7" t="str">
        <f>IF(B1091="","",IFERROR(VLOOKUP(B1091, PLANTA_BASE!A:W, 8, FALSE), "DOCENTE / FACILITADOR"))</f>
        <v/>
      </c>
      <c r="G1091" s="7" t="str">
        <f>IF(B1091="","",IFERROR(VLOOKUP(B1091, PLANTA_BASE!A:W, 9, FALSE), "GENERAL"))</f>
        <v/>
      </c>
      <c r="H1091" s="5" t="str">
        <f>IF(B1091="","",IFERROR(VLOOKUP(B1091, PLANTA_BASE!A:W, 17, FALSE), "GENERAL"))</f>
        <v/>
      </c>
    </row>
    <row r="1092" spans="1:8" ht="20.100000000000001" customHeight="1" x14ac:dyDescent="0.25">
      <c r="A1092" s="2" t="str">
        <f>IF(B1092="","",IFERROR(VLOOKUP(B1092, PLANTA_BASE!A:W, 2, FALSE), "NO ENCONTRADO EN PLANTA"))</f>
        <v/>
      </c>
      <c r="B1092" s="3"/>
      <c r="C1092" s="4" t="str">
        <f>IF(B1092="","",IFERROR(VLOOKUP(B1092, PLANTA_BASE!A:W, 3, FALSE), ""))</f>
        <v/>
      </c>
      <c r="D1092" s="2" t="str">
        <f>IF(B1092="","",IFERROR(VLOOKUP(B1092, PLANTA_BASE!A:W, 5, FALSE), "NO ENCONTRADO EN PLANTA"))</f>
        <v/>
      </c>
      <c r="E1092" s="2" t="str">
        <f>IF(B1092="","",IFERROR(VLOOKUP(B1092, PLANTA_BASE!A:W, 6, FALSE), "NO ENCONTRADO EN PLANTA"))</f>
        <v/>
      </c>
      <c r="F1092" s="4" t="str">
        <f>IF(B1092="","",IFERROR(VLOOKUP(B1092, PLANTA_BASE!A:W, 8, FALSE), "DOCENTE / FACILITADOR"))</f>
        <v/>
      </c>
      <c r="G1092" s="4" t="str">
        <f>IF(B1092="","",IFERROR(VLOOKUP(B1092, PLANTA_BASE!A:W, 9, FALSE), "GENERAL"))</f>
        <v/>
      </c>
      <c r="H1092" s="2" t="str">
        <f>IF(B1092="","",IFERROR(VLOOKUP(B1092, PLANTA_BASE!A:W, 17, FALSE), "GENERAL"))</f>
        <v/>
      </c>
    </row>
    <row r="1093" spans="1:8" ht="20.100000000000001" customHeight="1" x14ac:dyDescent="0.25">
      <c r="A1093" s="5" t="str">
        <f>IF(B1093="","",IFERROR(VLOOKUP(B1093, PLANTA_BASE!A:W, 2, FALSE), "NO ENCONTRADO EN PLANTA"))</f>
        <v/>
      </c>
      <c r="B1093" s="6"/>
      <c r="C1093" s="7" t="str">
        <f>IF(B1093="","",IFERROR(VLOOKUP(B1093, PLANTA_BASE!A:W, 3, FALSE), ""))</f>
        <v/>
      </c>
      <c r="D1093" s="5" t="str">
        <f>IF(B1093="","",IFERROR(VLOOKUP(B1093, PLANTA_BASE!A:W, 5, FALSE), "NO ENCONTRADO EN PLANTA"))</f>
        <v/>
      </c>
      <c r="E1093" s="5" t="str">
        <f>IF(B1093="","",IFERROR(VLOOKUP(B1093, PLANTA_BASE!A:W, 6, FALSE), "NO ENCONTRADO EN PLANTA"))</f>
        <v/>
      </c>
      <c r="F1093" s="7" t="str">
        <f>IF(B1093="","",IFERROR(VLOOKUP(B1093, PLANTA_BASE!A:W, 8, FALSE), "DOCENTE / FACILITADOR"))</f>
        <v/>
      </c>
      <c r="G1093" s="7" t="str">
        <f>IF(B1093="","",IFERROR(VLOOKUP(B1093, PLANTA_BASE!A:W, 9, FALSE), "GENERAL"))</f>
        <v/>
      </c>
      <c r="H1093" s="5" t="str">
        <f>IF(B1093="","",IFERROR(VLOOKUP(B1093, PLANTA_BASE!A:W, 17, FALSE), "GENERAL"))</f>
        <v/>
      </c>
    </row>
    <row r="1094" spans="1:8" ht="20.100000000000001" customHeight="1" x14ac:dyDescent="0.25">
      <c r="A1094" s="2" t="str">
        <f>IF(B1094="","",IFERROR(VLOOKUP(B1094, PLANTA_BASE!A:W, 2, FALSE), "NO ENCONTRADO EN PLANTA"))</f>
        <v/>
      </c>
      <c r="B1094" s="3"/>
      <c r="C1094" s="4" t="str">
        <f>IF(B1094="","",IFERROR(VLOOKUP(B1094, PLANTA_BASE!A:W, 3, FALSE), ""))</f>
        <v/>
      </c>
      <c r="D1094" s="2" t="str">
        <f>IF(B1094="","",IFERROR(VLOOKUP(B1094, PLANTA_BASE!A:W, 5, FALSE), "NO ENCONTRADO EN PLANTA"))</f>
        <v/>
      </c>
      <c r="E1094" s="2" t="str">
        <f>IF(B1094="","",IFERROR(VLOOKUP(B1094, PLANTA_BASE!A:W, 6, FALSE), "NO ENCONTRADO EN PLANTA"))</f>
        <v/>
      </c>
      <c r="F1094" s="4" t="str">
        <f>IF(B1094="","",IFERROR(VLOOKUP(B1094, PLANTA_BASE!A:W, 8, FALSE), "DOCENTE / FACILITADOR"))</f>
        <v/>
      </c>
      <c r="G1094" s="4" t="str">
        <f>IF(B1094="","",IFERROR(VLOOKUP(B1094, PLANTA_BASE!A:W, 9, FALSE), "GENERAL"))</f>
        <v/>
      </c>
      <c r="H1094" s="2" t="str">
        <f>IF(B1094="","",IFERROR(VLOOKUP(B1094, PLANTA_BASE!A:W, 17, FALSE), "GENERAL"))</f>
        <v/>
      </c>
    </row>
    <row r="1095" spans="1:8" ht="20.100000000000001" customHeight="1" x14ac:dyDescent="0.25">
      <c r="A1095" s="5" t="str">
        <f>IF(B1095="","",IFERROR(VLOOKUP(B1095, PLANTA_BASE!A:W, 2, FALSE), "NO ENCONTRADO EN PLANTA"))</f>
        <v/>
      </c>
      <c r="B1095" s="6"/>
      <c r="C1095" s="7" t="str">
        <f>IF(B1095="","",IFERROR(VLOOKUP(B1095, PLANTA_BASE!A:W, 3, FALSE), ""))</f>
        <v/>
      </c>
      <c r="D1095" s="5" t="str">
        <f>IF(B1095="","",IFERROR(VLOOKUP(B1095, PLANTA_BASE!A:W, 5, FALSE), "NO ENCONTRADO EN PLANTA"))</f>
        <v/>
      </c>
      <c r="E1095" s="5" t="str">
        <f>IF(B1095="","",IFERROR(VLOOKUP(B1095, PLANTA_BASE!A:W, 6, FALSE), "NO ENCONTRADO EN PLANTA"))</f>
        <v/>
      </c>
      <c r="F1095" s="7" t="str">
        <f>IF(B1095="","",IFERROR(VLOOKUP(B1095, PLANTA_BASE!A:W, 8, FALSE), "DOCENTE / FACILITADOR"))</f>
        <v/>
      </c>
      <c r="G1095" s="7" t="str">
        <f>IF(B1095="","",IFERROR(VLOOKUP(B1095, PLANTA_BASE!A:W, 9, FALSE), "GENERAL"))</f>
        <v/>
      </c>
      <c r="H1095" s="5" t="str">
        <f>IF(B1095="","",IFERROR(VLOOKUP(B1095, PLANTA_BASE!A:W, 17, FALSE), "GENERAL"))</f>
        <v/>
      </c>
    </row>
    <row r="1096" spans="1:8" ht="20.100000000000001" customHeight="1" x14ac:dyDescent="0.25">
      <c r="A1096" s="2" t="str">
        <f>IF(B1096="","",IFERROR(VLOOKUP(B1096, PLANTA_BASE!A:W, 2, FALSE), "NO ENCONTRADO EN PLANTA"))</f>
        <v/>
      </c>
      <c r="B1096" s="3"/>
      <c r="C1096" s="4" t="str">
        <f>IF(B1096="","",IFERROR(VLOOKUP(B1096, PLANTA_BASE!A:W, 3, FALSE), ""))</f>
        <v/>
      </c>
      <c r="D1096" s="2" t="str">
        <f>IF(B1096="","",IFERROR(VLOOKUP(B1096, PLANTA_BASE!A:W, 5, FALSE), "NO ENCONTRADO EN PLANTA"))</f>
        <v/>
      </c>
      <c r="E1096" s="2" t="str">
        <f>IF(B1096="","",IFERROR(VLOOKUP(B1096, PLANTA_BASE!A:W, 6, FALSE), "NO ENCONTRADO EN PLANTA"))</f>
        <v/>
      </c>
      <c r="F1096" s="4" t="str">
        <f>IF(B1096="","",IFERROR(VLOOKUP(B1096, PLANTA_BASE!A:W, 8, FALSE), "DOCENTE / FACILITADOR"))</f>
        <v/>
      </c>
      <c r="G1096" s="4" t="str">
        <f>IF(B1096="","",IFERROR(VLOOKUP(B1096, PLANTA_BASE!A:W, 9, FALSE), "GENERAL"))</f>
        <v/>
      </c>
      <c r="H1096" s="2" t="str">
        <f>IF(B1096="","",IFERROR(VLOOKUP(B1096, PLANTA_BASE!A:W, 17, FALSE), "GENERAL"))</f>
        <v/>
      </c>
    </row>
    <row r="1097" spans="1:8" ht="20.100000000000001" customHeight="1" x14ac:dyDescent="0.25">
      <c r="A1097" s="5" t="str">
        <f>IF(B1097="","",IFERROR(VLOOKUP(B1097, PLANTA_BASE!A:W, 2, FALSE), "NO ENCONTRADO EN PLANTA"))</f>
        <v/>
      </c>
      <c r="B1097" s="6"/>
      <c r="C1097" s="7" t="str">
        <f>IF(B1097="","",IFERROR(VLOOKUP(B1097, PLANTA_BASE!A:W, 3, FALSE), ""))</f>
        <v/>
      </c>
      <c r="D1097" s="5" t="str">
        <f>IF(B1097="","",IFERROR(VLOOKUP(B1097, PLANTA_BASE!A:W, 5, FALSE), "NO ENCONTRADO EN PLANTA"))</f>
        <v/>
      </c>
      <c r="E1097" s="5" t="str">
        <f>IF(B1097="","",IFERROR(VLOOKUP(B1097, PLANTA_BASE!A:W, 6, FALSE), "NO ENCONTRADO EN PLANTA"))</f>
        <v/>
      </c>
      <c r="F1097" s="7" t="str">
        <f>IF(B1097="","",IFERROR(VLOOKUP(B1097, PLANTA_BASE!A:W, 8, FALSE), "DOCENTE / FACILITADOR"))</f>
        <v/>
      </c>
      <c r="G1097" s="7" t="str">
        <f>IF(B1097="","",IFERROR(VLOOKUP(B1097, PLANTA_BASE!A:W, 9, FALSE), "GENERAL"))</f>
        <v/>
      </c>
      <c r="H1097" s="5" t="str">
        <f>IF(B1097="","",IFERROR(VLOOKUP(B1097, PLANTA_BASE!A:W, 17, FALSE), "GENERAL"))</f>
        <v/>
      </c>
    </row>
    <row r="1098" spans="1:8" ht="20.100000000000001" customHeight="1" x14ac:dyDescent="0.25">
      <c r="A1098" s="2" t="str">
        <f>IF(B1098="","",IFERROR(VLOOKUP(B1098, PLANTA_BASE!A:W, 2, FALSE), "NO ENCONTRADO EN PLANTA"))</f>
        <v/>
      </c>
      <c r="B1098" s="3"/>
      <c r="C1098" s="4" t="str">
        <f>IF(B1098="","",IFERROR(VLOOKUP(B1098, PLANTA_BASE!A:W, 3, FALSE), ""))</f>
        <v/>
      </c>
      <c r="D1098" s="2" t="str">
        <f>IF(B1098="","",IFERROR(VLOOKUP(B1098, PLANTA_BASE!A:W, 5, FALSE), "NO ENCONTRADO EN PLANTA"))</f>
        <v/>
      </c>
      <c r="E1098" s="2" t="str">
        <f>IF(B1098="","",IFERROR(VLOOKUP(B1098, PLANTA_BASE!A:W, 6, FALSE), "NO ENCONTRADO EN PLANTA"))</f>
        <v/>
      </c>
      <c r="F1098" s="4" t="str">
        <f>IF(B1098="","",IFERROR(VLOOKUP(B1098, PLANTA_BASE!A:W, 8, FALSE), "DOCENTE / FACILITADOR"))</f>
        <v/>
      </c>
      <c r="G1098" s="4" t="str">
        <f>IF(B1098="","",IFERROR(VLOOKUP(B1098, PLANTA_BASE!A:W, 9, FALSE), "GENERAL"))</f>
        <v/>
      </c>
      <c r="H1098" s="2" t="str">
        <f>IF(B1098="","",IFERROR(VLOOKUP(B1098, PLANTA_BASE!A:W, 17, FALSE), "GENERAL"))</f>
        <v/>
      </c>
    </row>
    <row r="1099" spans="1:8" ht="20.100000000000001" customHeight="1" x14ac:dyDescent="0.25">
      <c r="A1099" s="5" t="str">
        <f>IF(B1099="","",IFERROR(VLOOKUP(B1099, PLANTA_BASE!A:W, 2, FALSE), "NO ENCONTRADO EN PLANTA"))</f>
        <v/>
      </c>
      <c r="B1099" s="6"/>
      <c r="C1099" s="7" t="str">
        <f>IF(B1099="","",IFERROR(VLOOKUP(B1099, PLANTA_BASE!A:W, 3, FALSE), ""))</f>
        <v/>
      </c>
      <c r="D1099" s="5" t="str">
        <f>IF(B1099="","",IFERROR(VLOOKUP(B1099, PLANTA_BASE!A:W, 5, FALSE), "NO ENCONTRADO EN PLANTA"))</f>
        <v/>
      </c>
      <c r="E1099" s="5" t="str">
        <f>IF(B1099="","",IFERROR(VLOOKUP(B1099, PLANTA_BASE!A:W, 6, FALSE), "NO ENCONTRADO EN PLANTA"))</f>
        <v/>
      </c>
      <c r="F1099" s="7" t="str">
        <f>IF(B1099="","",IFERROR(VLOOKUP(B1099, PLANTA_BASE!A:W, 8, FALSE), "DOCENTE / FACILITADOR"))</f>
        <v/>
      </c>
      <c r="G1099" s="7" t="str">
        <f>IF(B1099="","",IFERROR(VLOOKUP(B1099, PLANTA_BASE!A:W, 9, FALSE), "GENERAL"))</f>
        <v/>
      </c>
      <c r="H1099" s="5" t="str">
        <f>IF(B1099="","",IFERROR(VLOOKUP(B1099, PLANTA_BASE!A:W, 17, FALSE), "GENERAL"))</f>
        <v/>
      </c>
    </row>
    <row r="1100" spans="1:8" ht="20.100000000000001" customHeight="1" x14ac:dyDescent="0.25">
      <c r="A1100" s="2" t="str">
        <f>IF(B1100="","",IFERROR(VLOOKUP(B1100, PLANTA_BASE!A:W, 2, FALSE), "NO ENCONTRADO EN PLANTA"))</f>
        <v/>
      </c>
      <c r="B1100" s="3"/>
      <c r="C1100" s="4" t="str">
        <f>IF(B1100="","",IFERROR(VLOOKUP(B1100, PLANTA_BASE!A:W, 3, FALSE), ""))</f>
        <v/>
      </c>
      <c r="D1100" s="2" t="str">
        <f>IF(B1100="","",IFERROR(VLOOKUP(B1100, PLANTA_BASE!A:W, 5, FALSE), "NO ENCONTRADO EN PLANTA"))</f>
        <v/>
      </c>
      <c r="E1100" s="2" t="str">
        <f>IF(B1100="","",IFERROR(VLOOKUP(B1100, PLANTA_BASE!A:W, 6, FALSE), "NO ENCONTRADO EN PLANTA"))</f>
        <v/>
      </c>
      <c r="F1100" s="4" t="str">
        <f>IF(B1100="","",IFERROR(VLOOKUP(B1100, PLANTA_BASE!A:W, 8, FALSE), "DOCENTE / FACILITADOR"))</f>
        <v/>
      </c>
      <c r="G1100" s="4" t="str">
        <f>IF(B1100="","",IFERROR(VLOOKUP(B1100, PLANTA_BASE!A:W, 9, FALSE), "GENERAL"))</f>
        <v/>
      </c>
      <c r="H1100" s="2" t="str">
        <f>IF(B1100="","",IFERROR(VLOOKUP(B1100, PLANTA_BASE!A:W, 17, FALSE), "GENERAL"))</f>
        <v/>
      </c>
    </row>
    <row r="1101" spans="1:8" ht="20.100000000000001" customHeight="1" x14ac:dyDescent="0.25">
      <c r="A1101" s="5" t="str">
        <f>IF(B1101="","",IFERROR(VLOOKUP(B1101, PLANTA_BASE!A:W, 2, FALSE), "NO ENCONTRADO EN PLANTA"))</f>
        <v/>
      </c>
      <c r="B1101" s="6"/>
      <c r="C1101" s="7" t="str">
        <f>IF(B1101="","",IFERROR(VLOOKUP(B1101, PLANTA_BASE!A:W, 3, FALSE), ""))</f>
        <v/>
      </c>
      <c r="D1101" s="5" t="str">
        <f>IF(B1101="","",IFERROR(VLOOKUP(B1101, PLANTA_BASE!A:W, 5, FALSE), "NO ENCONTRADO EN PLANTA"))</f>
        <v/>
      </c>
      <c r="E1101" s="5" t="str">
        <f>IF(B1101="","",IFERROR(VLOOKUP(B1101, PLANTA_BASE!A:W, 6, FALSE), "NO ENCONTRADO EN PLANTA"))</f>
        <v/>
      </c>
      <c r="F1101" s="7" t="str">
        <f>IF(B1101="","",IFERROR(VLOOKUP(B1101, PLANTA_BASE!A:W, 8, FALSE), "DOCENTE / FACILITADOR"))</f>
        <v/>
      </c>
      <c r="G1101" s="7" t="str">
        <f>IF(B1101="","",IFERROR(VLOOKUP(B1101, PLANTA_BASE!A:W, 9, FALSE), "GENERAL"))</f>
        <v/>
      </c>
      <c r="H1101" s="5" t="str">
        <f>IF(B1101="","",IFERROR(VLOOKUP(B1101, PLANTA_BASE!A:W, 17, FALSE), "GENERAL"))</f>
        <v/>
      </c>
    </row>
    <row r="1102" spans="1:8" ht="20.100000000000001" customHeight="1" x14ac:dyDescent="0.25">
      <c r="A1102" s="2" t="str">
        <f>IF(B1102="","",IFERROR(VLOOKUP(B1102, PLANTA_BASE!A:W, 2, FALSE), "NO ENCONTRADO EN PLANTA"))</f>
        <v/>
      </c>
      <c r="B1102" s="3"/>
      <c r="C1102" s="4" t="str">
        <f>IF(B1102="","",IFERROR(VLOOKUP(B1102, PLANTA_BASE!A:W, 3, FALSE), ""))</f>
        <v/>
      </c>
      <c r="D1102" s="2" t="str">
        <f>IF(B1102="","",IFERROR(VLOOKUP(B1102, PLANTA_BASE!A:W, 5, FALSE), "NO ENCONTRADO EN PLANTA"))</f>
        <v/>
      </c>
      <c r="E1102" s="2" t="str">
        <f>IF(B1102="","",IFERROR(VLOOKUP(B1102, PLANTA_BASE!A:W, 6, FALSE), "NO ENCONTRADO EN PLANTA"))</f>
        <v/>
      </c>
      <c r="F1102" s="4" t="str">
        <f>IF(B1102="","",IFERROR(VLOOKUP(B1102, PLANTA_BASE!A:W, 8, FALSE), "DOCENTE / FACILITADOR"))</f>
        <v/>
      </c>
      <c r="G1102" s="4" t="str">
        <f>IF(B1102="","",IFERROR(VLOOKUP(B1102, PLANTA_BASE!A:W, 9, FALSE), "GENERAL"))</f>
        <v/>
      </c>
      <c r="H1102" s="2" t="str">
        <f>IF(B1102="","",IFERROR(VLOOKUP(B1102, PLANTA_BASE!A:W, 17, FALSE), "GENERAL"))</f>
        <v/>
      </c>
    </row>
    <row r="1103" spans="1:8" ht="20.100000000000001" customHeight="1" x14ac:dyDescent="0.25">
      <c r="A1103" s="5" t="str">
        <f>IF(B1103="","",IFERROR(VLOOKUP(B1103, PLANTA_BASE!A:W, 2, FALSE), "NO ENCONTRADO EN PLANTA"))</f>
        <v/>
      </c>
      <c r="B1103" s="6"/>
      <c r="C1103" s="7" t="str">
        <f>IF(B1103="","",IFERROR(VLOOKUP(B1103, PLANTA_BASE!A:W, 3, FALSE), ""))</f>
        <v/>
      </c>
      <c r="D1103" s="5" t="str">
        <f>IF(B1103="","",IFERROR(VLOOKUP(B1103, PLANTA_BASE!A:W, 5, FALSE), "NO ENCONTRADO EN PLANTA"))</f>
        <v/>
      </c>
      <c r="E1103" s="5" t="str">
        <f>IF(B1103="","",IFERROR(VLOOKUP(B1103, PLANTA_BASE!A:W, 6, FALSE), "NO ENCONTRADO EN PLANTA"))</f>
        <v/>
      </c>
      <c r="F1103" s="7" t="str">
        <f>IF(B1103="","",IFERROR(VLOOKUP(B1103, PLANTA_BASE!A:W, 8, FALSE), "DOCENTE / FACILITADOR"))</f>
        <v/>
      </c>
      <c r="G1103" s="7" t="str">
        <f>IF(B1103="","",IFERROR(VLOOKUP(B1103, PLANTA_BASE!A:W, 9, FALSE), "GENERAL"))</f>
        <v/>
      </c>
      <c r="H1103" s="5" t="str">
        <f>IF(B1103="","",IFERROR(VLOOKUP(B1103, PLANTA_BASE!A:W, 17, FALSE), "GENERAL"))</f>
        <v/>
      </c>
    </row>
    <row r="1104" spans="1:8" ht="20.100000000000001" customHeight="1" x14ac:dyDescent="0.25">
      <c r="A1104" s="2" t="str">
        <f>IF(B1104="","",IFERROR(VLOOKUP(B1104, PLANTA_BASE!A:W, 2, FALSE), "NO ENCONTRADO EN PLANTA"))</f>
        <v/>
      </c>
      <c r="B1104" s="3"/>
      <c r="C1104" s="4" t="str">
        <f>IF(B1104="","",IFERROR(VLOOKUP(B1104, PLANTA_BASE!A:W, 3, FALSE), ""))</f>
        <v/>
      </c>
      <c r="D1104" s="2" t="str">
        <f>IF(B1104="","",IFERROR(VLOOKUP(B1104, PLANTA_BASE!A:W, 5, FALSE), "NO ENCONTRADO EN PLANTA"))</f>
        <v/>
      </c>
      <c r="E1104" s="2" t="str">
        <f>IF(B1104="","",IFERROR(VLOOKUP(B1104, PLANTA_BASE!A:W, 6, FALSE), "NO ENCONTRADO EN PLANTA"))</f>
        <v/>
      </c>
      <c r="F1104" s="4" t="str">
        <f>IF(B1104="","",IFERROR(VLOOKUP(B1104, PLANTA_BASE!A:W, 8, FALSE), "DOCENTE / FACILITADOR"))</f>
        <v/>
      </c>
      <c r="G1104" s="4" t="str">
        <f>IF(B1104="","",IFERROR(VLOOKUP(B1104, PLANTA_BASE!A:W, 9, FALSE), "GENERAL"))</f>
        <v/>
      </c>
      <c r="H1104" s="2" t="str">
        <f>IF(B1104="","",IFERROR(VLOOKUP(B1104, PLANTA_BASE!A:W, 17, FALSE), "GENERAL"))</f>
        <v/>
      </c>
    </row>
    <row r="1105" spans="1:8" ht="20.100000000000001" customHeight="1" x14ac:dyDescent="0.25">
      <c r="A1105" s="5" t="str">
        <f>IF(B1105="","",IFERROR(VLOOKUP(B1105, PLANTA_BASE!A:W, 2, FALSE), "NO ENCONTRADO EN PLANTA"))</f>
        <v/>
      </c>
      <c r="B1105" s="6"/>
      <c r="C1105" s="7" t="str">
        <f>IF(B1105="","",IFERROR(VLOOKUP(B1105, PLANTA_BASE!A:W, 3, FALSE), ""))</f>
        <v/>
      </c>
      <c r="D1105" s="5" t="str">
        <f>IF(B1105="","",IFERROR(VLOOKUP(B1105, PLANTA_BASE!A:W, 5, FALSE), "NO ENCONTRADO EN PLANTA"))</f>
        <v/>
      </c>
      <c r="E1105" s="5" t="str">
        <f>IF(B1105="","",IFERROR(VLOOKUP(B1105, PLANTA_BASE!A:W, 6, FALSE), "NO ENCONTRADO EN PLANTA"))</f>
        <v/>
      </c>
      <c r="F1105" s="7" t="str">
        <f>IF(B1105="","",IFERROR(VLOOKUP(B1105, PLANTA_BASE!A:W, 8, FALSE), "DOCENTE / FACILITADOR"))</f>
        <v/>
      </c>
      <c r="G1105" s="7" t="str">
        <f>IF(B1105="","",IFERROR(VLOOKUP(B1105, PLANTA_BASE!A:W, 9, FALSE), "GENERAL"))</f>
        <v/>
      </c>
      <c r="H1105" s="5" t="str">
        <f>IF(B1105="","",IFERROR(VLOOKUP(B1105, PLANTA_BASE!A:W, 17, FALSE), "GENERAL"))</f>
        <v/>
      </c>
    </row>
    <row r="1106" spans="1:8" ht="20.100000000000001" customHeight="1" x14ac:dyDescent="0.25">
      <c r="A1106" s="2" t="str">
        <f>IF(B1106="","",IFERROR(VLOOKUP(B1106, PLANTA_BASE!A:W, 2, FALSE), "NO ENCONTRADO EN PLANTA"))</f>
        <v/>
      </c>
      <c r="B1106" s="3"/>
      <c r="C1106" s="4" t="str">
        <f>IF(B1106="","",IFERROR(VLOOKUP(B1106, PLANTA_BASE!A:W, 3, FALSE), ""))</f>
        <v/>
      </c>
      <c r="D1106" s="2" t="str">
        <f>IF(B1106="","",IFERROR(VLOOKUP(B1106, PLANTA_BASE!A:W, 5, FALSE), "NO ENCONTRADO EN PLANTA"))</f>
        <v/>
      </c>
      <c r="E1106" s="2" t="str">
        <f>IF(B1106="","",IFERROR(VLOOKUP(B1106, PLANTA_BASE!A:W, 6, FALSE), "NO ENCONTRADO EN PLANTA"))</f>
        <v/>
      </c>
      <c r="F1106" s="4" t="str">
        <f>IF(B1106="","",IFERROR(VLOOKUP(B1106, PLANTA_BASE!A:W, 8, FALSE), "DOCENTE / FACILITADOR"))</f>
        <v/>
      </c>
      <c r="G1106" s="4" t="str">
        <f>IF(B1106="","",IFERROR(VLOOKUP(B1106, PLANTA_BASE!A:W, 9, FALSE), "GENERAL"))</f>
        <v/>
      </c>
      <c r="H1106" s="2" t="str">
        <f>IF(B1106="","",IFERROR(VLOOKUP(B1106, PLANTA_BASE!A:W, 17, FALSE), "GENERAL"))</f>
        <v/>
      </c>
    </row>
    <row r="1107" spans="1:8" ht="20.100000000000001" customHeight="1" x14ac:dyDescent="0.25">
      <c r="A1107" s="5" t="str">
        <f>IF(B1107="","",IFERROR(VLOOKUP(B1107, PLANTA_BASE!A:W, 2, FALSE), "NO ENCONTRADO EN PLANTA"))</f>
        <v/>
      </c>
      <c r="B1107" s="6"/>
      <c r="C1107" s="7" t="str">
        <f>IF(B1107="","",IFERROR(VLOOKUP(B1107, PLANTA_BASE!A:W, 3, FALSE), ""))</f>
        <v/>
      </c>
      <c r="D1107" s="5" t="str">
        <f>IF(B1107="","",IFERROR(VLOOKUP(B1107, PLANTA_BASE!A:W, 5, FALSE), "NO ENCONTRADO EN PLANTA"))</f>
        <v/>
      </c>
      <c r="E1107" s="5" t="str">
        <f>IF(B1107="","",IFERROR(VLOOKUP(B1107, PLANTA_BASE!A:W, 6, FALSE), "NO ENCONTRADO EN PLANTA"))</f>
        <v/>
      </c>
      <c r="F1107" s="7" t="str">
        <f>IF(B1107="","",IFERROR(VLOOKUP(B1107, PLANTA_BASE!A:W, 8, FALSE), "DOCENTE / FACILITADOR"))</f>
        <v/>
      </c>
      <c r="G1107" s="7" t="str">
        <f>IF(B1107="","",IFERROR(VLOOKUP(B1107, PLANTA_BASE!A:W, 9, FALSE), "GENERAL"))</f>
        <v/>
      </c>
      <c r="H1107" s="5" t="str">
        <f>IF(B1107="","",IFERROR(VLOOKUP(B1107, PLANTA_BASE!A:W, 17, FALSE), "GENERAL"))</f>
        <v/>
      </c>
    </row>
    <row r="1108" spans="1:8" ht="20.100000000000001" customHeight="1" x14ac:dyDescent="0.25">
      <c r="A1108" s="2" t="str">
        <f>IF(B1108="","",IFERROR(VLOOKUP(B1108, PLANTA_BASE!A:W, 2, FALSE), "NO ENCONTRADO EN PLANTA"))</f>
        <v/>
      </c>
      <c r="B1108" s="3"/>
      <c r="C1108" s="4" t="str">
        <f>IF(B1108="","",IFERROR(VLOOKUP(B1108, PLANTA_BASE!A:W, 3, FALSE), ""))</f>
        <v/>
      </c>
      <c r="D1108" s="2" t="str">
        <f>IF(B1108="","",IFERROR(VLOOKUP(B1108, PLANTA_BASE!A:W, 5, FALSE), "NO ENCONTRADO EN PLANTA"))</f>
        <v/>
      </c>
      <c r="E1108" s="2" t="str">
        <f>IF(B1108="","",IFERROR(VLOOKUP(B1108, PLANTA_BASE!A:W, 6, FALSE), "NO ENCONTRADO EN PLANTA"))</f>
        <v/>
      </c>
      <c r="F1108" s="4" t="str">
        <f>IF(B1108="","",IFERROR(VLOOKUP(B1108, PLANTA_BASE!A:W, 8, FALSE), "DOCENTE / FACILITADOR"))</f>
        <v/>
      </c>
      <c r="G1108" s="4" t="str">
        <f>IF(B1108="","",IFERROR(VLOOKUP(B1108, PLANTA_BASE!A:W, 9, FALSE), "GENERAL"))</f>
        <v/>
      </c>
      <c r="H1108" s="2" t="str">
        <f>IF(B1108="","",IFERROR(VLOOKUP(B1108, PLANTA_BASE!A:W, 17, FALSE), "GENERAL"))</f>
        <v/>
      </c>
    </row>
    <row r="1109" spans="1:8" ht="20.100000000000001" customHeight="1" x14ac:dyDescent="0.25">
      <c r="A1109" s="5" t="str">
        <f>IF(B1109="","",IFERROR(VLOOKUP(B1109, PLANTA_BASE!A:W, 2, FALSE), "NO ENCONTRADO EN PLANTA"))</f>
        <v/>
      </c>
      <c r="B1109" s="6"/>
      <c r="C1109" s="7" t="str">
        <f>IF(B1109="","",IFERROR(VLOOKUP(B1109, PLANTA_BASE!A:W, 3, FALSE), ""))</f>
        <v/>
      </c>
      <c r="D1109" s="5" t="str">
        <f>IF(B1109="","",IFERROR(VLOOKUP(B1109, PLANTA_BASE!A:W, 5, FALSE), "NO ENCONTRADO EN PLANTA"))</f>
        <v/>
      </c>
      <c r="E1109" s="5" t="str">
        <f>IF(B1109="","",IFERROR(VLOOKUP(B1109, PLANTA_BASE!A:W, 6, FALSE), "NO ENCONTRADO EN PLANTA"))</f>
        <v/>
      </c>
      <c r="F1109" s="7" t="str">
        <f>IF(B1109="","",IFERROR(VLOOKUP(B1109, PLANTA_BASE!A:W, 8, FALSE), "DOCENTE / FACILITADOR"))</f>
        <v/>
      </c>
      <c r="G1109" s="7" t="str">
        <f>IF(B1109="","",IFERROR(VLOOKUP(B1109, PLANTA_BASE!A:W, 9, FALSE), "GENERAL"))</f>
        <v/>
      </c>
      <c r="H1109" s="5" t="str">
        <f>IF(B1109="","",IFERROR(VLOOKUP(B1109, PLANTA_BASE!A:W, 17, FALSE), "GENERAL"))</f>
        <v/>
      </c>
    </row>
    <row r="1110" spans="1:8" ht="20.100000000000001" customHeight="1" x14ac:dyDescent="0.25">
      <c r="A1110" s="2" t="str">
        <f>IF(B1110="","",IFERROR(VLOOKUP(B1110, PLANTA_BASE!A:W, 2, FALSE), "NO ENCONTRADO EN PLANTA"))</f>
        <v/>
      </c>
      <c r="B1110" s="3"/>
      <c r="C1110" s="4" t="str">
        <f>IF(B1110="","",IFERROR(VLOOKUP(B1110, PLANTA_BASE!A:W, 3, FALSE), ""))</f>
        <v/>
      </c>
      <c r="D1110" s="2" t="str">
        <f>IF(B1110="","",IFERROR(VLOOKUP(B1110, PLANTA_BASE!A:W, 5, FALSE), "NO ENCONTRADO EN PLANTA"))</f>
        <v/>
      </c>
      <c r="E1110" s="2" t="str">
        <f>IF(B1110="","",IFERROR(VLOOKUP(B1110, PLANTA_BASE!A:W, 6, FALSE), "NO ENCONTRADO EN PLANTA"))</f>
        <v/>
      </c>
      <c r="F1110" s="4" t="str">
        <f>IF(B1110="","",IFERROR(VLOOKUP(B1110, PLANTA_BASE!A:W, 8, FALSE), "DOCENTE / FACILITADOR"))</f>
        <v/>
      </c>
      <c r="G1110" s="4" t="str">
        <f>IF(B1110="","",IFERROR(VLOOKUP(B1110, PLANTA_BASE!A:W, 9, FALSE), "GENERAL"))</f>
        <v/>
      </c>
      <c r="H1110" s="2" t="str">
        <f>IF(B1110="","",IFERROR(VLOOKUP(B1110, PLANTA_BASE!A:W, 17, FALSE), "GENERAL"))</f>
        <v/>
      </c>
    </row>
    <row r="1111" spans="1:8" ht="20.100000000000001" customHeight="1" x14ac:dyDescent="0.25">
      <c r="A1111" s="5" t="str">
        <f>IF(B1111="","",IFERROR(VLOOKUP(B1111, PLANTA_BASE!A:W, 2, FALSE), "NO ENCONTRADO EN PLANTA"))</f>
        <v/>
      </c>
      <c r="B1111" s="6"/>
      <c r="C1111" s="7" t="str">
        <f>IF(B1111="","",IFERROR(VLOOKUP(B1111, PLANTA_BASE!A:W, 3, FALSE), ""))</f>
        <v/>
      </c>
      <c r="D1111" s="5" t="str">
        <f>IF(B1111="","",IFERROR(VLOOKUP(B1111, PLANTA_BASE!A:W, 5, FALSE), "NO ENCONTRADO EN PLANTA"))</f>
        <v/>
      </c>
      <c r="E1111" s="5" t="str">
        <f>IF(B1111="","",IFERROR(VLOOKUP(B1111, PLANTA_BASE!A:W, 6, FALSE), "NO ENCONTRADO EN PLANTA"))</f>
        <v/>
      </c>
      <c r="F1111" s="7" t="str">
        <f>IF(B1111="","",IFERROR(VLOOKUP(B1111, PLANTA_BASE!A:W, 8, FALSE), "DOCENTE / FACILITADOR"))</f>
        <v/>
      </c>
      <c r="G1111" s="7" t="str">
        <f>IF(B1111="","",IFERROR(VLOOKUP(B1111, PLANTA_BASE!A:W, 9, FALSE), "GENERAL"))</f>
        <v/>
      </c>
      <c r="H1111" s="5" t="str">
        <f>IF(B1111="","",IFERROR(VLOOKUP(B1111, PLANTA_BASE!A:W, 17, FALSE), "GENERAL"))</f>
        <v/>
      </c>
    </row>
    <row r="1112" spans="1:8" ht="20.100000000000001" customHeight="1" x14ac:dyDescent="0.25">
      <c r="A1112" s="2" t="str">
        <f>IF(B1112="","",IFERROR(VLOOKUP(B1112, PLANTA_BASE!A:W, 2, FALSE), "NO ENCONTRADO EN PLANTA"))</f>
        <v/>
      </c>
      <c r="B1112" s="3"/>
      <c r="C1112" s="4" t="str">
        <f>IF(B1112="","",IFERROR(VLOOKUP(B1112, PLANTA_BASE!A:W, 3, FALSE), ""))</f>
        <v/>
      </c>
      <c r="D1112" s="2" t="str">
        <f>IF(B1112="","",IFERROR(VLOOKUP(B1112, PLANTA_BASE!A:W, 5, FALSE), "NO ENCONTRADO EN PLANTA"))</f>
        <v/>
      </c>
      <c r="E1112" s="2" t="str">
        <f>IF(B1112="","",IFERROR(VLOOKUP(B1112, PLANTA_BASE!A:W, 6, FALSE), "NO ENCONTRADO EN PLANTA"))</f>
        <v/>
      </c>
      <c r="F1112" s="4" t="str">
        <f>IF(B1112="","",IFERROR(VLOOKUP(B1112, PLANTA_BASE!A:W, 8, FALSE), "DOCENTE / FACILITADOR"))</f>
        <v/>
      </c>
      <c r="G1112" s="4" t="str">
        <f>IF(B1112="","",IFERROR(VLOOKUP(B1112, PLANTA_BASE!A:W, 9, FALSE), "GENERAL"))</f>
        <v/>
      </c>
      <c r="H1112" s="2" t="str">
        <f>IF(B1112="","",IFERROR(VLOOKUP(B1112, PLANTA_BASE!A:W, 17, FALSE), "GENERAL"))</f>
        <v/>
      </c>
    </row>
    <row r="1113" spans="1:8" ht="20.100000000000001" customHeight="1" x14ac:dyDescent="0.25">
      <c r="A1113" s="5" t="str">
        <f>IF(B1113="","",IFERROR(VLOOKUP(B1113, PLANTA_BASE!A:W, 2, FALSE), "NO ENCONTRADO EN PLANTA"))</f>
        <v/>
      </c>
      <c r="B1113" s="6"/>
      <c r="C1113" s="7" t="str">
        <f>IF(B1113="","",IFERROR(VLOOKUP(B1113, PLANTA_BASE!A:W, 3, FALSE), ""))</f>
        <v/>
      </c>
      <c r="D1113" s="5" t="str">
        <f>IF(B1113="","",IFERROR(VLOOKUP(B1113, PLANTA_BASE!A:W, 5, FALSE), "NO ENCONTRADO EN PLANTA"))</f>
        <v/>
      </c>
      <c r="E1113" s="5" t="str">
        <f>IF(B1113="","",IFERROR(VLOOKUP(B1113, PLANTA_BASE!A:W, 6, FALSE), "NO ENCONTRADO EN PLANTA"))</f>
        <v/>
      </c>
      <c r="F1113" s="7" t="str">
        <f>IF(B1113="","",IFERROR(VLOOKUP(B1113, PLANTA_BASE!A:W, 8, FALSE), "DOCENTE / FACILITADOR"))</f>
        <v/>
      </c>
      <c r="G1113" s="7" t="str">
        <f>IF(B1113="","",IFERROR(VLOOKUP(B1113, PLANTA_BASE!A:W, 9, FALSE), "GENERAL"))</f>
        <v/>
      </c>
      <c r="H1113" s="5" t="str">
        <f>IF(B1113="","",IFERROR(VLOOKUP(B1113, PLANTA_BASE!A:W, 17, FALSE), "GENERAL"))</f>
        <v/>
      </c>
    </row>
    <row r="1114" spans="1:8" ht="20.100000000000001" customHeight="1" x14ac:dyDescent="0.25">
      <c r="A1114" s="2" t="str">
        <f>IF(B1114="","",IFERROR(VLOOKUP(B1114, PLANTA_BASE!A:W, 2, FALSE), "NO ENCONTRADO EN PLANTA"))</f>
        <v/>
      </c>
      <c r="B1114" s="3"/>
      <c r="C1114" s="4" t="str">
        <f>IF(B1114="","",IFERROR(VLOOKUP(B1114, PLANTA_BASE!A:W, 3, FALSE), ""))</f>
        <v/>
      </c>
      <c r="D1114" s="2" t="str">
        <f>IF(B1114="","",IFERROR(VLOOKUP(B1114, PLANTA_BASE!A:W, 5, FALSE), "NO ENCONTRADO EN PLANTA"))</f>
        <v/>
      </c>
      <c r="E1114" s="2" t="str">
        <f>IF(B1114="","",IFERROR(VLOOKUP(B1114, PLANTA_BASE!A:W, 6, FALSE), "NO ENCONTRADO EN PLANTA"))</f>
        <v/>
      </c>
      <c r="F1114" s="4" t="str">
        <f>IF(B1114="","",IFERROR(VLOOKUP(B1114, PLANTA_BASE!A:W, 8, FALSE), "DOCENTE / FACILITADOR"))</f>
        <v/>
      </c>
      <c r="G1114" s="4" t="str">
        <f>IF(B1114="","",IFERROR(VLOOKUP(B1114, PLANTA_BASE!A:W, 9, FALSE), "GENERAL"))</f>
        <v/>
      </c>
      <c r="H1114" s="2" t="str">
        <f>IF(B1114="","",IFERROR(VLOOKUP(B1114, PLANTA_BASE!A:W, 17, FALSE), "GENERAL"))</f>
        <v/>
      </c>
    </row>
    <row r="1115" spans="1:8" ht="20.100000000000001" customHeight="1" x14ac:dyDescent="0.25">
      <c r="A1115" s="5" t="str">
        <f>IF(B1115="","",IFERROR(VLOOKUP(B1115, PLANTA_BASE!A:W, 2, FALSE), "NO ENCONTRADO EN PLANTA"))</f>
        <v/>
      </c>
      <c r="B1115" s="6"/>
      <c r="C1115" s="7" t="str">
        <f>IF(B1115="","",IFERROR(VLOOKUP(B1115, PLANTA_BASE!A:W, 3, FALSE), ""))</f>
        <v/>
      </c>
      <c r="D1115" s="5" t="str">
        <f>IF(B1115="","",IFERROR(VLOOKUP(B1115, PLANTA_BASE!A:W, 5, FALSE), "NO ENCONTRADO EN PLANTA"))</f>
        <v/>
      </c>
      <c r="E1115" s="5" t="str">
        <f>IF(B1115="","",IFERROR(VLOOKUP(B1115, PLANTA_BASE!A:W, 6, FALSE), "NO ENCONTRADO EN PLANTA"))</f>
        <v/>
      </c>
      <c r="F1115" s="7" t="str">
        <f>IF(B1115="","",IFERROR(VLOOKUP(B1115, PLANTA_BASE!A:W, 8, FALSE), "DOCENTE / FACILITADOR"))</f>
        <v/>
      </c>
      <c r="G1115" s="7" t="str">
        <f>IF(B1115="","",IFERROR(VLOOKUP(B1115, PLANTA_BASE!A:W, 9, FALSE), "GENERAL"))</f>
        <v/>
      </c>
      <c r="H1115" s="5" t="str">
        <f>IF(B1115="","",IFERROR(VLOOKUP(B1115, PLANTA_BASE!A:W, 17, FALSE), "GENERAL"))</f>
        <v/>
      </c>
    </row>
    <row r="1116" spans="1:8" ht="20.100000000000001" customHeight="1" x14ac:dyDescent="0.25">
      <c r="A1116" s="2" t="str">
        <f>IF(B1116="","",IFERROR(VLOOKUP(B1116, PLANTA_BASE!A:W, 2, FALSE), "NO ENCONTRADO EN PLANTA"))</f>
        <v/>
      </c>
      <c r="B1116" s="3"/>
      <c r="C1116" s="4" t="str">
        <f>IF(B1116="","",IFERROR(VLOOKUP(B1116, PLANTA_BASE!A:W, 3, FALSE), ""))</f>
        <v/>
      </c>
      <c r="D1116" s="2" t="str">
        <f>IF(B1116="","",IFERROR(VLOOKUP(B1116, PLANTA_BASE!A:W, 5, FALSE), "NO ENCONTRADO EN PLANTA"))</f>
        <v/>
      </c>
      <c r="E1116" s="2" t="str">
        <f>IF(B1116="","",IFERROR(VLOOKUP(B1116, PLANTA_BASE!A:W, 6, FALSE), "NO ENCONTRADO EN PLANTA"))</f>
        <v/>
      </c>
      <c r="F1116" s="4" t="str">
        <f>IF(B1116="","",IFERROR(VLOOKUP(B1116, PLANTA_BASE!A:W, 8, FALSE), "DOCENTE / FACILITADOR"))</f>
        <v/>
      </c>
      <c r="G1116" s="4" t="str">
        <f>IF(B1116="","",IFERROR(VLOOKUP(B1116, PLANTA_BASE!A:W, 9, FALSE), "GENERAL"))</f>
        <v/>
      </c>
      <c r="H1116" s="2" t="str">
        <f>IF(B1116="","",IFERROR(VLOOKUP(B1116, PLANTA_BASE!A:W, 17, FALSE), "GENERAL"))</f>
        <v/>
      </c>
    </row>
    <row r="1117" spans="1:8" ht="20.100000000000001" customHeight="1" x14ac:dyDescent="0.25">
      <c r="A1117" s="5" t="str">
        <f>IF(B1117="","",IFERROR(VLOOKUP(B1117, PLANTA_BASE!A:W, 2, FALSE), "NO ENCONTRADO EN PLANTA"))</f>
        <v/>
      </c>
      <c r="B1117" s="6"/>
      <c r="C1117" s="7" t="str">
        <f>IF(B1117="","",IFERROR(VLOOKUP(B1117, PLANTA_BASE!A:W, 3, FALSE), ""))</f>
        <v/>
      </c>
      <c r="D1117" s="5" t="str">
        <f>IF(B1117="","",IFERROR(VLOOKUP(B1117, PLANTA_BASE!A:W, 5, FALSE), "NO ENCONTRADO EN PLANTA"))</f>
        <v/>
      </c>
      <c r="E1117" s="5" t="str">
        <f>IF(B1117="","",IFERROR(VLOOKUP(B1117, PLANTA_BASE!A:W, 6, FALSE), "NO ENCONTRADO EN PLANTA"))</f>
        <v/>
      </c>
      <c r="F1117" s="7" t="str">
        <f>IF(B1117="","",IFERROR(VLOOKUP(B1117, PLANTA_BASE!A:W, 8, FALSE), "DOCENTE / FACILITADOR"))</f>
        <v/>
      </c>
      <c r="G1117" s="7" t="str">
        <f>IF(B1117="","",IFERROR(VLOOKUP(B1117, PLANTA_BASE!A:W, 9, FALSE), "GENERAL"))</f>
        <v/>
      </c>
      <c r="H1117" s="5" t="str">
        <f>IF(B1117="","",IFERROR(VLOOKUP(B1117, PLANTA_BASE!A:W, 17, FALSE), "GENERAL"))</f>
        <v/>
      </c>
    </row>
    <row r="1118" spans="1:8" ht="20.100000000000001" customHeight="1" x14ac:dyDescent="0.25">
      <c r="A1118" s="2" t="str">
        <f>IF(B1118="","",IFERROR(VLOOKUP(B1118, PLANTA_BASE!A:W, 2, FALSE), "NO ENCONTRADO EN PLANTA"))</f>
        <v/>
      </c>
      <c r="B1118" s="3"/>
      <c r="C1118" s="4" t="str">
        <f>IF(B1118="","",IFERROR(VLOOKUP(B1118, PLANTA_BASE!A:W, 3, FALSE), ""))</f>
        <v/>
      </c>
      <c r="D1118" s="2" t="str">
        <f>IF(B1118="","",IFERROR(VLOOKUP(B1118, PLANTA_BASE!A:W, 5, FALSE), "NO ENCONTRADO EN PLANTA"))</f>
        <v/>
      </c>
      <c r="E1118" s="2" t="str">
        <f>IF(B1118="","",IFERROR(VLOOKUP(B1118, PLANTA_BASE!A:W, 6, FALSE), "NO ENCONTRADO EN PLANTA"))</f>
        <v/>
      </c>
      <c r="F1118" s="4" t="str">
        <f>IF(B1118="","",IFERROR(VLOOKUP(B1118, PLANTA_BASE!A:W, 8, FALSE), "DOCENTE / FACILITADOR"))</f>
        <v/>
      </c>
      <c r="G1118" s="4" t="str">
        <f>IF(B1118="","",IFERROR(VLOOKUP(B1118, PLANTA_BASE!A:W, 9, FALSE), "GENERAL"))</f>
        <v/>
      </c>
      <c r="H1118" s="2" t="str">
        <f>IF(B1118="","",IFERROR(VLOOKUP(B1118, PLANTA_BASE!A:W, 17, FALSE), "GENERAL"))</f>
        <v/>
      </c>
    </row>
    <row r="1119" spans="1:8" ht="20.100000000000001" customHeight="1" x14ac:dyDescent="0.25">
      <c r="A1119" s="5" t="str">
        <f>IF(B1119="","",IFERROR(VLOOKUP(B1119, PLANTA_BASE!A:W, 2, FALSE), "NO ENCONTRADO EN PLANTA"))</f>
        <v/>
      </c>
      <c r="B1119" s="6"/>
      <c r="C1119" s="7" t="str">
        <f>IF(B1119="","",IFERROR(VLOOKUP(B1119, PLANTA_BASE!A:W, 3, FALSE), ""))</f>
        <v/>
      </c>
      <c r="D1119" s="5" t="str">
        <f>IF(B1119="","",IFERROR(VLOOKUP(B1119, PLANTA_BASE!A:W, 5, FALSE), "NO ENCONTRADO EN PLANTA"))</f>
        <v/>
      </c>
      <c r="E1119" s="5" t="str">
        <f>IF(B1119="","",IFERROR(VLOOKUP(B1119, PLANTA_BASE!A:W, 6, FALSE), "NO ENCONTRADO EN PLANTA"))</f>
        <v/>
      </c>
      <c r="F1119" s="7" t="str">
        <f>IF(B1119="","",IFERROR(VLOOKUP(B1119, PLANTA_BASE!A:W, 8, FALSE), "DOCENTE / FACILITADOR"))</f>
        <v/>
      </c>
      <c r="G1119" s="7" t="str">
        <f>IF(B1119="","",IFERROR(VLOOKUP(B1119, PLANTA_BASE!A:W, 9, FALSE), "GENERAL"))</f>
        <v/>
      </c>
      <c r="H1119" s="5" t="str">
        <f>IF(B1119="","",IFERROR(VLOOKUP(B1119, PLANTA_BASE!A:W, 17, FALSE), "GENERAL"))</f>
        <v/>
      </c>
    </row>
    <row r="1120" spans="1:8" ht="20.100000000000001" customHeight="1" x14ac:dyDescent="0.25">
      <c r="A1120" s="2" t="str">
        <f>IF(B1120="","",IFERROR(VLOOKUP(B1120, PLANTA_BASE!A:W, 2, FALSE), "NO ENCONTRADO EN PLANTA"))</f>
        <v/>
      </c>
      <c r="B1120" s="3"/>
      <c r="C1120" s="4" t="str">
        <f>IF(B1120="","",IFERROR(VLOOKUP(B1120, PLANTA_BASE!A:W, 3, FALSE), ""))</f>
        <v/>
      </c>
      <c r="D1120" s="2" t="str">
        <f>IF(B1120="","",IFERROR(VLOOKUP(B1120, PLANTA_BASE!A:W, 5, FALSE), "NO ENCONTRADO EN PLANTA"))</f>
        <v/>
      </c>
      <c r="E1120" s="2" t="str">
        <f>IF(B1120="","",IFERROR(VLOOKUP(B1120, PLANTA_BASE!A:W, 6, FALSE), "NO ENCONTRADO EN PLANTA"))</f>
        <v/>
      </c>
      <c r="F1120" s="4" t="str">
        <f>IF(B1120="","",IFERROR(VLOOKUP(B1120, PLANTA_BASE!A:W, 8, FALSE), "DOCENTE / FACILITADOR"))</f>
        <v/>
      </c>
      <c r="G1120" s="4" t="str">
        <f>IF(B1120="","",IFERROR(VLOOKUP(B1120, PLANTA_BASE!A:W, 9, FALSE), "GENERAL"))</f>
        <v/>
      </c>
      <c r="H1120" s="2" t="str">
        <f>IF(B1120="","",IFERROR(VLOOKUP(B1120, PLANTA_BASE!A:W, 17, FALSE), "GENERAL"))</f>
        <v/>
      </c>
    </row>
    <row r="1121" spans="1:8" ht="20.100000000000001" customHeight="1" x14ac:dyDescent="0.25">
      <c r="A1121" s="5" t="str">
        <f>IF(B1121="","",IFERROR(VLOOKUP(B1121, PLANTA_BASE!A:W, 2, FALSE), "NO ENCONTRADO EN PLANTA"))</f>
        <v/>
      </c>
      <c r="B1121" s="6"/>
      <c r="C1121" s="7" t="str">
        <f>IF(B1121="","",IFERROR(VLOOKUP(B1121, PLANTA_BASE!A:W, 3, FALSE), ""))</f>
        <v/>
      </c>
      <c r="D1121" s="5" t="str">
        <f>IF(B1121="","",IFERROR(VLOOKUP(B1121, PLANTA_BASE!A:W, 5, FALSE), "NO ENCONTRADO EN PLANTA"))</f>
        <v/>
      </c>
      <c r="E1121" s="5" t="str">
        <f>IF(B1121="","",IFERROR(VLOOKUP(B1121, PLANTA_BASE!A:W, 6, FALSE), "NO ENCONTRADO EN PLANTA"))</f>
        <v/>
      </c>
      <c r="F1121" s="7" t="str">
        <f>IF(B1121="","",IFERROR(VLOOKUP(B1121, PLANTA_BASE!A:W, 8, FALSE), "DOCENTE / FACILITADOR"))</f>
        <v/>
      </c>
      <c r="G1121" s="7" t="str">
        <f>IF(B1121="","",IFERROR(VLOOKUP(B1121, PLANTA_BASE!A:W, 9, FALSE), "GENERAL"))</f>
        <v/>
      </c>
      <c r="H1121" s="5" t="str">
        <f>IF(B1121="","",IFERROR(VLOOKUP(B1121, PLANTA_BASE!A:W, 17, FALSE), "GENERAL"))</f>
        <v/>
      </c>
    </row>
    <row r="1122" spans="1:8" ht="20.100000000000001" customHeight="1" x14ac:dyDescent="0.25">
      <c r="A1122" s="2" t="str">
        <f>IF(B1122="","",IFERROR(VLOOKUP(B1122, PLANTA_BASE!A:W, 2, FALSE), "NO ENCONTRADO EN PLANTA"))</f>
        <v/>
      </c>
      <c r="B1122" s="3"/>
      <c r="C1122" s="4" t="str">
        <f>IF(B1122="","",IFERROR(VLOOKUP(B1122, PLANTA_BASE!A:W, 3, FALSE), ""))</f>
        <v/>
      </c>
      <c r="D1122" s="2" t="str">
        <f>IF(B1122="","",IFERROR(VLOOKUP(B1122, PLANTA_BASE!A:W, 5, FALSE), "NO ENCONTRADO EN PLANTA"))</f>
        <v/>
      </c>
      <c r="E1122" s="2" t="str">
        <f>IF(B1122="","",IFERROR(VLOOKUP(B1122, PLANTA_BASE!A:W, 6, FALSE), "NO ENCONTRADO EN PLANTA"))</f>
        <v/>
      </c>
      <c r="F1122" s="4" t="str">
        <f>IF(B1122="","",IFERROR(VLOOKUP(B1122, PLANTA_BASE!A:W, 8, FALSE), "DOCENTE / FACILITADOR"))</f>
        <v/>
      </c>
      <c r="G1122" s="4" t="str">
        <f>IF(B1122="","",IFERROR(VLOOKUP(B1122, PLANTA_BASE!A:W, 9, FALSE), "GENERAL"))</f>
        <v/>
      </c>
      <c r="H1122" s="2" t="str">
        <f>IF(B1122="","",IFERROR(VLOOKUP(B1122, PLANTA_BASE!A:W, 17, FALSE), "GENERAL"))</f>
        <v/>
      </c>
    </row>
    <row r="1123" spans="1:8" ht="20.100000000000001" customHeight="1" x14ac:dyDescent="0.25">
      <c r="A1123" s="5" t="str">
        <f>IF(B1123="","",IFERROR(VLOOKUP(B1123, PLANTA_BASE!A:W, 2, FALSE), "NO ENCONTRADO EN PLANTA"))</f>
        <v/>
      </c>
      <c r="B1123" s="6"/>
      <c r="C1123" s="7" t="str">
        <f>IF(B1123="","",IFERROR(VLOOKUP(B1123, PLANTA_BASE!A:W, 3, FALSE), ""))</f>
        <v/>
      </c>
      <c r="D1123" s="5" t="str">
        <f>IF(B1123="","",IFERROR(VLOOKUP(B1123, PLANTA_BASE!A:W, 5, FALSE), "NO ENCONTRADO EN PLANTA"))</f>
        <v/>
      </c>
      <c r="E1123" s="5" t="str">
        <f>IF(B1123="","",IFERROR(VLOOKUP(B1123, PLANTA_BASE!A:W, 6, FALSE), "NO ENCONTRADO EN PLANTA"))</f>
        <v/>
      </c>
      <c r="F1123" s="7" t="str">
        <f>IF(B1123="","",IFERROR(VLOOKUP(B1123, PLANTA_BASE!A:W, 8, FALSE), "DOCENTE / FACILITADOR"))</f>
        <v/>
      </c>
      <c r="G1123" s="7" t="str">
        <f>IF(B1123="","",IFERROR(VLOOKUP(B1123, PLANTA_BASE!A:W, 9, FALSE), "GENERAL"))</f>
        <v/>
      </c>
      <c r="H1123" s="5" t="str">
        <f>IF(B1123="","",IFERROR(VLOOKUP(B1123, PLANTA_BASE!A:W, 17, FALSE), "GENERAL"))</f>
        <v/>
      </c>
    </row>
    <row r="1124" spans="1:8" ht="20.100000000000001" customHeight="1" x14ac:dyDescent="0.25">
      <c r="A1124" s="2" t="str">
        <f>IF(B1124="","",IFERROR(VLOOKUP(B1124, PLANTA_BASE!A:W, 2, FALSE), "NO ENCONTRADO EN PLANTA"))</f>
        <v/>
      </c>
      <c r="B1124" s="3"/>
      <c r="C1124" s="4" t="str">
        <f>IF(B1124="","",IFERROR(VLOOKUP(B1124, PLANTA_BASE!A:W, 3, FALSE), ""))</f>
        <v/>
      </c>
      <c r="D1124" s="2" t="str">
        <f>IF(B1124="","",IFERROR(VLOOKUP(B1124, PLANTA_BASE!A:W, 5, FALSE), "NO ENCONTRADO EN PLANTA"))</f>
        <v/>
      </c>
      <c r="E1124" s="2" t="str">
        <f>IF(B1124="","",IFERROR(VLOOKUP(B1124, PLANTA_BASE!A:W, 6, FALSE), "NO ENCONTRADO EN PLANTA"))</f>
        <v/>
      </c>
      <c r="F1124" s="4" t="str">
        <f>IF(B1124="","",IFERROR(VLOOKUP(B1124, PLANTA_BASE!A:W, 8, FALSE), "DOCENTE / FACILITADOR"))</f>
        <v/>
      </c>
      <c r="G1124" s="4" t="str">
        <f>IF(B1124="","",IFERROR(VLOOKUP(B1124, PLANTA_BASE!A:W, 9, FALSE), "GENERAL"))</f>
        <v/>
      </c>
      <c r="H1124" s="2" t="str">
        <f>IF(B1124="","",IFERROR(VLOOKUP(B1124, PLANTA_BASE!A:W, 17, FALSE), "GENERAL"))</f>
        <v/>
      </c>
    </row>
    <row r="1125" spans="1:8" ht="20.100000000000001" customHeight="1" x14ac:dyDescent="0.25">
      <c r="A1125" s="5" t="str">
        <f>IF(B1125="","",IFERROR(VLOOKUP(B1125, PLANTA_BASE!A:W, 2, FALSE), "NO ENCONTRADO EN PLANTA"))</f>
        <v/>
      </c>
      <c r="B1125" s="6"/>
      <c r="C1125" s="7" t="str">
        <f>IF(B1125="","",IFERROR(VLOOKUP(B1125, PLANTA_BASE!A:W, 3, FALSE), ""))</f>
        <v/>
      </c>
      <c r="D1125" s="5" t="str">
        <f>IF(B1125="","",IFERROR(VLOOKUP(B1125, PLANTA_BASE!A:W, 5, FALSE), "NO ENCONTRADO EN PLANTA"))</f>
        <v/>
      </c>
      <c r="E1125" s="5" t="str">
        <f>IF(B1125="","",IFERROR(VLOOKUP(B1125, PLANTA_BASE!A:W, 6, FALSE), "NO ENCONTRADO EN PLANTA"))</f>
        <v/>
      </c>
      <c r="F1125" s="7" t="str">
        <f>IF(B1125="","",IFERROR(VLOOKUP(B1125, PLANTA_BASE!A:W, 8, FALSE), "DOCENTE / FACILITADOR"))</f>
        <v/>
      </c>
      <c r="G1125" s="7" t="str">
        <f>IF(B1125="","",IFERROR(VLOOKUP(B1125, PLANTA_BASE!A:W, 9, FALSE), "GENERAL"))</f>
        <v/>
      </c>
      <c r="H1125" s="5" t="str">
        <f>IF(B1125="","",IFERROR(VLOOKUP(B1125, PLANTA_BASE!A:W, 17, FALSE), "GENERAL"))</f>
        <v/>
      </c>
    </row>
    <row r="1126" spans="1:8" ht="20.100000000000001" customHeight="1" x14ac:dyDescent="0.25">
      <c r="A1126" s="2" t="str">
        <f>IF(B1126="","",IFERROR(VLOOKUP(B1126, PLANTA_BASE!A:W, 2, FALSE), "NO ENCONTRADO EN PLANTA"))</f>
        <v/>
      </c>
      <c r="B1126" s="3"/>
      <c r="C1126" s="4" t="str">
        <f>IF(B1126="","",IFERROR(VLOOKUP(B1126, PLANTA_BASE!A:W, 3, FALSE), ""))</f>
        <v/>
      </c>
      <c r="D1126" s="2" t="str">
        <f>IF(B1126="","",IFERROR(VLOOKUP(B1126, PLANTA_BASE!A:W, 5, FALSE), "NO ENCONTRADO EN PLANTA"))</f>
        <v/>
      </c>
      <c r="E1126" s="2" t="str">
        <f>IF(B1126="","",IFERROR(VLOOKUP(B1126, PLANTA_BASE!A:W, 6, FALSE), "NO ENCONTRADO EN PLANTA"))</f>
        <v/>
      </c>
      <c r="F1126" s="4" t="str">
        <f>IF(B1126="","",IFERROR(VLOOKUP(B1126, PLANTA_BASE!A:W, 8, FALSE), "DOCENTE / FACILITADOR"))</f>
        <v/>
      </c>
      <c r="G1126" s="4" t="str">
        <f>IF(B1126="","",IFERROR(VLOOKUP(B1126, PLANTA_BASE!A:W, 9, FALSE), "GENERAL"))</f>
        <v/>
      </c>
      <c r="H1126" s="2" t="str">
        <f>IF(B1126="","",IFERROR(VLOOKUP(B1126, PLANTA_BASE!A:W, 17, FALSE), "GENERAL"))</f>
        <v/>
      </c>
    </row>
    <row r="1127" spans="1:8" ht="20.100000000000001" customHeight="1" x14ac:dyDescent="0.25">
      <c r="A1127" s="5" t="str">
        <f>IF(B1127="","",IFERROR(VLOOKUP(B1127, PLANTA_BASE!A:W, 2, FALSE), "NO ENCONTRADO EN PLANTA"))</f>
        <v/>
      </c>
      <c r="B1127" s="6"/>
      <c r="C1127" s="7" t="str">
        <f>IF(B1127="","",IFERROR(VLOOKUP(B1127, PLANTA_BASE!A:W, 3, FALSE), ""))</f>
        <v/>
      </c>
      <c r="D1127" s="5" t="str">
        <f>IF(B1127="","",IFERROR(VLOOKUP(B1127, PLANTA_BASE!A:W, 5, FALSE), "NO ENCONTRADO EN PLANTA"))</f>
        <v/>
      </c>
      <c r="E1127" s="5" t="str">
        <f>IF(B1127="","",IFERROR(VLOOKUP(B1127, PLANTA_BASE!A:W, 6, FALSE), "NO ENCONTRADO EN PLANTA"))</f>
        <v/>
      </c>
      <c r="F1127" s="7" t="str">
        <f>IF(B1127="","",IFERROR(VLOOKUP(B1127, PLANTA_BASE!A:W, 8, FALSE), "DOCENTE / FACILITADOR"))</f>
        <v/>
      </c>
      <c r="G1127" s="7" t="str">
        <f>IF(B1127="","",IFERROR(VLOOKUP(B1127, PLANTA_BASE!A:W, 9, FALSE), "GENERAL"))</f>
        <v/>
      </c>
      <c r="H1127" s="5" t="str">
        <f>IF(B1127="","",IFERROR(VLOOKUP(B1127, PLANTA_BASE!A:W, 17, FALSE), "GENERAL"))</f>
        <v/>
      </c>
    </row>
    <row r="1128" spans="1:8" ht="20.100000000000001" customHeight="1" x14ac:dyDescent="0.25">
      <c r="A1128" s="2" t="str">
        <f>IF(B1128="","",IFERROR(VLOOKUP(B1128, PLANTA_BASE!A:W, 2, FALSE), "NO ENCONTRADO EN PLANTA"))</f>
        <v/>
      </c>
      <c r="B1128" s="3"/>
      <c r="C1128" s="4" t="str">
        <f>IF(B1128="","",IFERROR(VLOOKUP(B1128, PLANTA_BASE!A:W, 3, FALSE), ""))</f>
        <v/>
      </c>
      <c r="D1128" s="2" t="str">
        <f>IF(B1128="","",IFERROR(VLOOKUP(B1128, PLANTA_BASE!A:W, 5, FALSE), "NO ENCONTRADO EN PLANTA"))</f>
        <v/>
      </c>
      <c r="E1128" s="2" t="str">
        <f>IF(B1128="","",IFERROR(VLOOKUP(B1128, PLANTA_BASE!A:W, 6, FALSE), "NO ENCONTRADO EN PLANTA"))</f>
        <v/>
      </c>
      <c r="F1128" s="4" t="str">
        <f>IF(B1128="","",IFERROR(VLOOKUP(B1128, PLANTA_BASE!A:W, 8, FALSE), "DOCENTE / FACILITADOR"))</f>
        <v/>
      </c>
      <c r="G1128" s="4" t="str">
        <f>IF(B1128="","",IFERROR(VLOOKUP(B1128, PLANTA_BASE!A:W, 9, FALSE), "GENERAL"))</f>
        <v/>
      </c>
      <c r="H1128" s="2" t="str">
        <f>IF(B1128="","",IFERROR(VLOOKUP(B1128, PLANTA_BASE!A:W, 17, FALSE), "GENERAL"))</f>
        <v/>
      </c>
    </row>
    <row r="1129" spans="1:8" ht="20.100000000000001" customHeight="1" x14ac:dyDescent="0.25">
      <c r="A1129" s="5" t="str">
        <f>IF(B1129="","",IFERROR(VLOOKUP(B1129, PLANTA_BASE!A:W, 2, FALSE), "NO ENCONTRADO EN PLANTA"))</f>
        <v/>
      </c>
      <c r="B1129" s="6"/>
      <c r="C1129" s="7" t="str">
        <f>IF(B1129="","",IFERROR(VLOOKUP(B1129, PLANTA_BASE!A:W, 3, FALSE), ""))</f>
        <v/>
      </c>
      <c r="D1129" s="5" t="str">
        <f>IF(B1129="","",IFERROR(VLOOKUP(B1129, PLANTA_BASE!A:W, 5, FALSE), "NO ENCONTRADO EN PLANTA"))</f>
        <v/>
      </c>
      <c r="E1129" s="5" t="str">
        <f>IF(B1129="","",IFERROR(VLOOKUP(B1129, PLANTA_BASE!A:W, 6, FALSE), "NO ENCONTRADO EN PLANTA"))</f>
        <v/>
      </c>
      <c r="F1129" s="7" t="str">
        <f>IF(B1129="","",IFERROR(VLOOKUP(B1129, PLANTA_BASE!A:W, 8, FALSE), "DOCENTE / FACILITADOR"))</f>
        <v/>
      </c>
      <c r="G1129" s="7" t="str">
        <f>IF(B1129="","",IFERROR(VLOOKUP(B1129, PLANTA_BASE!A:W, 9, FALSE), "GENERAL"))</f>
        <v/>
      </c>
      <c r="H1129" s="5" t="str">
        <f>IF(B1129="","",IFERROR(VLOOKUP(B1129, PLANTA_BASE!A:W, 17, FALSE), "GENERAL"))</f>
        <v/>
      </c>
    </row>
    <row r="1130" spans="1:8" ht="20.100000000000001" customHeight="1" x14ac:dyDescent="0.25">
      <c r="A1130" s="2" t="str">
        <f>IF(B1130="","",IFERROR(VLOOKUP(B1130, PLANTA_BASE!A:W, 2, FALSE), "NO ENCONTRADO EN PLANTA"))</f>
        <v/>
      </c>
      <c r="B1130" s="3"/>
      <c r="C1130" s="4" t="str">
        <f>IF(B1130="","",IFERROR(VLOOKUP(B1130, PLANTA_BASE!A:W, 3, FALSE), ""))</f>
        <v/>
      </c>
      <c r="D1130" s="2" t="str">
        <f>IF(B1130="","",IFERROR(VLOOKUP(B1130, PLANTA_BASE!A:W, 5, FALSE), "NO ENCONTRADO EN PLANTA"))</f>
        <v/>
      </c>
      <c r="E1130" s="2" t="str">
        <f>IF(B1130="","",IFERROR(VLOOKUP(B1130, PLANTA_BASE!A:W, 6, FALSE), "NO ENCONTRADO EN PLANTA"))</f>
        <v/>
      </c>
      <c r="F1130" s="4" t="str">
        <f>IF(B1130="","",IFERROR(VLOOKUP(B1130, PLANTA_BASE!A:W, 8, FALSE), "DOCENTE / FACILITADOR"))</f>
        <v/>
      </c>
      <c r="G1130" s="4" t="str">
        <f>IF(B1130="","",IFERROR(VLOOKUP(B1130, PLANTA_BASE!A:W, 9, FALSE), "GENERAL"))</f>
        <v/>
      </c>
      <c r="H1130" s="2" t="str">
        <f>IF(B1130="","",IFERROR(VLOOKUP(B1130, PLANTA_BASE!A:W, 17, FALSE), "GENERAL"))</f>
        <v/>
      </c>
    </row>
    <row r="1131" spans="1:8" ht="20.100000000000001" customHeight="1" x14ac:dyDescent="0.25">
      <c r="A1131" s="5" t="str">
        <f>IF(B1131="","",IFERROR(VLOOKUP(B1131, PLANTA_BASE!A:W, 2, FALSE), "NO ENCONTRADO EN PLANTA"))</f>
        <v/>
      </c>
      <c r="B1131" s="6"/>
      <c r="C1131" s="7" t="str">
        <f>IF(B1131="","",IFERROR(VLOOKUP(B1131, PLANTA_BASE!A:W, 3, FALSE), ""))</f>
        <v/>
      </c>
      <c r="D1131" s="5" t="str">
        <f>IF(B1131="","",IFERROR(VLOOKUP(B1131, PLANTA_BASE!A:W, 5, FALSE), "NO ENCONTRADO EN PLANTA"))</f>
        <v/>
      </c>
      <c r="E1131" s="5" t="str">
        <f>IF(B1131="","",IFERROR(VLOOKUP(B1131, PLANTA_BASE!A:W, 6, FALSE), "NO ENCONTRADO EN PLANTA"))</f>
        <v/>
      </c>
      <c r="F1131" s="7" t="str">
        <f>IF(B1131="","",IFERROR(VLOOKUP(B1131, PLANTA_BASE!A:W, 8, FALSE), "DOCENTE / FACILITADOR"))</f>
        <v/>
      </c>
      <c r="G1131" s="7" t="str">
        <f>IF(B1131="","",IFERROR(VLOOKUP(B1131, PLANTA_BASE!A:W, 9, FALSE), "GENERAL"))</f>
        <v/>
      </c>
      <c r="H1131" s="5" t="str">
        <f>IF(B1131="","",IFERROR(VLOOKUP(B1131, PLANTA_BASE!A:W, 17, FALSE), "GENERAL"))</f>
        <v/>
      </c>
    </row>
    <row r="1132" spans="1:8" ht="20.100000000000001" customHeight="1" x14ac:dyDescent="0.25">
      <c r="A1132" s="2" t="str">
        <f>IF(B1132="","",IFERROR(VLOOKUP(B1132, PLANTA_BASE!A:W, 2, FALSE), "NO ENCONTRADO EN PLANTA"))</f>
        <v/>
      </c>
      <c r="B1132" s="3"/>
      <c r="C1132" s="4" t="str">
        <f>IF(B1132="","",IFERROR(VLOOKUP(B1132, PLANTA_BASE!A:W, 3, FALSE), ""))</f>
        <v/>
      </c>
      <c r="D1132" s="2" t="str">
        <f>IF(B1132="","",IFERROR(VLOOKUP(B1132, PLANTA_BASE!A:W, 5, FALSE), "NO ENCONTRADO EN PLANTA"))</f>
        <v/>
      </c>
      <c r="E1132" s="2" t="str">
        <f>IF(B1132="","",IFERROR(VLOOKUP(B1132, PLANTA_BASE!A:W, 6, FALSE), "NO ENCONTRADO EN PLANTA"))</f>
        <v/>
      </c>
      <c r="F1132" s="4" t="str">
        <f>IF(B1132="","",IFERROR(VLOOKUP(B1132, PLANTA_BASE!A:W, 8, FALSE), "DOCENTE / FACILITADOR"))</f>
        <v/>
      </c>
      <c r="G1132" s="4" t="str">
        <f>IF(B1132="","",IFERROR(VLOOKUP(B1132, PLANTA_BASE!A:W, 9, FALSE), "GENERAL"))</f>
        <v/>
      </c>
      <c r="H1132" s="2" t="str">
        <f>IF(B1132="","",IFERROR(VLOOKUP(B1132, PLANTA_BASE!A:W, 17, FALSE), "GENERAL"))</f>
        <v/>
      </c>
    </row>
    <row r="1133" spans="1:8" ht="20.100000000000001" customHeight="1" x14ac:dyDescent="0.25">
      <c r="A1133" s="5" t="str">
        <f>IF(B1133="","",IFERROR(VLOOKUP(B1133, PLANTA_BASE!A:W, 2, FALSE), "NO ENCONTRADO EN PLANTA"))</f>
        <v/>
      </c>
      <c r="B1133" s="6"/>
      <c r="C1133" s="7" t="str">
        <f>IF(B1133="","",IFERROR(VLOOKUP(B1133, PLANTA_BASE!A:W, 3, FALSE), ""))</f>
        <v/>
      </c>
      <c r="D1133" s="5" t="str">
        <f>IF(B1133="","",IFERROR(VLOOKUP(B1133, PLANTA_BASE!A:W, 5, FALSE), "NO ENCONTRADO EN PLANTA"))</f>
        <v/>
      </c>
      <c r="E1133" s="5" t="str">
        <f>IF(B1133="","",IFERROR(VLOOKUP(B1133, PLANTA_BASE!A:W, 6, FALSE), "NO ENCONTRADO EN PLANTA"))</f>
        <v/>
      </c>
      <c r="F1133" s="7" t="str">
        <f>IF(B1133="","",IFERROR(VLOOKUP(B1133, PLANTA_BASE!A:W, 8, FALSE), "DOCENTE / FACILITADOR"))</f>
        <v/>
      </c>
      <c r="G1133" s="7" t="str">
        <f>IF(B1133="","",IFERROR(VLOOKUP(B1133, PLANTA_BASE!A:W, 9, FALSE), "GENERAL"))</f>
        <v/>
      </c>
      <c r="H1133" s="5" t="str">
        <f>IF(B1133="","",IFERROR(VLOOKUP(B1133, PLANTA_BASE!A:W, 17, FALSE), "GENERAL"))</f>
        <v/>
      </c>
    </row>
    <row r="1134" spans="1:8" ht="20.100000000000001" customHeight="1" x14ac:dyDescent="0.25">
      <c r="A1134" s="2" t="str">
        <f>IF(B1134="","",IFERROR(VLOOKUP(B1134, PLANTA_BASE!A:W, 2, FALSE), "NO ENCONTRADO EN PLANTA"))</f>
        <v/>
      </c>
      <c r="B1134" s="3"/>
      <c r="C1134" s="4" t="str">
        <f>IF(B1134="","",IFERROR(VLOOKUP(B1134, PLANTA_BASE!A:W, 3, FALSE), ""))</f>
        <v/>
      </c>
      <c r="D1134" s="2" t="str">
        <f>IF(B1134="","",IFERROR(VLOOKUP(B1134, PLANTA_BASE!A:W, 5, FALSE), "NO ENCONTRADO EN PLANTA"))</f>
        <v/>
      </c>
      <c r="E1134" s="2" t="str">
        <f>IF(B1134="","",IFERROR(VLOOKUP(B1134, PLANTA_BASE!A:W, 6, FALSE), "NO ENCONTRADO EN PLANTA"))</f>
        <v/>
      </c>
      <c r="F1134" s="4" t="str">
        <f>IF(B1134="","",IFERROR(VLOOKUP(B1134, PLANTA_BASE!A:W, 8, FALSE), "DOCENTE / FACILITADOR"))</f>
        <v/>
      </c>
      <c r="G1134" s="4" t="str">
        <f>IF(B1134="","",IFERROR(VLOOKUP(B1134, PLANTA_BASE!A:W, 9, FALSE), "GENERAL"))</f>
        <v/>
      </c>
      <c r="H1134" s="2" t="str">
        <f>IF(B1134="","",IFERROR(VLOOKUP(B1134, PLANTA_BASE!A:W, 17, FALSE), "GENERAL"))</f>
        <v/>
      </c>
    </row>
    <row r="1135" spans="1:8" ht="20.100000000000001" customHeight="1" x14ac:dyDescent="0.25">
      <c r="A1135" s="5" t="str">
        <f>IF(B1135="","",IFERROR(VLOOKUP(B1135, PLANTA_BASE!A:W, 2, FALSE), "NO ENCONTRADO EN PLANTA"))</f>
        <v/>
      </c>
      <c r="B1135" s="6"/>
      <c r="C1135" s="7" t="str">
        <f>IF(B1135="","",IFERROR(VLOOKUP(B1135, PLANTA_BASE!A:W, 3, FALSE), ""))</f>
        <v/>
      </c>
      <c r="D1135" s="5" t="str">
        <f>IF(B1135="","",IFERROR(VLOOKUP(B1135, PLANTA_BASE!A:W, 5, FALSE), "NO ENCONTRADO EN PLANTA"))</f>
        <v/>
      </c>
      <c r="E1135" s="5" t="str">
        <f>IF(B1135="","",IFERROR(VLOOKUP(B1135, PLANTA_BASE!A:W, 6, FALSE), "NO ENCONTRADO EN PLANTA"))</f>
        <v/>
      </c>
      <c r="F1135" s="7" t="str">
        <f>IF(B1135="","",IFERROR(VLOOKUP(B1135, PLANTA_BASE!A:W, 8, FALSE), "DOCENTE / FACILITADOR"))</f>
        <v/>
      </c>
      <c r="G1135" s="7" t="str">
        <f>IF(B1135="","",IFERROR(VLOOKUP(B1135, PLANTA_BASE!A:W, 9, FALSE), "GENERAL"))</f>
        <v/>
      </c>
      <c r="H1135" s="5" t="str">
        <f>IF(B1135="","",IFERROR(VLOOKUP(B1135, PLANTA_BASE!A:W, 17, FALSE), "GENERAL"))</f>
        <v/>
      </c>
    </row>
    <row r="1136" spans="1:8" ht="20.100000000000001" customHeight="1" x14ac:dyDescent="0.25">
      <c r="A1136" s="2" t="str">
        <f>IF(B1136="","",IFERROR(VLOOKUP(B1136, PLANTA_BASE!A:W, 2, FALSE), "NO ENCONTRADO EN PLANTA"))</f>
        <v/>
      </c>
      <c r="B1136" s="3"/>
      <c r="C1136" s="4" t="str">
        <f>IF(B1136="","",IFERROR(VLOOKUP(B1136, PLANTA_BASE!A:W, 3, FALSE), ""))</f>
        <v/>
      </c>
      <c r="D1136" s="2" t="str">
        <f>IF(B1136="","",IFERROR(VLOOKUP(B1136, PLANTA_BASE!A:W, 5, FALSE), "NO ENCONTRADO EN PLANTA"))</f>
        <v/>
      </c>
      <c r="E1136" s="2" t="str">
        <f>IF(B1136="","",IFERROR(VLOOKUP(B1136, PLANTA_BASE!A:W, 6, FALSE), "NO ENCONTRADO EN PLANTA"))</f>
        <v/>
      </c>
      <c r="F1136" s="4" t="str">
        <f>IF(B1136="","",IFERROR(VLOOKUP(B1136, PLANTA_BASE!A:W, 8, FALSE), "DOCENTE / FACILITADOR"))</f>
        <v/>
      </c>
      <c r="G1136" s="4" t="str">
        <f>IF(B1136="","",IFERROR(VLOOKUP(B1136, PLANTA_BASE!A:W, 9, FALSE), "GENERAL"))</f>
        <v/>
      </c>
      <c r="H1136" s="2" t="str">
        <f>IF(B1136="","",IFERROR(VLOOKUP(B1136, PLANTA_BASE!A:W, 17, FALSE), "GENERAL"))</f>
        <v/>
      </c>
    </row>
    <row r="1137" spans="1:8" ht="20.100000000000001" customHeight="1" x14ac:dyDescent="0.25">
      <c r="A1137" s="5" t="str">
        <f>IF(B1137="","",IFERROR(VLOOKUP(B1137, PLANTA_BASE!A:W, 2, FALSE), "NO ENCONTRADO EN PLANTA"))</f>
        <v/>
      </c>
      <c r="B1137" s="6"/>
      <c r="C1137" s="7" t="str">
        <f>IF(B1137="","",IFERROR(VLOOKUP(B1137, PLANTA_BASE!A:W, 3, FALSE), ""))</f>
        <v/>
      </c>
      <c r="D1137" s="5" t="str">
        <f>IF(B1137="","",IFERROR(VLOOKUP(B1137, PLANTA_BASE!A:W, 5, FALSE), "NO ENCONTRADO EN PLANTA"))</f>
        <v/>
      </c>
      <c r="E1137" s="5" t="str">
        <f>IF(B1137="","",IFERROR(VLOOKUP(B1137, PLANTA_BASE!A:W, 6, FALSE), "NO ENCONTRADO EN PLANTA"))</f>
        <v/>
      </c>
      <c r="F1137" s="7" t="str">
        <f>IF(B1137="","",IFERROR(VLOOKUP(B1137, PLANTA_BASE!A:W, 8, FALSE), "DOCENTE / FACILITADOR"))</f>
        <v/>
      </c>
      <c r="G1137" s="7" t="str">
        <f>IF(B1137="","",IFERROR(VLOOKUP(B1137, PLANTA_BASE!A:W, 9, FALSE), "GENERAL"))</f>
        <v/>
      </c>
      <c r="H1137" s="5" t="str">
        <f>IF(B1137="","",IFERROR(VLOOKUP(B1137, PLANTA_BASE!A:W, 17, FALSE), "GENERAL"))</f>
        <v/>
      </c>
    </row>
    <row r="1138" spans="1:8" ht="20.100000000000001" customHeight="1" x14ac:dyDescent="0.25">
      <c r="A1138" s="2" t="str">
        <f>IF(B1138="","",IFERROR(VLOOKUP(B1138, PLANTA_BASE!A:W, 2, FALSE), "NO ENCONTRADO EN PLANTA"))</f>
        <v/>
      </c>
      <c r="B1138" s="3"/>
      <c r="C1138" s="4" t="str">
        <f>IF(B1138="","",IFERROR(VLOOKUP(B1138, PLANTA_BASE!A:W, 3, FALSE), ""))</f>
        <v/>
      </c>
      <c r="D1138" s="2" t="str">
        <f>IF(B1138="","",IFERROR(VLOOKUP(B1138, PLANTA_BASE!A:W, 5, FALSE), "NO ENCONTRADO EN PLANTA"))</f>
        <v/>
      </c>
      <c r="E1138" s="2" t="str">
        <f>IF(B1138="","",IFERROR(VLOOKUP(B1138, PLANTA_BASE!A:W, 6, FALSE), "NO ENCONTRADO EN PLANTA"))</f>
        <v/>
      </c>
      <c r="F1138" s="4" t="str">
        <f>IF(B1138="","",IFERROR(VLOOKUP(B1138, PLANTA_BASE!A:W, 8, FALSE), "DOCENTE / FACILITADOR"))</f>
        <v/>
      </c>
      <c r="G1138" s="4" t="str">
        <f>IF(B1138="","",IFERROR(VLOOKUP(B1138, PLANTA_BASE!A:W, 9, FALSE), "GENERAL"))</f>
        <v/>
      </c>
      <c r="H1138" s="2" t="str">
        <f>IF(B1138="","",IFERROR(VLOOKUP(B1138, PLANTA_BASE!A:W, 17, FALSE), "GENERAL"))</f>
        <v/>
      </c>
    </row>
    <row r="1139" spans="1:8" ht="20.100000000000001" customHeight="1" x14ac:dyDescent="0.25">
      <c r="A1139" s="5" t="str">
        <f>IF(B1139="","",IFERROR(VLOOKUP(B1139, PLANTA_BASE!A:W, 2, FALSE), "NO ENCONTRADO EN PLANTA"))</f>
        <v/>
      </c>
      <c r="B1139" s="6"/>
      <c r="C1139" s="7" t="str">
        <f>IF(B1139="","",IFERROR(VLOOKUP(B1139, PLANTA_BASE!A:W, 3, FALSE), ""))</f>
        <v/>
      </c>
      <c r="D1139" s="5" t="str">
        <f>IF(B1139="","",IFERROR(VLOOKUP(B1139, PLANTA_BASE!A:W, 5, FALSE), "NO ENCONTRADO EN PLANTA"))</f>
        <v/>
      </c>
      <c r="E1139" s="5" t="str">
        <f>IF(B1139="","",IFERROR(VLOOKUP(B1139, PLANTA_BASE!A:W, 6, FALSE), "NO ENCONTRADO EN PLANTA"))</f>
        <v/>
      </c>
      <c r="F1139" s="7" t="str">
        <f>IF(B1139="","",IFERROR(VLOOKUP(B1139, PLANTA_BASE!A:W, 8, FALSE), "DOCENTE / FACILITADOR"))</f>
        <v/>
      </c>
      <c r="G1139" s="7" t="str">
        <f>IF(B1139="","",IFERROR(VLOOKUP(B1139, PLANTA_BASE!A:W, 9, FALSE), "GENERAL"))</f>
        <v/>
      </c>
      <c r="H1139" s="5" t="str">
        <f>IF(B1139="","",IFERROR(VLOOKUP(B1139, PLANTA_BASE!A:W, 17, FALSE), "GENERAL"))</f>
        <v/>
      </c>
    </row>
    <row r="1140" spans="1:8" ht="20.100000000000001" customHeight="1" x14ac:dyDescent="0.25">
      <c r="A1140" s="2" t="str">
        <f>IF(B1140="","",IFERROR(VLOOKUP(B1140, PLANTA_BASE!A:W, 2, FALSE), "NO ENCONTRADO EN PLANTA"))</f>
        <v/>
      </c>
      <c r="B1140" s="3"/>
      <c r="C1140" s="4" t="str">
        <f>IF(B1140="","",IFERROR(VLOOKUP(B1140, PLANTA_BASE!A:W, 3, FALSE), ""))</f>
        <v/>
      </c>
      <c r="D1140" s="2" t="str">
        <f>IF(B1140="","",IFERROR(VLOOKUP(B1140, PLANTA_BASE!A:W, 5, FALSE), "NO ENCONTRADO EN PLANTA"))</f>
        <v/>
      </c>
      <c r="E1140" s="2" t="str">
        <f>IF(B1140="","",IFERROR(VLOOKUP(B1140, PLANTA_BASE!A:W, 6, FALSE), "NO ENCONTRADO EN PLANTA"))</f>
        <v/>
      </c>
      <c r="F1140" s="4" t="str">
        <f>IF(B1140="","",IFERROR(VLOOKUP(B1140, PLANTA_BASE!A:W, 8, FALSE), "DOCENTE / FACILITADOR"))</f>
        <v/>
      </c>
      <c r="G1140" s="4" t="str">
        <f>IF(B1140="","",IFERROR(VLOOKUP(B1140, PLANTA_BASE!A:W, 9, FALSE), "GENERAL"))</f>
        <v/>
      </c>
      <c r="H1140" s="2" t="str">
        <f>IF(B1140="","",IFERROR(VLOOKUP(B1140, PLANTA_BASE!A:W, 17, FALSE), "GENERAL"))</f>
        <v/>
      </c>
    </row>
    <row r="1141" spans="1:8" ht="20.100000000000001" customHeight="1" x14ac:dyDescent="0.25">
      <c r="A1141" s="5" t="str">
        <f>IF(B1141="","",IFERROR(VLOOKUP(B1141, PLANTA_BASE!A:W, 2, FALSE), "NO ENCONTRADO EN PLANTA"))</f>
        <v/>
      </c>
      <c r="B1141" s="6"/>
      <c r="C1141" s="7" t="str">
        <f>IF(B1141="","",IFERROR(VLOOKUP(B1141, PLANTA_BASE!A:W, 3, FALSE), ""))</f>
        <v/>
      </c>
      <c r="D1141" s="5" t="str">
        <f>IF(B1141="","",IFERROR(VLOOKUP(B1141, PLANTA_BASE!A:W, 5, FALSE), "NO ENCONTRADO EN PLANTA"))</f>
        <v/>
      </c>
      <c r="E1141" s="5" t="str">
        <f>IF(B1141="","",IFERROR(VLOOKUP(B1141, PLANTA_BASE!A:W, 6, FALSE), "NO ENCONTRADO EN PLANTA"))</f>
        <v/>
      </c>
      <c r="F1141" s="7" t="str">
        <f>IF(B1141="","",IFERROR(VLOOKUP(B1141, PLANTA_BASE!A:W, 8, FALSE), "DOCENTE / FACILITADOR"))</f>
        <v/>
      </c>
      <c r="G1141" s="7" t="str">
        <f>IF(B1141="","",IFERROR(VLOOKUP(B1141, PLANTA_BASE!A:W, 9, FALSE), "GENERAL"))</f>
        <v/>
      </c>
      <c r="H1141" s="5" t="str">
        <f>IF(B1141="","",IFERROR(VLOOKUP(B1141, PLANTA_BASE!A:W, 17, FALSE), "GENERAL"))</f>
        <v/>
      </c>
    </row>
    <row r="1142" spans="1:8" ht="20.100000000000001" customHeight="1" x14ac:dyDescent="0.25">
      <c r="A1142" s="2" t="str">
        <f>IF(B1142="","",IFERROR(VLOOKUP(B1142, PLANTA_BASE!A:W, 2, FALSE), "NO ENCONTRADO EN PLANTA"))</f>
        <v/>
      </c>
      <c r="B1142" s="3"/>
      <c r="C1142" s="4" t="str">
        <f>IF(B1142="","",IFERROR(VLOOKUP(B1142, PLANTA_BASE!A:W, 3, FALSE), ""))</f>
        <v/>
      </c>
      <c r="D1142" s="2" t="str">
        <f>IF(B1142="","",IFERROR(VLOOKUP(B1142, PLANTA_BASE!A:W, 5, FALSE), "NO ENCONTRADO EN PLANTA"))</f>
        <v/>
      </c>
      <c r="E1142" s="2" t="str">
        <f>IF(B1142="","",IFERROR(VLOOKUP(B1142, PLANTA_BASE!A:W, 6, FALSE), "NO ENCONTRADO EN PLANTA"))</f>
        <v/>
      </c>
      <c r="F1142" s="4" t="str">
        <f>IF(B1142="","",IFERROR(VLOOKUP(B1142, PLANTA_BASE!A:W, 8, FALSE), "DOCENTE / FACILITADOR"))</f>
        <v/>
      </c>
      <c r="G1142" s="4" t="str">
        <f>IF(B1142="","",IFERROR(VLOOKUP(B1142, PLANTA_BASE!A:W, 9, FALSE), "GENERAL"))</f>
        <v/>
      </c>
      <c r="H1142" s="2" t="str">
        <f>IF(B1142="","",IFERROR(VLOOKUP(B1142, PLANTA_BASE!A:W, 17, FALSE), "GENERAL"))</f>
        <v/>
      </c>
    </row>
    <row r="1143" spans="1:8" ht="20.100000000000001" customHeight="1" x14ac:dyDescent="0.25">
      <c r="A1143" s="5" t="str">
        <f>IF(B1143="","",IFERROR(VLOOKUP(B1143, PLANTA_BASE!A:W, 2, FALSE), "NO ENCONTRADO EN PLANTA"))</f>
        <v/>
      </c>
      <c r="B1143" s="6"/>
      <c r="C1143" s="7" t="str">
        <f>IF(B1143="","",IFERROR(VLOOKUP(B1143, PLANTA_BASE!A:W, 3, FALSE), ""))</f>
        <v/>
      </c>
      <c r="D1143" s="5" t="str">
        <f>IF(B1143="","",IFERROR(VLOOKUP(B1143, PLANTA_BASE!A:W, 5, FALSE), "NO ENCONTRADO EN PLANTA"))</f>
        <v/>
      </c>
      <c r="E1143" s="5" t="str">
        <f>IF(B1143="","",IFERROR(VLOOKUP(B1143, PLANTA_BASE!A:W, 6, FALSE), "NO ENCONTRADO EN PLANTA"))</f>
        <v/>
      </c>
      <c r="F1143" s="7" t="str">
        <f>IF(B1143="","",IFERROR(VLOOKUP(B1143, PLANTA_BASE!A:W, 8, FALSE), "DOCENTE / FACILITADOR"))</f>
        <v/>
      </c>
      <c r="G1143" s="7" t="str">
        <f>IF(B1143="","",IFERROR(VLOOKUP(B1143, PLANTA_BASE!A:W, 9, FALSE), "GENERAL"))</f>
        <v/>
      </c>
      <c r="H1143" s="5" t="str">
        <f>IF(B1143="","",IFERROR(VLOOKUP(B1143, PLANTA_BASE!A:W, 17, FALSE), "GENERAL"))</f>
        <v/>
      </c>
    </row>
    <row r="1144" spans="1:8" ht="20.100000000000001" customHeight="1" x14ac:dyDescent="0.25">
      <c r="A1144" s="2" t="str">
        <f>IF(B1144="","",IFERROR(VLOOKUP(B1144, PLANTA_BASE!A:W, 2, FALSE), "NO ENCONTRADO EN PLANTA"))</f>
        <v/>
      </c>
      <c r="B1144" s="3"/>
      <c r="C1144" s="4" t="str">
        <f>IF(B1144="","",IFERROR(VLOOKUP(B1144, PLANTA_BASE!A:W, 3, FALSE), ""))</f>
        <v/>
      </c>
      <c r="D1144" s="2" t="str">
        <f>IF(B1144="","",IFERROR(VLOOKUP(B1144, PLANTA_BASE!A:W, 5, FALSE), "NO ENCONTRADO EN PLANTA"))</f>
        <v/>
      </c>
      <c r="E1144" s="2" t="str">
        <f>IF(B1144="","",IFERROR(VLOOKUP(B1144, PLANTA_BASE!A:W, 6, FALSE), "NO ENCONTRADO EN PLANTA"))</f>
        <v/>
      </c>
      <c r="F1144" s="4" t="str">
        <f>IF(B1144="","",IFERROR(VLOOKUP(B1144, PLANTA_BASE!A:W, 8, FALSE), "DOCENTE / FACILITADOR"))</f>
        <v/>
      </c>
      <c r="G1144" s="4" t="str">
        <f>IF(B1144="","",IFERROR(VLOOKUP(B1144, PLANTA_BASE!A:W, 9, FALSE), "GENERAL"))</f>
        <v/>
      </c>
      <c r="H1144" s="2" t="str">
        <f>IF(B1144="","",IFERROR(VLOOKUP(B1144, PLANTA_BASE!A:W, 17, FALSE), "GENERAL"))</f>
        <v/>
      </c>
    </row>
    <row r="1145" spans="1:8" ht="20.100000000000001" customHeight="1" x14ac:dyDescent="0.25">
      <c r="A1145" s="5" t="str">
        <f>IF(B1145="","",IFERROR(VLOOKUP(B1145, PLANTA_BASE!A:W, 2, FALSE), "NO ENCONTRADO EN PLANTA"))</f>
        <v/>
      </c>
      <c r="B1145" s="6"/>
      <c r="C1145" s="7" t="str">
        <f>IF(B1145="","",IFERROR(VLOOKUP(B1145, PLANTA_BASE!A:W, 3, FALSE), ""))</f>
        <v/>
      </c>
      <c r="D1145" s="5" t="str">
        <f>IF(B1145="","",IFERROR(VLOOKUP(B1145, PLANTA_BASE!A:W, 5, FALSE), "NO ENCONTRADO EN PLANTA"))</f>
        <v/>
      </c>
      <c r="E1145" s="5" t="str">
        <f>IF(B1145="","",IFERROR(VLOOKUP(B1145, PLANTA_BASE!A:W, 6, FALSE), "NO ENCONTRADO EN PLANTA"))</f>
        <v/>
      </c>
      <c r="F1145" s="7" t="str">
        <f>IF(B1145="","",IFERROR(VLOOKUP(B1145, PLANTA_BASE!A:W, 8, FALSE), "DOCENTE / FACILITADOR"))</f>
        <v/>
      </c>
      <c r="G1145" s="7" t="str">
        <f>IF(B1145="","",IFERROR(VLOOKUP(B1145, PLANTA_BASE!A:W, 9, FALSE), "GENERAL"))</f>
        <v/>
      </c>
      <c r="H1145" s="5" t="str">
        <f>IF(B1145="","",IFERROR(VLOOKUP(B1145, PLANTA_BASE!A:W, 17, FALSE), "GENERAL"))</f>
        <v/>
      </c>
    </row>
    <row r="1146" spans="1:8" ht="20.100000000000001" customHeight="1" x14ac:dyDescent="0.25">
      <c r="A1146" s="2" t="str">
        <f>IF(B1146="","",IFERROR(VLOOKUP(B1146, PLANTA_BASE!A:W, 2, FALSE), "NO ENCONTRADO EN PLANTA"))</f>
        <v/>
      </c>
      <c r="B1146" s="3"/>
      <c r="C1146" s="4" t="str">
        <f>IF(B1146="","",IFERROR(VLOOKUP(B1146, PLANTA_BASE!A:W, 3, FALSE), ""))</f>
        <v/>
      </c>
      <c r="D1146" s="2" t="str">
        <f>IF(B1146="","",IFERROR(VLOOKUP(B1146, PLANTA_BASE!A:W, 5, FALSE), "NO ENCONTRADO EN PLANTA"))</f>
        <v/>
      </c>
      <c r="E1146" s="2" t="str">
        <f>IF(B1146="","",IFERROR(VLOOKUP(B1146, PLANTA_BASE!A:W, 6, FALSE), "NO ENCONTRADO EN PLANTA"))</f>
        <v/>
      </c>
      <c r="F1146" s="4" t="str">
        <f>IF(B1146="","",IFERROR(VLOOKUP(B1146, PLANTA_BASE!A:W, 8, FALSE), "DOCENTE / FACILITADOR"))</f>
        <v/>
      </c>
      <c r="G1146" s="4" t="str">
        <f>IF(B1146="","",IFERROR(VLOOKUP(B1146, PLANTA_BASE!A:W, 9, FALSE), "GENERAL"))</f>
        <v/>
      </c>
      <c r="H1146" s="2" t="str">
        <f>IF(B1146="","",IFERROR(VLOOKUP(B1146, PLANTA_BASE!A:W, 17, FALSE), "GENERAL"))</f>
        <v/>
      </c>
    </row>
    <row r="1147" spans="1:8" ht="20.100000000000001" customHeight="1" x14ac:dyDescent="0.25">
      <c r="A1147" s="5" t="str">
        <f>IF(B1147="","",IFERROR(VLOOKUP(B1147, PLANTA_BASE!A:W, 2, FALSE), "NO ENCONTRADO EN PLANTA"))</f>
        <v/>
      </c>
      <c r="B1147" s="6"/>
      <c r="C1147" s="7" t="str">
        <f>IF(B1147="","",IFERROR(VLOOKUP(B1147, PLANTA_BASE!A:W, 3, FALSE), ""))</f>
        <v/>
      </c>
      <c r="D1147" s="5" t="str">
        <f>IF(B1147="","",IFERROR(VLOOKUP(B1147, PLANTA_BASE!A:W, 5, FALSE), "NO ENCONTRADO EN PLANTA"))</f>
        <v/>
      </c>
      <c r="E1147" s="5" t="str">
        <f>IF(B1147="","",IFERROR(VLOOKUP(B1147, PLANTA_BASE!A:W, 6, FALSE), "NO ENCONTRADO EN PLANTA"))</f>
        <v/>
      </c>
      <c r="F1147" s="7" t="str">
        <f>IF(B1147="","",IFERROR(VLOOKUP(B1147, PLANTA_BASE!A:W, 8, FALSE), "DOCENTE / FACILITADOR"))</f>
        <v/>
      </c>
      <c r="G1147" s="7" t="str">
        <f>IF(B1147="","",IFERROR(VLOOKUP(B1147, PLANTA_BASE!A:W, 9, FALSE), "GENERAL"))</f>
        <v/>
      </c>
      <c r="H1147" s="5" t="str">
        <f>IF(B1147="","",IFERROR(VLOOKUP(B1147, PLANTA_BASE!A:W, 17, FALSE), "GENERAL"))</f>
        <v/>
      </c>
    </row>
    <row r="1148" spans="1:8" ht="20.100000000000001" customHeight="1" x14ac:dyDescent="0.25">
      <c r="A1148" s="2" t="str">
        <f>IF(B1148="","",IFERROR(VLOOKUP(B1148, PLANTA_BASE!A:W, 2, FALSE), "NO ENCONTRADO EN PLANTA"))</f>
        <v/>
      </c>
      <c r="B1148" s="3"/>
      <c r="C1148" s="4" t="str">
        <f>IF(B1148="","",IFERROR(VLOOKUP(B1148, PLANTA_BASE!A:W, 3, FALSE), ""))</f>
        <v/>
      </c>
      <c r="D1148" s="2" t="str">
        <f>IF(B1148="","",IFERROR(VLOOKUP(B1148, PLANTA_BASE!A:W, 5, FALSE), "NO ENCONTRADO EN PLANTA"))</f>
        <v/>
      </c>
      <c r="E1148" s="2" t="str">
        <f>IF(B1148="","",IFERROR(VLOOKUP(B1148, PLANTA_BASE!A:W, 6, FALSE), "NO ENCONTRADO EN PLANTA"))</f>
        <v/>
      </c>
      <c r="F1148" s="4" t="str">
        <f>IF(B1148="","",IFERROR(VLOOKUP(B1148, PLANTA_BASE!A:W, 8, FALSE), "DOCENTE / FACILITADOR"))</f>
        <v/>
      </c>
      <c r="G1148" s="4" t="str">
        <f>IF(B1148="","",IFERROR(VLOOKUP(B1148, PLANTA_BASE!A:W, 9, FALSE), "GENERAL"))</f>
        <v/>
      </c>
      <c r="H1148" s="2" t="str">
        <f>IF(B1148="","",IFERROR(VLOOKUP(B1148, PLANTA_BASE!A:W, 17, FALSE), "GENERAL"))</f>
        <v/>
      </c>
    </row>
    <row r="1149" spans="1:8" ht="20.100000000000001" customHeight="1" x14ac:dyDescent="0.25">
      <c r="A1149" s="5" t="str">
        <f>IF(B1149="","",IFERROR(VLOOKUP(B1149, PLANTA_BASE!A:W, 2, FALSE), "NO ENCONTRADO EN PLANTA"))</f>
        <v/>
      </c>
      <c r="B1149" s="6"/>
      <c r="C1149" s="7" t="str">
        <f>IF(B1149="","",IFERROR(VLOOKUP(B1149, PLANTA_BASE!A:W, 3, FALSE), ""))</f>
        <v/>
      </c>
      <c r="D1149" s="5" t="str">
        <f>IF(B1149="","",IFERROR(VLOOKUP(B1149, PLANTA_BASE!A:W, 5, FALSE), "NO ENCONTRADO EN PLANTA"))</f>
        <v/>
      </c>
      <c r="E1149" s="5" t="str">
        <f>IF(B1149="","",IFERROR(VLOOKUP(B1149, PLANTA_BASE!A:W, 6, FALSE), "NO ENCONTRADO EN PLANTA"))</f>
        <v/>
      </c>
      <c r="F1149" s="7" t="str">
        <f>IF(B1149="","",IFERROR(VLOOKUP(B1149, PLANTA_BASE!A:W, 8, FALSE), "DOCENTE / FACILITADOR"))</f>
        <v/>
      </c>
      <c r="G1149" s="7" t="str">
        <f>IF(B1149="","",IFERROR(VLOOKUP(B1149, PLANTA_BASE!A:W, 9, FALSE), "GENERAL"))</f>
        <v/>
      </c>
      <c r="H1149" s="5" t="str">
        <f>IF(B1149="","",IFERROR(VLOOKUP(B1149, PLANTA_BASE!A:W, 17, FALSE), "GENERAL"))</f>
        <v/>
      </c>
    </row>
    <row r="1150" spans="1:8" ht="20.100000000000001" customHeight="1" x14ac:dyDescent="0.25">
      <c r="A1150" s="2" t="str">
        <f>IF(B1150="","",IFERROR(VLOOKUP(B1150, PLANTA_BASE!A:W, 2, FALSE), "NO ENCONTRADO EN PLANTA"))</f>
        <v/>
      </c>
      <c r="B1150" s="3"/>
      <c r="C1150" s="4" t="str">
        <f>IF(B1150="","",IFERROR(VLOOKUP(B1150, PLANTA_BASE!A:W, 3, FALSE), ""))</f>
        <v/>
      </c>
      <c r="D1150" s="2" t="str">
        <f>IF(B1150="","",IFERROR(VLOOKUP(B1150, PLANTA_BASE!A:W, 5, FALSE), "NO ENCONTRADO EN PLANTA"))</f>
        <v/>
      </c>
      <c r="E1150" s="2" t="str">
        <f>IF(B1150="","",IFERROR(VLOOKUP(B1150, PLANTA_BASE!A:W, 6, FALSE), "NO ENCONTRADO EN PLANTA"))</f>
        <v/>
      </c>
      <c r="F1150" s="4" t="str">
        <f>IF(B1150="","",IFERROR(VLOOKUP(B1150, PLANTA_BASE!A:W, 8, FALSE), "DOCENTE / FACILITADOR"))</f>
        <v/>
      </c>
      <c r="G1150" s="4" t="str">
        <f>IF(B1150="","",IFERROR(VLOOKUP(B1150, PLANTA_BASE!A:W, 9, FALSE), "GENERAL"))</f>
        <v/>
      </c>
      <c r="H1150" s="2" t="str">
        <f>IF(B1150="","",IFERROR(VLOOKUP(B1150, PLANTA_BASE!A:W, 17, FALSE), "GENERAL"))</f>
        <v/>
      </c>
    </row>
    <row r="1151" spans="1:8" ht="20.100000000000001" customHeight="1" x14ac:dyDescent="0.25">
      <c r="A1151" s="5" t="str">
        <f>IF(B1151="","",IFERROR(VLOOKUP(B1151, PLANTA_BASE!A:W, 2, FALSE), "NO ENCONTRADO EN PLANTA"))</f>
        <v/>
      </c>
      <c r="B1151" s="6"/>
      <c r="C1151" s="7" t="str">
        <f>IF(B1151="","",IFERROR(VLOOKUP(B1151, PLANTA_BASE!A:W, 3, FALSE), ""))</f>
        <v/>
      </c>
      <c r="D1151" s="5" t="str">
        <f>IF(B1151="","",IFERROR(VLOOKUP(B1151, PLANTA_BASE!A:W, 5, FALSE), "NO ENCONTRADO EN PLANTA"))</f>
        <v/>
      </c>
      <c r="E1151" s="5" t="str">
        <f>IF(B1151="","",IFERROR(VLOOKUP(B1151, PLANTA_BASE!A:W, 6, FALSE), "NO ENCONTRADO EN PLANTA"))</f>
        <v/>
      </c>
      <c r="F1151" s="7" t="str">
        <f>IF(B1151="","",IFERROR(VLOOKUP(B1151, PLANTA_BASE!A:W, 8, FALSE), "DOCENTE / FACILITADOR"))</f>
        <v/>
      </c>
      <c r="G1151" s="7" t="str">
        <f>IF(B1151="","",IFERROR(VLOOKUP(B1151, PLANTA_BASE!A:W, 9, FALSE), "GENERAL"))</f>
        <v/>
      </c>
      <c r="H1151" s="5" t="str">
        <f>IF(B1151="","",IFERROR(VLOOKUP(B1151, PLANTA_BASE!A:W, 17, FALSE), "GENERAL"))</f>
        <v/>
      </c>
    </row>
    <row r="1152" spans="1:8" ht="20.100000000000001" customHeight="1" x14ac:dyDescent="0.25">
      <c r="A1152" s="2" t="str">
        <f>IF(B1152="","",IFERROR(VLOOKUP(B1152, PLANTA_BASE!A:W, 2, FALSE), "NO ENCONTRADO EN PLANTA"))</f>
        <v/>
      </c>
      <c r="B1152" s="3"/>
      <c r="C1152" s="4" t="str">
        <f>IF(B1152="","",IFERROR(VLOOKUP(B1152, PLANTA_BASE!A:W, 3, FALSE), ""))</f>
        <v/>
      </c>
      <c r="D1152" s="2" t="str">
        <f>IF(B1152="","",IFERROR(VLOOKUP(B1152, PLANTA_BASE!A:W, 5, FALSE), "NO ENCONTRADO EN PLANTA"))</f>
        <v/>
      </c>
      <c r="E1152" s="2" t="str">
        <f>IF(B1152="","",IFERROR(VLOOKUP(B1152, PLANTA_BASE!A:W, 6, FALSE), "NO ENCONTRADO EN PLANTA"))</f>
        <v/>
      </c>
      <c r="F1152" s="4" t="str">
        <f>IF(B1152="","",IFERROR(VLOOKUP(B1152, PLANTA_BASE!A:W, 8, FALSE), "DOCENTE / FACILITADOR"))</f>
        <v/>
      </c>
      <c r="G1152" s="4" t="str">
        <f>IF(B1152="","",IFERROR(VLOOKUP(B1152, PLANTA_BASE!A:W, 9, FALSE), "GENERAL"))</f>
        <v/>
      </c>
      <c r="H1152" s="2" t="str">
        <f>IF(B1152="","",IFERROR(VLOOKUP(B1152, PLANTA_BASE!A:W, 17, FALSE), "GENERAL"))</f>
        <v/>
      </c>
    </row>
    <row r="1153" spans="1:8" ht="20.100000000000001" customHeight="1" x14ac:dyDescent="0.25">
      <c r="A1153" s="5" t="str">
        <f>IF(B1153="","",IFERROR(VLOOKUP(B1153, PLANTA_BASE!A:W, 2, FALSE), "NO ENCONTRADO EN PLANTA"))</f>
        <v/>
      </c>
      <c r="B1153" s="6"/>
      <c r="C1153" s="7" t="str">
        <f>IF(B1153="","",IFERROR(VLOOKUP(B1153, PLANTA_BASE!A:W, 3, FALSE), ""))</f>
        <v/>
      </c>
      <c r="D1153" s="5" t="str">
        <f>IF(B1153="","",IFERROR(VLOOKUP(B1153, PLANTA_BASE!A:W, 5, FALSE), "NO ENCONTRADO EN PLANTA"))</f>
        <v/>
      </c>
      <c r="E1153" s="5" t="str">
        <f>IF(B1153="","",IFERROR(VLOOKUP(B1153, PLANTA_BASE!A:W, 6, FALSE), "NO ENCONTRADO EN PLANTA"))</f>
        <v/>
      </c>
      <c r="F1153" s="7" t="str">
        <f>IF(B1153="","",IFERROR(VLOOKUP(B1153, PLANTA_BASE!A:W, 8, FALSE), "DOCENTE / FACILITADOR"))</f>
        <v/>
      </c>
      <c r="G1153" s="7" t="str">
        <f>IF(B1153="","",IFERROR(VLOOKUP(B1153, PLANTA_BASE!A:W, 9, FALSE), "GENERAL"))</f>
        <v/>
      </c>
      <c r="H1153" s="5" t="str">
        <f>IF(B1153="","",IFERROR(VLOOKUP(B1153, PLANTA_BASE!A:W, 17, FALSE), "GENERAL"))</f>
        <v/>
      </c>
    </row>
    <row r="1154" spans="1:8" ht="20.100000000000001" customHeight="1" x14ac:dyDescent="0.25">
      <c r="A1154" s="2" t="str">
        <f>IF(B1154="","",IFERROR(VLOOKUP(B1154, PLANTA_BASE!A:W, 2, FALSE), "NO ENCONTRADO EN PLANTA"))</f>
        <v/>
      </c>
      <c r="B1154" s="3"/>
      <c r="C1154" s="4" t="str">
        <f>IF(B1154="","",IFERROR(VLOOKUP(B1154, PLANTA_BASE!A:W, 3, FALSE), ""))</f>
        <v/>
      </c>
      <c r="D1154" s="2" t="str">
        <f>IF(B1154="","",IFERROR(VLOOKUP(B1154, PLANTA_BASE!A:W, 5, FALSE), "NO ENCONTRADO EN PLANTA"))</f>
        <v/>
      </c>
      <c r="E1154" s="2" t="str">
        <f>IF(B1154="","",IFERROR(VLOOKUP(B1154, PLANTA_BASE!A:W, 6, FALSE), "NO ENCONTRADO EN PLANTA"))</f>
        <v/>
      </c>
      <c r="F1154" s="4" t="str">
        <f>IF(B1154="","",IFERROR(VLOOKUP(B1154, PLANTA_BASE!A:W, 8, FALSE), "DOCENTE / FACILITADOR"))</f>
        <v/>
      </c>
      <c r="G1154" s="4" t="str">
        <f>IF(B1154="","",IFERROR(VLOOKUP(B1154, PLANTA_BASE!A:W, 9, FALSE), "GENERAL"))</f>
        <v/>
      </c>
      <c r="H1154" s="2" t="str">
        <f>IF(B1154="","",IFERROR(VLOOKUP(B1154, PLANTA_BASE!A:W, 17, FALSE), "GENERAL"))</f>
        <v/>
      </c>
    </row>
    <row r="1155" spans="1:8" ht="20.100000000000001" customHeight="1" x14ac:dyDescent="0.25">
      <c r="A1155" s="5" t="str">
        <f>IF(B1155="","",IFERROR(VLOOKUP(B1155, PLANTA_BASE!A:W, 2, FALSE), "NO ENCONTRADO EN PLANTA"))</f>
        <v/>
      </c>
      <c r="B1155" s="6"/>
      <c r="C1155" s="7" t="str">
        <f>IF(B1155="","",IFERROR(VLOOKUP(B1155, PLANTA_BASE!A:W, 3, FALSE), ""))</f>
        <v/>
      </c>
      <c r="D1155" s="5" t="str">
        <f>IF(B1155="","",IFERROR(VLOOKUP(B1155, PLANTA_BASE!A:W, 5, FALSE), "NO ENCONTRADO EN PLANTA"))</f>
        <v/>
      </c>
      <c r="E1155" s="5" t="str">
        <f>IF(B1155="","",IFERROR(VLOOKUP(B1155, PLANTA_BASE!A:W, 6, FALSE), "NO ENCONTRADO EN PLANTA"))</f>
        <v/>
      </c>
      <c r="F1155" s="7" t="str">
        <f>IF(B1155="","",IFERROR(VLOOKUP(B1155, PLANTA_BASE!A:W, 8, FALSE), "DOCENTE / FACILITADOR"))</f>
        <v/>
      </c>
      <c r="G1155" s="7" t="str">
        <f>IF(B1155="","",IFERROR(VLOOKUP(B1155, PLANTA_BASE!A:W, 9, FALSE), "GENERAL"))</f>
        <v/>
      </c>
      <c r="H1155" s="5" t="str">
        <f>IF(B1155="","",IFERROR(VLOOKUP(B1155, PLANTA_BASE!A:W, 17, FALSE), "GENERAL"))</f>
        <v/>
      </c>
    </row>
    <row r="1156" spans="1:8" ht="20.100000000000001" customHeight="1" x14ac:dyDescent="0.25">
      <c r="A1156" s="2" t="str">
        <f>IF(B1156="","",IFERROR(VLOOKUP(B1156, PLANTA_BASE!A:W, 2, FALSE), "NO ENCONTRADO EN PLANTA"))</f>
        <v/>
      </c>
      <c r="B1156" s="3"/>
      <c r="C1156" s="4" t="str">
        <f>IF(B1156="","",IFERROR(VLOOKUP(B1156, PLANTA_BASE!A:W, 3, FALSE), ""))</f>
        <v/>
      </c>
      <c r="D1156" s="2" t="str">
        <f>IF(B1156="","",IFERROR(VLOOKUP(B1156, PLANTA_BASE!A:W, 5, FALSE), "NO ENCONTRADO EN PLANTA"))</f>
        <v/>
      </c>
      <c r="E1156" s="2" t="str">
        <f>IF(B1156="","",IFERROR(VLOOKUP(B1156, PLANTA_BASE!A:W, 6, FALSE), "NO ENCONTRADO EN PLANTA"))</f>
        <v/>
      </c>
      <c r="F1156" s="4" t="str">
        <f>IF(B1156="","",IFERROR(VLOOKUP(B1156, PLANTA_BASE!A:W, 8, FALSE), "DOCENTE / FACILITADOR"))</f>
        <v/>
      </c>
      <c r="G1156" s="4" t="str">
        <f>IF(B1156="","",IFERROR(VLOOKUP(B1156, PLANTA_BASE!A:W, 9, FALSE), "GENERAL"))</f>
        <v/>
      </c>
      <c r="H1156" s="2" t="str">
        <f>IF(B1156="","",IFERROR(VLOOKUP(B1156, PLANTA_BASE!A:W, 17, FALSE), "GENERAL"))</f>
        <v/>
      </c>
    </row>
    <row r="1157" spans="1:8" ht="20.100000000000001" customHeight="1" x14ac:dyDescent="0.25">
      <c r="A1157" s="5" t="str">
        <f>IF(B1157="","",IFERROR(VLOOKUP(B1157, PLANTA_BASE!A:W, 2, FALSE), "NO ENCONTRADO EN PLANTA"))</f>
        <v/>
      </c>
      <c r="B1157" s="6"/>
      <c r="C1157" s="7" t="str">
        <f>IF(B1157="","",IFERROR(VLOOKUP(B1157, PLANTA_BASE!A:W, 3, FALSE), ""))</f>
        <v/>
      </c>
      <c r="D1157" s="5" t="str">
        <f>IF(B1157="","",IFERROR(VLOOKUP(B1157, PLANTA_BASE!A:W, 5, FALSE), "NO ENCONTRADO EN PLANTA"))</f>
        <v/>
      </c>
      <c r="E1157" s="5" t="str">
        <f>IF(B1157="","",IFERROR(VLOOKUP(B1157, PLANTA_BASE!A:W, 6, FALSE), "NO ENCONTRADO EN PLANTA"))</f>
        <v/>
      </c>
      <c r="F1157" s="7" t="str">
        <f>IF(B1157="","",IFERROR(VLOOKUP(B1157, PLANTA_BASE!A:W, 8, FALSE), "DOCENTE / FACILITADOR"))</f>
        <v/>
      </c>
      <c r="G1157" s="7" t="str">
        <f>IF(B1157="","",IFERROR(VLOOKUP(B1157, PLANTA_BASE!A:W, 9, FALSE), "GENERAL"))</f>
        <v/>
      </c>
      <c r="H1157" s="5" t="str">
        <f>IF(B1157="","",IFERROR(VLOOKUP(B1157, PLANTA_BASE!A:W, 17, FALSE), "GENERAL"))</f>
        <v/>
      </c>
    </row>
    <row r="1158" spans="1:8" ht="20.100000000000001" customHeight="1" x14ac:dyDescent="0.25">
      <c r="A1158" s="2" t="str">
        <f>IF(B1158="","",IFERROR(VLOOKUP(B1158, PLANTA_BASE!A:W, 2, FALSE), "NO ENCONTRADO EN PLANTA"))</f>
        <v/>
      </c>
      <c r="B1158" s="3"/>
      <c r="C1158" s="4" t="str">
        <f>IF(B1158="","",IFERROR(VLOOKUP(B1158, PLANTA_BASE!A:W, 3, FALSE), ""))</f>
        <v/>
      </c>
      <c r="D1158" s="2" t="str">
        <f>IF(B1158="","",IFERROR(VLOOKUP(B1158, PLANTA_BASE!A:W, 5, FALSE), "NO ENCONTRADO EN PLANTA"))</f>
        <v/>
      </c>
      <c r="E1158" s="2" t="str">
        <f>IF(B1158="","",IFERROR(VLOOKUP(B1158, PLANTA_BASE!A:W, 6, FALSE), "NO ENCONTRADO EN PLANTA"))</f>
        <v/>
      </c>
      <c r="F1158" s="4" t="str">
        <f>IF(B1158="","",IFERROR(VLOOKUP(B1158, PLANTA_BASE!A:W, 8, FALSE), "DOCENTE / FACILITADOR"))</f>
        <v/>
      </c>
      <c r="G1158" s="4" t="str">
        <f>IF(B1158="","",IFERROR(VLOOKUP(B1158, PLANTA_BASE!A:W, 9, FALSE), "GENERAL"))</f>
        <v/>
      </c>
      <c r="H1158" s="2" t="str">
        <f>IF(B1158="","",IFERROR(VLOOKUP(B1158, PLANTA_BASE!A:W, 17, FALSE), "GENERAL"))</f>
        <v/>
      </c>
    </row>
    <row r="1159" spans="1:8" ht="20.100000000000001" customHeight="1" x14ac:dyDescent="0.25">
      <c r="A1159" s="5" t="str">
        <f>IF(B1159="","",IFERROR(VLOOKUP(B1159, PLANTA_BASE!A:W, 2, FALSE), "NO ENCONTRADO EN PLANTA"))</f>
        <v/>
      </c>
      <c r="B1159" s="6"/>
      <c r="C1159" s="7" t="str">
        <f>IF(B1159="","",IFERROR(VLOOKUP(B1159, PLANTA_BASE!A:W, 3, FALSE), ""))</f>
        <v/>
      </c>
      <c r="D1159" s="5" t="str">
        <f>IF(B1159="","",IFERROR(VLOOKUP(B1159, PLANTA_BASE!A:W, 5, FALSE), "NO ENCONTRADO EN PLANTA"))</f>
        <v/>
      </c>
      <c r="E1159" s="5" t="str">
        <f>IF(B1159="","",IFERROR(VLOOKUP(B1159, PLANTA_BASE!A:W, 6, FALSE), "NO ENCONTRADO EN PLANTA"))</f>
        <v/>
      </c>
      <c r="F1159" s="7" t="str">
        <f>IF(B1159="","",IFERROR(VLOOKUP(B1159, PLANTA_BASE!A:W, 8, FALSE), "DOCENTE / FACILITADOR"))</f>
        <v/>
      </c>
      <c r="G1159" s="7" t="str">
        <f>IF(B1159="","",IFERROR(VLOOKUP(B1159, PLANTA_BASE!A:W, 9, FALSE), "GENERAL"))</f>
        <v/>
      </c>
      <c r="H1159" s="5" t="str">
        <f>IF(B1159="","",IFERROR(VLOOKUP(B1159, PLANTA_BASE!A:W, 17, FALSE), "GENERAL"))</f>
        <v/>
      </c>
    </row>
    <row r="1160" spans="1:8" ht="20.100000000000001" customHeight="1" x14ac:dyDescent="0.25">
      <c r="A1160" s="2" t="str">
        <f>IF(B1160="","",IFERROR(VLOOKUP(B1160, PLANTA_BASE!A:W, 2, FALSE), "NO ENCONTRADO EN PLANTA"))</f>
        <v/>
      </c>
      <c r="B1160" s="3"/>
      <c r="C1160" s="4" t="str">
        <f>IF(B1160="","",IFERROR(VLOOKUP(B1160, PLANTA_BASE!A:W, 3, FALSE), ""))</f>
        <v/>
      </c>
      <c r="D1160" s="2" t="str">
        <f>IF(B1160="","",IFERROR(VLOOKUP(B1160, PLANTA_BASE!A:W, 5, FALSE), "NO ENCONTRADO EN PLANTA"))</f>
        <v/>
      </c>
      <c r="E1160" s="2" t="str">
        <f>IF(B1160="","",IFERROR(VLOOKUP(B1160, PLANTA_BASE!A:W, 6, FALSE), "NO ENCONTRADO EN PLANTA"))</f>
        <v/>
      </c>
      <c r="F1160" s="4" t="str">
        <f>IF(B1160="","",IFERROR(VLOOKUP(B1160, PLANTA_BASE!A:W, 8, FALSE), "DOCENTE / FACILITADOR"))</f>
        <v/>
      </c>
      <c r="G1160" s="4" t="str">
        <f>IF(B1160="","",IFERROR(VLOOKUP(B1160, PLANTA_BASE!A:W, 9, FALSE), "GENERAL"))</f>
        <v/>
      </c>
      <c r="H1160" s="2" t="str">
        <f>IF(B1160="","",IFERROR(VLOOKUP(B1160, PLANTA_BASE!A:W, 17, FALSE), "GENERAL"))</f>
        <v/>
      </c>
    </row>
    <row r="1161" spans="1:8" ht="20.100000000000001" customHeight="1" x14ac:dyDescent="0.25">
      <c r="A1161" s="5" t="str">
        <f>IF(B1161="","",IFERROR(VLOOKUP(B1161, PLANTA_BASE!A:W, 2, FALSE), "NO ENCONTRADO EN PLANTA"))</f>
        <v/>
      </c>
      <c r="B1161" s="6"/>
      <c r="C1161" s="7" t="str">
        <f>IF(B1161="","",IFERROR(VLOOKUP(B1161, PLANTA_BASE!A:W, 3, FALSE), ""))</f>
        <v/>
      </c>
      <c r="D1161" s="5" t="str">
        <f>IF(B1161="","",IFERROR(VLOOKUP(B1161, PLANTA_BASE!A:W, 5, FALSE), "NO ENCONTRADO EN PLANTA"))</f>
        <v/>
      </c>
      <c r="E1161" s="5" t="str">
        <f>IF(B1161="","",IFERROR(VLOOKUP(B1161, PLANTA_BASE!A:W, 6, FALSE), "NO ENCONTRADO EN PLANTA"))</f>
        <v/>
      </c>
      <c r="F1161" s="7" t="str">
        <f>IF(B1161="","",IFERROR(VLOOKUP(B1161, PLANTA_BASE!A:W, 8, FALSE), "DOCENTE / FACILITADOR"))</f>
        <v/>
      </c>
      <c r="G1161" s="7" t="str">
        <f>IF(B1161="","",IFERROR(VLOOKUP(B1161, PLANTA_BASE!A:W, 9, FALSE), "GENERAL"))</f>
        <v/>
      </c>
      <c r="H1161" s="5" t="str">
        <f>IF(B1161="","",IFERROR(VLOOKUP(B1161, PLANTA_BASE!A:W, 17, FALSE), "GENERAL"))</f>
        <v/>
      </c>
    </row>
    <row r="1162" spans="1:8" ht="20.100000000000001" customHeight="1" x14ac:dyDescent="0.25">
      <c r="A1162" s="2" t="str">
        <f>IF(B1162="","",IFERROR(VLOOKUP(B1162, PLANTA_BASE!A:W, 2, FALSE), "NO ENCONTRADO EN PLANTA"))</f>
        <v/>
      </c>
      <c r="B1162" s="3"/>
      <c r="C1162" s="4" t="str">
        <f>IF(B1162="","",IFERROR(VLOOKUP(B1162, PLANTA_BASE!A:W, 3, FALSE), ""))</f>
        <v/>
      </c>
      <c r="D1162" s="2" t="str">
        <f>IF(B1162="","",IFERROR(VLOOKUP(B1162, PLANTA_BASE!A:W, 5, FALSE), "NO ENCONTRADO EN PLANTA"))</f>
        <v/>
      </c>
      <c r="E1162" s="2" t="str">
        <f>IF(B1162="","",IFERROR(VLOOKUP(B1162, PLANTA_BASE!A:W, 6, FALSE), "NO ENCONTRADO EN PLANTA"))</f>
        <v/>
      </c>
      <c r="F1162" s="4" t="str">
        <f>IF(B1162="","",IFERROR(VLOOKUP(B1162, PLANTA_BASE!A:W, 8, FALSE), "DOCENTE / FACILITADOR"))</f>
        <v/>
      </c>
      <c r="G1162" s="4" t="str">
        <f>IF(B1162="","",IFERROR(VLOOKUP(B1162, PLANTA_BASE!A:W, 9, FALSE), "GENERAL"))</f>
        <v/>
      </c>
      <c r="H1162" s="2" t="str">
        <f>IF(B1162="","",IFERROR(VLOOKUP(B1162, PLANTA_BASE!A:W, 17, FALSE), "GENERAL"))</f>
        <v/>
      </c>
    </row>
    <row r="1163" spans="1:8" ht="20.100000000000001" customHeight="1" x14ac:dyDescent="0.25">
      <c r="A1163" s="5" t="str">
        <f>IF(B1163="","",IFERROR(VLOOKUP(B1163, PLANTA_BASE!A:W, 2, FALSE), "NO ENCONTRADO EN PLANTA"))</f>
        <v/>
      </c>
      <c r="B1163" s="6"/>
      <c r="C1163" s="7" t="str">
        <f>IF(B1163="","",IFERROR(VLOOKUP(B1163, PLANTA_BASE!A:W, 3, FALSE), ""))</f>
        <v/>
      </c>
      <c r="D1163" s="5" t="str">
        <f>IF(B1163="","",IFERROR(VLOOKUP(B1163, PLANTA_BASE!A:W, 5, FALSE), "NO ENCONTRADO EN PLANTA"))</f>
        <v/>
      </c>
      <c r="E1163" s="5" t="str">
        <f>IF(B1163="","",IFERROR(VLOOKUP(B1163, PLANTA_BASE!A:W, 6, FALSE), "NO ENCONTRADO EN PLANTA"))</f>
        <v/>
      </c>
      <c r="F1163" s="7" t="str">
        <f>IF(B1163="","",IFERROR(VLOOKUP(B1163, PLANTA_BASE!A:W, 8, FALSE), "DOCENTE / FACILITADOR"))</f>
        <v/>
      </c>
      <c r="G1163" s="7" t="str">
        <f>IF(B1163="","",IFERROR(VLOOKUP(B1163, PLANTA_BASE!A:W, 9, FALSE), "GENERAL"))</f>
        <v/>
      </c>
      <c r="H1163" s="5" t="str">
        <f>IF(B1163="","",IFERROR(VLOOKUP(B1163, PLANTA_BASE!A:W, 17, FALSE), "GENERAL"))</f>
        <v/>
      </c>
    </row>
    <row r="1164" spans="1:8" ht="20.100000000000001" customHeight="1" x14ac:dyDescent="0.25">
      <c r="A1164" s="2" t="str">
        <f>IF(B1164="","",IFERROR(VLOOKUP(B1164, PLANTA_BASE!A:W, 2, FALSE), "NO ENCONTRADO EN PLANTA"))</f>
        <v/>
      </c>
      <c r="B1164" s="3"/>
      <c r="C1164" s="4" t="str">
        <f>IF(B1164="","",IFERROR(VLOOKUP(B1164, PLANTA_BASE!A:W, 3, FALSE), ""))</f>
        <v/>
      </c>
      <c r="D1164" s="2" t="str">
        <f>IF(B1164="","",IFERROR(VLOOKUP(B1164, PLANTA_BASE!A:W, 5, FALSE), "NO ENCONTRADO EN PLANTA"))</f>
        <v/>
      </c>
      <c r="E1164" s="2" t="str">
        <f>IF(B1164="","",IFERROR(VLOOKUP(B1164, PLANTA_BASE!A:W, 6, FALSE), "NO ENCONTRADO EN PLANTA"))</f>
        <v/>
      </c>
      <c r="F1164" s="4" t="str">
        <f>IF(B1164="","",IFERROR(VLOOKUP(B1164, PLANTA_BASE!A:W, 8, FALSE), "DOCENTE / FACILITADOR"))</f>
        <v/>
      </c>
      <c r="G1164" s="4" t="str">
        <f>IF(B1164="","",IFERROR(VLOOKUP(B1164, PLANTA_BASE!A:W, 9, FALSE), "GENERAL"))</f>
        <v/>
      </c>
      <c r="H1164" s="2" t="str">
        <f>IF(B1164="","",IFERROR(VLOOKUP(B1164, PLANTA_BASE!A:W, 17, FALSE), "GENERAL"))</f>
        <v/>
      </c>
    </row>
    <row r="1165" spans="1:8" ht="20.100000000000001" customHeight="1" x14ac:dyDescent="0.25">
      <c r="A1165" s="5" t="str">
        <f>IF(B1165="","",IFERROR(VLOOKUP(B1165, PLANTA_BASE!A:W, 2, FALSE), "NO ENCONTRADO EN PLANTA"))</f>
        <v/>
      </c>
      <c r="B1165" s="6"/>
      <c r="C1165" s="7" t="str">
        <f>IF(B1165="","",IFERROR(VLOOKUP(B1165, PLANTA_BASE!A:W, 3, FALSE), ""))</f>
        <v/>
      </c>
      <c r="D1165" s="5" t="str">
        <f>IF(B1165="","",IFERROR(VLOOKUP(B1165, PLANTA_BASE!A:W, 5, FALSE), "NO ENCONTRADO EN PLANTA"))</f>
        <v/>
      </c>
      <c r="E1165" s="5" t="str">
        <f>IF(B1165="","",IFERROR(VLOOKUP(B1165, PLANTA_BASE!A:W, 6, FALSE), "NO ENCONTRADO EN PLANTA"))</f>
        <v/>
      </c>
      <c r="F1165" s="7" t="str">
        <f>IF(B1165="","",IFERROR(VLOOKUP(B1165, PLANTA_BASE!A:W, 8, FALSE), "DOCENTE / FACILITADOR"))</f>
        <v/>
      </c>
      <c r="G1165" s="7" t="str">
        <f>IF(B1165="","",IFERROR(VLOOKUP(B1165, PLANTA_BASE!A:W, 9, FALSE), "GENERAL"))</f>
        <v/>
      </c>
      <c r="H1165" s="5" t="str">
        <f>IF(B1165="","",IFERROR(VLOOKUP(B1165, PLANTA_BASE!A:W, 17, FALSE), "GENERAL"))</f>
        <v/>
      </c>
    </row>
    <row r="1166" spans="1:8" ht="20.100000000000001" customHeight="1" x14ac:dyDescent="0.25">
      <c r="A1166" s="2" t="str">
        <f>IF(B1166="","",IFERROR(VLOOKUP(B1166, PLANTA_BASE!A:W, 2, FALSE), "NO ENCONTRADO EN PLANTA"))</f>
        <v/>
      </c>
      <c r="B1166" s="3"/>
      <c r="C1166" s="4" t="str">
        <f>IF(B1166="","",IFERROR(VLOOKUP(B1166, PLANTA_BASE!A:W, 3, FALSE), ""))</f>
        <v/>
      </c>
      <c r="D1166" s="2" t="str">
        <f>IF(B1166="","",IFERROR(VLOOKUP(B1166, PLANTA_BASE!A:W, 5, FALSE), "NO ENCONTRADO EN PLANTA"))</f>
        <v/>
      </c>
      <c r="E1166" s="2" t="str">
        <f>IF(B1166="","",IFERROR(VLOOKUP(B1166, PLANTA_BASE!A:W, 6, FALSE), "NO ENCONTRADO EN PLANTA"))</f>
        <v/>
      </c>
      <c r="F1166" s="4" t="str">
        <f>IF(B1166="","",IFERROR(VLOOKUP(B1166, PLANTA_BASE!A:W, 8, FALSE), "DOCENTE / FACILITADOR"))</f>
        <v/>
      </c>
      <c r="G1166" s="4" t="str">
        <f>IF(B1166="","",IFERROR(VLOOKUP(B1166, PLANTA_BASE!A:W, 9, FALSE), "GENERAL"))</f>
        <v/>
      </c>
      <c r="H1166" s="2" t="str">
        <f>IF(B1166="","",IFERROR(VLOOKUP(B1166, PLANTA_BASE!A:W, 17, FALSE), "GENERAL"))</f>
        <v/>
      </c>
    </row>
    <row r="1167" spans="1:8" ht="20.100000000000001" customHeight="1" x14ac:dyDescent="0.25">
      <c r="A1167" s="5" t="str">
        <f>IF(B1167="","",IFERROR(VLOOKUP(B1167, PLANTA_BASE!A:W, 2, FALSE), "NO ENCONTRADO EN PLANTA"))</f>
        <v/>
      </c>
      <c r="B1167" s="6"/>
      <c r="C1167" s="7" t="str">
        <f>IF(B1167="","",IFERROR(VLOOKUP(B1167, PLANTA_BASE!A:W, 3, FALSE), ""))</f>
        <v/>
      </c>
      <c r="D1167" s="5" t="str">
        <f>IF(B1167="","",IFERROR(VLOOKUP(B1167, PLANTA_BASE!A:W, 5, FALSE), "NO ENCONTRADO EN PLANTA"))</f>
        <v/>
      </c>
      <c r="E1167" s="5" t="str">
        <f>IF(B1167="","",IFERROR(VLOOKUP(B1167, PLANTA_BASE!A:W, 6, FALSE), "NO ENCONTRADO EN PLANTA"))</f>
        <v/>
      </c>
      <c r="F1167" s="7" t="str">
        <f>IF(B1167="","",IFERROR(VLOOKUP(B1167, PLANTA_BASE!A:W, 8, FALSE), "DOCENTE / FACILITADOR"))</f>
        <v/>
      </c>
      <c r="G1167" s="7" t="str">
        <f>IF(B1167="","",IFERROR(VLOOKUP(B1167, PLANTA_BASE!A:W, 9, FALSE), "GENERAL"))</f>
        <v/>
      </c>
      <c r="H1167" s="5" t="str">
        <f>IF(B1167="","",IFERROR(VLOOKUP(B1167, PLANTA_BASE!A:W, 17, FALSE), "GENERAL"))</f>
        <v/>
      </c>
    </row>
    <row r="1168" spans="1:8" ht="20.100000000000001" customHeight="1" x14ac:dyDescent="0.25">
      <c r="A1168" s="2" t="str">
        <f>IF(B1168="","",IFERROR(VLOOKUP(B1168, PLANTA_BASE!A:W, 2, FALSE), "NO ENCONTRADO EN PLANTA"))</f>
        <v/>
      </c>
      <c r="B1168" s="3"/>
      <c r="C1168" s="4" t="str">
        <f>IF(B1168="","",IFERROR(VLOOKUP(B1168, PLANTA_BASE!A:W, 3, FALSE), ""))</f>
        <v/>
      </c>
      <c r="D1168" s="2" t="str">
        <f>IF(B1168="","",IFERROR(VLOOKUP(B1168, PLANTA_BASE!A:W, 5, FALSE), "NO ENCONTRADO EN PLANTA"))</f>
        <v/>
      </c>
      <c r="E1168" s="2" t="str">
        <f>IF(B1168="","",IFERROR(VLOOKUP(B1168, PLANTA_BASE!A:W, 6, FALSE), "NO ENCONTRADO EN PLANTA"))</f>
        <v/>
      </c>
      <c r="F1168" s="4" t="str">
        <f>IF(B1168="","",IFERROR(VLOOKUP(B1168, PLANTA_BASE!A:W, 8, FALSE), "DOCENTE / FACILITADOR"))</f>
        <v/>
      </c>
      <c r="G1168" s="4" t="str">
        <f>IF(B1168="","",IFERROR(VLOOKUP(B1168, PLANTA_BASE!A:W, 9, FALSE), "GENERAL"))</f>
        <v/>
      </c>
      <c r="H1168" s="2" t="str">
        <f>IF(B1168="","",IFERROR(VLOOKUP(B1168, PLANTA_BASE!A:W, 17, FALSE), "GENERAL"))</f>
        <v/>
      </c>
    </row>
    <row r="1169" spans="1:8" ht="20.100000000000001" customHeight="1" x14ac:dyDescent="0.25">
      <c r="A1169" s="5" t="str">
        <f>IF(B1169="","",IFERROR(VLOOKUP(B1169, PLANTA_BASE!A:W, 2, FALSE), "NO ENCONTRADO EN PLANTA"))</f>
        <v/>
      </c>
      <c r="B1169" s="6"/>
      <c r="C1169" s="7" t="str">
        <f>IF(B1169="","",IFERROR(VLOOKUP(B1169, PLANTA_BASE!A:W, 3, FALSE), ""))</f>
        <v/>
      </c>
      <c r="D1169" s="5" t="str">
        <f>IF(B1169="","",IFERROR(VLOOKUP(B1169, PLANTA_BASE!A:W, 5, FALSE), "NO ENCONTRADO EN PLANTA"))</f>
        <v/>
      </c>
      <c r="E1169" s="5" t="str">
        <f>IF(B1169="","",IFERROR(VLOOKUP(B1169, PLANTA_BASE!A:W, 6, FALSE), "NO ENCONTRADO EN PLANTA"))</f>
        <v/>
      </c>
      <c r="F1169" s="7" t="str">
        <f>IF(B1169="","",IFERROR(VLOOKUP(B1169, PLANTA_BASE!A:W, 8, FALSE), "DOCENTE / FACILITADOR"))</f>
        <v/>
      </c>
      <c r="G1169" s="7" t="str">
        <f>IF(B1169="","",IFERROR(VLOOKUP(B1169, PLANTA_BASE!A:W, 9, FALSE), "GENERAL"))</f>
        <v/>
      </c>
      <c r="H1169" s="5" t="str">
        <f>IF(B1169="","",IFERROR(VLOOKUP(B1169, PLANTA_BASE!A:W, 17, FALSE), "GENERAL"))</f>
        <v/>
      </c>
    </row>
    <row r="1170" spans="1:8" ht="20.100000000000001" customHeight="1" x14ac:dyDescent="0.25">
      <c r="A1170" s="2" t="str">
        <f>IF(B1170="","",IFERROR(VLOOKUP(B1170, PLANTA_BASE!A:W, 2, FALSE), "NO ENCONTRADO EN PLANTA"))</f>
        <v/>
      </c>
      <c r="B1170" s="3"/>
      <c r="C1170" s="4" t="str">
        <f>IF(B1170="","",IFERROR(VLOOKUP(B1170, PLANTA_BASE!A:W, 3, FALSE), ""))</f>
        <v/>
      </c>
      <c r="D1170" s="2" t="str">
        <f>IF(B1170="","",IFERROR(VLOOKUP(B1170, PLANTA_BASE!A:W, 5, FALSE), "NO ENCONTRADO EN PLANTA"))</f>
        <v/>
      </c>
      <c r="E1170" s="2" t="str">
        <f>IF(B1170="","",IFERROR(VLOOKUP(B1170, PLANTA_BASE!A:W, 6, FALSE), "NO ENCONTRADO EN PLANTA"))</f>
        <v/>
      </c>
      <c r="F1170" s="4" t="str">
        <f>IF(B1170="","",IFERROR(VLOOKUP(B1170, PLANTA_BASE!A:W, 8, FALSE), "DOCENTE / FACILITADOR"))</f>
        <v/>
      </c>
      <c r="G1170" s="4" t="str">
        <f>IF(B1170="","",IFERROR(VLOOKUP(B1170, PLANTA_BASE!A:W, 9, FALSE), "GENERAL"))</f>
        <v/>
      </c>
      <c r="H1170" s="2" t="str">
        <f>IF(B1170="","",IFERROR(VLOOKUP(B1170, PLANTA_BASE!A:W, 17, FALSE), "GENERAL"))</f>
        <v/>
      </c>
    </row>
    <row r="1171" spans="1:8" ht="20.100000000000001" customHeight="1" x14ac:dyDescent="0.25">
      <c r="A1171" s="5" t="str">
        <f>IF(B1171="","",IFERROR(VLOOKUP(B1171, PLANTA_BASE!A:W, 2, FALSE), "NO ENCONTRADO EN PLANTA"))</f>
        <v/>
      </c>
      <c r="B1171" s="6"/>
      <c r="C1171" s="7" t="str">
        <f>IF(B1171="","",IFERROR(VLOOKUP(B1171, PLANTA_BASE!A:W, 3, FALSE), ""))</f>
        <v/>
      </c>
      <c r="D1171" s="5" t="str">
        <f>IF(B1171="","",IFERROR(VLOOKUP(B1171, PLANTA_BASE!A:W, 5, FALSE), "NO ENCONTRADO EN PLANTA"))</f>
        <v/>
      </c>
      <c r="E1171" s="5" t="str">
        <f>IF(B1171="","",IFERROR(VLOOKUP(B1171, PLANTA_BASE!A:W, 6, FALSE), "NO ENCONTRADO EN PLANTA"))</f>
        <v/>
      </c>
      <c r="F1171" s="7" t="str">
        <f>IF(B1171="","",IFERROR(VLOOKUP(B1171, PLANTA_BASE!A:W, 8, FALSE), "DOCENTE / FACILITADOR"))</f>
        <v/>
      </c>
      <c r="G1171" s="7" t="str">
        <f>IF(B1171="","",IFERROR(VLOOKUP(B1171, PLANTA_BASE!A:W, 9, FALSE), "GENERAL"))</f>
        <v/>
      </c>
      <c r="H1171" s="5" t="str">
        <f>IF(B1171="","",IFERROR(VLOOKUP(B1171, PLANTA_BASE!A:W, 17, FALSE), "GENERAL"))</f>
        <v/>
      </c>
    </row>
    <row r="1172" spans="1:8" ht="20.100000000000001" customHeight="1" x14ac:dyDescent="0.25">
      <c r="A1172" s="2" t="str">
        <f>IF(B1172="","",IFERROR(VLOOKUP(B1172, PLANTA_BASE!A:W, 2, FALSE), "NO ENCONTRADO EN PLANTA"))</f>
        <v/>
      </c>
      <c r="B1172" s="3"/>
      <c r="C1172" s="4" t="str">
        <f>IF(B1172="","",IFERROR(VLOOKUP(B1172, PLANTA_BASE!A:W, 3, FALSE), ""))</f>
        <v/>
      </c>
      <c r="D1172" s="2" t="str">
        <f>IF(B1172="","",IFERROR(VLOOKUP(B1172, PLANTA_BASE!A:W, 5, FALSE), "NO ENCONTRADO EN PLANTA"))</f>
        <v/>
      </c>
      <c r="E1172" s="2" t="str">
        <f>IF(B1172="","",IFERROR(VLOOKUP(B1172, PLANTA_BASE!A:W, 6, FALSE), "NO ENCONTRADO EN PLANTA"))</f>
        <v/>
      </c>
      <c r="F1172" s="4" t="str">
        <f>IF(B1172="","",IFERROR(VLOOKUP(B1172, PLANTA_BASE!A:W, 8, FALSE), "DOCENTE / FACILITADOR"))</f>
        <v/>
      </c>
      <c r="G1172" s="4" t="str">
        <f>IF(B1172="","",IFERROR(VLOOKUP(B1172, PLANTA_BASE!A:W, 9, FALSE), "GENERAL"))</f>
        <v/>
      </c>
      <c r="H1172" s="2" t="str">
        <f>IF(B1172="","",IFERROR(VLOOKUP(B1172, PLANTA_BASE!A:W, 17, FALSE), "GENERAL"))</f>
        <v/>
      </c>
    </row>
    <row r="1173" spans="1:8" ht="20.100000000000001" customHeight="1" x14ac:dyDescent="0.25">
      <c r="A1173" s="5" t="str">
        <f>IF(B1173="","",IFERROR(VLOOKUP(B1173, PLANTA_BASE!A:W, 2, FALSE), "NO ENCONTRADO EN PLANTA"))</f>
        <v/>
      </c>
      <c r="B1173" s="6"/>
      <c r="C1173" s="7" t="str">
        <f>IF(B1173="","",IFERROR(VLOOKUP(B1173, PLANTA_BASE!A:W, 3, FALSE), ""))</f>
        <v/>
      </c>
      <c r="D1173" s="5" t="str">
        <f>IF(B1173="","",IFERROR(VLOOKUP(B1173, PLANTA_BASE!A:W, 5, FALSE), "NO ENCONTRADO EN PLANTA"))</f>
        <v/>
      </c>
      <c r="E1173" s="5" t="str">
        <f>IF(B1173="","",IFERROR(VLOOKUP(B1173, PLANTA_BASE!A:W, 6, FALSE), "NO ENCONTRADO EN PLANTA"))</f>
        <v/>
      </c>
      <c r="F1173" s="7" t="str">
        <f>IF(B1173="","",IFERROR(VLOOKUP(B1173, PLANTA_BASE!A:W, 8, FALSE), "DOCENTE / FACILITADOR"))</f>
        <v/>
      </c>
      <c r="G1173" s="7" t="str">
        <f>IF(B1173="","",IFERROR(VLOOKUP(B1173, PLANTA_BASE!A:W, 9, FALSE), "GENERAL"))</f>
        <v/>
      </c>
      <c r="H1173" s="5" t="str">
        <f>IF(B1173="","",IFERROR(VLOOKUP(B1173, PLANTA_BASE!A:W, 17, FALSE), "GENERAL"))</f>
        <v/>
      </c>
    </row>
    <row r="1174" spans="1:8" ht="20.100000000000001" customHeight="1" x14ac:dyDescent="0.25">
      <c r="A1174" s="2" t="str">
        <f>IF(B1174="","",IFERROR(VLOOKUP(B1174, PLANTA_BASE!A:W, 2, FALSE), "NO ENCONTRADO EN PLANTA"))</f>
        <v/>
      </c>
      <c r="B1174" s="3"/>
      <c r="C1174" s="4" t="str">
        <f>IF(B1174="","",IFERROR(VLOOKUP(B1174, PLANTA_BASE!A:W, 3, FALSE), ""))</f>
        <v/>
      </c>
      <c r="D1174" s="2" t="str">
        <f>IF(B1174="","",IFERROR(VLOOKUP(B1174, PLANTA_BASE!A:W, 5, FALSE), "NO ENCONTRADO EN PLANTA"))</f>
        <v/>
      </c>
      <c r="E1174" s="2" t="str">
        <f>IF(B1174="","",IFERROR(VLOOKUP(B1174, PLANTA_BASE!A:W, 6, FALSE), "NO ENCONTRADO EN PLANTA"))</f>
        <v/>
      </c>
      <c r="F1174" s="4" t="str">
        <f>IF(B1174="","",IFERROR(VLOOKUP(B1174, PLANTA_BASE!A:W, 8, FALSE), "DOCENTE / FACILITADOR"))</f>
        <v/>
      </c>
      <c r="G1174" s="4" t="str">
        <f>IF(B1174="","",IFERROR(VLOOKUP(B1174, PLANTA_BASE!A:W, 9, FALSE), "GENERAL"))</f>
        <v/>
      </c>
      <c r="H1174" s="2" t="str">
        <f>IF(B1174="","",IFERROR(VLOOKUP(B1174, PLANTA_BASE!A:W, 17, FALSE), "GENERAL"))</f>
        <v/>
      </c>
    </row>
    <row r="1175" spans="1:8" ht="20.100000000000001" customHeight="1" x14ac:dyDescent="0.25">
      <c r="A1175" s="5" t="str">
        <f>IF(B1175="","",IFERROR(VLOOKUP(B1175, PLANTA_BASE!A:W, 2, FALSE), "NO ENCONTRADO EN PLANTA"))</f>
        <v/>
      </c>
      <c r="B1175" s="6"/>
      <c r="C1175" s="7" t="str">
        <f>IF(B1175="","",IFERROR(VLOOKUP(B1175, PLANTA_BASE!A:W, 3, FALSE), ""))</f>
        <v/>
      </c>
      <c r="D1175" s="5" t="str">
        <f>IF(B1175="","",IFERROR(VLOOKUP(B1175, PLANTA_BASE!A:W, 5, FALSE), "NO ENCONTRADO EN PLANTA"))</f>
        <v/>
      </c>
      <c r="E1175" s="5" t="str">
        <f>IF(B1175="","",IFERROR(VLOOKUP(B1175, PLANTA_BASE!A:W, 6, FALSE), "NO ENCONTRADO EN PLANTA"))</f>
        <v/>
      </c>
      <c r="F1175" s="7" t="str">
        <f>IF(B1175="","",IFERROR(VLOOKUP(B1175, PLANTA_BASE!A:W, 8, FALSE), "DOCENTE / FACILITADOR"))</f>
        <v/>
      </c>
      <c r="G1175" s="7" t="str">
        <f>IF(B1175="","",IFERROR(VLOOKUP(B1175, PLANTA_BASE!A:W, 9, FALSE), "GENERAL"))</f>
        <v/>
      </c>
      <c r="H1175" s="5" t="str">
        <f>IF(B1175="","",IFERROR(VLOOKUP(B1175, PLANTA_BASE!A:W, 17, FALSE), "GENERAL"))</f>
        <v/>
      </c>
    </row>
    <row r="1176" spans="1:8" ht="20.100000000000001" customHeight="1" x14ac:dyDescent="0.25">
      <c r="A1176" s="2" t="str">
        <f>IF(B1176="","",IFERROR(VLOOKUP(B1176, PLANTA_BASE!A:W, 2, FALSE), "NO ENCONTRADO EN PLANTA"))</f>
        <v/>
      </c>
      <c r="B1176" s="3"/>
      <c r="C1176" s="4" t="str">
        <f>IF(B1176="","",IFERROR(VLOOKUP(B1176, PLANTA_BASE!A:W, 3, FALSE), ""))</f>
        <v/>
      </c>
      <c r="D1176" s="2" t="str">
        <f>IF(B1176="","",IFERROR(VLOOKUP(B1176, PLANTA_BASE!A:W, 5, FALSE), "NO ENCONTRADO EN PLANTA"))</f>
        <v/>
      </c>
      <c r="E1176" s="2" t="str">
        <f>IF(B1176="","",IFERROR(VLOOKUP(B1176, PLANTA_BASE!A:W, 6, FALSE), "NO ENCONTRADO EN PLANTA"))</f>
        <v/>
      </c>
      <c r="F1176" s="4" t="str">
        <f>IF(B1176="","",IFERROR(VLOOKUP(B1176, PLANTA_BASE!A:W, 8, FALSE), "DOCENTE / FACILITADOR"))</f>
        <v/>
      </c>
      <c r="G1176" s="4" t="str">
        <f>IF(B1176="","",IFERROR(VLOOKUP(B1176, PLANTA_BASE!A:W, 9, FALSE), "GENERAL"))</f>
        <v/>
      </c>
      <c r="H1176" s="2" t="str">
        <f>IF(B1176="","",IFERROR(VLOOKUP(B1176, PLANTA_BASE!A:W, 17, FALSE), "GENERAL"))</f>
        <v/>
      </c>
    </row>
    <row r="1177" spans="1:8" ht="20.100000000000001" customHeight="1" x14ac:dyDescent="0.25">
      <c r="A1177" s="5" t="str">
        <f>IF(B1177="","",IFERROR(VLOOKUP(B1177, PLANTA_BASE!A:W, 2, FALSE), "NO ENCONTRADO EN PLANTA"))</f>
        <v/>
      </c>
      <c r="B1177" s="6"/>
      <c r="C1177" s="7" t="str">
        <f>IF(B1177="","",IFERROR(VLOOKUP(B1177, PLANTA_BASE!A:W, 3, FALSE), ""))</f>
        <v/>
      </c>
      <c r="D1177" s="5" t="str">
        <f>IF(B1177="","",IFERROR(VLOOKUP(B1177, PLANTA_BASE!A:W, 5, FALSE), "NO ENCONTRADO EN PLANTA"))</f>
        <v/>
      </c>
      <c r="E1177" s="5" t="str">
        <f>IF(B1177="","",IFERROR(VLOOKUP(B1177, PLANTA_BASE!A:W, 6, FALSE), "NO ENCONTRADO EN PLANTA"))</f>
        <v/>
      </c>
      <c r="F1177" s="7" t="str">
        <f>IF(B1177="","",IFERROR(VLOOKUP(B1177, PLANTA_BASE!A:W, 8, FALSE), "DOCENTE / FACILITADOR"))</f>
        <v/>
      </c>
      <c r="G1177" s="7" t="str">
        <f>IF(B1177="","",IFERROR(VLOOKUP(B1177, PLANTA_BASE!A:W, 9, FALSE), "GENERAL"))</f>
        <v/>
      </c>
      <c r="H1177" s="5" t="str">
        <f>IF(B1177="","",IFERROR(VLOOKUP(B1177, PLANTA_BASE!A:W, 17, FALSE), "GENERAL"))</f>
        <v/>
      </c>
    </row>
    <row r="1178" spans="1:8" ht="20.100000000000001" customHeight="1" x14ac:dyDescent="0.25">
      <c r="A1178" s="2" t="str">
        <f>IF(B1178="","",IFERROR(VLOOKUP(B1178, PLANTA_BASE!A:W, 2, FALSE), "NO ENCONTRADO EN PLANTA"))</f>
        <v/>
      </c>
      <c r="B1178" s="3"/>
      <c r="C1178" s="4" t="str">
        <f>IF(B1178="","",IFERROR(VLOOKUP(B1178, PLANTA_BASE!A:W, 3, FALSE), ""))</f>
        <v/>
      </c>
      <c r="D1178" s="2" t="str">
        <f>IF(B1178="","",IFERROR(VLOOKUP(B1178, PLANTA_BASE!A:W, 5, FALSE), "NO ENCONTRADO EN PLANTA"))</f>
        <v/>
      </c>
      <c r="E1178" s="2" t="str">
        <f>IF(B1178="","",IFERROR(VLOOKUP(B1178, PLANTA_BASE!A:W, 6, FALSE), "NO ENCONTRADO EN PLANTA"))</f>
        <v/>
      </c>
      <c r="F1178" s="4" t="str">
        <f>IF(B1178="","",IFERROR(VLOOKUP(B1178, PLANTA_BASE!A:W, 8, FALSE), "DOCENTE / FACILITADOR"))</f>
        <v/>
      </c>
      <c r="G1178" s="4" t="str">
        <f>IF(B1178="","",IFERROR(VLOOKUP(B1178, PLANTA_BASE!A:W, 9, FALSE), "GENERAL"))</f>
        <v/>
      </c>
      <c r="H1178" s="2" t="str">
        <f>IF(B1178="","",IFERROR(VLOOKUP(B1178, PLANTA_BASE!A:W, 17, FALSE), "GENERAL"))</f>
        <v/>
      </c>
    </row>
    <row r="1179" spans="1:8" ht="20.100000000000001" customHeight="1" x14ac:dyDescent="0.25">
      <c r="A1179" s="5" t="str">
        <f>IF(B1179="","",IFERROR(VLOOKUP(B1179, PLANTA_BASE!A:W, 2, FALSE), "NO ENCONTRADO EN PLANTA"))</f>
        <v/>
      </c>
      <c r="B1179" s="6"/>
      <c r="C1179" s="7" t="str">
        <f>IF(B1179="","",IFERROR(VLOOKUP(B1179, PLANTA_BASE!A:W, 3, FALSE), ""))</f>
        <v/>
      </c>
      <c r="D1179" s="5" t="str">
        <f>IF(B1179="","",IFERROR(VLOOKUP(B1179, PLANTA_BASE!A:W, 5, FALSE), "NO ENCONTRADO EN PLANTA"))</f>
        <v/>
      </c>
      <c r="E1179" s="5" t="str">
        <f>IF(B1179="","",IFERROR(VLOOKUP(B1179, PLANTA_BASE!A:W, 6, FALSE), "NO ENCONTRADO EN PLANTA"))</f>
        <v/>
      </c>
      <c r="F1179" s="7" t="str">
        <f>IF(B1179="","",IFERROR(VLOOKUP(B1179, PLANTA_BASE!A:W, 8, FALSE), "DOCENTE / FACILITADOR"))</f>
        <v/>
      </c>
      <c r="G1179" s="7" t="str">
        <f>IF(B1179="","",IFERROR(VLOOKUP(B1179, PLANTA_BASE!A:W, 9, FALSE), "GENERAL"))</f>
        <v/>
      </c>
      <c r="H1179" s="5" t="str">
        <f>IF(B1179="","",IFERROR(VLOOKUP(B1179, PLANTA_BASE!A:W, 17, FALSE), "GENERAL"))</f>
        <v/>
      </c>
    </row>
    <row r="1180" spans="1:8" ht="20.100000000000001" customHeight="1" x14ac:dyDescent="0.25">
      <c r="A1180" s="2" t="str">
        <f>IF(B1180="","",IFERROR(VLOOKUP(B1180, PLANTA_BASE!A:W, 2, FALSE), "NO ENCONTRADO EN PLANTA"))</f>
        <v/>
      </c>
      <c r="B1180" s="3"/>
      <c r="C1180" s="4" t="str">
        <f>IF(B1180="","",IFERROR(VLOOKUP(B1180, PLANTA_BASE!A:W, 3, FALSE), ""))</f>
        <v/>
      </c>
      <c r="D1180" s="2" t="str">
        <f>IF(B1180="","",IFERROR(VLOOKUP(B1180, PLANTA_BASE!A:W, 5, FALSE), "NO ENCONTRADO EN PLANTA"))</f>
        <v/>
      </c>
      <c r="E1180" s="2" t="str">
        <f>IF(B1180="","",IFERROR(VLOOKUP(B1180, PLANTA_BASE!A:W, 6, FALSE), "NO ENCONTRADO EN PLANTA"))</f>
        <v/>
      </c>
      <c r="F1180" s="4" t="str">
        <f>IF(B1180="","",IFERROR(VLOOKUP(B1180, PLANTA_BASE!A:W, 8, FALSE), "DOCENTE / FACILITADOR"))</f>
        <v/>
      </c>
      <c r="G1180" s="4" t="str">
        <f>IF(B1180="","",IFERROR(VLOOKUP(B1180, PLANTA_BASE!A:W, 9, FALSE), "GENERAL"))</f>
        <v/>
      </c>
      <c r="H1180" s="2" t="str">
        <f>IF(B1180="","",IFERROR(VLOOKUP(B1180, PLANTA_BASE!A:W, 17, FALSE), "GENERAL"))</f>
        <v/>
      </c>
    </row>
    <row r="1181" spans="1:8" ht="20.100000000000001" customHeight="1" x14ac:dyDescent="0.25">
      <c r="A1181" s="5" t="str">
        <f>IF(B1181="","",IFERROR(VLOOKUP(B1181, PLANTA_BASE!A:W, 2, FALSE), "NO ENCONTRADO EN PLANTA"))</f>
        <v/>
      </c>
      <c r="B1181" s="6"/>
      <c r="C1181" s="7" t="str">
        <f>IF(B1181="","",IFERROR(VLOOKUP(B1181, PLANTA_BASE!A:W, 3, FALSE), ""))</f>
        <v/>
      </c>
      <c r="D1181" s="5" t="str">
        <f>IF(B1181="","",IFERROR(VLOOKUP(B1181, PLANTA_BASE!A:W, 5, FALSE), "NO ENCONTRADO EN PLANTA"))</f>
        <v/>
      </c>
      <c r="E1181" s="5" t="str">
        <f>IF(B1181="","",IFERROR(VLOOKUP(B1181, PLANTA_BASE!A:W, 6, FALSE), "NO ENCONTRADO EN PLANTA"))</f>
        <v/>
      </c>
      <c r="F1181" s="7" t="str">
        <f>IF(B1181="","",IFERROR(VLOOKUP(B1181, PLANTA_BASE!A:W, 8, FALSE), "DOCENTE / FACILITADOR"))</f>
        <v/>
      </c>
      <c r="G1181" s="7" t="str">
        <f>IF(B1181="","",IFERROR(VLOOKUP(B1181, PLANTA_BASE!A:W, 9, FALSE), "GENERAL"))</f>
        <v/>
      </c>
      <c r="H1181" s="5" t="str">
        <f>IF(B1181="","",IFERROR(VLOOKUP(B1181, PLANTA_BASE!A:W, 17, FALSE), "GENERAL"))</f>
        <v/>
      </c>
    </row>
    <row r="1182" spans="1:8" ht="20.100000000000001" customHeight="1" x14ac:dyDescent="0.25">
      <c r="A1182" s="2" t="str">
        <f>IF(B1182="","",IFERROR(VLOOKUP(B1182, PLANTA_BASE!A:W, 2, FALSE), "NO ENCONTRADO EN PLANTA"))</f>
        <v/>
      </c>
      <c r="B1182" s="3"/>
      <c r="C1182" s="4" t="str">
        <f>IF(B1182="","",IFERROR(VLOOKUP(B1182, PLANTA_BASE!A:W, 3, FALSE), ""))</f>
        <v/>
      </c>
      <c r="D1182" s="2" t="str">
        <f>IF(B1182="","",IFERROR(VLOOKUP(B1182, PLANTA_BASE!A:W, 5, FALSE), "NO ENCONTRADO EN PLANTA"))</f>
        <v/>
      </c>
      <c r="E1182" s="2" t="str">
        <f>IF(B1182="","",IFERROR(VLOOKUP(B1182, PLANTA_BASE!A:W, 6, FALSE), "NO ENCONTRADO EN PLANTA"))</f>
        <v/>
      </c>
      <c r="F1182" s="4" t="str">
        <f>IF(B1182="","",IFERROR(VLOOKUP(B1182, PLANTA_BASE!A:W, 8, FALSE), "DOCENTE / FACILITADOR"))</f>
        <v/>
      </c>
      <c r="G1182" s="4" t="str">
        <f>IF(B1182="","",IFERROR(VLOOKUP(B1182, PLANTA_BASE!A:W, 9, FALSE), "GENERAL"))</f>
        <v/>
      </c>
      <c r="H1182" s="2" t="str">
        <f>IF(B1182="","",IFERROR(VLOOKUP(B1182, PLANTA_BASE!A:W, 17, FALSE), "GENERAL"))</f>
        <v/>
      </c>
    </row>
    <row r="1183" spans="1:8" ht="20.100000000000001" customHeight="1" x14ac:dyDescent="0.25">
      <c r="A1183" s="5" t="str">
        <f>IF(B1183="","",IFERROR(VLOOKUP(B1183, PLANTA_BASE!A:W, 2, FALSE), "NO ENCONTRADO EN PLANTA"))</f>
        <v/>
      </c>
      <c r="B1183" s="6"/>
      <c r="C1183" s="7" t="str">
        <f>IF(B1183="","",IFERROR(VLOOKUP(B1183, PLANTA_BASE!A:W, 3, FALSE), ""))</f>
        <v/>
      </c>
      <c r="D1183" s="5" t="str">
        <f>IF(B1183="","",IFERROR(VLOOKUP(B1183, PLANTA_BASE!A:W, 5, FALSE), "NO ENCONTRADO EN PLANTA"))</f>
        <v/>
      </c>
      <c r="E1183" s="5" t="str">
        <f>IF(B1183="","",IFERROR(VLOOKUP(B1183, PLANTA_BASE!A:W, 6, FALSE), "NO ENCONTRADO EN PLANTA"))</f>
        <v/>
      </c>
      <c r="F1183" s="7" t="str">
        <f>IF(B1183="","",IFERROR(VLOOKUP(B1183, PLANTA_BASE!A:W, 8, FALSE), "DOCENTE / FACILITADOR"))</f>
        <v/>
      </c>
      <c r="G1183" s="7" t="str">
        <f>IF(B1183="","",IFERROR(VLOOKUP(B1183, PLANTA_BASE!A:W, 9, FALSE), "GENERAL"))</f>
        <v/>
      </c>
      <c r="H1183" s="5" t="str">
        <f>IF(B1183="","",IFERROR(VLOOKUP(B1183, PLANTA_BASE!A:W, 17, FALSE), "GENERAL"))</f>
        <v/>
      </c>
    </row>
    <row r="1184" spans="1:8" ht="20.100000000000001" customHeight="1" x14ac:dyDescent="0.25">
      <c r="A1184" s="2" t="str">
        <f>IF(B1184="","",IFERROR(VLOOKUP(B1184, PLANTA_BASE!A:W, 2, FALSE), "NO ENCONTRADO EN PLANTA"))</f>
        <v/>
      </c>
      <c r="B1184" s="3"/>
      <c r="C1184" s="4" t="str">
        <f>IF(B1184="","",IFERROR(VLOOKUP(B1184, PLANTA_BASE!A:W, 3, FALSE), ""))</f>
        <v/>
      </c>
      <c r="D1184" s="2" t="str">
        <f>IF(B1184="","",IFERROR(VLOOKUP(B1184, PLANTA_BASE!A:W, 5, FALSE), "NO ENCONTRADO EN PLANTA"))</f>
        <v/>
      </c>
      <c r="E1184" s="2" t="str">
        <f>IF(B1184="","",IFERROR(VLOOKUP(B1184, PLANTA_BASE!A:W, 6, FALSE), "NO ENCONTRADO EN PLANTA"))</f>
        <v/>
      </c>
      <c r="F1184" s="4" t="str">
        <f>IF(B1184="","",IFERROR(VLOOKUP(B1184, PLANTA_BASE!A:W, 8, FALSE), "DOCENTE / FACILITADOR"))</f>
        <v/>
      </c>
      <c r="G1184" s="4" t="str">
        <f>IF(B1184="","",IFERROR(VLOOKUP(B1184, PLANTA_BASE!A:W, 9, FALSE), "GENERAL"))</f>
        <v/>
      </c>
      <c r="H1184" s="2" t="str">
        <f>IF(B1184="","",IFERROR(VLOOKUP(B1184, PLANTA_BASE!A:W, 17, FALSE), "GENERAL"))</f>
        <v/>
      </c>
    </row>
    <row r="1185" spans="1:8" ht="20.100000000000001" customHeight="1" x14ac:dyDescent="0.25">
      <c r="A1185" s="5" t="str">
        <f>IF(B1185="","",IFERROR(VLOOKUP(B1185, PLANTA_BASE!A:W, 2, FALSE), "NO ENCONTRADO EN PLANTA"))</f>
        <v/>
      </c>
      <c r="B1185" s="6"/>
      <c r="C1185" s="7" t="str">
        <f>IF(B1185="","",IFERROR(VLOOKUP(B1185, PLANTA_BASE!A:W, 3, FALSE), ""))</f>
        <v/>
      </c>
      <c r="D1185" s="5" t="str">
        <f>IF(B1185="","",IFERROR(VLOOKUP(B1185, PLANTA_BASE!A:W, 5, FALSE), "NO ENCONTRADO EN PLANTA"))</f>
        <v/>
      </c>
      <c r="E1185" s="5" t="str">
        <f>IF(B1185="","",IFERROR(VLOOKUP(B1185, PLANTA_BASE!A:W, 6, FALSE), "NO ENCONTRADO EN PLANTA"))</f>
        <v/>
      </c>
      <c r="F1185" s="7" t="str">
        <f>IF(B1185="","",IFERROR(VLOOKUP(B1185, PLANTA_BASE!A:W, 8, FALSE), "DOCENTE / FACILITADOR"))</f>
        <v/>
      </c>
      <c r="G1185" s="7" t="str">
        <f>IF(B1185="","",IFERROR(VLOOKUP(B1185, PLANTA_BASE!A:W, 9, FALSE), "GENERAL"))</f>
        <v/>
      </c>
      <c r="H1185" s="5" t="str">
        <f>IF(B1185="","",IFERROR(VLOOKUP(B1185, PLANTA_BASE!A:W, 17, FALSE), "GENERAL"))</f>
        <v/>
      </c>
    </row>
    <row r="1186" spans="1:8" ht="20.100000000000001" customHeight="1" x14ac:dyDescent="0.25">
      <c r="A1186" s="2" t="str">
        <f>IF(B1186="","",IFERROR(VLOOKUP(B1186, PLANTA_BASE!A:W, 2, FALSE), "NO ENCONTRADO EN PLANTA"))</f>
        <v/>
      </c>
      <c r="B1186" s="3"/>
      <c r="C1186" s="4" t="str">
        <f>IF(B1186="","",IFERROR(VLOOKUP(B1186, PLANTA_BASE!A:W, 3, FALSE), ""))</f>
        <v/>
      </c>
      <c r="D1186" s="2" t="str">
        <f>IF(B1186="","",IFERROR(VLOOKUP(B1186, PLANTA_BASE!A:W, 5, FALSE), "NO ENCONTRADO EN PLANTA"))</f>
        <v/>
      </c>
      <c r="E1186" s="2" t="str">
        <f>IF(B1186="","",IFERROR(VLOOKUP(B1186, PLANTA_BASE!A:W, 6, FALSE), "NO ENCONTRADO EN PLANTA"))</f>
        <v/>
      </c>
      <c r="F1186" s="4" t="str">
        <f>IF(B1186="","",IFERROR(VLOOKUP(B1186, PLANTA_BASE!A:W, 8, FALSE), "DOCENTE / FACILITADOR"))</f>
        <v/>
      </c>
      <c r="G1186" s="4" t="str">
        <f>IF(B1186="","",IFERROR(VLOOKUP(B1186, PLANTA_BASE!A:W, 9, FALSE), "GENERAL"))</f>
        <v/>
      </c>
      <c r="H1186" s="2" t="str">
        <f>IF(B1186="","",IFERROR(VLOOKUP(B1186, PLANTA_BASE!A:W, 17, FALSE), "GENERAL"))</f>
        <v/>
      </c>
    </row>
    <row r="1187" spans="1:8" ht="20.100000000000001" customHeight="1" x14ac:dyDescent="0.25">
      <c r="A1187" s="5" t="str">
        <f>IF(B1187="","",IFERROR(VLOOKUP(B1187, PLANTA_BASE!A:W, 2, FALSE), "NO ENCONTRADO EN PLANTA"))</f>
        <v/>
      </c>
      <c r="B1187" s="6"/>
      <c r="C1187" s="7" t="str">
        <f>IF(B1187="","",IFERROR(VLOOKUP(B1187, PLANTA_BASE!A:W, 3, FALSE), ""))</f>
        <v/>
      </c>
      <c r="D1187" s="5" t="str">
        <f>IF(B1187="","",IFERROR(VLOOKUP(B1187, PLANTA_BASE!A:W, 5, FALSE), "NO ENCONTRADO EN PLANTA"))</f>
        <v/>
      </c>
      <c r="E1187" s="5" t="str">
        <f>IF(B1187="","",IFERROR(VLOOKUP(B1187, PLANTA_BASE!A:W, 6, FALSE), "NO ENCONTRADO EN PLANTA"))</f>
        <v/>
      </c>
      <c r="F1187" s="7" t="str">
        <f>IF(B1187="","",IFERROR(VLOOKUP(B1187, PLANTA_BASE!A:W, 8, FALSE), "DOCENTE / FACILITADOR"))</f>
        <v/>
      </c>
      <c r="G1187" s="7" t="str">
        <f>IF(B1187="","",IFERROR(VLOOKUP(B1187, PLANTA_BASE!A:W, 9, FALSE), "GENERAL"))</f>
        <v/>
      </c>
      <c r="H1187" s="5" t="str">
        <f>IF(B1187="","",IFERROR(VLOOKUP(B1187, PLANTA_BASE!A:W, 17, FALSE), "GENERAL"))</f>
        <v/>
      </c>
    </row>
    <row r="1188" spans="1:8" ht="20.100000000000001" customHeight="1" x14ac:dyDescent="0.25">
      <c r="A1188" s="2" t="str">
        <f>IF(B1188="","",IFERROR(VLOOKUP(B1188, PLANTA_BASE!A:W, 2, FALSE), "NO ENCONTRADO EN PLANTA"))</f>
        <v/>
      </c>
      <c r="B1188" s="3"/>
      <c r="C1188" s="4" t="str">
        <f>IF(B1188="","",IFERROR(VLOOKUP(B1188, PLANTA_BASE!A:W, 3, FALSE), ""))</f>
        <v/>
      </c>
      <c r="D1188" s="2" t="str">
        <f>IF(B1188="","",IFERROR(VLOOKUP(B1188, PLANTA_BASE!A:W, 5, FALSE), "NO ENCONTRADO EN PLANTA"))</f>
        <v/>
      </c>
      <c r="E1188" s="2" t="str">
        <f>IF(B1188="","",IFERROR(VLOOKUP(B1188, PLANTA_BASE!A:W, 6, FALSE), "NO ENCONTRADO EN PLANTA"))</f>
        <v/>
      </c>
      <c r="F1188" s="4" t="str">
        <f>IF(B1188="","",IFERROR(VLOOKUP(B1188, PLANTA_BASE!A:W, 8, FALSE), "DOCENTE / FACILITADOR"))</f>
        <v/>
      </c>
      <c r="G1188" s="4" t="str">
        <f>IF(B1188="","",IFERROR(VLOOKUP(B1188, PLANTA_BASE!A:W, 9, FALSE), "GENERAL"))</f>
        <v/>
      </c>
      <c r="H1188" s="2" t="str">
        <f>IF(B1188="","",IFERROR(VLOOKUP(B1188, PLANTA_BASE!A:W, 17, FALSE), "GENERAL"))</f>
        <v/>
      </c>
    </row>
    <row r="1189" spans="1:8" ht="20.100000000000001" customHeight="1" x14ac:dyDescent="0.25">
      <c r="A1189" s="5" t="str">
        <f>IF(B1189="","",IFERROR(VLOOKUP(B1189, PLANTA_BASE!A:W, 2, FALSE), "NO ENCONTRADO EN PLANTA"))</f>
        <v/>
      </c>
      <c r="B1189" s="6"/>
      <c r="C1189" s="7" t="str">
        <f>IF(B1189="","",IFERROR(VLOOKUP(B1189, PLANTA_BASE!A:W, 3, FALSE), ""))</f>
        <v/>
      </c>
      <c r="D1189" s="5" t="str">
        <f>IF(B1189="","",IFERROR(VLOOKUP(B1189, PLANTA_BASE!A:W, 5, FALSE), "NO ENCONTRADO EN PLANTA"))</f>
        <v/>
      </c>
      <c r="E1189" s="5" t="str">
        <f>IF(B1189="","",IFERROR(VLOOKUP(B1189, PLANTA_BASE!A:W, 6, FALSE), "NO ENCONTRADO EN PLANTA"))</f>
        <v/>
      </c>
      <c r="F1189" s="7" t="str">
        <f>IF(B1189="","",IFERROR(VLOOKUP(B1189, PLANTA_BASE!A:W, 8, FALSE), "DOCENTE / FACILITADOR"))</f>
        <v/>
      </c>
      <c r="G1189" s="7" t="str">
        <f>IF(B1189="","",IFERROR(VLOOKUP(B1189, PLANTA_BASE!A:W, 9, FALSE), "GENERAL"))</f>
        <v/>
      </c>
      <c r="H1189" s="5" t="str">
        <f>IF(B1189="","",IFERROR(VLOOKUP(B1189, PLANTA_BASE!A:W, 17, FALSE), "GENERAL"))</f>
        <v/>
      </c>
    </row>
    <row r="1190" spans="1:8" ht="20.100000000000001" customHeight="1" x14ac:dyDescent="0.25">
      <c r="A1190" s="2" t="str">
        <f>IF(B1190="","",IFERROR(VLOOKUP(B1190, PLANTA_BASE!A:W, 2, FALSE), "NO ENCONTRADO EN PLANTA"))</f>
        <v/>
      </c>
      <c r="B1190" s="3"/>
      <c r="C1190" s="4" t="str">
        <f>IF(B1190="","",IFERROR(VLOOKUP(B1190, PLANTA_BASE!A:W, 3, FALSE), ""))</f>
        <v/>
      </c>
      <c r="D1190" s="2" t="str">
        <f>IF(B1190="","",IFERROR(VLOOKUP(B1190, PLANTA_BASE!A:W, 5, FALSE), "NO ENCONTRADO EN PLANTA"))</f>
        <v/>
      </c>
      <c r="E1190" s="2" t="str">
        <f>IF(B1190="","",IFERROR(VLOOKUP(B1190, PLANTA_BASE!A:W, 6, FALSE), "NO ENCONTRADO EN PLANTA"))</f>
        <v/>
      </c>
      <c r="F1190" s="4" t="str">
        <f>IF(B1190="","",IFERROR(VLOOKUP(B1190, PLANTA_BASE!A:W, 8, FALSE), "DOCENTE / FACILITADOR"))</f>
        <v/>
      </c>
      <c r="G1190" s="4" t="str">
        <f>IF(B1190="","",IFERROR(VLOOKUP(B1190, PLANTA_BASE!A:W, 9, FALSE), "GENERAL"))</f>
        <v/>
      </c>
      <c r="H1190" s="2" t="str">
        <f>IF(B1190="","",IFERROR(VLOOKUP(B1190, PLANTA_BASE!A:W, 17, FALSE), "GENERAL"))</f>
        <v/>
      </c>
    </row>
    <row r="1191" spans="1:8" ht="20.100000000000001" customHeight="1" x14ac:dyDescent="0.25">
      <c r="A1191" s="5" t="str">
        <f>IF(B1191="","",IFERROR(VLOOKUP(B1191, PLANTA_BASE!A:W, 2, FALSE), "NO ENCONTRADO EN PLANTA"))</f>
        <v/>
      </c>
      <c r="B1191" s="6"/>
      <c r="C1191" s="7" t="str">
        <f>IF(B1191="","",IFERROR(VLOOKUP(B1191, PLANTA_BASE!A:W, 3, FALSE), ""))</f>
        <v/>
      </c>
      <c r="D1191" s="5" t="str">
        <f>IF(B1191="","",IFERROR(VLOOKUP(B1191, PLANTA_BASE!A:W, 5, FALSE), "NO ENCONTRADO EN PLANTA"))</f>
        <v/>
      </c>
      <c r="E1191" s="5" t="str">
        <f>IF(B1191="","",IFERROR(VLOOKUP(B1191, PLANTA_BASE!A:W, 6, FALSE), "NO ENCONTRADO EN PLANTA"))</f>
        <v/>
      </c>
      <c r="F1191" s="7" t="str">
        <f>IF(B1191="","",IFERROR(VLOOKUP(B1191, PLANTA_BASE!A:W, 8, FALSE), "DOCENTE / FACILITADOR"))</f>
        <v/>
      </c>
      <c r="G1191" s="7" t="str">
        <f>IF(B1191="","",IFERROR(VLOOKUP(B1191, PLANTA_BASE!A:W, 9, FALSE), "GENERAL"))</f>
        <v/>
      </c>
      <c r="H1191" s="5" t="str">
        <f>IF(B1191="","",IFERROR(VLOOKUP(B1191, PLANTA_BASE!A:W, 17, FALSE), "GENERAL"))</f>
        <v/>
      </c>
    </row>
    <row r="1192" spans="1:8" ht="20.100000000000001" customHeight="1" x14ac:dyDescent="0.25">
      <c r="A1192" s="2" t="str">
        <f>IF(B1192="","",IFERROR(VLOOKUP(B1192, PLANTA_BASE!A:W, 2, FALSE), "NO ENCONTRADO EN PLANTA"))</f>
        <v/>
      </c>
      <c r="B1192" s="3"/>
      <c r="C1192" s="4" t="str">
        <f>IF(B1192="","",IFERROR(VLOOKUP(B1192, PLANTA_BASE!A:W, 3, FALSE), ""))</f>
        <v/>
      </c>
      <c r="D1192" s="2" t="str">
        <f>IF(B1192="","",IFERROR(VLOOKUP(B1192, PLANTA_BASE!A:W, 5, FALSE), "NO ENCONTRADO EN PLANTA"))</f>
        <v/>
      </c>
      <c r="E1192" s="2" t="str">
        <f>IF(B1192="","",IFERROR(VLOOKUP(B1192, PLANTA_BASE!A:W, 6, FALSE), "NO ENCONTRADO EN PLANTA"))</f>
        <v/>
      </c>
      <c r="F1192" s="4" t="str">
        <f>IF(B1192="","",IFERROR(VLOOKUP(B1192, PLANTA_BASE!A:W, 8, FALSE), "DOCENTE / FACILITADOR"))</f>
        <v/>
      </c>
      <c r="G1192" s="4" t="str">
        <f>IF(B1192="","",IFERROR(VLOOKUP(B1192, PLANTA_BASE!A:W, 9, FALSE), "GENERAL"))</f>
        <v/>
      </c>
      <c r="H1192" s="2" t="str">
        <f>IF(B1192="","",IFERROR(VLOOKUP(B1192, PLANTA_BASE!A:W, 17, FALSE), "GENERAL"))</f>
        <v/>
      </c>
    </row>
    <row r="1193" spans="1:8" ht="20.100000000000001" customHeight="1" x14ac:dyDescent="0.25">
      <c r="A1193" s="5" t="str">
        <f>IF(B1193="","",IFERROR(VLOOKUP(B1193, PLANTA_BASE!A:W, 2, FALSE), "NO ENCONTRADO EN PLANTA"))</f>
        <v/>
      </c>
      <c r="B1193" s="6"/>
      <c r="C1193" s="7" t="str">
        <f>IF(B1193="","",IFERROR(VLOOKUP(B1193, PLANTA_BASE!A:W, 3, FALSE), ""))</f>
        <v/>
      </c>
      <c r="D1193" s="5" t="str">
        <f>IF(B1193="","",IFERROR(VLOOKUP(B1193, PLANTA_BASE!A:W, 5, FALSE), "NO ENCONTRADO EN PLANTA"))</f>
        <v/>
      </c>
      <c r="E1193" s="5" t="str">
        <f>IF(B1193="","",IFERROR(VLOOKUP(B1193, PLANTA_BASE!A:W, 6, FALSE), "NO ENCONTRADO EN PLANTA"))</f>
        <v/>
      </c>
      <c r="F1193" s="7" t="str">
        <f>IF(B1193="","",IFERROR(VLOOKUP(B1193, PLANTA_BASE!A:W, 8, FALSE), "DOCENTE / FACILITADOR"))</f>
        <v/>
      </c>
      <c r="G1193" s="7" t="str">
        <f>IF(B1193="","",IFERROR(VLOOKUP(B1193, PLANTA_BASE!A:W, 9, FALSE), "GENERAL"))</f>
        <v/>
      </c>
      <c r="H1193" s="5" t="str">
        <f>IF(B1193="","",IFERROR(VLOOKUP(B1193, PLANTA_BASE!A:W, 17, FALSE), "GENERAL"))</f>
        <v/>
      </c>
    </row>
    <row r="1194" spans="1:8" ht="20.100000000000001" customHeight="1" x14ac:dyDescent="0.25">
      <c r="A1194" s="2" t="str">
        <f>IF(B1194="","",IFERROR(VLOOKUP(B1194, PLANTA_BASE!A:W, 2, FALSE), "NO ENCONTRADO EN PLANTA"))</f>
        <v/>
      </c>
      <c r="B1194" s="3"/>
      <c r="C1194" s="4" t="str">
        <f>IF(B1194="","",IFERROR(VLOOKUP(B1194, PLANTA_BASE!A:W, 3, FALSE), ""))</f>
        <v/>
      </c>
      <c r="D1194" s="2" t="str">
        <f>IF(B1194="","",IFERROR(VLOOKUP(B1194, PLANTA_BASE!A:W, 5, FALSE), "NO ENCONTRADO EN PLANTA"))</f>
        <v/>
      </c>
      <c r="E1194" s="2" t="str">
        <f>IF(B1194="","",IFERROR(VLOOKUP(B1194, PLANTA_BASE!A:W, 6, FALSE), "NO ENCONTRADO EN PLANTA"))</f>
        <v/>
      </c>
      <c r="F1194" s="4" t="str">
        <f>IF(B1194="","",IFERROR(VLOOKUP(B1194, PLANTA_BASE!A:W, 8, FALSE), "DOCENTE / FACILITADOR"))</f>
        <v/>
      </c>
      <c r="G1194" s="4" t="str">
        <f>IF(B1194="","",IFERROR(VLOOKUP(B1194, PLANTA_BASE!A:W, 9, FALSE), "GENERAL"))</f>
        <v/>
      </c>
      <c r="H1194" s="2" t="str">
        <f>IF(B1194="","",IFERROR(VLOOKUP(B1194, PLANTA_BASE!A:W, 17, FALSE), "GENERAL"))</f>
        <v/>
      </c>
    </row>
    <row r="1195" spans="1:8" ht="20.100000000000001" customHeight="1" x14ac:dyDescent="0.25">
      <c r="A1195" s="5" t="str">
        <f>IF(B1195="","",IFERROR(VLOOKUP(B1195, PLANTA_BASE!A:W, 2, FALSE), "NO ENCONTRADO EN PLANTA"))</f>
        <v/>
      </c>
      <c r="B1195" s="6"/>
      <c r="C1195" s="7" t="str">
        <f>IF(B1195="","",IFERROR(VLOOKUP(B1195, PLANTA_BASE!A:W, 3, FALSE), ""))</f>
        <v/>
      </c>
      <c r="D1195" s="5" t="str">
        <f>IF(B1195="","",IFERROR(VLOOKUP(B1195, PLANTA_BASE!A:W, 5, FALSE), "NO ENCONTRADO EN PLANTA"))</f>
        <v/>
      </c>
      <c r="E1195" s="5" t="str">
        <f>IF(B1195="","",IFERROR(VLOOKUP(B1195, PLANTA_BASE!A:W, 6, FALSE), "NO ENCONTRADO EN PLANTA"))</f>
        <v/>
      </c>
      <c r="F1195" s="7" t="str">
        <f>IF(B1195="","",IFERROR(VLOOKUP(B1195, PLANTA_BASE!A:W, 8, FALSE), "DOCENTE / FACILITADOR"))</f>
        <v/>
      </c>
      <c r="G1195" s="7" t="str">
        <f>IF(B1195="","",IFERROR(VLOOKUP(B1195, PLANTA_BASE!A:W, 9, FALSE), "GENERAL"))</f>
        <v/>
      </c>
      <c r="H1195" s="5" t="str">
        <f>IF(B1195="","",IFERROR(VLOOKUP(B1195, PLANTA_BASE!A:W, 17, FALSE), "GENERAL"))</f>
        <v/>
      </c>
    </row>
    <row r="1196" spans="1:8" ht="20.100000000000001" customHeight="1" x14ac:dyDescent="0.25">
      <c r="A1196" s="2" t="str">
        <f>IF(B1196="","",IFERROR(VLOOKUP(B1196, PLANTA_BASE!A:W, 2, FALSE), "NO ENCONTRADO EN PLANTA"))</f>
        <v/>
      </c>
      <c r="B1196" s="3"/>
      <c r="C1196" s="4" t="str">
        <f>IF(B1196="","",IFERROR(VLOOKUP(B1196, PLANTA_BASE!A:W, 3, FALSE), ""))</f>
        <v/>
      </c>
      <c r="D1196" s="2" t="str">
        <f>IF(B1196="","",IFERROR(VLOOKUP(B1196, PLANTA_BASE!A:W, 5, FALSE), "NO ENCONTRADO EN PLANTA"))</f>
        <v/>
      </c>
      <c r="E1196" s="2" t="str">
        <f>IF(B1196="","",IFERROR(VLOOKUP(B1196, PLANTA_BASE!A:W, 6, FALSE), "NO ENCONTRADO EN PLANTA"))</f>
        <v/>
      </c>
      <c r="F1196" s="4" t="str">
        <f>IF(B1196="","",IFERROR(VLOOKUP(B1196, PLANTA_BASE!A:W, 8, FALSE), "DOCENTE / FACILITADOR"))</f>
        <v/>
      </c>
      <c r="G1196" s="4" t="str">
        <f>IF(B1196="","",IFERROR(VLOOKUP(B1196, PLANTA_BASE!A:W, 9, FALSE), "GENERAL"))</f>
        <v/>
      </c>
      <c r="H1196" s="2" t="str">
        <f>IF(B1196="","",IFERROR(VLOOKUP(B1196, PLANTA_BASE!A:W, 17, FALSE), "GENERAL"))</f>
        <v/>
      </c>
    </row>
    <row r="1197" spans="1:8" ht="20.100000000000001" customHeight="1" x14ac:dyDescent="0.25">
      <c r="A1197" s="5" t="str">
        <f>IF(B1197="","",IFERROR(VLOOKUP(B1197, PLANTA_BASE!A:W, 2, FALSE), "NO ENCONTRADO EN PLANTA"))</f>
        <v/>
      </c>
      <c r="B1197" s="6"/>
      <c r="C1197" s="7" t="str">
        <f>IF(B1197="","",IFERROR(VLOOKUP(B1197, PLANTA_BASE!A:W, 3, FALSE), ""))</f>
        <v/>
      </c>
      <c r="D1197" s="5" t="str">
        <f>IF(B1197="","",IFERROR(VLOOKUP(B1197, PLANTA_BASE!A:W, 5, FALSE), "NO ENCONTRADO EN PLANTA"))</f>
        <v/>
      </c>
      <c r="E1197" s="5" t="str">
        <f>IF(B1197="","",IFERROR(VLOOKUP(B1197, PLANTA_BASE!A:W, 6, FALSE), "NO ENCONTRADO EN PLANTA"))</f>
        <v/>
      </c>
      <c r="F1197" s="7" t="str">
        <f>IF(B1197="","",IFERROR(VLOOKUP(B1197, PLANTA_BASE!A:W, 8, FALSE), "DOCENTE / FACILITADOR"))</f>
        <v/>
      </c>
      <c r="G1197" s="7" t="str">
        <f>IF(B1197="","",IFERROR(VLOOKUP(B1197, PLANTA_BASE!A:W, 9, FALSE), "GENERAL"))</f>
        <v/>
      </c>
      <c r="H1197" s="5" t="str">
        <f>IF(B1197="","",IFERROR(VLOOKUP(B1197, PLANTA_BASE!A:W, 17, FALSE), "GENERAL"))</f>
        <v/>
      </c>
    </row>
    <row r="1198" spans="1:8" ht="20.100000000000001" customHeight="1" x14ac:dyDescent="0.25">
      <c r="A1198" s="2" t="str">
        <f>IF(B1198="","",IFERROR(VLOOKUP(B1198, PLANTA_BASE!A:W, 2, FALSE), "NO ENCONTRADO EN PLANTA"))</f>
        <v/>
      </c>
      <c r="B1198" s="3"/>
      <c r="C1198" s="4" t="str">
        <f>IF(B1198="","",IFERROR(VLOOKUP(B1198, PLANTA_BASE!A:W, 3, FALSE), ""))</f>
        <v/>
      </c>
      <c r="D1198" s="2" t="str">
        <f>IF(B1198="","",IFERROR(VLOOKUP(B1198, PLANTA_BASE!A:W, 5, FALSE), "NO ENCONTRADO EN PLANTA"))</f>
        <v/>
      </c>
      <c r="E1198" s="2" t="str">
        <f>IF(B1198="","",IFERROR(VLOOKUP(B1198, PLANTA_BASE!A:W, 6, FALSE), "NO ENCONTRADO EN PLANTA"))</f>
        <v/>
      </c>
      <c r="F1198" s="4" t="str">
        <f>IF(B1198="","",IFERROR(VLOOKUP(B1198, PLANTA_BASE!A:W, 8, FALSE), "DOCENTE / FACILITADOR"))</f>
        <v/>
      </c>
      <c r="G1198" s="4" t="str">
        <f>IF(B1198="","",IFERROR(VLOOKUP(B1198, PLANTA_BASE!A:W, 9, FALSE), "GENERAL"))</f>
        <v/>
      </c>
      <c r="H1198" s="2" t="str">
        <f>IF(B1198="","",IFERROR(VLOOKUP(B1198, PLANTA_BASE!A:W, 17, FALSE), "GENERAL"))</f>
        <v/>
      </c>
    </row>
    <row r="1199" spans="1:8" ht="20.100000000000001" customHeight="1" x14ac:dyDescent="0.25">
      <c r="A1199" s="5" t="str">
        <f>IF(B1199="","",IFERROR(VLOOKUP(B1199, PLANTA_BASE!A:W, 2, FALSE), "NO ENCONTRADO EN PLANTA"))</f>
        <v/>
      </c>
      <c r="B1199" s="6"/>
      <c r="C1199" s="7" t="str">
        <f>IF(B1199="","",IFERROR(VLOOKUP(B1199, PLANTA_BASE!A:W, 3, FALSE), ""))</f>
        <v/>
      </c>
      <c r="D1199" s="5" t="str">
        <f>IF(B1199="","",IFERROR(VLOOKUP(B1199, PLANTA_BASE!A:W, 5, FALSE), "NO ENCONTRADO EN PLANTA"))</f>
        <v/>
      </c>
      <c r="E1199" s="5" t="str">
        <f>IF(B1199="","",IFERROR(VLOOKUP(B1199, PLANTA_BASE!A:W, 6, FALSE), "NO ENCONTRADO EN PLANTA"))</f>
        <v/>
      </c>
      <c r="F1199" s="7" t="str">
        <f>IF(B1199="","",IFERROR(VLOOKUP(B1199, PLANTA_BASE!A:W, 8, FALSE), "DOCENTE / FACILITADOR"))</f>
        <v/>
      </c>
      <c r="G1199" s="7" t="str">
        <f>IF(B1199="","",IFERROR(VLOOKUP(B1199, PLANTA_BASE!A:W, 9, FALSE), "GENERAL"))</f>
        <v/>
      </c>
      <c r="H1199" s="5" t="str">
        <f>IF(B1199="","",IFERROR(VLOOKUP(B1199, PLANTA_BASE!A:W, 17, FALSE), "GENERAL"))</f>
        <v/>
      </c>
    </row>
    <row r="1200" spans="1:8" ht="20.100000000000001" customHeight="1" x14ac:dyDescent="0.25">
      <c r="A1200" s="2" t="str">
        <f>IF(B1200="","",IFERROR(VLOOKUP(B1200, PLANTA_BASE!A:W, 2, FALSE), "NO ENCONTRADO EN PLANTA"))</f>
        <v/>
      </c>
      <c r="B1200" s="3"/>
      <c r="C1200" s="4" t="str">
        <f>IF(B1200="","",IFERROR(VLOOKUP(B1200, PLANTA_BASE!A:W, 3, FALSE), ""))</f>
        <v/>
      </c>
      <c r="D1200" s="2" t="str">
        <f>IF(B1200="","",IFERROR(VLOOKUP(B1200, PLANTA_BASE!A:W, 5, FALSE), "NO ENCONTRADO EN PLANTA"))</f>
        <v/>
      </c>
      <c r="E1200" s="2" t="str">
        <f>IF(B1200="","",IFERROR(VLOOKUP(B1200, PLANTA_BASE!A:W, 6, FALSE), "NO ENCONTRADO EN PLANTA"))</f>
        <v/>
      </c>
      <c r="F1200" s="4" t="str">
        <f>IF(B1200="","",IFERROR(VLOOKUP(B1200, PLANTA_BASE!A:W, 8, FALSE), "DOCENTE / FACILITADOR"))</f>
        <v/>
      </c>
      <c r="G1200" s="4" t="str">
        <f>IF(B1200="","",IFERROR(VLOOKUP(B1200, PLANTA_BASE!A:W, 9, FALSE), "GENERAL"))</f>
        <v/>
      </c>
      <c r="H1200" s="2" t="str">
        <f>IF(B1200="","",IFERROR(VLOOKUP(B1200, PLANTA_BASE!A:W, 17, FALSE), "GENERAL"))</f>
        <v/>
      </c>
    </row>
    <row r="1201" spans="1:8" ht="20.100000000000001" customHeight="1" x14ac:dyDescent="0.25">
      <c r="A1201" s="5" t="str">
        <f>IF(B1201="","",IFERROR(VLOOKUP(B1201, PLANTA_BASE!A:W, 2, FALSE), "NO ENCONTRADO EN PLANTA"))</f>
        <v/>
      </c>
      <c r="B1201" s="6"/>
      <c r="C1201" s="7" t="str">
        <f>IF(B1201="","",IFERROR(VLOOKUP(B1201, PLANTA_BASE!A:W, 3, FALSE), ""))</f>
        <v/>
      </c>
      <c r="D1201" s="5" t="str">
        <f>IF(B1201="","",IFERROR(VLOOKUP(B1201, PLANTA_BASE!A:W, 5, FALSE), "NO ENCONTRADO EN PLANTA"))</f>
        <v/>
      </c>
      <c r="E1201" s="5" t="str">
        <f>IF(B1201="","",IFERROR(VLOOKUP(B1201, PLANTA_BASE!A:W, 6, FALSE), "NO ENCONTRADO EN PLANTA"))</f>
        <v/>
      </c>
      <c r="F1201" s="7" t="str">
        <f>IF(B1201="","",IFERROR(VLOOKUP(B1201, PLANTA_BASE!A:W, 8, FALSE), "DOCENTE / FACILITADOR"))</f>
        <v/>
      </c>
      <c r="G1201" s="7" t="str">
        <f>IF(B1201="","",IFERROR(VLOOKUP(B1201, PLANTA_BASE!A:W, 9, FALSE), "GENERAL"))</f>
        <v/>
      </c>
      <c r="H1201" s="5" t="str">
        <f>IF(B1201="","",IFERROR(VLOOKUP(B1201, PLANTA_BASE!A:W, 17, FALSE), "GENERAL"))</f>
        <v/>
      </c>
    </row>
    <row r="1202" spans="1:8" ht="20.100000000000001" customHeight="1" x14ac:dyDescent="0.25">
      <c r="A1202" s="2" t="str">
        <f>IF(B1202="","",IFERROR(VLOOKUP(B1202, PLANTA_BASE!A:W, 2, FALSE), "NO ENCONTRADO EN PLANTA"))</f>
        <v/>
      </c>
      <c r="B1202" s="3"/>
      <c r="C1202" s="4" t="str">
        <f>IF(B1202="","",IFERROR(VLOOKUP(B1202, PLANTA_BASE!A:W, 3, FALSE), ""))</f>
        <v/>
      </c>
      <c r="D1202" s="2" t="str">
        <f>IF(B1202="","",IFERROR(VLOOKUP(B1202, PLANTA_BASE!A:W, 5, FALSE), "NO ENCONTRADO EN PLANTA"))</f>
        <v/>
      </c>
      <c r="E1202" s="2" t="str">
        <f>IF(B1202="","",IFERROR(VLOOKUP(B1202, PLANTA_BASE!A:W, 6, FALSE), "NO ENCONTRADO EN PLANTA"))</f>
        <v/>
      </c>
      <c r="F1202" s="4" t="str">
        <f>IF(B1202="","",IFERROR(VLOOKUP(B1202, PLANTA_BASE!A:W, 8, FALSE), "DOCENTE / FACILITADOR"))</f>
        <v/>
      </c>
      <c r="G1202" s="4" t="str">
        <f>IF(B1202="","",IFERROR(VLOOKUP(B1202, PLANTA_BASE!A:W, 9, FALSE), "GENERAL"))</f>
        <v/>
      </c>
      <c r="H1202" s="2" t="str">
        <f>IF(B1202="","",IFERROR(VLOOKUP(B1202, PLANTA_BASE!A:W, 17, FALSE), "GENERAL"))</f>
        <v/>
      </c>
    </row>
    <row r="1203" spans="1:8" ht="20.100000000000001" customHeight="1" x14ac:dyDescent="0.25">
      <c r="A1203" s="5" t="str">
        <f>IF(B1203="","",IFERROR(VLOOKUP(B1203, PLANTA_BASE!A:W, 2, FALSE), "NO ENCONTRADO EN PLANTA"))</f>
        <v/>
      </c>
      <c r="B1203" s="6"/>
      <c r="C1203" s="7" t="str">
        <f>IF(B1203="","",IFERROR(VLOOKUP(B1203, PLANTA_BASE!A:W, 3, FALSE), ""))</f>
        <v/>
      </c>
      <c r="D1203" s="5" t="str">
        <f>IF(B1203="","",IFERROR(VLOOKUP(B1203, PLANTA_BASE!A:W, 5, FALSE), "NO ENCONTRADO EN PLANTA"))</f>
        <v/>
      </c>
      <c r="E1203" s="5" t="str">
        <f>IF(B1203="","",IFERROR(VLOOKUP(B1203, PLANTA_BASE!A:W, 6, FALSE), "NO ENCONTRADO EN PLANTA"))</f>
        <v/>
      </c>
      <c r="F1203" s="7" t="str">
        <f>IF(B1203="","",IFERROR(VLOOKUP(B1203, PLANTA_BASE!A:W, 8, FALSE), "DOCENTE / FACILITADOR"))</f>
        <v/>
      </c>
      <c r="G1203" s="7" t="str">
        <f>IF(B1203="","",IFERROR(VLOOKUP(B1203, PLANTA_BASE!A:W, 9, FALSE), "GENERAL"))</f>
        <v/>
      </c>
      <c r="H1203" s="5" t="str">
        <f>IF(B1203="","",IFERROR(VLOOKUP(B1203, PLANTA_BASE!A:W, 17, FALSE), "GENERAL"))</f>
        <v/>
      </c>
    </row>
    <row r="1204" spans="1:8" ht="20.100000000000001" customHeight="1" x14ac:dyDescent="0.25">
      <c r="A1204" s="2" t="str">
        <f>IF(B1204="","",IFERROR(VLOOKUP(B1204, PLANTA_BASE!A:W, 2, FALSE), "NO ENCONTRADO EN PLANTA"))</f>
        <v/>
      </c>
      <c r="B1204" s="3"/>
      <c r="C1204" s="4" t="str">
        <f>IF(B1204="","",IFERROR(VLOOKUP(B1204, PLANTA_BASE!A:W, 3, FALSE), ""))</f>
        <v/>
      </c>
      <c r="D1204" s="2" t="str">
        <f>IF(B1204="","",IFERROR(VLOOKUP(B1204, PLANTA_BASE!A:W, 5, FALSE), "NO ENCONTRADO EN PLANTA"))</f>
        <v/>
      </c>
      <c r="E1204" s="2" t="str">
        <f>IF(B1204="","",IFERROR(VLOOKUP(B1204, PLANTA_BASE!A:W, 6, FALSE), "NO ENCONTRADO EN PLANTA"))</f>
        <v/>
      </c>
      <c r="F1204" s="4" t="str">
        <f>IF(B1204="","",IFERROR(VLOOKUP(B1204, PLANTA_BASE!A:W, 8, FALSE), "DOCENTE / FACILITADOR"))</f>
        <v/>
      </c>
      <c r="G1204" s="4" t="str">
        <f>IF(B1204="","",IFERROR(VLOOKUP(B1204, PLANTA_BASE!A:W, 9, FALSE), "GENERAL"))</f>
        <v/>
      </c>
      <c r="H1204" s="2" t="str">
        <f>IF(B1204="","",IFERROR(VLOOKUP(B1204, PLANTA_BASE!A:W, 17, FALSE), "GENERAL"))</f>
        <v/>
      </c>
    </row>
    <row r="1205" spans="1:8" ht="20.100000000000001" customHeight="1" x14ac:dyDescent="0.25">
      <c r="A1205" s="5" t="str">
        <f>IF(B1205="","",IFERROR(VLOOKUP(B1205, PLANTA_BASE!A:W, 2, FALSE), "NO ENCONTRADO EN PLANTA"))</f>
        <v/>
      </c>
      <c r="B1205" s="6"/>
      <c r="C1205" s="7" t="str">
        <f>IF(B1205="","",IFERROR(VLOOKUP(B1205, PLANTA_BASE!A:W, 3, FALSE), ""))</f>
        <v/>
      </c>
      <c r="D1205" s="5" t="str">
        <f>IF(B1205="","",IFERROR(VLOOKUP(B1205, PLANTA_BASE!A:W, 5, FALSE), "NO ENCONTRADO EN PLANTA"))</f>
        <v/>
      </c>
      <c r="E1205" s="5" t="str">
        <f>IF(B1205="","",IFERROR(VLOOKUP(B1205, PLANTA_BASE!A:W, 6, FALSE), "NO ENCONTRADO EN PLANTA"))</f>
        <v/>
      </c>
      <c r="F1205" s="7" t="str">
        <f>IF(B1205="","",IFERROR(VLOOKUP(B1205, PLANTA_BASE!A:W, 8, FALSE), "DOCENTE / FACILITADOR"))</f>
        <v/>
      </c>
      <c r="G1205" s="7" t="str">
        <f>IF(B1205="","",IFERROR(VLOOKUP(B1205, PLANTA_BASE!A:W, 9, FALSE), "GENERAL"))</f>
        <v/>
      </c>
      <c r="H1205" s="5" t="str">
        <f>IF(B1205="","",IFERROR(VLOOKUP(B1205, PLANTA_BASE!A:W, 17, FALSE), "GENERAL"))</f>
        <v/>
      </c>
    </row>
    <row r="1206" spans="1:8" ht="20.100000000000001" customHeight="1" x14ac:dyDescent="0.25">
      <c r="A1206" s="2" t="str">
        <f>IF(B1206="","",IFERROR(VLOOKUP(B1206, PLANTA_BASE!A:W, 2, FALSE), "NO ENCONTRADO EN PLANTA"))</f>
        <v/>
      </c>
      <c r="B1206" s="3"/>
      <c r="C1206" s="4" t="str">
        <f>IF(B1206="","",IFERROR(VLOOKUP(B1206, PLANTA_BASE!A:W, 3, FALSE), ""))</f>
        <v/>
      </c>
      <c r="D1206" s="2" t="str">
        <f>IF(B1206="","",IFERROR(VLOOKUP(B1206, PLANTA_BASE!A:W, 5, FALSE), "NO ENCONTRADO EN PLANTA"))</f>
        <v/>
      </c>
      <c r="E1206" s="2" t="str">
        <f>IF(B1206="","",IFERROR(VLOOKUP(B1206, PLANTA_BASE!A:W, 6, FALSE), "NO ENCONTRADO EN PLANTA"))</f>
        <v/>
      </c>
      <c r="F1206" s="4" t="str">
        <f>IF(B1206="","",IFERROR(VLOOKUP(B1206, PLANTA_BASE!A:W, 8, FALSE), "DOCENTE / FACILITADOR"))</f>
        <v/>
      </c>
      <c r="G1206" s="4" t="str">
        <f>IF(B1206="","",IFERROR(VLOOKUP(B1206, PLANTA_BASE!A:W, 9, FALSE), "GENERAL"))</f>
        <v/>
      </c>
      <c r="H1206" s="2" t="str">
        <f>IF(B1206="","",IFERROR(VLOOKUP(B1206, PLANTA_BASE!A:W, 17, FALSE), "GENERAL"))</f>
        <v/>
      </c>
    </row>
    <row r="1207" spans="1:8" ht="20.100000000000001" customHeight="1" x14ac:dyDescent="0.25">
      <c r="A1207" s="5" t="str">
        <f>IF(B1207="","",IFERROR(VLOOKUP(B1207, PLANTA_BASE!A:W, 2, FALSE), "NO ENCONTRADO EN PLANTA"))</f>
        <v/>
      </c>
      <c r="B1207" s="6"/>
      <c r="C1207" s="7" t="str">
        <f>IF(B1207="","",IFERROR(VLOOKUP(B1207, PLANTA_BASE!A:W, 3, FALSE), ""))</f>
        <v/>
      </c>
      <c r="D1207" s="5" t="str">
        <f>IF(B1207="","",IFERROR(VLOOKUP(B1207, PLANTA_BASE!A:W, 5, FALSE), "NO ENCONTRADO EN PLANTA"))</f>
        <v/>
      </c>
      <c r="E1207" s="5" t="str">
        <f>IF(B1207="","",IFERROR(VLOOKUP(B1207, PLANTA_BASE!A:W, 6, FALSE), "NO ENCONTRADO EN PLANTA"))</f>
        <v/>
      </c>
      <c r="F1207" s="7" t="str">
        <f>IF(B1207="","",IFERROR(VLOOKUP(B1207, PLANTA_BASE!A:W, 8, FALSE), "DOCENTE / FACILITADOR"))</f>
        <v/>
      </c>
      <c r="G1207" s="7" t="str">
        <f>IF(B1207="","",IFERROR(VLOOKUP(B1207, PLANTA_BASE!A:W, 9, FALSE), "GENERAL"))</f>
        <v/>
      </c>
      <c r="H1207" s="5" t="str">
        <f>IF(B1207="","",IFERROR(VLOOKUP(B1207, PLANTA_BASE!A:W, 17, FALSE), "GENERAL"))</f>
        <v/>
      </c>
    </row>
    <row r="1208" spans="1:8" ht="20.100000000000001" customHeight="1" x14ac:dyDescent="0.25">
      <c r="A1208" s="2" t="str">
        <f>IF(B1208="","",IFERROR(VLOOKUP(B1208, PLANTA_BASE!A:W, 2, FALSE), "NO ENCONTRADO EN PLANTA"))</f>
        <v/>
      </c>
      <c r="B1208" s="3"/>
      <c r="C1208" s="4" t="str">
        <f>IF(B1208="","",IFERROR(VLOOKUP(B1208, PLANTA_BASE!A:W, 3, FALSE), ""))</f>
        <v/>
      </c>
      <c r="D1208" s="2" t="str">
        <f>IF(B1208="","",IFERROR(VLOOKUP(B1208, PLANTA_BASE!A:W, 5, FALSE), "NO ENCONTRADO EN PLANTA"))</f>
        <v/>
      </c>
      <c r="E1208" s="2" t="str">
        <f>IF(B1208="","",IFERROR(VLOOKUP(B1208, PLANTA_BASE!A:W, 6, FALSE), "NO ENCONTRADO EN PLANTA"))</f>
        <v/>
      </c>
      <c r="F1208" s="4" t="str">
        <f>IF(B1208="","",IFERROR(VLOOKUP(B1208, PLANTA_BASE!A:W, 8, FALSE), "DOCENTE / FACILITADOR"))</f>
        <v/>
      </c>
      <c r="G1208" s="4" t="str">
        <f>IF(B1208="","",IFERROR(VLOOKUP(B1208, PLANTA_BASE!A:W, 9, FALSE), "GENERAL"))</f>
        <v/>
      </c>
      <c r="H1208" s="2" t="str">
        <f>IF(B1208="","",IFERROR(VLOOKUP(B1208, PLANTA_BASE!A:W, 17, FALSE), "GENERAL"))</f>
        <v/>
      </c>
    </row>
    <row r="1209" spans="1:8" ht="20.100000000000001" customHeight="1" x14ac:dyDescent="0.25">
      <c r="A1209" s="5" t="str">
        <f>IF(B1209="","",IFERROR(VLOOKUP(B1209, PLANTA_BASE!A:W, 2, FALSE), "NO ENCONTRADO EN PLANTA"))</f>
        <v/>
      </c>
      <c r="B1209" s="6"/>
      <c r="C1209" s="7" t="str">
        <f>IF(B1209="","",IFERROR(VLOOKUP(B1209, PLANTA_BASE!A:W, 3, FALSE), ""))</f>
        <v/>
      </c>
      <c r="D1209" s="5" t="str">
        <f>IF(B1209="","",IFERROR(VLOOKUP(B1209, PLANTA_BASE!A:W, 5, FALSE), "NO ENCONTRADO EN PLANTA"))</f>
        <v/>
      </c>
      <c r="E1209" s="5" t="str">
        <f>IF(B1209="","",IFERROR(VLOOKUP(B1209, PLANTA_BASE!A:W, 6, FALSE), "NO ENCONTRADO EN PLANTA"))</f>
        <v/>
      </c>
      <c r="F1209" s="7" t="str">
        <f>IF(B1209="","",IFERROR(VLOOKUP(B1209, PLANTA_BASE!A:W, 8, FALSE), "DOCENTE / FACILITADOR"))</f>
        <v/>
      </c>
      <c r="G1209" s="7" t="str">
        <f>IF(B1209="","",IFERROR(VLOOKUP(B1209, PLANTA_BASE!A:W, 9, FALSE), "GENERAL"))</f>
        <v/>
      </c>
      <c r="H1209" s="5" t="str">
        <f>IF(B1209="","",IFERROR(VLOOKUP(B1209, PLANTA_BASE!A:W, 17, FALSE), "GENERAL"))</f>
        <v/>
      </c>
    </row>
    <row r="1210" spans="1:8" ht="20.100000000000001" customHeight="1" x14ac:dyDescent="0.25">
      <c r="A1210" s="2" t="str">
        <f>IF(B1210="","",IFERROR(VLOOKUP(B1210, PLANTA_BASE!A:W, 2, FALSE), "NO ENCONTRADO EN PLANTA"))</f>
        <v/>
      </c>
      <c r="B1210" s="3"/>
      <c r="C1210" s="4" t="str">
        <f>IF(B1210="","",IFERROR(VLOOKUP(B1210, PLANTA_BASE!A:W, 3, FALSE), ""))</f>
        <v/>
      </c>
      <c r="D1210" s="2" t="str">
        <f>IF(B1210="","",IFERROR(VLOOKUP(B1210, PLANTA_BASE!A:W, 5, FALSE), "NO ENCONTRADO EN PLANTA"))</f>
        <v/>
      </c>
      <c r="E1210" s="2" t="str">
        <f>IF(B1210="","",IFERROR(VLOOKUP(B1210, PLANTA_BASE!A:W, 6, FALSE), "NO ENCONTRADO EN PLANTA"))</f>
        <v/>
      </c>
      <c r="F1210" s="4" t="str">
        <f>IF(B1210="","",IFERROR(VLOOKUP(B1210, PLANTA_BASE!A:W, 8, FALSE), "DOCENTE / FACILITADOR"))</f>
        <v/>
      </c>
      <c r="G1210" s="4" t="str">
        <f>IF(B1210="","",IFERROR(VLOOKUP(B1210, PLANTA_BASE!A:W, 9, FALSE), "GENERAL"))</f>
        <v/>
      </c>
      <c r="H1210" s="2" t="str">
        <f>IF(B1210="","",IFERROR(VLOOKUP(B1210, PLANTA_BASE!A:W, 17, FALSE), "GENERAL"))</f>
        <v/>
      </c>
    </row>
    <row r="1211" spans="1:8" ht="20.100000000000001" customHeight="1" x14ac:dyDescent="0.25">
      <c r="A1211" s="5" t="str">
        <f>IF(B1211="","",IFERROR(VLOOKUP(B1211, PLANTA_BASE!A:W, 2, FALSE), "NO ENCONTRADO EN PLANTA"))</f>
        <v/>
      </c>
      <c r="B1211" s="6"/>
      <c r="C1211" s="7" t="str">
        <f>IF(B1211="","",IFERROR(VLOOKUP(B1211, PLANTA_BASE!A:W, 3, FALSE), ""))</f>
        <v/>
      </c>
      <c r="D1211" s="5" t="str">
        <f>IF(B1211="","",IFERROR(VLOOKUP(B1211, PLANTA_BASE!A:W, 5, FALSE), "NO ENCONTRADO EN PLANTA"))</f>
        <v/>
      </c>
      <c r="E1211" s="5" t="str">
        <f>IF(B1211="","",IFERROR(VLOOKUP(B1211, PLANTA_BASE!A:W, 6, FALSE), "NO ENCONTRADO EN PLANTA"))</f>
        <v/>
      </c>
      <c r="F1211" s="7" t="str">
        <f>IF(B1211="","",IFERROR(VLOOKUP(B1211, PLANTA_BASE!A:W, 8, FALSE), "DOCENTE / FACILITADOR"))</f>
        <v/>
      </c>
      <c r="G1211" s="7" t="str">
        <f>IF(B1211="","",IFERROR(VLOOKUP(B1211, PLANTA_BASE!A:W, 9, FALSE), "GENERAL"))</f>
        <v/>
      </c>
      <c r="H1211" s="5" t="str">
        <f>IF(B1211="","",IFERROR(VLOOKUP(B1211, PLANTA_BASE!A:W, 17, FALSE), "GENERAL"))</f>
        <v/>
      </c>
    </row>
    <row r="1212" spans="1:8" ht="20.100000000000001" customHeight="1" x14ac:dyDescent="0.25">
      <c r="A1212" s="2" t="str">
        <f>IF(B1212="","",IFERROR(VLOOKUP(B1212, PLANTA_BASE!A:W, 2, FALSE), "NO ENCONTRADO EN PLANTA"))</f>
        <v/>
      </c>
      <c r="B1212" s="3"/>
      <c r="C1212" s="4" t="str">
        <f>IF(B1212="","",IFERROR(VLOOKUP(B1212, PLANTA_BASE!A:W, 3, FALSE), ""))</f>
        <v/>
      </c>
      <c r="D1212" s="2" t="str">
        <f>IF(B1212="","",IFERROR(VLOOKUP(B1212, PLANTA_BASE!A:W, 5, FALSE), "NO ENCONTRADO EN PLANTA"))</f>
        <v/>
      </c>
      <c r="E1212" s="2" t="str">
        <f>IF(B1212="","",IFERROR(VLOOKUP(B1212, PLANTA_BASE!A:W, 6, FALSE), "NO ENCONTRADO EN PLANTA"))</f>
        <v/>
      </c>
      <c r="F1212" s="4" t="str">
        <f>IF(B1212="","",IFERROR(VLOOKUP(B1212, PLANTA_BASE!A:W, 8, FALSE), "DOCENTE / FACILITADOR"))</f>
        <v/>
      </c>
      <c r="G1212" s="4" t="str">
        <f>IF(B1212="","",IFERROR(VLOOKUP(B1212, PLANTA_BASE!A:W, 9, FALSE), "GENERAL"))</f>
        <v/>
      </c>
      <c r="H1212" s="2" t="str">
        <f>IF(B1212="","",IFERROR(VLOOKUP(B1212, PLANTA_BASE!A:W, 17, FALSE), "GENERAL"))</f>
        <v/>
      </c>
    </row>
    <row r="1213" spans="1:8" ht="20.100000000000001" customHeight="1" x14ac:dyDescent="0.25">
      <c r="A1213" s="5" t="str">
        <f>IF(B1213="","",IFERROR(VLOOKUP(B1213, PLANTA_BASE!A:W, 2, FALSE), "NO ENCONTRADO EN PLANTA"))</f>
        <v/>
      </c>
      <c r="B1213" s="6"/>
      <c r="C1213" s="7" t="str">
        <f>IF(B1213="","",IFERROR(VLOOKUP(B1213, PLANTA_BASE!A:W, 3, FALSE), ""))</f>
        <v/>
      </c>
      <c r="D1213" s="5" t="str">
        <f>IF(B1213="","",IFERROR(VLOOKUP(B1213, PLANTA_BASE!A:W, 5, FALSE), "NO ENCONTRADO EN PLANTA"))</f>
        <v/>
      </c>
      <c r="E1213" s="5" t="str">
        <f>IF(B1213="","",IFERROR(VLOOKUP(B1213, PLANTA_BASE!A:W, 6, FALSE), "NO ENCONTRADO EN PLANTA"))</f>
        <v/>
      </c>
      <c r="F1213" s="7" t="str">
        <f>IF(B1213="","",IFERROR(VLOOKUP(B1213, PLANTA_BASE!A:W, 8, FALSE), "DOCENTE / FACILITADOR"))</f>
        <v/>
      </c>
      <c r="G1213" s="7" t="str">
        <f>IF(B1213="","",IFERROR(VLOOKUP(B1213, PLANTA_BASE!A:W, 9, FALSE), "GENERAL"))</f>
        <v/>
      </c>
      <c r="H1213" s="5" t="str">
        <f>IF(B1213="","",IFERROR(VLOOKUP(B1213, PLANTA_BASE!A:W, 17, FALSE), "GENERAL"))</f>
        <v/>
      </c>
    </row>
    <row r="1214" spans="1:8" ht="20.100000000000001" customHeight="1" x14ac:dyDescent="0.25">
      <c r="A1214" s="2" t="str">
        <f>IF(B1214="","",IFERROR(VLOOKUP(B1214, PLANTA_BASE!A:W, 2, FALSE), "NO ENCONTRADO EN PLANTA"))</f>
        <v/>
      </c>
      <c r="B1214" s="3"/>
      <c r="C1214" s="4" t="str">
        <f>IF(B1214="","",IFERROR(VLOOKUP(B1214, PLANTA_BASE!A:W, 3, FALSE), ""))</f>
        <v/>
      </c>
      <c r="D1214" s="2" t="str">
        <f>IF(B1214="","",IFERROR(VLOOKUP(B1214, PLANTA_BASE!A:W, 5, FALSE), "NO ENCONTRADO EN PLANTA"))</f>
        <v/>
      </c>
      <c r="E1214" s="2" t="str">
        <f>IF(B1214="","",IFERROR(VLOOKUP(B1214, PLANTA_BASE!A:W, 6, FALSE), "NO ENCONTRADO EN PLANTA"))</f>
        <v/>
      </c>
      <c r="F1214" s="4" t="str">
        <f>IF(B1214="","",IFERROR(VLOOKUP(B1214, PLANTA_BASE!A:W, 8, FALSE), "DOCENTE / FACILITADOR"))</f>
        <v/>
      </c>
      <c r="G1214" s="4" t="str">
        <f>IF(B1214="","",IFERROR(VLOOKUP(B1214, PLANTA_BASE!A:W, 9, FALSE), "GENERAL"))</f>
        <v/>
      </c>
      <c r="H1214" s="2" t="str">
        <f>IF(B1214="","",IFERROR(VLOOKUP(B1214, PLANTA_BASE!A:W, 17, FALSE), "GENERAL"))</f>
        <v/>
      </c>
    </row>
    <row r="1215" spans="1:8" ht="20.100000000000001" customHeight="1" x14ac:dyDescent="0.25">
      <c r="A1215" s="5" t="str">
        <f>IF(B1215="","",IFERROR(VLOOKUP(B1215, PLANTA_BASE!A:W, 2, FALSE), "NO ENCONTRADO EN PLANTA"))</f>
        <v/>
      </c>
      <c r="B1215" s="6"/>
      <c r="C1215" s="7" t="str">
        <f>IF(B1215="","",IFERROR(VLOOKUP(B1215, PLANTA_BASE!A:W, 3, FALSE), ""))</f>
        <v/>
      </c>
      <c r="D1215" s="5" t="str">
        <f>IF(B1215="","",IFERROR(VLOOKUP(B1215, PLANTA_BASE!A:W, 5, FALSE), "NO ENCONTRADO EN PLANTA"))</f>
        <v/>
      </c>
      <c r="E1215" s="5" t="str">
        <f>IF(B1215="","",IFERROR(VLOOKUP(B1215, PLANTA_BASE!A:W, 6, FALSE), "NO ENCONTRADO EN PLANTA"))</f>
        <v/>
      </c>
      <c r="F1215" s="7" t="str">
        <f>IF(B1215="","",IFERROR(VLOOKUP(B1215, PLANTA_BASE!A:W, 8, FALSE), "DOCENTE / FACILITADOR"))</f>
        <v/>
      </c>
      <c r="G1215" s="7" t="str">
        <f>IF(B1215="","",IFERROR(VLOOKUP(B1215, PLANTA_BASE!A:W, 9, FALSE), "GENERAL"))</f>
        <v/>
      </c>
      <c r="H1215" s="5" t="str">
        <f>IF(B1215="","",IFERROR(VLOOKUP(B1215, PLANTA_BASE!A:W, 17, FALSE), "GENERAL"))</f>
        <v/>
      </c>
    </row>
    <row r="1216" spans="1:8" ht="20.100000000000001" customHeight="1" x14ac:dyDescent="0.25">
      <c r="A1216" s="2" t="str">
        <f>IF(B1216="","",IFERROR(VLOOKUP(B1216, PLANTA_BASE!A:W, 2, FALSE), "NO ENCONTRADO EN PLANTA"))</f>
        <v/>
      </c>
      <c r="B1216" s="3"/>
      <c r="C1216" s="4" t="str">
        <f>IF(B1216="","",IFERROR(VLOOKUP(B1216, PLANTA_BASE!A:W, 3, FALSE), ""))</f>
        <v/>
      </c>
      <c r="D1216" s="2" t="str">
        <f>IF(B1216="","",IFERROR(VLOOKUP(B1216, PLANTA_BASE!A:W, 5, FALSE), "NO ENCONTRADO EN PLANTA"))</f>
        <v/>
      </c>
      <c r="E1216" s="2" t="str">
        <f>IF(B1216="","",IFERROR(VLOOKUP(B1216, PLANTA_BASE!A:W, 6, FALSE), "NO ENCONTRADO EN PLANTA"))</f>
        <v/>
      </c>
      <c r="F1216" s="4" t="str">
        <f>IF(B1216="","",IFERROR(VLOOKUP(B1216, PLANTA_BASE!A:W, 8, FALSE), "DOCENTE / FACILITADOR"))</f>
        <v/>
      </c>
      <c r="G1216" s="4" t="str">
        <f>IF(B1216="","",IFERROR(VLOOKUP(B1216, PLANTA_BASE!A:W, 9, FALSE), "GENERAL"))</f>
        <v/>
      </c>
      <c r="H1216" s="2" t="str">
        <f>IF(B1216="","",IFERROR(VLOOKUP(B1216, PLANTA_BASE!A:W, 17, FALSE), "GENERAL"))</f>
        <v/>
      </c>
    </row>
    <row r="1217" spans="1:8" ht="20.100000000000001" customHeight="1" x14ac:dyDescent="0.25">
      <c r="A1217" s="5" t="str">
        <f>IF(B1217="","",IFERROR(VLOOKUP(B1217, PLANTA_BASE!A:W, 2, FALSE), "NO ENCONTRADO EN PLANTA"))</f>
        <v/>
      </c>
      <c r="B1217" s="6"/>
      <c r="C1217" s="7" t="str">
        <f>IF(B1217="","",IFERROR(VLOOKUP(B1217, PLANTA_BASE!A:W, 3, FALSE), ""))</f>
        <v/>
      </c>
      <c r="D1217" s="5" t="str">
        <f>IF(B1217="","",IFERROR(VLOOKUP(B1217, PLANTA_BASE!A:W, 5, FALSE), "NO ENCONTRADO EN PLANTA"))</f>
        <v/>
      </c>
      <c r="E1217" s="5" t="str">
        <f>IF(B1217="","",IFERROR(VLOOKUP(B1217, PLANTA_BASE!A:W, 6, FALSE), "NO ENCONTRADO EN PLANTA"))</f>
        <v/>
      </c>
      <c r="F1217" s="7" t="str">
        <f>IF(B1217="","",IFERROR(VLOOKUP(B1217, PLANTA_BASE!A:W, 8, FALSE), "DOCENTE / FACILITADOR"))</f>
        <v/>
      </c>
      <c r="G1217" s="7" t="str">
        <f>IF(B1217="","",IFERROR(VLOOKUP(B1217, PLANTA_BASE!A:W, 9, FALSE), "GENERAL"))</f>
        <v/>
      </c>
      <c r="H1217" s="5" t="str">
        <f>IF(B1217="","",IFERROR(VLOOKUP(B1217, PLANTA_BASE!A:W, 17, FALSE), "GENERAL"))</f>
        <v/>
      </c>
    </row>
    <row r="1218" spans="1:8" ht="20.100000000000001" customHeight="1" x14ac:dyDescent="0.25">
      <c r="A1218" s="2" t="str">
        <f>IF(B1218="","",IFERROR(VLOOKUP(B1218, PLANTA_BASE!A:W, 2, FALSE), "NO ENCONTRADO EN PLANTA"))</f>
        <v/>
      </c>
      <c r="B1218" s="3"/>
      <c r="C1218" s="4" t="str">
        <f>IF(B1218="","",IFERROR(VLOOKUP(B1218, PLANTA_BASE!A:W, 3, FALSE), ""))</f>
        <v/>
      </c>
      <c r="D1218" s="2" t="str">
        <f>IF(B1218="","",IFERROR(VLOOKUP(B1218, PLANTA_BASE!A:W, 5, FALSE), "NO ENCONTRADO EN PLANTA"))</f>
        <v/>
      </c>
      <c r="E1218" s="2" t="str">
        <f>IF(B1218="","",IFERROR(VLOOKUP(B1218, PLANTA_BASE!A:W, 6, FALSE), "NO ENCONTRADO EN PLANTA"))</f>
        <v/>
      </c>
      <c r="F1218" s="4" t="str">
        <f>IF(B1218="","",IFERROR(VLOOKUP(B1218, PLANTA_BASE!A:W, 8, FALSE), "DOCENTE / FACILITADOR"))</f>
        <v/>
      </c>
      <c r="G1218" s="4" t="str">
        <f>IF(B1218="","",IFERROR(VLOOKUP(B1218, PLANTA_BASE!A:W, 9, FALSE), "GENERAL"))</f>
        <v/>
      </c>
      <c r="H1218" s="2" t="str">
        <f>IF(B1218="","",IFERROR(VLOOKUP(B1218, PLANTA_BASE!A:W, 17, FALSE), "GENERAL"))</f>
        <v/>
      </c>
    </row>
    <row r="1219" spans="1:8" ht="20.100000000000001" customHeight="1" x14ac:dyDescent="0.25">
      <c r="A1219" s="5" t="str">
        <f>IF(B1219="","",IFERROR(VLOOKUP(B1219, PLANTA_BASE!A:W, 2, FALSE), "NO ENCONTRADO EN PLANTA"))</f>
        <v/>
      </c>
      <c r="B1219" s="6"/>
      <c r="C1219" s="7" t="str">
        <f>IF(B1219="","",IFERROR(VLOOKUP(B1219, PLANTA_BASE!A:W, 3, FALSE), ""))</f>
        <v/>
      </c>
      <c r="D1219" s="5" t="str">
        <f>IF(B1219="","",IFERROR(VLOOKUP(B1219, PLANTA_BASE!A:W, 5, FALSE), "NO ENCONTRADO EN PLANTA"))</f>
        <v/>
      </c>
      <c r="E1219" s="5" t="str">
        <f>IF(B1219="","",IFERROR(VLOOKUP(B1219, PLANTA_BASE!A:W, 6, FALSE), "NO ENCONTRADO EN PLANTA"))</f>
        <v/>
      </c>
      <c r="F1219" s="7" t="str">
        <f>IF(B1219="","",IFERROR(VLOOKUP(B1219, PLANTA_BASE!A:W, 8, FALSE), "DOCENTE / FACILITADOR"))</f>
        <v/>
      </c>
      <c r="G1219" s="7" t="str">
        <f>IF(B1219="","",IFERROR(VLOOKUP(B1219, PLANTA_BASE!A:W, 9, FALSE), "GENERAL"))</f>
        <v/>
      </c>
      <c r="H1219" s="5" t="str">
        <f>IF(B1219="","",IFERROR(VLOOKUP(B1219, PLANTA_BASE!A:W, 17, FALSE), "GENERAL"))</f>
        <v/>
      </c>
    </row>
    <row r="1220" spans="1:8" ht="20.100000000000001" customHeight="1" x14ac:dyDescent="0.25">
      <c r="A1220" s="2" t="str">
        <f>IF(B1220="","",IFERROR(VLOOKUP(B1220, PLANTA_BASE!A:W, 2, FALSE), "NO ENCONTRADO EN PLANTA"))</f>
        <v/>
      </c>
      <c r="B1220" s="3"/>
      <c r="C1220" s="4" t="str">
        <f>IF(B1220="","",IFERROR(VLOOKUP(B1220, PLANTA_BASE!A:W, 3, FALSE), ""))</f>
        <v/>
      </c>
      <c r="D1220" s="2" t="str">
        <f>IF(B1220="","",IFERROR(VLOOKUP(B1220, PLANTA_BASE!A:W, 5, FALSE), "NO ENCONTRADO EN PLANTA"))</f>
        <v/>
      </c>
      <c r="E1220" s="2" t="str">
        <f>IF(B1220="","",IFERROR(VLOOKUP(B1220, PLANTA_BASE!A:W, 6, FALSE), "NO ENCONTRADO EN PLANTA"))</f>
        <v/>
      </c>
      <c r="F1220" s="4" t="str">
        <f>IF(B1220="","",IFERROR(VLOOKUP(B1220, PLANTA_BASE!A:W, 8, FALSE), "DOCENTE / FACILITADOR"))</f>
        <v/>
      </c>
      <c r="G1220" s="4" t="str">
        <f>IF(B1220="","",IFERROR(VLOOKUP(B1220, PLANTA_BASE!A:W, 9, FALSE), "GENERAL"))</f>
        <v/>
      </c>
      <c r="H1220" s="2" t="str">
        <f>IF(B1220="","",IFERROR(VLOOKUP(B1220, PLANTA_BASE!A:W, 17, FALSE), "GENERAL"))</f>
        <v/>
      </c>
    </row>
    <row r="1221" spans="1:8" ht="20.100000000000001" customHeight="1" x14ac:dyDescent="0.25">
      <c r="A1221" s="5" t="str">
        <f>IF(B1221="","",IFERROR(VLOOKUP(B1221, PLANTA_BASE!A:W, 2, FALSE), "NO ENCONTRADO EN PLANTA"))</f>
        <v/>
      </c>
      <c r="B1221" s="6"/>
      <c r="C1221" s="7" t="str">
        <f>IF(B1221="","",IFERROR(VLOOKUP(B1221, PLANTA_BASE!A:W, 3, FALSE), ""))</f>
        <v/>
      </c>
      <c r="D1221" s="5" t="str">
        <f>IF(B1221="","",IFERROR(VLOOKUP(B1221, PLANTA_BASE!A:W, 5, FALSE), "NO ENCONTRADO EN PLANTA"))</f>
        <v/>
      </c>
      <c r="E1221" s="5" t="str">
        <f>IF(B1221="","",IFERROR(VLOOKUP(B1221, PLANTA_BASE!A:W, 6, FALSE), "NO ENCONTRADO EN PLANTA"))</f>
        <v/>
      </c>
      <c r="F1221" s="7" t="str">
        <f>IF(B1221="","",IFERROR(VLOOKUP(B1221, PLANTA_BASE!A:W, 8, FALSE), "DOCENTE / FACILITADOR"))</f>
        <v/>
      </c>
      <c r="G1221" s="7" t="str">
        <f>IF(B1221="","",IFERROR(VLOOKUP(B1221, PLANTA_BASE!A:W, 9, FALSE), "GENERAL"))</f>
        <v/>
      </c>
      <c r="H1221" s="5" t="str">
        <f>IF(B1221="","",IFERROR(VLOOKUP(B1221, PLANTA_BASE!A:W, 17, FALSE), "GENERAL"))</f>
        <v/>
      </c>
    </row>
    <row r="1222" spans="1:8" ht="20.100000000000001" customHeight="1" x14ac:dyDescent="0.25">
      <c r="A1222" s="2" t="str">
        <f>IF(B1222="","",IFERROR(VLOOKUP(B1222, PLANTA_BASE!A:W, 2, FALSE), "NO ENCONTRADO EN PLANTA"))</f>
        <v/>
      </c>
      <c r="B1222" s="3"/>
      <c r="C1222" s="4" t="str">
        <f>IF(B1222="","",IFERROR(VLOOKUP(B1222, PLANTA_BASE!A:W, 3, FALSE), ""))</f>
        <v/>
      </c>
      <c r="D1222" s="2" t="str">
        <f>IF(B1222="","",IFERROR(VLOOKUP(B1222, PLANTA_BASE!A:W, 5, FALSE), "NO ENCONTRADO EN PLANTA"))</f>
        <v/>
      </c>
      <c r="E1222" s="2" t="str">
        <f>IF(B1222="","",IFERROR(VLOOKUP(B1222, PLANTA_BASE!A:W, 6, FALSE), "NO ENCONTRADO EN PLANTA"))</f>
        <v/>
      </c>
      <c r="F1222" s="4" t="str">
        <f>IF(B1222="","",IFERROR(VLOOKUP(B1222, PLANTA_BASE!A:W, 8, FALSE), "DOCENTE / FACILITADOR"))</f>
        <v/>
      </c>
      <c r="G1222" s="4" t="str">
        <f>IF(B1222="","",IFERROR(VLOOKUP(B1222, PLANTA_BASE!A:W, 9, FALSE), "GENERAL"))</f>
        <v/>
      </c>
      <c r="H1222" s="2" t="str">
        <f>IF(B1222="","",IFERROR(VLOOKUP(B1222, PLANTA_BASE!A:W, 17, FALSE), "GENERAL"))</f>
        <v/>
      </c>
    </row>
    <row r="1223" spans="1:8" ht="20.100000000000001" customHeight="1" x14ac:dyDescent="0.25">
      <c r="A1223" s="5" t="str">
        <f>IF(B1223="","",IFERROR(VLOOKUP(B1223, PLANTA_BASE!A:W, 2, FALSE), "NO ENCONTRADO EN PLANTA"))</f>
        <v/>
      </c>
      <c r="B1223" s="6"/>
      <c r="C1223" s="7" t="str">
        <f>IF(B1223="","",IFERROR(VLOOKUP(B1223, PLANTA_BASE!A:W, 3, FALSE), ""))</f>
        <v/>
      </c>
      <c r="D1223" s="5" t="str">
        <f>IF(B1223="","",IFERROR(VLOOKUP(B1223, PLANTA_BASE!A:W, 5, FALSE), "NO ENCONTRADO EN PLANTA"))</f>
        <v/>
      </c>
      <c r="E1223" s="5" t="str">
        <f>IF(B1223="","",IFERROR(VLOOKUP(B1223, PLANTA_BASE!A:W, 6, FALSE), "NO ENCONTRADO EN PLANTA"))</f>
        <v/>
      </c>
      <c r="F1223" s="7" t="str">
        <f>IF(B1223="","",IFERROR(VLOOKUP(B1223, PLANTA_BASE!A:W, 8, FALSE), "DOCENTE / FACILITADOR"))</f>
        <v/>
      </c>
      <c r="G1223" s="7" t="str">
        <f>IF(B1223="","",IFERROR(VLOOKUP(B1223, PLANTA_BASE!A:W, 9, FALSE), "GENERAL"))</f>
        <v/>
      </c>
      <c r="H1223" s="5" t="str">
        <f>IF(B1223="","",IFERROR(VLOOKUP(B1223, PLANTA_BASE!A:W, 17, FALSE), "GENERAL"))</f>
        <v/>
      </c>
    </row>
    <row r="1224" spans="1:8" ht="20.100000000000001" customHeight="1" x14ac:dyDescent="0.25">
      <c r="A1224" s="2" t="str">
        <f>IF(B1224="","",IFERROR(VLOOKUP(B1224, PLANTA_BASE!A:W, 2, FALSE), "NO ENCONTRADO EN PLANTA"))</f>
        <v/>
      </c>
      <c r="B1224" s="3"/>
      <c r="C1224" s="4" t="str">
        <f>IF(B1224="","",IFERROR(VLOOKUP(B1224, PLANTA_BASE!A:W, 3, FALSE), ""))</f>
        <v/>
      </c>
      <c r="D1224" s="2" t="str">
        <f>IF(B1224="","",IFERROR(VLOOKUP(B1224, PLANTA_BASE!A:W, 5, FALSE), "NO ENCONTRADO EN PLANTA"))</f>
        <v/>
      </c>
      <c r="E1224" s="2" t="str">
        <f>IF(B1224="","",IFERROR(VLOOKUP(B1224, PLANTA_BASE!A:W, 6, FALSE), "NO ENCONTRADO EN PLANTA"))</f>
        <v/>
      </c>
      <c r="F1224" s="4" t="str">
        <f>IF(B1224="","",IFERROR(VLOOKUP(B1224, PLANTA_BASE!A:W, 8, FALSE), "DOCENTE / FACILITADOR"))</f>
        <v/>
      </c>
      <c r="G1224" s="4" t="str">
        <f>IF(B1224="","",IFERROR(VLOOKUP(B1224, PLANTA_BASE!A:W, 9, FALSE), "GENERAL"))</f>
        <v/>
      </c>
      <c r="H1224" s="2" t="str">
        <f>IF(B1224="","",IFERROR(VLOOKUP(B1224, PLANTA_BASE!A:W, 17, FALSE), "GENERAL"))</f>
        <v/>
      </c>
    </row>
    <row r="1225" spans="1:8" ht="20.100000000000001" customHeight="1" x14ac:dyDescent="0.25">
      <c r="A1225" s="5" t="str">
        <f>IF(B1225="","",IFERROR(VLOOKUP(B1225, PLANTA_BASE!A:W, 2, FALSE), "NO ENCONTRADO EN PLANTA"))</f>
        <v/>
      </c>
      <c r="B1225" s="6"/>
      <c r="C1225" s="7" t="str">
        <f>IF(B1225="","",IFERROR(VLOOKUP(B1225, PLANTA_BASE!A:W, 3, FALSE), ""))</f>
        <v/>
      </c>
      <c r="D1225" s="5" t="str">
        <f>IF(B1225="","",IFERROR(VLOOKUP(B1225, PLANTA_BASE!A:W, 5, FALSE), "NO ENCONTRADO EN PLANTA"))</f>
        <v/>
      </c>
      <c r="E1225" s="5" t="str">
        <f>IF(B1225="","",IFERROR(VLOOKUP(B1225, PLANTA_BASE!A:W, 6, FALSE), "NO ENCONTRADO EN PLANTA"))</f>
        <v/>
      </c>
      <c r="F1225" s="7" t="str">
        <f>IF(B1225="","",IFERROR(VLOOKUP(B1225, PLANTA_BASE!A:W, 8, FALSE), "DOCENTE / FACILITADOR"))</f>
        <v/>
      </c>
      <c r="G1225" s="7" t="str">
        <f>IF(B1225="","",IFERROR(VLOOKUP(B1225, PLANTA_BASE!A:W, 9, FALSE), "GENERAL"))</f>
        <v/>
      </c>
      <c r="H1225" s="5" t="str">
        <f>IF(B1225="","",IFERROR(VLOOKUP(B1225, PLANTA_BASE!A:W, 17, FALSE), "GENERAL"))</f>
        <v/>
      </c>
    </row>
    <row r="1226" spans="1:8" ht="20.100000000000001" customHeight="1" x14ac:dyDescent="0.25">
      <c r="A1226" s="2" t="str">
        <f>IF(B1226="","",IFERROR(VLOOKUP(B1226, PLANTA_BASE!A:W, 2, FALSE), "NO ENCONTRADO EN PLANTA"))</f>
        <v/>
      </c>
      <c r="B1226" s="3"/>
      <c r="C1226" s="4" t="str">
        <f>IF(B1226="","",IFERROR(VLOOKUP(B1226, PLANTA_BASE!A:W, 3, FALSE), ""))</f>
        <v/>
      </c>
      <c r="D1226" s="2" t="str">
        <f>IF(B1226="","",IFERROR(VLOOKUP(B1226, PLANTA_BASE!A:W, 5, FALSE), "NO ENCONTRADO EN PLANTA"))</f>
        <v/>
      </c>
      <c r="E1226" s="2" t="str">
        <f>IF(B1226="","",IFERROR(VLOOKUP(B1226, PLANTA_BASE!A:W, 6, FALSE), "NO ENCONTRADO EN PLANTA"))</f>
        <v/>
      </c>
      <c r="F1226" s="4" t="str">
        <f>IF(B1226="","",IFERROR(VLOOKUP(B1226, PLANTA_BASE!A:W, 8, FALSE), "DOCENTE / FACILITADOR"))</f>
        <v/>
      </c>
      <c r="G1226" s="4" t="str">
        <f>IF(B1226="","",IFERROR(VLOOKUP(B1226, PLANTA_BASE!A:W, 9, FALSE), "GENERAL"))</f>
        <v/>
      </c>
      <c r="H1226" s="2" t="str">
        <f>IF(B1226="","",IFERROR(VLOOKUP(B1226, PLANTA_BASE!A:W, 17, FALSE), "GENERAL"))</f>
        <v/>
      </c>
    </row>
    <row r="1227" spans="1:8" ht="20.100000000000001" customHeight="1" x14ac:dyDescent="0.25">
      <c r="A1227" s="5" t="str">
        <f>IF(B1227="","",IFERROR(VLOOKUP(B1227, PLANTA_BASE!A:W, 2, FALSE), "NO ENCONTRADO EN PLANTA"))</f>
        <v/>
      </c>
      <c r="B1227" s="6"/>
      <c r="C1227" s="7" t="str">
        <f>IF(B1227="","",IFERROR(VLOOKUP(B1227, PLANTA_BASE!A:W, 3, FALSE), ""))</f>
        <v/>
      </c>
      <c r="D1227" s="5" t="str">
        <f>IF(B1227="","",IFERROR(VLOOKUP(B1227, PLANTA_BASE!A:W, 5, FALSE), "NO ENCONTRADO EN PLANTA"))</f>
        <v/>
      </c>
      <c r="E1227" s="5" t="str">
        <f>IF(B1227="","",IFERROR(VLOOKUP(B1227, PLANTA_BASE!A:W, 6, FALSE), "NO ENCONTRADO EN PLANTA"))</f>
        <v/>
      </c>
      <c r="F1227" s="7" t="str">
        <f>IF(B1227="","",IFERROR(VLOOKUP(B1227, PLANTA_BASE!A:W, 8, FALSE), "DOCENTE / FACILITADOR"))</f>
        <v/>
      </c>
      <c r="G1227" s="7" t="str">
        <f>IF(B1227="","",IFERROR(VLOOKUP(B1227, PLANTA_BASE!A:W, 9, FALSE), "GENERAL"))</f>
        <v/>
      </c>
      <c r="H1227" s="5" t="str">
        <f>IF(B1227="","",IFERROR(VLOOKUP(B1227, PLANTA_BASE!A:W, 17, FALSE), "GENERAL"))</f>
        <v/>
      </c>
    </row>
    <row r="1228" spans="1:8" ht="20.100000000000001" customHeight="1" x14ac:dyDescent="0.25">
      <c r="A1228" s="2" t="str">
        <f>IF(B1228="","",IFERROR(VLOOKUP(B1228, PLANTA_BASE!A:W, 2, FALSE), "NO ENCONTRADO EN PLANTA"))</f>
        <v/>
      </c>
      <c r="B1228" s="3"/>
      <c r="C1228" s="4" t="str">
        <f>IF(B1228="","",IFERROR(VLOOKUP(B1228, PLANTA_BASE!A:W, 3, FALSE), ""))</f>
        <v/>
      </c>
      <c r="D1228" s="2" t="str">
        <f>IF(B1228="","",IFERROR(VLOOKUP(B1228, PLANTA_BASE!A:W, 5, FALSE), "NO ENCONTRADO EN PLANTA"))</f>
        <v/>
      </c>
      <c r="E1228" s="2" t="str">
        <f>IF(B1228="","",IFERROR(VLOOKUP(B1228, PLANTA_BASE!A:W, 6, FALSE), "NO ENCONTRADO EN PLANTA"))</f>
        <v/>
      </c>
      <c r="F1228" s="4" t="str">
        <f>IF(B1228="","",IFERROR(VLOOKUP(B1228, PLANTA_BASE!A:W, 8, FALSE), "DOCENTE / FACILITADOR"))</f>
        <v/>
      </c>
      <c r="G1228" s="4" t="str">
        <f>IF(B1228="","",IFERROR(VLOOKUP(B1228, PLANTA_BASE!A:W, 9, FALSE), "GENERAL"))</f>
        <v/>
      </c>
      <c r="H1228" s="2" t="str">
        <f>IF(B1228="","",IFERROR(VLOOKUP(B1228, PLANTA_BASE!A:W, 17, FALSE), "GENERAL"))</f>
        <v/>
      </c>
    </row>
    <row r="1229" spans="1:8" ht="20.100000000000001" customHeight="1" x14ac:dyDescent="0.25">
      <c r="A1229" s="5" t="str">
        <f>IF(B1229="","",IFERROR(VLOOKUP(B1229, PLANTA_BASE!A:W, 2, FALSE), "NO ENCONTRADO EN PLANTA"))</f>
        <v/>
      </c>
      <c r="B1229" s="6"/>
      <c r="C1229" s="7" t="str">
        <f>IF(B1229="","",IFERROR(VLOOKUP(B1229, PLANTA_BASE!A:W, 3, FALSE), ""))</f>
        <v/>
      </c>
      <c r="D1229" s="5" t="str">
        <f>IF(B1229="","",IFERROR(VLOOKUP(B1229, PLANTA_BASE!A:W, 5, FALSE), "NO ENCONTRADO EN PLANTA"))</f>
        <v/>
      </c>
      <c r="E1229" s="5" t="str">
        <f>IF(B1229="","",IFERROR(VLOOKUP(B1229, PLANTA_BASE!A:W, 6, FALSE), "NO ENCONTRADO EN PLANTA"))</f>
        <v/>
      </c>
      <c r="F1229" s="7" t="str">
        <f>IF(B1229="","",IFERROR(VLOOKUP(B1229, PLANTA_BASE!A:W, 8, FALSE), "DOCENTE / FACILITADOR"))</f>
        <v/>
      </c>
      <c r="G1229" s="7" t="str">
        <f>IF(B1229="","",IFERROR(VLOOKUP(B1229, PLANTA_BASE!A:W, 9, FALSE), "GENERAL"))</f>
        <v/>
      </c>
      <c r="H1229" s="5" t="str">
        <f>IF(B1229="","",IFERROR(VLOOKUP(B1229, PLANTA_BASE!A:W, 17, FALSE), "GENERAL"))</f>
        <v/>
      </c>
    </row>
    <row r="1230" spans="1:8" ht="20.100000000000001" customHeight="1" x14ac:dyDescent="0.25">
      <c r="A1230" s="2" t="str">
        <f>IF(B1230="","",IFERROR(VLOOKUP(B1230, PLANTA_BASE!A:W, 2, FALSE), "NO ENCONTRADO EN PLANTA"))</f>
        <v/>
      </c>
      <c r="B1230" s="3"/>
      <c r="C1230" s="4" t="str">
        <f>IF(B1230="","",IFERROR(VLOOKUP(B1230, PLANTA_BASE!A:W, 3, FALSE), ""))</f>
        <v/>
      </c>
      <c r="D1230" s="2" t="str">
        <f>IF(B1230="","",IFERROR(VLOOKUP(B1230, PLANTA_BASE!A:W, 5, FALSE), "NO ENCONTRADO EN PLANTA"))</f>
        <v/>
      </c>
      <c r="E1230" s="2" t="str">
        <f>IF(B1230="","",IFERROR(VLOOKUP(B1230, PLANTA_BASE!A:W, 6, FALSE), "NO ENCONTRADO EN PLANTA"))</f>
        <v/>
      </c>
      <c r="F1230" s="4" t="str">
        <f>IF(B1230="","",IFERROR(VLOOKUP(B1230, PLANTA_BASE!A:W, 8, FALSE), "DOCENTE / FACILITADOR"))</f>
        <v/>
      </c>
      <c r="G1230" s="4" t="str">
        <f>IF(B1230="","",IFERROR(VLOOKUP(B1230, PLANTA_BASE!A:W, 9, FALSE), "GENERAL"))</f>
        <v/>
      </c>
      <c r="H1230" s="2" t="str">
        <f>IF(B1230="","",IFERROR(VLOOKUP(B1230, PLANTA_BASE!A:W, 17, FALSE), "GENERAL"))</f>
        <v/>
      </c>
    </row>
    <row r="1231" spans="1:8" ht="20.100000000000001" customHeight="1" x14ac:dyDescent="0.25">
      <c r="A1231" s="5" t="str">
        <f>IF(B1231="","",IFERROR(VLOOKUP(B1231, PLANTA_BASE!A:W, 2, FALSE), "NO ENCONTRADO EN PLANTA"))</f>
        <v/>
      </c>
      <c r="B1231" s="6"/>
      <c r="C1231" s="7" t="str">
        <f>IF(B1231="","",IFERROR(VLOOKUP(B1231, PLANTA_BASE!A:W, 3, FALSE), ""))</f>
        <v/>
      </c>
      <c r="D1231" s="5" t="str">
        <f>IF(B1231="","",IFERROR(VLOOKUP(B1231, PLANTA_BASE!A:W, 5, FALSE), "NO ENCONTRADO EN PLANTA"))</f>
        <v/>
      </c>
      <c r="E1231" s="5" t="str">
        <f>IF(B1231="","",IFERROR(VLOOKUP(B1231, PLANTA_BASE!A:W, 6, FALSE), "NO ENCONTRADO EN PLANTA"))</f>
        <v/>
      </c>
      <c r="F1231" s="7" t="str">
        <f>IF(B1231="","",IFERROR(VLOOKUP(B1231, PLANTA_BASE!A:W, 8, FALSE), "DOCENTE / FACILITADOR"))</f>
        <v/>
      </c>
      <c r="G1231" s="7" t="str">
        <f>IF(B1231="","",IFERROR(VLOOKUP(B1231, PLANTA_BASE!A:W, 9, FALSE), "GENERAL"))</f>
        <v/>
      </c>
      <c r="H1231" s="5" t="str">
        <f>IF(B1231="","",IFERROR(VLOOKUP(B1231, PLANTA_BASE!A:W, 17, FALSE), "GENERAL"))</f>
        <v/>
      </c>
    </row>
    <row r="1232" spans="1:8" ht="20.100000000000001" customHeight="1" x14ac:dyDescent="0.25">
      <c r="A1232" s="2" t="str">
        <f>IF(B1232="","",IFERROR(VLOOKUP(B1232, PLANTA_BASE!A:W, 2, FALSE), "NO ENCONTRADO EN PLANTA"))</f>
        <v/>
      </c>
      <c r="B1232" s="3"/>
      <c r="C1232" s="4" t="str">
        <f>IF(B1232="","",IFERROR(VLOOKUP(B1232, PLANTA_BASE!A:W, 3, FALSE), ""))</f>
        <v/>
      </c>
      <c r="D1232" s="2" t="str">
        <f>IF(B1232="","",IFERROR(VLOOKUP(B1232, PLANTA_BASE!A:W, 5, FALSE), "NO ENCONTRADO EN PLANTA"))</f>
        <v/>
      </c>
      <c r="E1232" s="2" t="str">
        <f>IF(B1232="","",IFERROR(VLOOKUP(B1232, PLANTA_BASE!A:W, 6, FALSE), "NO ENCONTRADO EN PLANTA"))</f>
        <v/>
      </c>
      <c r="F1232" s="4" t="str">
        <f>IF(B1232="","",IFERROR(VLOOKUP(B1232, PLANTA_BASE!A:W, 8, FALSE), "DOCENTE / FACILITADOR"))</f>
        <v/>
      </c>
      <c r="G1232" s="4" t="str">
        <f>IF(B1232="","",IFERROR(VLOOKUP(B1232, PLANTA_BASE!A:W, 9, FALSE), "GENERAL"))</f>
        <v/>
      </c>
      <c r="H1232" s="2" t="str">
        <f>IF(B1232="","",IFERROR(VLOOKUP(B1232, PLANTA_BASE!A:W, 17, FALSE), "GENERAL"))</f>
        <v/>
      </c>
    </row>
    <row r="1233" spans="1:8" ht="20.100000000000001" customHeight="1" x14ac:dyDescent="0.25">
      <c r="A1233" s="5" t="str">
        <f>IF(B1233="","",IFERROR(VLOOKUP(B1233, PLANTA_BASE!A:W, 2, FALSE), "NO ENCONTRADO EN PLANTA"))</f>
        <v/>
      </c>
      <c r="B1233" s="6"/>
      <c r="C1233" s="7" t="str">
        <f>IF(B1233="","",IFERROR(VLOOKUP(B1233, PLANTA_BASE!A:W, 3, FALSE), ""))</f>
        <v/>
      </c>
      <c r="D1233" s="5" t="str">
        <f>IF(B1233="","",IFERROR(VLOOKUP(B1233, PLANTA_BASE!A:W, 5, FALSE), "NO ENCONTRADO EN PLANTA"))</f>
        <v/>
      </c>
      <c r="E1233" s="5" t="str">
        <f>IF(B1233="","",IFERROR(VLOOKUP(B1233, PLANTA_BASE!A:W, 6, FALSE), "NO ENCONTRADO EN PLANTA"))</f>
        <v/>
      </c>
      <c r="F1233" s="7" t="str">
        <f>IF(B1233="","",IFERROR(VLOOKUP(B1233, PLANTA_BASE!A:W, 8, FALSE), "DOCENTE / FACILITADOR"))</f>
        <v/>
      </c>
      <c r="G1233" s="7" t="str">
        <f>IF(B1233="","",IFERROR(VLOOKUP(B1233, PLANTA_BASE!A:W, 9, FALSE), "GENERAL"))</f>
        <v/>
      </c>
      <c r="H1233" s="5" t="str">
        <f>IF(B1233="","",IFERROR(VLOOKUP(B1233, PLANTA_BASE!A:W, 17, FALSE), "GENERAL"))</f>
        <v/>
      </c>
    </row>
    <row r="1234" spans="1:8" ht="20.100000000000001" customHeight="1" x14ac:dyDescent="0.25">
      <c r="A1234" s="2" t="str">
        <f>IF(B1234="","",IFERROR(VLOOKUP(B1234, PLANTA_BASE!A:W, 2, FALSE), "NO ENCONTRADO EN PLANTA"))</f>
        <v/>
      </c>
      <c r="B1234" s="3"/>
      <c r="C1234" s="4" t="str">
        <f>IF(B1234="","",IFERROR(VLOOKUP(B1234, PLANTA_BASE!A:W, 3, FALSE), ""))</f>
        <v/>
      </c>
      <c r="D1234" s="2" t="str">
        <f>IF(B1234="","",IFERROR(VLOOKUP(B1234, PLANTA_BASE!A:W, 5, FALSE), "NO ENCONTRADO EN PLANTA"))</f>
        <v/>
      </c>
      <c r="E1234" s="2" t="str">
        <f>IF(B1234="","",IFERROR(VLOOKUP(B1234, PLANTA_BASE!A:W, 6, FALSE), "NO ENCONTRADO EN PLANTA"))</f>
        <v/>
      </c>
      <c r="F1234" s="4" t="str">
        <f>IF(B1234="","",IFERROR(VLOOKUP(B1234, PLANTA_BASE!A:W, 8, FALSE), "DOCENTE / FACILITADOR"))</f>
        <v/>
      </c>
      <c r="G1234" s="4" t="str">
        <f>IF(B1234="","",IFERROR(VLOOKUP(B1234, PLANTA_BASE!A:W, 9, FALSE), "GENERAL"))</f>
        <v/>
      </c>
      <c r="H1234" s="2" t="str">
        <f>IF(B1234="","",IFERROR(VLOOKUP(B1234, PLANTA_BASE!A:W, 17, FALSE), "GENERAL"))</f>
        <v/>
      </c>
    </row>
    <row r="1235" spans="1:8" ht="20.100000000000001" customHeight="1" x14ac:dyDescent="0.25">
      <c r="A1235" s="5" t="str">
        <f>IF(B1235="","",IFERROR(VLOOKUP(B1235, PLANTA_BASE!A:W, 2, FALSE), "NO ENCONTRADO EN PLANTA"))</f>
        <v/>
      </c>
      <c r="B1235" s="6"/>
      <c r="C1235" s="7" t="str">
        <f>IF(B1235="","",IFERROR(VLOOKUP(B1235, PLANTA_BASE!A:W, 3, FALSE), ""))</f>
        <v/>
      </c>
      <c r="D1235" s="5" t="str">
        <f>IF(B1235="","",IFERROR(VLOOKUP(B1235, PLANTA_BASE!A:W, 5, FALSE), "NO ENCONTRADO EN PLANTA"))</f>
        <v/>
      </c>
      <c r="E1235" s="5" t="str">
        <f>IF(B1235="","",IFERROR(VLOOKUP(B1235, PLANTA_BASE!A:W, 6, FALSE), "NO ENCONTRADO EN PLANTA"))</f>
        <v/>
      </c>
      <c r="F1235" s="7" t="str">
        <f>IF(B1235="","",IFERROR(VLOOKUP(B1235, PLANTA_BASE!A:W, 8, FALSE), "DOCENTE / FACILITADOR"))</f>
        <v/>
      </c>
      <c r="G1235" s="7" t="str">
        <f>IF(B1235="","",IFERROR(VLOOKUP(B1235, PLANTA_BASE!A:W, 9, FALSE), "GENERAL"))</f>
        <v/>
      </c>
      <c r="H1235" s="5" t="str">
        <f>IF(B1235="","",IFERROR(VLOOKUP(B1235, PLANTA_BASE!A:W, 17, FALSE), "GENERAL"))</f>
        <v/>
      </c>
    </row>
    <row r="1236" spans="1:8" ht="20.100000000000001" customHeight="1" x14ac:dyDescent="0.25">
      <c r="A1236" s="2" t="str">
        <f>IF(B1236="","",IFERROR(VLOOKUP(B1236, PLANTA_BASE!A:W, 2, FALSE), "NO ENCONTRADO EN PLANTA"))</f>
        <v/>
      </c>
      <c r="B1236" s="3"/>
      <c r="C1236" s="4" t="str">
        <f>IF(B1236="","",IFERROR(VLOOKUP(B1236, PLANTA_BASE!A:W, 3, FALSE), ""))</f>
        <v/>
      </c>
      <c r="D1236" s="2" t="str">
        <f>IF(B1236="","",IFERROR(VLOOKUP(B1236, PLANTA_BASE!A:W, 5, FALSE), "NO ENCONTRADO EN PLANTA"))</f>
        <v/>
      </c>
      <c r="E1236" s="2" t="str">
        <f>IF(B1236="","",IFERROR(VLOOKUP(B1236, PLANTA_BASE!A:W, 6, FALSE), "NO ENCONTRADO EN PLANTA"))</f>
        <v/>
      </c>
      <c r="F1236" s="4" t="str">
        <f>IF(B1236="","",IFERROR(VLOOKUP(B1236, PLANTA_BASE!A:W, 8, FALSE), "DOCENTE / FACILITADOR"))</f>
        <v/>
      </c>
      <c r="G1236" s="4" t="str">
        <f>IF(B1236="","",IFERROR(VLOOKUP(B1236, PLANTA_BASE!A:W, 9, FALSE), "GENERAL"))</f>
        <v/>
      </c>
      <c r="H1236" s="2" t="str">
        <f>IF(B1236="","",IFERROR(VLOOKUP(B1236, PLANTA_BASE!A:W, 17, FALSE), "GENERAL"))</f>
        <v/>
      </c>
    </row>
    <row r="1237" spans="1:8" ht="20.100000000000001" customHeight="1" x14ac:dyDescent="0.25">
      <c r="A1237" s="5" t="str">
        <f>IF(B1237="","",IFERROR(VLOOKUP(B1237, PLANTA_BASE!A:W, 2, FALSE), "NO ENCONTRADO EN PLANTA"))</f>
        <v/>
      </c>
      <c r="B1237" s="6"/>
      <c r="C1237" s="7" t="str">
        <f>IF(B1237="","",IFERROR(VLOOKUP(B1237, PLANTA_BASE!A:W, 3, FALSE), ""))</f>
        <v/>
      </c>
      <c r="D1237" s="5" t="str">
        <f>IF(B1237="","",IFERROR(VLOOKUP(B1237, PLANTA_BASE!A:W, 5, FALSE), "NO ENCONTRADO EN PLANTA"))</f>
        <v/>
      </c>
      <c r="E1237" s="5" t="str">
        <f>IF(B1237="","",IFERROR(VLOOKUP(B1237, PLANTA_BASE!A:W, 6, FALSE), "NO ENCONTRADO EN PLANTA"))</f>
        <v/>
      </c>
      <c r="F1237" s="7" t="str">
        <f>IF(B1237="","",IFERROR(VLOOKUP(B1237, PLANTA_BASE!A:W, 8, FALSE), "DOCENTE / FACILITADOR"))</f>
        <v/>
      </c>
      <c r="G1237" s="7" t="str">
        <f>IF(B1237="","",IFERROR(VLOOKUP(B1237, PLANTA_BASE!A:W, 9, FALSE), "GENERAL"))</f>
        <v/>
      </c>
      <c r="H1237" s="5" t="str">
        <f>IF(B1237="","",IFERROR(VLOOKUP(B1237, PLANTA_BASE!A:W, 17, FALSE), "GENERAL"))</f>
        <v/>
      </c>
    </row>
    <row r="1238" spans="1:8" ht="20.100000000000001" customHeight="1" x14ac:dyDescent="0.25">
      <c r="A1238" s="2" t="str">
        <f>IF(B1238="","",IFERROR(VLOOKUP(B1238, PLANTA_BASE!A:W, 2, FALSE), "NO ENCONTRADO EN PLANTA"))</f>
        <v/>
      </c>
      <c r="B1238" s="3"/>
      <c r="C1238" s="4" t="str">
        <f>IF(B1238="","",IFERROR(VLOOKUP(B1238, PLANTA_BASE!A:W, 3, FALSE), ""))</f>
        <v/>
      </c>
      <c r="D1238" s="2" t="str">
        <f>IF(B1238="","",IFERROR(VLOOKUP(B1238, PLANTA_BASE!A:W, 5, FALSE), "NO ENCONTRADO EN PLANTA"))</f>
        <v/>
      </c>
      <c r="E1238" s="2" t="str">
        <f>IF(B1238="","",IFERROR(VLOOKUP(B1238, PLANTA_BASE!A:W, 6, FALSE), "NO ENCONTRADO EN PLANTA"))</f>
        <v/>
      </c>
      <c r="F1238" s="4" t="str">
        <f>IF(B1238="","",IFERROR(VLOOKUP(B1238, PLANTA_BASE!A:W, 8, FALSE), "DOCENTE / FACILITADOR"))</f>
        <v/>
      </c>
      <c r="G1238" s="4" t="str">
        <f>IF(B1238="","",IFERROR(VLOOKUP(B1238, PLANTA_BASE!A:W, 9, FALSE), "GENERAL"))</f>
        <v/>
      </c>
      <c r="H1238" s="2" t="str">
        <f>IF(B1238="","",IFERROR(VLOOKUP(B1238, PLANTA_BASE!A:W, 17, FALSE), "GENERAL"))</f>
        <v/>
      </c>
    </row>
    <row r="1239" spans="1:8" ht="20.100000000000001" customHeight="1" x14ac:dyDescent="0.25">
      <c r="A1239" s="5" t="str">
        <f>IF(B1239="","",IFERROR(VLOOKUP(B1239, PLANTA_BASE!A:W, 2, FALSE), "NO ENCONTRADO EN PLANTA"))</f>
        <v/>
      </c>
      <c r="B1239" s="6"/>
      <c r="C1239" s="7" t="str">
        <f>IF(B1239="","",IFERROR(VLOOKUP(B1239, PLANTA_BASE!A:W, 3, FALSE), ""))</f>
        <v/>
      </c>
      <c r="D1239" s="5" t="str">
        <f>IF(B1239="","",IFERROR(VLOOKUP(B1239, PLANTA_BASE!A:W, 5, FALSE), "NO ENCONTRADO EN PLANTA"))</f>
        <v/>
      </c>
      <c r="E1239" s="5" t="str">
        <f>IF(B1239="","",IFERROR(VLOOKUP(B1239, PLANTA_BASE!A:W, 6, FALSE), "NO ENCONTRADO EN PLANTA"))</f>
        <v/>
      </c>
      <c r="F1239" s="7" t="str">
        <f>IF(B1239="","",IFERROR(VLOOKUP(B1239, PLANTA_BASE!A:W, 8, FALSE), "DOCENTE / FACILITADOR"))</f>
        <v/>
      </c>
      <c r="G1239" s="7" t="str">
        <f>IF(B1239="","",IFERROR(VLOOKUP(B1239, PLANTA_BASE!A:W, 9, FALSE), "GENERAL"))</f>
        <v/>
      </c>
      <c r="H1239" s="5" t="str">
        <f>IF(B1239="","",IFERROR(VLOOKUP(B1239, PLANTA_BASE!A:W, 17, FALSE), "GENERAL"))</f>
        <v/>
      </c>
    </row>
    <row r="1240" spans="1:8" ht="20.100000000000001" customHeight="1" x14ac:dyDescent="0.25">
      <c r="A1240" s="2" t="str">
        <f>IF(B1240="","",IFERROR(VLOOKUP(B1240, PLANTA_BASE!A:W, 2, FALSE), "NO ENCONTRADO EN PLANTA"))</f>
        <v/>
      </c>
      <c r="B1240" s="3"/>
      <c r="C1240" s="4" t="str">
        <f>IF(B1240="","",IFERROR(VLOOKUP(B1240, PLANTA_BASE!A:W, 3, FALSE), ""))</f>
        <v/>
      </c>
      <c r="D1240" s="2" t="str">
        <f>IF(B1240="","",IFERROR(VLOOKUP(B1240, PLANTA_BASE!A:W, 5, FALSE), "NO ENCONTRADO EN PLANTA"))</f>
        <v/>
      </c>
      <c r="E1240" s="2" t="str">
        <f>IF(B1240="","",IFERROR(VLOOKUP(B1240, PLANTA_BASE!A:W, 6, FALSE), "NO ENCONTRADO EN PLANTA"))</f>
        <v/>
      </c>
      <c r="F1240" s="4" t="str">
        <f>IF(B1240="","",IFERROR(VLOOKUP(B1240, PLANTA_BASE!A:W, 8, FALSE), "DOCENTE / FACILITADOR"))</f>
        <v/>
      </c>
      <c r="G1240" s="4" t="str">
        <f>IF(B1240="","",IFERROR(VLOOKUP(B1240, PLANTA_BASE!A:W, 9, FALSE), "GENERAL"))</f>
        <v/>
      </c>
      <c r="H1240" s="2" t="str">
        <f>IF(B1240="","",IFERROR(VLOOKUP(B1240, PLANTA_BASE!A:W, 17, FALSE), "GENERAL"))</f>
        <v/>
      </c>
    </row>
    <row r="1241" spans="1:8" ht="20.100000000000001" customHeight="1" x14ac:dyDescent="0.25">
      <c r="A1241" s="5" t="str">
        <f>IF(B1241="","",IFERROR(VLOOKUP(B1241, PLANTA_BASE!A:W, 2, FALSE), "NO ENCONTRADO EN PLANTA"))</f>
        <v/>
      </c>
      <c r="B1241" s="6"/>
      <c r="C1241" s="7" t="str">
        <f>IF(B1241="","",IFERROR(VLOOKUP(B1241, PLANTA_BASE!A:W, 3, FALSE), ""))</f>
        <v/>
      </c>
      <c r="D1241" s="5" t="str">
        <f>IF(B1241="","",IFERROR(VLOOKUP(B1241, PLANTA_BASE!A:W, 5, FALSE), "NO ENCONTRADO EN PLANTA"))</f>
        <v/>
      </c>
      <c r="E1241" s="5" t="str">
        <f>IF(B1241="","",IFERROR(VLOOKUP(B1241, PLANTA_BASE!A:W, 6, FALSE), "NO ENCONTRADO EN PLANTA"))</f>
        <v/>
      </c>
      <c r="F1241" s="7" t="str">
        <f>IF(B1241="","",IFERROR(VLOOKUP(B1241, PLANTA_BASE!A:W, 8, FALSE), "DOCENTE / FACILITADOR"))</f>
        <v/>
      </c>
      <c r="G1241" s="7" t="str">
        <f>IF(B1241="","",IFERROR(VLOOKUP(B1241, PLANTA_BASE!A:W, 9, FALSE), "GENERAL"))</f>
        <v/>
      </c>
      <c r="H1241" s="5" t="str">
        <f>IF(B1241="","",IFERROR(VLOOKUP(B1241, PLANTA_BASE!A:W, 17, FALSE), "GENERAL"))</f>
        <v/>
      </c>
    </row>
    <row r="1242" spans="1:8" ht="20.100000000000001" customHeight="1" x14ac:dyDescent="0.25">
      <c r="A1242" s="2" t="str">
        <f>IF(B1242="","",IFERROR(VLOOKUP(B1242, PLANTA_BASE!A:W, 2, FALSE), "NO ENCONTRADO EN PLANTA"))</f>
        <v/>
      </c>
      <c r="B1242" s="3"/>
      <c r="C1242" s="4" t="str">
        <f>IF(B1242="","",IFERROR(VLOOKUP(B1242, PLANTA_BASE!A:W, 3, FALSE), ""))</f>
        <v/>
      </c>
      <c r="D1242" s="2" t="str">
        <f>IF(B1242="","",IFERROR(VLOOKUP(B1242, PLANTA_BASE!A:W, 5, FALSE), "NO ENCONTRADO EN PLANTA"))</f>
        <v/>
      </c>
      <c r="E1242" s="2" t="str">
        <f>IF(B1242="","",IFERROR(VLOOKUP(B1242, PLANTA_BASE!A:W, 6, FALSE), "NO ENCONTRADO EN PLANTA"))</f>
        <v/>
      </c>
      <c r="F1242" s="4" t="str">
        <f>IF(B1242="","",IFERROR(VLOOKUP(B1242, PLANTA_BASE!A:W, 8, FALSE), "DOCENTE / FACILITADOR"))</f>
        <v/>
      </c>
      <c r="G1242" s="4" t="str">
        <f>IF(B1242="","",IFERROR(VLOOKUP(B1242, PLANTA_BASE!A:W, 9, FALSE), "GENERAL"))</f>
        <v/>
      </c>
      <c r="H1242" s="2" t="str">
        <f>IF(B1242="","",IFERROR(VLOOKUP(B1242, PLANTA_BASE!A:W, 17, FALSE), "GENERAL"))</f>
        <v/>
      </c>
    </row>
    <row r="1243" spans="1:8" ht="20.100000000000001" customHeight="1" x14ac:dyDescent="0.25">
      <c r="A1243" s="5" t="str">
        <f>IF(B1243="","",IFERROR(VLOOKUP(B1243, PLANTA_BASE!A:W, 2, FALSE), "NO ENCONTRADO EN PLANTA"))</f>
        <v/>
      </c>
      <c r="B1243" s="6"/>
      <c r="C1243" s="7" t="str">
        <f>IF(B1243="","",IFERROR(VLOOKUP(B1243, PLANTA_BASE!A:W, 3, FALSE), ""))</f>
        <v/>
      </c>
      <c r="D1243" s="5" t="str">
        <f>IF(B1243="","",IFERROR(VLOOKUP(B1243, PLANTA_BASE!A:W, 5, FALSE), "NO ENCONTRADO EN PLANTA"))</f>
        <v/>
      </c>
      <c r="E1243" s="5" t="str">
        <f>IF(B1243="","",IFERROR(VLOOKUP(B1243, PLANTA_BASE!A:W, 6, FALSE), "NO ENCONTRADO EN PLANTA"))</f>
        <v/>
      </c>
      <c r="F1243" s="7" t="str">
        <f>IF(B1243="","",IFERROR(VLOOKUP(B1243, PLANTA_BASE!A:W, 8, FALSE), "DOCENTE / FACILITADOR"))</f>
        <v/>
      </c>
      <c r="G1243" s="7" t="str">
        <f>IF(B1243="","",IFERROR(VLOOKUP(B1243, PLANTA_BASE!A:W, 9, FALSE), "GENERAL"))</f>
        <v/>
      </c>
      <c r="H1243" s="5" t="str">
        <f>IF(B1243="","",IFERROR(VLOOKUP(B1243, PLANTA_BASE!A:W, 17, FALSE), "GENERAL"))</f>
        <v/>
      </c>
    </row>
    <row r="1244" spans="1:8" ht="20.100000000000001" customHeight="1" x14ac:dyDescent="0.25">
      <c r="A1244" s="2" t="str">
        <f>IF(B1244="","",IFERROR(VLOOKUP(B1244, PLANTA_BASE!A:W, 2, FALSE), "NO ENCONTRADO EN PLANTA"))</f>
        <v/>
      </c>
      <c r="B1244" s="3"/>
      <c r="C1244" s="4" t="str">
        <f>IF(B1244="","",IFERROR(VLOOKUP(B1244, PLANTA_BASE!A:W, 3, FALSE), ""))</f>
        <v/>
      </c>
      <c r="D1244" s="2" t="str">
        <f>IF(B1244="","",IFERROR(VLOOKUP(B1244, PLANTA_BASE!A:W, 5, FALSE), "NO ENCONTRADO EN PLANTA"))</f>
        <v/>
      </c>
      <c r="E1244" s="2" t="str">
        <f>IF(B1244="","",IFERROR(VLOOKUP(B1244, PLANTA_BASE!A:W, 6, FALSE), "NO ENCONTRADO EN PLANTA"))</f>
        <v/>
      </c>
      <c r="F1244" s="4" t="str">
        <f>IF(B1244="","",IFERROR(VLOOKUP(B1244, PLANTA_BASE!A:W, 8, FALSE), "DOCENTE / FACILITADOR"))</f>
        <v/>
      </c>
      <c r="G1244" s="4" t="str">
        <f>IF(B1244="","",IFERROR(VLOOKUP(B1244, PLANTA_BASE!A:W, 9, FALSE), "GENERAL"))</f>
        <v/>
      </c>
      <c r="H1244" s="2" t="str">
        <f>IF(B1244="","",IFERROR(VLOOKUP(B1244, PLANTA_BASE!A:W, 17, FALSE), "GENERAL"))</f>
        <v/>
      </c>
    </row>
    <row r="1245" spans="1:8" ht="20.100000000000001" customHeight="1" x14ac:dyDescent="0.25">
      <c r="A1245" s="5" t="str">
        <f>IF(B1245="","",IFERROR(VLOOKUP(B1245, PLANTA_BASE!A:W, 2, FALSE), "NO ENCONTRADO EN PLANTA"))</f>
        <v/>
      </c>
      <c r="B1245" s="6"/>
      <c r="C1245" s="7" t="str">
        <f>IF(B1245="","",IFERROR(VLOOKUP(B1245, PLANTA_BASE!A:W, 3, FALSE), ""))</f>
        <v/>
      </c>
      <c r="D1245" s="5" t="str">
        <f>IF(B1245="","",IFERROR(VLOOKUP(B1245, PLANTA_BASE!A:W, 5, FALSE), "NO ENCONTRADO EN PLANTA"))</f>
        <v/>
      </c>
      <c r="E1245" s="5" t="str">
        <f>IF(B1245="","",IFERROR(VLOOKUP(B1245, PLANTA_BASE!A:W, 6, FALSE), "NO ENCONTRADO EN PLANTA"))</f>
        <v/>
      </c>
      <c r="F1245" s="7" t="str">
        <f>IF(B1245="","",IFERROR(VLOOKUP(B1245, PLANTA_BASE!A:W, 8, FALSE), "DOCENTE / FACILITADOR"))</f>
        <v/>
      </c>
      <c r="G1245" s="7" t="str">
        <f>IF(B1245="","",IFERROR(VLOOKUP(B1245, PLANTA_BASE!A:W, 9, FALSE), "GENERAL"))</f>
        <v/>
      </c>
      <c r="H1245" s="5" t="str">
        <f>IF(B1245="","",IFERROR(VLOOKUP(B1245, PLANTA_BASE!A:W, 17, FALSE), "GENERAL"))</f>
        <v/>
      </c>
    </row>
    <row r="1246" spans="1:8" ht="20.100000000000001" customHeight="1" x14ac:dyDescent="0.25">
      <c r="A1246" s="2" t="str">
        <f>IF(B1246="","",IFERROR(VLOOKUP(B1246, PLANTA_BASE!A:W, 2, FALSE), "NO ENCONTRADO EN PLANTA"))</f>
        <v/>
      </c>
      <c r="B1246" s="3"/>
      <c r="C1246" s="4" t="str">
        <f>IF(B1246="","",IFERROR(VLOOKUP(B1246, PLANTA_BASE!A:W, 3, FALSE), ""))</f>
        <v/>
      </c>
      <c r="D1246" s="2" t="str">
        <f>IF(B1246="","",IFERROR(VLOOKUP(B1246, PLANTA_BASE!A:W, 5, FALSE), "NO ENCONTRADO EN PLANTA"))</f>
        <v/>
      </c>
      <c r="E1246" s="2" t="str">
        <f>IF(B1246="","",IFERROR(VLOOKUP(B1246, PLANTA_BASE!A:W, 6, FALSE), "NO ENCONTRADO EN PLANTA"))</f>
        <v/>
      </c>
      <c r="F1246" s="4" t="str">
        <f>IF(B1246="","",IFERROR(VLOOKUP(B1246, PLANTA_BASE!A:W, 8, FALSE), "DOCENTE / FACILITADOR"))</f>
        <v/>
      </c>
      <c r="G1246" s="4" t="str">
        <f>IF(B1246="","",IFERROR(VLOOKUP(B1246, PLANTA_BASE!A:W, 9, FALSE), "GENERAL"))</f>
        <v/>
      </c>
      <c r="H1246" s="2" t="str">
        <f>IF(B1246="","",IFERROR(VLOOKUP(B1246, PLANTA_BASE!A:W, 17, FALSE), "GENERAL"))</f>
        <v/>
      </c>
    </row>
    <row r="1247" spans="1:8" ht="20.100000000000001" customHeight="1" x14ac:dyDescent="0.25">
      <c r="A1247" s="5" t="str">
        <f>IF(B1247="","",IFERROR(VLOOKUP(B1247, PLANTA_BASE!A:W, 2, FALSE), "NO ENCONTRADO EN PLANTA"))</f>
        <v/>
      </c>
      <c r="B1247" s="6"/>
      <c r="C1247" s="7" t="str">
        <f>IF(B1247="","",IFERROR(VLOOKUP(B1247, PLANTA_BASE!A:W, 3, FALSE), ""))</f>
        <v/>
      </c>
      <c r="D1247" s="5" t="str">
        <f>IF(B1247="","",IFERROR(VLOOKUP(B1247, PLANTA_BASE!A:W, 5, FALSE), "NO ENCONTRADO EN PLANTA"))</f>
        <v/>
      </c>
      <c r="E1247" s="5" t="str">
        <f>IF(B1247="","",IFERROR(VLOOKUP(B1247, PLANTA_BASE!A:W, 6, FALSE), "NO ENCONTRADO EN PLANTA"))</f>
        <v/>
      </c>
      <c r="F1247" s="7" t="str">
        <f>IF(B1247="","",IFERROR(VLOOKUP(B1247, PLANTA_BASE!A:W, 8, FALSE), "DOCENTE / FACILITADOR"))</f>
        <v/>
      </c>
      <c r="G1247" s="7" t="str">
        <f>IF(B1247="","",IFERROR(VLOOKUP(B1247, PLANTA_BASE!A:W, 9, FALSE), "GENERAL"))</f>
        <v/>
      </c>
      <c r="H1247" s="5" t="str">
        <f>IF(B1247="","",IFERROR(VLOOKUP(B1247, PLANTA_BASE!A:W, 17, FALSE), "GENERAL"))</f>
        <v/>
      </c>
    </row>
    <row r="1248" spans="1:8" ht="20.100000000000001" customHeight="1" x14ac:dyDescent="0.25">
      <c r="A1248" s="2" t="str">
        <f>IF(B1248="","",IFERROR(VLOOKUP(B1248, PLANTA_BASE!A:W, 2, FALSE), "NO ENCONTRADO EN PLANTA"))</f>
        <v/>
      </c>
      <c r="B1248" s="3"/>
      <c r="C1248" s="4" t="str">
        <f>IF(B1248="","",IFERROR(VLOOKUP(B1248, PLANTA_BASE!A:W, 3, FALSE), ""))</f>
        <v/>
      </c>
      <c r="D1248" s="2" t="str">
        <f>IF(B1248="","",IFERROR(VLOOKUP(B1248, PLANTA_BASE!A:W, 5, FALSE), "NO ENCONTRADO EN PLANTA"))</f>
        <v/>
      </c>
      <c r="E1248" s="2" t="str">
        <f>IF(B1248="","",IFERROR(VLOOKUP(B1248, PLANTA_BASE!A:W, 6, FALSE), "NO ENCONTRADO EN PLANTA"))</f>
        <v/>
      </c>
      <c r="F1248" s="4" t="str">
        <f>IF(B1248="","",IFERROR(VLOOKUP(B1248, PLANTA_BASE!A:W, 8, FALSE), "DOCENTE / FACILITADOR"))</f>
        <v/>
      </c>
      <c r="G1248" s="4" t="str">
        <f>IF(B1248="","",IFERROR(VLOOKUP(B1248, PLANTA_BASE!A:W, 9, FALSE), "GENERAL"))</f>
        <v/>
      </c>
      <c r="H1248" s="2" t="str">
        <f>IF(B1248="","",IFERROR(VLOOKUP(B1248, PLANTA_BASE!A:W, 17, FALSE), "GENERAL"))</f>
        <v/>
      </c>
    </row>
    <row r="1249" spans="1:8" ht="20.100000000000001" customHeight="1" x14ac:dyDescent="0.25">
      <c r="A1249" s="5" t="str">
        <f>IF(B1249="","",IFERROR(VLOOKUP(B1249, PLANTA_BASE!A:W, 2, FALSE), "NO ENCONTRADO EN PLANTA"))</f>
        <v/>
      </c>
      <c r="B1249" s="6"/>
      <c r="C1249" s="7" t="str">
        <f>IF(B1249="","",IFERROR(VLOOKUP(B1249, PLANTA_BASE!A:W, 3, FALSE), ""))</f>
        <v/>
      </c>
      <c r="D1249" s="5" t="str">
        <f>IF(B1249="","",IFERROR(VLOOKUP(B1249, PLANTA_BASE!A:W, 5, FALSE), "NO ENCONTRADO EN PLANTA"))</f>
        <v/>
      </c>
      <c r="E1249" s="5" t="str">
        <f>IF(B1249="","",IFERROR(VLOOKUP(B1249, PLANTA_BASE!A:W, 6, FALSE), "NO ENCONTRADO EN PLANTA"))</f>
        <v/>
      </c>
      <c r="F1249" s="7" t="str">
        <f>IF(B1249="","",IFERROR(VLOOKUP(B1249, PLANTA_BASE!A:W, 8, FALSE), "DOCENTE / FACILITADOR"))</f>
        <v/>
      </c>
      <c r="G1249" s="7" t="str">
        <f>IF(B1249="","",IFERROR(VLOOKUP(B1249, PLANTA_BASE!A:W, 9, FALSE), "GENERAL"))</f>
        <v/>
      </c>
      <c r="H1249" s="5" t="str">
        <f>IF(B1249="","",IFERROR(VLOOKUP(B1249, PLANTA_BASE!A:W, 17, FALSE), "GENERAL"))</f>
        <v/>
      </c>
    </row>
    <row r="1250" spans="1:8" ht="20.100000000000001" customHeight="1" x14ac:dyDescent="0.25">
      <c r="A1250" s="2" t="str">
        <f>IF(B1250="","",IFERROR(VLOOKUP(B1250, PLANTA_BASE!A:W, 2, FALSE), "NO ENCONTRADO EN PLANTA"))</f>
        <v/>
      </c>
      <c r="B1250" s="3"/>
      <c r="C1250" s="4" t="str">
        <f>IF(B1250="","",IFERROR(VLOOKUP(B1250, PLANTA_BASE!A:W, 3, FALSE), ""))</f>
        <v/>
      </c>
      <c r="D1250" s="2" t="str">
        <f>IF(B1250="","",IFERROR(VLOOKUP(B1250, PLANTA_BASE!A:W, 5, FALSE), "NO ENCONTRADO EN PLANTA"))</f>
        <v/>
      </c>
      <c r="E1250" s="2" t="str">
        <f>IF(B1250="","",IFERROR(VLOOKUP(B1250, PLANTA_BASE!A:W, 6, FALSE), "NO ENCONTRADO EN PLANTA"))</f>
        <v/>
      </c>
      <c r="F1250" s="4" t="str">
        <f>IF(B1250="","",IFERROR(VLOOKUP(B1250, PLANTA_BASE!A:W, 8, FALSE), "DOCENTE / FACILITADOR"))</f>
        <v/>
      </c>
      <c r="G1250" s="4" t="str">
        <f>IF(B1250="","",IFERROR(VLOOKUP(B1250, PLANTA_BASE!A:W, 9, FALSE), "GENERAL"))</f>
        <v/>
      </c>
      <c r="H1250" s="2" t="str">
        <f>IF(B1250="","",IFERROR(VLOOKUP(B1250, PLANTA_BASE!A:W, 17, FALSE), "GENERAL"))</f>
        <v/>
      </c>
    </row>
    <row r="1251" spans="1:8" ht="20.100000000000001" customHeight="1" x14ac:dyDescent="0.25">
      <c r="A1251" s="5" t="str">
        <f>IF(B1251="","",IFERROR(VLOOKUP(B1251, PLANTA_BASE!A:W, 2, FALSE), "NO ENCONTRADO EN PLANTA"))</f>
        <v/>
      </c>
      <c r="B1251" s="6"/>
      <c r="C1251" s="7" t="str">
        <f>IF(B1251="","",IFERROR(VLOOKUP(B1251, PLANTA_BASE!A:W, 3, FALSE), ""))</f>
        <v/>
      </c>
      <c r="D1251" s="5" t="str">
        <f>IF(B1251="","",IFERROR(VLOOKUP(B1251, PLANTA_BASE!A:W, 5, FALSE), "NO ENCONTRADO EN PLANTA"))</f>
        <v/>
      </c>
      <c r="E1251" s="5" t="str">
        <f>IF(B1251="","",IFERROR(VLOOKUP(B1251, PLANTA_BASE!A:W, 6, FALSE), "NO ENCONTRADO EN PLANTA"))</f>
        <v/>
      </c>
      <c r="F1251" s="7" t="str">
        <f>IF(B1251="","",IFERROR(VLOOKUP(B1251, PLANTA_BASE!A:W, 8, FALSE), "DOCENTE / FACILITADOR"))</f>
        <v/>
      </c>
      <c r="G1251" s="7" t="str">
        <f>IF(B1251="","",IFERROR(VLOOKUP(B1251, PLANTA_BASE!A:W, 9, FALSE), "GENERAL"))</f>
        <v/>
      </c>
      <c r="H1251" s="5" t="str">
        <f>IF(B1251="","",IFERROR(VLOOKUP(B1251, PLANTA_BASE!A:W, 17, FALSE), "GENERAL"))</f>
        <v/>
      </c>
    </row>
    <row r="1252" spans="1:8" ht="20.100000000000001" customHeight="1" x14ac:dyDescent="0.25">
      <c r="A1252" s="2" t="str">
        <f>IF(B1252="","",IFERROR(VLOOKUP(B1252, PLANTA_BASE!A:W, 2, FALSE), "NO ENCONTRADO EN PLANTA"))</f>
        <v/>
      </c>
      <c r="B1252" s="3"/>
      <c r="C1252" s="4" t="str">
        <f>IF(B1252="","",IFERROR(VLOOKUP(B1252, PLANTA_BASE!A:W, 3, FALSE), ""))</f>
        <v/>
      </c>
      <c r="D1252" s="2" t="str">
        <f>IF(B1252="","",IFERROR(VLOOKUP(B1252, PLANTA_BASE!A:W, 5, FALSE), "NO ENCONTRADO EN PLANTA"))</f>
        <v/>
      </c>
      <c r="E1252" s="2" t="str">
        <f>IF(B1252="","",IFERROR(VLOOKUP(B1252, PLANTA_BASE!A:W, 6, FALSE), "NO ENCONTRADO EN PLANTA"))</f>
        <v/>
      </c>
      <c r="F1252" s="4" t="str">
        <f>IF(B1252="","",IFERROR(VLOOKUP(B1252, PLANTA_BASE!A:W, 8, FALSE), "DOCENTE / FACILITADOR"))</f>
        <v/>
      </c>
      <c r="G1252" s="4" t="str">
        <f>IF(B1252="","",IFERROR(VLOOKUP(B1252, PLANTA_BASE!A:W, 9, FALSE), "GENERAL"))</f>
        <v/>
      </c>
      <c r="H1252" s="2" t="str">
        <f>IF(B1252="","",IFERROR(VLOOKUP(B1252, PLANTA_BASE!A:W, 17, FALSE), "GENERAL"))</f>
        <v/>
      </c>
    </row>
    <row r="1253" spans="1:8" ht="20.100000000000001" customHeight="1" x14ac:dyDescent="0.25">
      <c r="A1253" s="5" t="str">
        <f>IF(B1253="","",IFERROR(VLOOKUP(B1253, PLANTA_BASE!A:W, 2, FALSE), "NO ENCONTRADO EN PLANTA"))</f>
        <v/>
      </c>
      <c r="B1253" s="6"/>
      <c r="C1253" s="7" t="str">
        <f>IF(B1253="","",IFERROR(VLOOKUP(B1253, PLANTA_BASE!A:W, 3, FALSE), ""))</f>
        <v/>
      </c>
      <c r="D1253" s="5" t="str">
        <f>IF(B1253="","",IFERROR(VLOOKUP(B1253, PLANTA_BASE!A:W, 5, FALSE), "NO ENCONTRADO EN PLANTA"))</f>
        <v/>
      </c>
      <c r="E1253" s="5" t="str">
        <f>IF(B1253="","",IFERROR(VLOOKUP(B1253, PLANTA_BASE!A:W, 6, FALSE), "NO ENCONTRADO EN PLANTA"))</f>
        <v/>
      </c>
      <c r="F1253" s="7" t="str">
        <f>IF(B1253="","",IFERROR(VLOOKUP(B1253, PLANTA_BASE!A:W, 8, FALSE), "DOCENTE / FACILITADOR"))</f>
        <v/>
      </c>
      <c r="G1253" s="7" t="str">
        <f>IF(B1253="","",IFERROR(VLOOKUP(B1253, PLANTA_BASE!A:W, 9, FALSE), "GENERAL"))</f>
        <v/>
      </c>
      <c r="H1253" s="5" t="str">
        <f>IF(B1253="","",IFERROR(VLOOKUP(B1253, PLANTA_BASE!A:W, 17, FALSE), "GENERAL"))</f>
        <v/>
      </c>
    </row>
    <row r="1254" spans="1:8" ht="20.100000000000001" customHeight="1" x14ac:dyDescent="0.25">
      <c r="A1254" s="2" t="str">
        <f>IF(B1254="","",IFERROR(VLOOKUP(B1254, PLANTA_BASE!A:W, 2, FALSE), "NO ENCONTRADO EN PLANTA"))</f>
        <v/>
      </c>
      <c r="B1254" s="3"/>
      <c r="C1254" s="4" t="str">
        <f>IF(B1254="","",IFERROR(VLOOKUP(B1254, PLANTA_BASE!A:W, 3, FALSE), ""))</f>
        <v/>
      </c>
      <c r="D1254" s="2" t="str">
        <f>IF(B1254="","",IFERROR(VLOOKUP(B1254, PLANTA_BASE!A:W, 5, FALSE), "NO ENCONTRADO EN PLANTA"))</f>
        <v/>
      </c>
      <c r="E1254" s="2" t="str">
        <f>IF(B1254="","",IFERROR(VLOOKUP(B1254, PLANTA_BASE!A:W, 6, FALSE), "NO ENCONTRADO EN PLANTA"))</f>
        <v/>
      </c>
      <c r="F1254" s="4" t="str">
        <f>IF(B1254="","",IFERROR(VLOOKUP(B1254, PLANTA_BASE!A:W, 8, FALSE), "DOCENTE / FACILITADOR"))</f>
        <v/>
      </c>
      <c r="G1254" s="4" t="str">
        <f>IF(B1254="","",IFERROR(VLOOKUP(B1254, PLANTA_BASE!A:W, 9, FALSE), "GENERAL"))</f>
        <v/>
      </c>
      <c r="H1254" s="2" t="str">
        <f>IF(B1254="","",IFERROR(VLOOKUP(B1254, PLANTA_BASE!A:W, 17, FALSE), "GENERAL"))</f>
        <v/>
      </c>
    </row>
    <row r="1255" spans="1:8" ht="20.100000000000001" customHeight="1" x14ac:dyDescent="0.25">
      <c r="A1255" s="5" t="str">
        <f>IF(B1255="","",IFERROR(VLOOKUP(B1255, PLANTA_BASE!A:W, 2, FALSE), "NO ENCONTRADO EN PLANTA"))</f>
        <v/>
      </c>
      <c r="B1255" s="6"/>
      <c r="C1255" s="7" t="str">
        <f>IF(B1255="","",IFERROR(VLOOKUP(B1255, PLANTA_BASE!A:W, 3, FALSE), ""))</f>
        <v/>
      </c>
      <c r="D1255" s="5" t="str">
        <f>IF(B1255="","",IFERROR(VLOOKUP(B1255, PLANTA_BASE!A:W, 5, FALSE), "NO ENCONTRADO EN PLANTA"))</f>
        <v/>
      </c>
      <c r="E1255" s="5" t="str">
        <f>IF(B1255="","",IFERROR(VLOOKUP(B1255, PLANTA_BASE!A:W, 6, FALSE), "NO ENCONTRADO EN PLANTA"))</f>
        <v/>
      </c>
      <c r="F1255" s="7" t="str">
        <f>IF(B1255="","",IFERROR(VLOOKUP(B1255, PLANTA_BASE!A:W, 8, FALSE), "DOCENTE / FACILITADOR"))</f>
        <v/>
      </c>
      <c r="G1255" s="7" t="str">
        <f>IF(B1255="","",IFERROR(VLOOKUP(B1255, PLANTA_BASE!A:W, 9, FALSE), "GENERAL"))</f>
        <v/>
      </c>
      <c r="H1255" s="5" t="str">
        <f>IF(B1255="","",IFERROR(VLOOKUP(B1255, PLANTA_BASE!A:W, 17, FALSE), "GENERAL"))</f>
        <v/>
      </c>
    </row>
    <row r="1256" spans="1:8" ht="20.100000000000001" customHeight="1" x14ac:dyDescent="0.25">
      <c r="A1256" s="2" t="str">
        <f>IF(B1256="","",IFERROR(VLOOKUP(B1256, PLANTA_BASE!A:W, 2, FALSE), "NO ENCONTRADO EN PLANTA"))</f>
        <v/>
      </c>
      <c r="B1256" s="3"/>
      <c r="C1256" s="4" t="str">
        <f>IF(B1256="","",IFERROR(VLOOKUP(B1256, PLANTA_BASE!A:W, 3, FALSE), ""))</f>
        <v/>
      </c>
      <c r="D1256" s="2" t="str">
        <f>IF(B1256="","",IFERROR(VLOOKUP(B1256, PLANTA_BASE!A:W, 5, FALSE), "NO ENCONTRADO EN PLANTA"))</f>
        <v/>
      </c>
      <c r="E1256" s="2" t="str">
        <f>IF(B1256="","",IFERROR(VLOOKUP(B1256, PLANTA_BASE!A:W, 6, FALSE), "NO ENCONTRADO EN PLANTA"))</f>
        <v/>
      </c>
      <c r="F1256" s="4" t="str">
        <f>IF(B1256="","",IFERROR(VLOOKUP(B1256, PLANTA_BASE!A:W, 8, FALSE), "DOCENTE / FACILITADOR"))</f>
        <v/>
      </c>
      <c r="G1256" s="4" t="str">
        <f>IF(B1256="","",IFERROR(VLOOKUP(B1256, PLANTA_BASE!A:W, 9, FALSE), "GENERAL"))</f>
        <v/>
      </c>
      <c r="H1256" s="2" t="str">
        <f>IF(B1256="","",IFERROR(VLOOKUP(B1256, PLANTA_BASE!A:W, 17, FALSE), "GENERAL"))</f>
        <v/>
      </c>
    </row>
    <row r="1257" spans="1:8" ht="20.100000000000001" customHeight="1" x14ac:dyDescent="0.25">
      <c r="A1257" s="5" t="str">
        <f>IF(B1257="","",IFERROR(VLOOKUP(B1257, PLANTA_BASE!A:W, 2, FALSE), "NO ENCONTRADO EN PLANTA"))</f>
        <v/>
      </c>
      <c r="B1257" s="6"/>
      <c r="C1257" s="7" t="str">
        <f>IF(B1257="","",IFERROR(VLOOKUP(B1257, PLANTA_BASE!A:W, 3, FALSE), ""))</f>
        <v/>
      </c>
      <c r="D1257" s="5" t="str">
        <f>IF(B1257="","",IFERROR(VLOOKUP(B1257, PLANTA_BASE!A:W, 5, FALSE), "NO ENCONTRADO EN PLANTA"))</f>
        <v/>
      </c>
      <c r="E1257" s="5" t="str">
        <f>IF(B1257="","",IFERROR(VLOOKUP(B1257, PLANTA_BASE!A:W, 6, FALSE), "NO ENCONTRADO EN PLANTA"))</f>
        <v/>
      </c>
      <c r="F1257" s="7" t="str">
        <f>IF(B1257="","",IFERROR(VLOOKUP(B1257, PLANTA_BASE!A:W, 8, FALSE), "DOCENTE / FACILITADOR"))</f>
        <v/>
      </c>
      <c r="G1257" s="7" t="str">
        <f>IF(B1257="","",IFERROR(VLOOKUP(B1257, PLANTA_BASE!A:W, 9, FALSE), "GENERAL"))</f>
        <v/>
      </c>
      <c r="H1257" s="5" t="str">
        <f>IF(B1257="","",IFERROR(VLOOKUP(B1257, PLANTA_BASE!A:W, 17, FALSE), "GENERAL"))</f>
        <v/>
      </c>
    </row>
    <row r="1258" spans="1:8" ht="20.100000000000001" customHeight="1" x14ac:dyDescent="0.25">
      <c r="A1258" s="2" t="str">
        <f>IF(B1258="","",IFERROR(VLOOKUP(B1258, PLANTA_BASE!A:W, 2, FALSE), "NO ENCONTRADO EN PLANTA"))</f>
        <v/>
      </c>
      <c r="B1258" s="3"/>
      <c r="C1258" s="4" t="str">
        <f>IF(B1258="","",IFERROR(VLOOKUP(B1258, PLANTA_BASE!A:W, 3, FALSE), ""))</f>
        <v/>
      </c>
      <c r="D1258" s="2" t="str">
        <f>IF(B1258="","",IFERROR(VLOOKUP(B1258, PLANTA_BASE!A:W, 5, FALSE), "NO ENCONTRADO EN PLANTA"))</f>
        <v/>
      </c>
      <c r="E1258" s="2" t="str">
        <f>IF(B1258="","",IFERROR(VLOOKUP(B1258, PLANTA_BASE!A:W, 6, FALSE), "NO ENCONTRADO EN PLANTA"))</f>
        <v/>
      </c>
      <c r="F1258" s="4" t="str">
        <f>IF(B1258="","",IFERROR(VLOOKUP(B1258, PLANTA_BASE!A:W, 8, FALSE), "DOCENTE / FACILITADOR"))</f>
        <v/>
      </c>
      <c r="G1258" s="4" t="str">
        <f>IF(B1258="","",IFERROR(VLOOKUP(B1258, PLANTA_BASE!A:W, 9, FALSE), "GENERAL"))</f>
        <v/>
      </c>
      <c r="H1258" s="2" t="str">
        <f>IF(B1258="","",IFERROR(VLOOKUP(B1258, PLANTA_BASE!A:W, 17, FALSE), "GENERAL"))</f>
        <v/>
      </c>
    </row>
    <row r="1259" spans="1:8" ht="20.100000000000001" customHeight="1" x14ac:dyDescent="0.25">
      <c r="A1259" s="5" t="str">
        <f>IF(B1259="","",IFERROR(VLOOKUP(B1259, PLANTA_BASE!A:W, 2, FALSE), "NO ENCONTRADO EN PLANTA"))</f>
        <v/>
      </c>
      <c r="B1259" s="6"/>
      <c r="C1259" s="7" t="str">
        <f>IF(B1259="","",IFERROR(VLOOKUP(B1259, PLANTA_BASE!A:W, 3, FALSE), ""))</f>
        <v/>
      </c>
      <c r="D1259" s="5" t="str">
        <f>IF(B1259="","",IFERROR(VLOOKUP(B1259, PLANTA_BASE!A:W, 5, FALSE), "NO ENCONTRADO EN PLANTA"))</f>
        <v/>
      </c>
      <c r="E1259" s="5" t="str">
        <f>IF(B1259="","",IFERROR(VLOOKUP(B1259, PLANTA_BASE!A:W, 6, FALSE), "NO ENCONTRADO EN PLANTA"))</f>
        <v/>
      </c>
      <c r="F1259" s="7" t="str">
        <f>IF(B1259="","",IFERROR(VLOOKUP(B1259, PLANTA_BASE!A:W, 8, FALSE), "DOCENTE / FACILITADOR"))</f>
        <v/>
      </c>
      <c r="G1259" s="7" t="str">
        <f>IF(B1259="","",IFERROR(VLOOKUP(B1259, PLANTA_BASE!A:W, 9, FALSE), "GENERAL"))</f>
        <v/>
      </c>
      <c r="H1259" s="5" t="str">
        <f>IF(B1259="","",IFERROR(VLOOKUP(B1259, PLANTA_BASE!A:W, 17, FALSE), "GENERAL"))</f>
        <v/>
      </c>
    </row>
    <row r="1260" spans="1:8" ht="20.100000000000001" customHeight="1" x14ac:dyDescent="0.25">
      <c r="A1260" s="2" t="str">
        <f>IF(B1260="","",IFERROR(VLOOKUP(B1260, PLANTA_BASE!A:W, 2, FALSE), "NO ENCONTRADO EN PLANTA"))</f>
        <v/>
      </c>
      <c r="B1260" s="3"/>
      <c r="C1260" s="4" t="str">
        <f>IF(B1260="","",IFERROR(VLOOKUP(B1260, PLANTA_BASE!A:W, 3, FALSE), ""))</f>
        <v/>
      </c>
      <c r="D1260" s="2" t="str">
        <f>IF(B1260="","",IFERROR(VLOOKUP(B1260, PLANTA_BASE!A:W, 5, FALSE), "NO ENCONTRADO EN PLANTA"))</f>
        <v/>
      </c>
      <c r="E1260" s="2" t="str">
        <f>IF(B1260="","",IFERROR(VLOOKUP(B1260, PLANTA_BASE!A:W, 6, FALSE), "NO ENCONTRADO EN PLANTA"))</f>
        <v/>
      </c>
      <c r="F1260" s="4" t="str">
        <f>IF(B1260="","",IFERROR(VLOOKUP(B1260, PLANTA_BASE!A:W, 8, FALSE), "DOCENTE / FACILITADOR"))</f>
        <v/>
      </c>
      <c r="G1260" s="4" t="str">
        <f>IF(B1260="","",IFERROR(VLOOKUP(B1260, PLANTA_BASE!A:W, 9, FALSE), "GENERAL"))</f>
        <v/>
      </c>
      <c r="H1260" s="2" t="str">
        <f>IF(B1260="","",IFERROR(VLOOKUP(B1260, PLANTA_BASE!A:W, 17, FALSE), "GENERAL"))</f>
        <v/>
      </c>
    </row>
    <row r="1261" spans="1:8" ht="20.100000000000001" customHeight="1" x14ac:dyDescent="0.25">
      <c r="A1261" s="5" t="str">
        <f>IF(B1261="","",IFERROR(VLOOKUP(B1261, PLANTA_BASE!A:W, 2, FALSE), "NO ENCONTRADO EN PLANTA"))</f>
        <v/>
      </c>
      <c r="B1261" s="6"/>
      <c r="C1261" s="7" t="str">
        <f>IF(B1261="","",IFERROR(VLOOKUP(B1261, PLANTA_BASE!A:W, 3, FALSE), ""))</f>
        <v/>
      </c>
      <c r="D1261" s="5" t="str">
        <f>IF(B1261="","",IFERROR(VLOOKUP(B1261, PLANTA_BASE!A:W, 5, FALSE), "NO ENCONTRADO EN PLANTA"))</f>
        <v/>
      </c>
      <c r="E1261" s="5" t="str">
        <f>IF(B1261="","",IFERROR(VLOOKUP(B1261, PLANTA_BASE!A:W, 6, FALSE), "NO ENCONTRADO EN PLANTA"))</f>
        <v/>
      </c>
      <c r="F1261" s="7" t="str">
        <f>IF(B1261="","",IFERROR(VLOOKUP(B1261, PLANTA_BASE!A:W, 8, FALSE), "DOCENTE / FACILITADOR"))</f>
        <v/>
      </c>
      <c r="G1261" s="7" t="str">
        <f>IF(B1261="","",IFERROR(VLOOKUP(B1261, PLANTA_BASE!A:W, 9, FALSE), "GENERAL"))</f>
        <v/>
      </c>
      <c r="H1261" s="5" t="str">
        <f>IF(B1261="","",IFERROR(VLOOKUP(B1261, PLANTA_BASE!A:W, 17, FALSE), "GENERAL"))</f>
        <v/>
      </c>
    </row>
    <row r="1262" spans="1:8" ht="20.100000000000001" customHeight="1" x14ac:dyDescent="0.25">
      <c r="A1262" s="2" t="str">
        <f>IF(B1262="","",IFERROR(VLOOKUP(B1262, PLANTA_BASE!A:W, 2, FALSE), "NO ENCONTRADO EN PLANTA"))</f>
        <v/>
      </c>
      <c r="B1262" s="3"/>
      <c r="C1262" s="4" t="str">
        <f>IF(B1262="","",IFERROR(VLOOKUP(B1262, PLANTA_BASE!A:W, 3, FALSE), ""))</f>
        <v/>
      </c>
      <c r="D1262" s="2" t="str">
        <f>IF(B1262="","",IFERROR(VLOOKUP(B1262, PLANTA_BASE!A:W, 5, FALSE), "NO ENCONTRADO EN PLANTA"))</f>
        <v/>
      </c>
      <c r="E1262" s="2" t="str">
        <f>IF(B1262="","",IFERROR(VLOOKUP(B1262, PLANTA_BASE!A:W, 6, FALSE), "NO ENCONTRADO EN PLANTA"))</f>
        <v/>
      </c>
      <c r="F1262" s="4" t="str">
        <f>IF(B1262="","",IFERROR(VLOOKUP(B1262, PLANTA_BASE!A:W, 8, FALSE), "DOCENTE / FACILITADOR"))</f>
        <v/>
      </c>
      <c r="G1262" s="4" t="str">
        <f>IF(B1262="","",IFERROR(VLOOKUP(B1262, PLANTA_BASE!A:W, 9, FALSE), "GENERAL"))</f>
        <v/>
      </c>
      <c r="H1262" s="2" t="str">
        <f>IF(B1262="","",IFERROR(VLOOKUP(B1262, PLANTA_BASE!A:W, 17, FALSE), "GENERAL"))</f>
        <v/>
      </c>
    </row>
    <row r="1263" spans="1:8" ht="20.100000000000001" customHeight="1" x14ac:dyDescent="0.25">
      <c r="A1263" s="5" t="str">
        <f>IF(B1263="","",IFERROR(VLOOKUP(B1263, PLANTA_BASE!A:W, 2, FALSE), "NO ENCONTRADO EN PLANTA"))</f>
        <v/>
      </c>
      <c r="B1263" s="6"/>
      <c r="C1263" s="7" t="str">
        <f>IF(B1263="","",IFERROR(VLOOKUP(B1263, PLANTA_BASE!A:W, 3, FALSE), ""))</f>
        <v/>
      </c>
      <c r="D1263" s="5" t="str">
        <f>IF(B1263="","",IFERROR(VLOOKUP(B1263, PLANTA_BASE!A:W, 5, FALSE), "NO ENCONTRADO EN PLANTA"))</f>
        <v/>
      </c>
      <c r="E1263" s="5" t="str">
        <f>IF(B1263="","",IFERROR(VLOOKUP(B1263, PLANTA_BASE!A:W, 6, FALSE), "NO ENCONTRADO EN PLANTA"))</f>
        <v/>
      </c>
      <c r="F1263" s="7" t="str">
        <f>IF(B1263="","",IFERROR(VLOOKUP(B1263, PLANTA_BASE!A:W, 8, FALSE), "DOCENTE / FACILITADOR"))</f>
        <v/>
      </c>
      <c r="G1263" s="7" t="str">
        <f>IF(B1263="","",IFERROR(VLOOKUP(B1263, PLANTA_BASE!A:W, 9, FALSE), "GENERAL"))</f>
        <v/>
      </c>
      <c r="H1263" s="5" t="str">
        <f>IF(B1263="","",IFERROR(VLOOKUP(B1263, PLANTA_BASE!A:W, 17, FALSE), "GENERAL"))</f>
        <v/>
      </c>
    </row>
    <row r="1264" spans="1:8" ht="20.100000000000001" customHeight="1" x14ac:dyDescent="0.25">
      <c r="A1264" s="2" t="str">
        <f>IF(B1264="","",IFERROR(VLOOKUP(B1264, PLANTA_BASE!A:W, 2, FALSE), "NO ENCONTRADO EN PLANTA"))</f>
        <v/>
      </c>
      <c r="B1264" s="3"/>
      <c r="C1264" s="4" t="str">
        <f>IF(B1264="","",IFERROR(VLOOKUP(B1264, PLANTA_BASE!A:W, 3, FALSE), ""))</f>
        <v/>
      </c>
      <c r="D1264" s="2" t="str">
        <f>IF(B1264="","",IFERROR(VLOOKUP(B1264, PLANTA_BASE!A:W, 5, FALSE), "NO ENCONTRADO EN PLANTA"))</f>
        <v/>
      </c>
      <c r="E1264" s="2" t="str">
        <f>IF(B1264="","",IFERROR(VLOOKUP(B1264, PLANTA_BASE!A:W, 6, FALSE), "NO ENCONTRADO EN PLANTA"))</f>
        <v/>
      </c>
      <c r="F1264" s="4" t="str">
        <f>IF(B1264="","",IFERROR(VLOOKUP(B1264, PLANTA_BASE!A:W, 8, FALSE), "DOCENTE / FACILITADOR"))</f>
        <v/>
      </c>
      <c r="G1264" s="4" t="str">
        <f>IF(B1264="","",IFERROR(VLOOKUP(B1264, PLANTA_BASE!A:W, 9, FALSE), "GENERAL"))</f>
        <v/>
      </c>
      <c r="H1264" s="2" t="str">
        <f>IF(B1264="","",IFERROR(VLOOKUP(B1264, PLANTA_BASE!A:W, 17, FALSE), "GENERAL"))</f>
        <v/>
      </c>
    </row>
    <row r="1265" spans="1:8" ht="20.100000000000001" customHeight="1" x14ac:dyDescent="0.25">
      <c r="A1265" s="5" t="str">
        <f>IF(B1265="","",IFERROR(VLOOKUP(B1265, PLANTA_BASE!A:W, 2, FALSE), "NO ENCONTRADO EN PLANTA"))</f>
        <v/>
      </c>
      <c r="B1265" s="6"/>
      <c r="C1265" s="7" t="str">
        <f>IF(B1265="","",IFERROR(VLOOKUP(B1265, PLANTA_BASE!A:W, 3, FALSE), ""))</f>
        <v/>
      </c>
      <c r="D1265" s="5" t="str">
        <f>IF(B1265="","",IFERROR(VLOOKUP(B1265, PLANTA_BASE!A:W, 5, FALSE), "NO ENCONTRADO EN PLANTA"))</f>
        <v/>
      </c>
      <c r="E1265" s="5" t="str">
        <f>IF(B1265="","",IFERROR(VLOOKUP(B1265, PLANTA_BASE!A:W, 6, FALSE), "NO ENCONTRADO EN PLANTA"))</f>
        <v/>
      </c>
      <c r="F1265" s="7" t="str">
        <f>IF(B1265="","",IFERROR(VLOOKUP(B1265, PLANTA_BASE!A:W, 8, FALSE), "DOCENTE / FACILITADOR"))</f>
        <v/>
      </c>
      <c r="G1265" s="7" t="str">
        <f>IF(B1265="","",IFERROR(VLOOKUP(B1265, PLANTA_BASE!A:W, 9, FALSE), "GENERAL"))</f>
        <v/>
      </c>
      <c r="H1265" s="5" t="str">
        <f>IF(B1265="","",IFERROR(VLOOKUP(B1265, PLANTA_BASE!A:W, 17, FALSE), "GENERAL"))</f>
        <v/>
      </c>
    </row>
    <row r="1266" spans="1:8" ht="20.100000000000001" customHeight="1" x14ac:dyDescent="0.25">
      <c r="A1266" s="2" t="str">
        <f>IF(B1266="","",IFERROR(VLOOKUP(B1266, PLANTA_BASE!A:W, 2, FALSE), "NO ENCONTRADO EN PLANTA"))</f>
        <v/>
      </c>
      <c r="B1266" s="3"/>
      <c r="C1266" s="4" t="str">
        <f>IF(B1266="","",IFERROR(VLOOKUP(B1266, PLANTA_BASE!A:W, 3, FALSE), ""))</f>
        <v/>
      </c>
      <c r="D1266" s="2" t="str">
        <f>IF(B1266="","",IFERROR(VLOOKUP(B1266, PLANTA_BASE!A:W, 5, FALSE), "NO ENCONTRADO EN PLANTA"))</f>
        <v/>
      </c>
      <c r="E1266" s="2" t="str">
        <f>IF(B1266="","",IFERROR(VLOOKUP(B1266, PLANTA_BASE!A:W, 6, FALSE), "NO ENCONTRADO EN PLANTA"))</f>
        <v/>
      </c>
      <c r="F1266" s="4" t="str">
        <f>IF(B1266="","",IFERROR(VLOOKUP(B1266, PLANTA_BASE!A:W, 8, FALSE), "DOCENTE / FACILITADOR"))</f>
        <v/>
      </c>
      <c r="G1266" s="4" t="str">
        <f>IF(B1266="","",IFERROR(VLOOKUP(B1266, PLANTA_BASE!A:W, 9, FALSE), "GENERAL"))</f>
        <v/>
      </c>
      <c r="H1266" s="2" t="str">
        <f>IF(B1266="","",IFERROR(VLOOKUP(B1266, PLANTA_BASE!A:W, 17, FALSE), "GENERAL"))</f>
        <v/>
      </c>
    </row>
    <row r="1267" spans="1:8" ht="20.100000000000001" customHeight="1" x14ac:dyDescent="0.25">
      <c r="A1267" s="5" t="str">
        <f>IF(B1267="","",IFERROR(VLOOKUP(B1267, PLANTA_BASE!A:W, 2, FALSE), "NO ENCONTRADO EN PLANTA"))</f>
        <v/>
      </c>
      <c r="B1267" s="6"/>
      <c r="C1267" s="7" t="str">
        <f>IF(B1267="","",IFERROR(VLOOKUP(B1267, PLANTA_BASE!A:W, 3, FALSE), ""))</f>
        <v/>
      </c>
      <c r="D1267" s="5" t="str">
        <f>IF(B1267="","",IFERROR(VLOOKUP(B1267, PLANTA_BASE!A:W, 5, FALSE), "NO ENCONTRADO EN PLANTA"))</f>
        <v/>
      </c>
      <c r="E1267" s="5" t="str">
        <f>IF(B1267="","",IFERROR(VLOOKUP(B1267, PLANTA_BASE!A:W, 6, FALSE), "NO ENCONTRADO EN PLANTA"))</f>
        <v/>
      </c>
      <c r="F1267" s="7" t="str">
        <f>IF(B1267="","",IFERROR(VLOOKUP(B1267, PLANTA_BASE!A:W, 8, FALSE), "DOCENTE / FACILITADOR"))</f>
        <v/>
      </c>
      <c r="G1267" s="7" t="str">
        <f>IF(B1267="","",IFERROR(VLOOKUP(B1267, PLANTA_BASE!A:W, 9, FALSE), "GENERAL"))</f>
        <v/>
      </c>
      <c r="H1267" s="5" t="str">
        <f>IF(B1267="","",IFERROR(VLOOKUP(B1267, PLANTA_BASE!A:W, 17, FALSE), "GENERAL"))</f>
        <v/>
      </c>
    </row>
    <row r="1268" spans="1:8" ht="20.100000000000001" customHeight="1" x14ac:dyDescent="0.25">
      <c r="A1268" s="2" t="str">
        <f>IF(B1268="","",IFERROR(VLOOKUP(B1268, PLANTA_BASE!A:W, 2, FALSE), "NO ENCONTRADO EN PLANTA"))</f>
        <v/>
      </c>
      <c r="B1268" s="3"/>
      <c r="C1268" s="4" t="str">
        <f>IF(B1268="","",IFERROR(VLOOKUP(B1268, PLANTA_BASE!A:W, 3, FALSE), ""))</f>
        <v/>
      </c>
      <c r="D1268" s="2" t="str">
        <f>IF(B1268="","",IFERROR(VLOOKUP(B1268, PLANTA_BASE!A:W, 5, FALSE), "NO ENCONTRADO EN PLANTA"))</f>
        <v/>
      </c>
      <c r="E1268" s="2" t="str">
        <f>IF(B1268="","",IFERROR(VLOOKUP(B1268, PLANTA_BASE!A:W, 6, FALSE), "NO ENCONTRADO EN PLANTA"))</f>
        <v/>
      </c>
      <c r="F1268" s="4" t="str">
        <f>IF(B1268="","",IFERROR(VLOOKUP(B1268, PLANTA_BASE!A:W, 8, FALSE), "DOCENTE / FACILITADOR"))</f>
        <v/>
      </c>
      <c r="G1268" s="4" t="str">
        <f>IF(B1268="","",IFERROR(VLOOKUP(B1268, PLANTA_BASE!A:W, 9, FALSE), "GENERAL"))</f>
        <v/>
      </c>
      <c r="H1268" s="2" t="str">
        <f>IF(B1268="","",IFERROR(VLOOKUP(B1268, PLANTA_BASE!A:W, 17, FALSE), "GENERAL"))</f>
        <v/>
      </c>
    </row>
    <row r="1269" spans="1:8" ht="20.100000000000001" customHeight="1" x14ac:dyDescent="0.25">
      <c r="A1269" s="5" t="str">
        <f>IF(B1269="","",IFERROR(VLOOKUP(B1269, PLANTA_BASE!A:W, 2, FALSE), "NO ENCONTRADO EN PLANTA"))</f>
        <v/>
      </c>
      <c r="B1269" s="6"/>
      <c r="C1269" s="7" t="str">
        <f>IF(B1269="","",IFERROR(VLOOKUP(B1269, PLANTA_BASE!A:W, 3, FALSE), ""))</f>
        <v/>
      </c>
      <c r="D1269" s="5" t="str">
        <f>IF(B1269="","",IFERROR(VLOOKUP(B1269, PLANTA_BASE!A:W, 5, FALSE), "NO ENCONTRADO EN PLANTA"))</f>
        <v/>
      </c>
      <c r="E1269" s="5" t="str">
        <f>IF(B1269="","",IFERROR(VLOOKUP(B1269, PLANTA_BASE!A:W, 6, FALSE), "NO ENCONTRADO EN PLANTA"))</f>
        <v/>
      </c>
      <c r="F1269" s="7" t="str">
        <f>IF(B1269="","",IFERROR(VLOOKUP(B1269, PLANTA_BASE!A:W, 8, FALSE), "DOCENTE / FACILITADOR"))</f>
        <v/>
      </c>
      <c r="G1269" s="7" t="str">
        <f>IF(B1269="","",IFERROR(VLOOKUP(B1269, PLANTA_BASE!A:W, 9, FALSE), "GENERAL"))</f>
        <v/>
      </c>
      <c r="H1269" s="5" t="str">
        <f>IF(B1269="","",IFERROR(VLOOKUP(B1269, PLANTA_BASE!A:W, 17, FALSE), "GENERAL"))</f>
        <v/>
      </c>
    </row>
    <row r="1270" spans="1:8" ht="20.100000000000001" customHeight="1" x14ac:dyDescent="0.25">
      <c r="A1270" s="2" t="str">
        <f>IF(B1270="","",IFERROR(VLOOKUP(B1270, PLANTA_BASE!A:W, 2, FALSE), "NO ENCONTRADO EN PLANTA"))</f>
        <v/>
      </c>
      <c r="B1270" s="3"/>
      <c r="C1270" s="4" t="str">
        <f>IF(B1270="","",IFERROR(VLOOKUP(B1270, PLANTA_BASE!A:W, 3, FALSE), ""))</f>
        <v/>
      </c>
      <c r="D1270" s="2" t="str">
        <f>IF(B1270="","",IFERROR(VLOOKUP(B1270, PLANTA_BASE!A:W, 5, FALSE), "NO ENCONTRADO EN PLANTA"))</f>
        <v/>
      </c>
      <c r="E1270" s="2" t="str">
        <f>IF(B1270="","",IFERROR(VLOOKUP(B1270, PLANTA_BASE!A:W, 6, FALSE), "NO ENCONTRADO EN PLANTA"))</f>
        <v/>
      </c>
      <c r="F1270" s="4" t="str">
        <f>IF(B1270="","",IFERROR(VLOOKUP(B1270, PLANTA_BASE!A:W, 8, FALSE), "DOCENTE / FACILITADOR"))</f>
        <v/>
      </c>
      <c r="G1270" s="4" t="str">
        <f>IF(B1270="","",IFERROR(VLOOKUP(B1270, PLANTA_BASE!A:W, 9, FALSE), "GENERAL"))</f>
        <v/>
      </c>
      <c r="H1270" s="2" t="str">
        <f>IF(B1270="","",IFERROR(VLOOKUP(B1270, PLANTA_BASE!A:W, 17, FALSE), "GENERAL"))</f>
        <v/>
      </c>
    </row>
    <row r="1271" spans="1:8" ht="20.100000000000001" customHeight="1" x14ac:dyDescent="0.25">
      <c r="A1271" s="5" t="str">
        <f>IF(B1271="","",IFERROR(VLOOKUP(B1271, PLANTA_BASE!A:W, 2, FALSE), "NO ENCONTRADO EN PLANTA"))</f>
        <v/>
      </c>
      <c r="B1271" s="6"/>
      <c r="C1271" s="7" t="str">
        <f>IF(B1271="","",IFERROR(VLOOKUP(B1271, PLANTA_BASE!A:W, 3, FALSE), ""))</f>
        <v/>
      </c>
      <c r="D1271" s="5" t="str">
        <f>IF(B1271="","",IFERROR(VLOOKUP(B1271, PLANTA_BASE!A:W, 5, FALSE), "NO ENCONTRADO EN PLANTA"))</f>
        <v/>
      </c>
      <c r="E1271" s="5" t="str">
        <f>IF(B1271="","",IFERROR(VLOOKUP(B1271, PLANTA_BASE!A:W, 6, FALSE), "NO ENCONTRADO EN PLANTA"))</f>
        <v/>
      </c>
      <c r="F1271" s="7" t="str">
        <f>IF(B1271="","",IFERROR(VLOOKUP(B1271, PLANTA_BASE!A:W, 8, FALSE), "DOCENTE / FACILITADOR"))</f>
        <v/>
      </c>
      <c r="G1271" s="7" t="str">
        <f>IF(B1271="","",IFERROR(VLOOKUP(B1271, PLANTA_BASE!A:W, 9, FALSE), "GENERAL"))</f>
        <v/>
      </c>
      <c r="H1271" s="5" t="str">
        <f>IF(B1271="","",IFERROR(VLOOKUP(B1271, PLANTA_BASE!A:W, 17, FALSE), "GENERAL"))</f>
        <v/>
      </c>
    </row>
    <row r="1272" spans="1:8" ht="20.100000000000001" customHeight="1" x14ac:dyDescent="0.25">
      <c r="A1272" s="2" t="str">
        <f>IF(B1272="","",IFERROR(VLOOKUP(B1272, PLANTA_BASE!A:W, 2, FALSE), "NO ENCONTRADO EN PLANTA"))</f>
        <v/>
      </c>
      <c r="B1272" s="3"/>
      <c r="C1272" s="4" t="str">
        <f>IF(B1272="","",IFERROR(VLOOKUP(B1272, PLANTA_BASE!A:W, 3, FALSE), ""))</f>
        <v/>
      </c>
      <c r="D1272" s="2" t="str">
        <f>IF(B1272="","",IFERROR(VLOOKUP(B1272, PLANTA_BASE!A:W, 5, FALSE), "NO ENCONTRADO EN PLANTA"))</f>
        <v/>
      </c>
      <c r="E1272" s="2" t="str">
        <f>IF(B1272="","",IFERROR(VLOOKUP(B1272, PLANTA_BASE!A:W, 6, FALSE), "NO ENCONTRADO EN PLANTA"))</f>
        <v/>
      </c>
      <c r="F1272" s="4" t="str">
        <f>IF(B1272="","",IFERROR(VLOOKUP(B1272, PLANTA_BASE!A:W, 8, FALSE), "DOCENTE / FACILITADOR"))</f>
        <v/>
      </c>
      <c r="G1272" s="4" t="str">
        <f>IF(B1272="","",IFERROR(VLOOKUP(B1272, PLANTA_BASE!A:W, 9, FALSE), "GENERAL"))</f>
        <v/>
      </c>
      <c r="H1272" s="2" t="str">
        <f>IF(B1272="","",IFERROR(VLOOKUP(B1272, PLANTA_BASE!A:W, 17, FALSE), "GENERAL"))</f>
        <v/>
      </c>
    </row>
    <row r="1273" spans="1:8" ht="20.100000000000001" customHeight="1" x14ac:dyDescent="0.25">
      <c r="A1273" s="5" t="str">
        <f>IF(B1273="","",IFERROR(VLOOKUP(B1273, PLANTA_BASE!A:W, 2, FALSE), "NO ENCONTRADO EN PLANTA"))</f>
        <v/>
      </c>
      <c r="B1273" s="6"/>
      <c r="C1273" s="7" t="str">
        <f>IF(B1273="","",IFERROR(VLOOKUP(B1273, PLANTA_BASE!A:W, 3, FALSE), ""))</f>
        <v/>
      </c>
      <c r="D1273" s="5" t="str">
        <f>IF(B1273="","",IFERROR(VLOOKUP(B1273, PLANTA_BASE!A:W, 5, FALSE), "NO ENCONTRADO EN PLANTA"))</f>
        <v/>
      </c>
      <c r="E1273" s="5" t="str">
        <f>IF(B1273="","",IFERROR(VLOOKUP(B1273, PLANTA_BASE!A:W, 6, FALSE), "NO ENCONTRADO EN PLANTA"))</f>
        <v/>
      </c>
      <c r="F1273" s="7" t="str">
        <f>IF(B1273="","",IFERROR(VLOOKUP(B1273, PLANTA_BASE!A:W, 8, FALSE), "DOCENTE / FACILITADOR"))</f>
        <v/>
      </c>
      <c r="G1273" s="7" t="str">
        <f>IF(B1273="","",IFERROR(VLOOKUP(B1273, PLANTA_BASE!A:W, 9, FALSE), "GENERAL"))</f>
        <v/>
      </c>
      <c r="H1273" s="5" t="str">
        <f>IF(B1273="","",IFERROR(VLOOKUP(B1273, PLANTA_BASE!A:W, 17, FALSE), "GENERAL"))</f>
        <v/>
      </c>
    </row>
    <row r="1274" spans="1:8" ht="20.100000000000001" customHeight="1" x14ac:dyDescent="0.25">
      <c r="A1274" s="2" t="str">
        <f>IF(B1274="","",IFERROR(VLOOKUP(B1274, PLANTA_BASE!A:W, 2, FALSE), "NO ENCONTRADO EN PLANTA"))</f>
        <v/>
      </c>
      <c r="B1274" s="3"/>
      <c r="C1274" s="4" t="str">
        <f>IF(B1274="","",IFERROR(VLOOKUP(B1274, PLANTA_BASE!A:W, 3, FALSE), ""))</f>
        <v/>
      </c>
      <c r="D1274" s="2" t="str">
        <f>IF(B1274="","",IFERROR(VLOOKUP(B1274, PLANTA_BASE!A:W, 5, FALSE), "NO ENCONTRADO EN PLANTA"))</f>
        <v/>
      </c>
      <c r="E1274" s="2" t="str">
        <f>IF(B1274="","",IFERROR(VLOOKUP(B1274, PLANTA_BASE!A:W, 6, FALSE), "NO ENCONTRADO EN PLANTA"))</f>
        <v/>
      </c>
      <c r="F1274" s="4" t="str">
        <f>IF(B1274="","",IFERROR(VLOOKUP(B1274, PLANTA_BASE!A:W, 8, FALSE), "DOCENTE / FACILITADOR"))</f>
        <v/>
      </c>
      <c r="G1274" s="4" t="str">
        <f>IF(B1274="","",IFERROR(VLOOKUP(B1274, PLANTA_BASE!A:W, 9, FALSE), "GENERAL"))</f>
        <v/>
      </c>
      <c r="H1274" s="2" t="str">
        <f>IF(B1274="","",IFERROR(VLOOKUP(B1274, PLANTA_BASE!A:W, 17, FALSE), "GENERAL"))</f>
        <v/>
      </c>
    </row>
    <row r="1275" spans="1:8" ht="20.100000000000001" customHeight="1" x14ac:dyDescent="0.25">
      <c r="A1275" s="5" t="str">
        <f>IF(B1275="","",IFERROR(VLOOKUP(B1275, PLANTA_BASE!A:W, 2, FALSE), "NO ENCONTRADO EN PLANTA"))</f>
        <v/>
      </c>
      <c r="B1275" s="6"/>
      <c r="C1275" s="7" t="str">
        <f>IF(B1275="","",IFERROR(VLOOKUP(B1275, PLANTA_BASE!A:W, 3, FALSE), ""))</f>
        <v/>
      </c>
      <c r="D1275" s="5" t="str">
        <f>IF(B1275="","",IFERROR(VLOOKUP(B1275, PLANTA_BASE!A:W, 5, FALSE), "NO ENCONTRADO EN PLANTA"))</f>
        <v/>
      </c>
      <c r="E1275" s="5" t="str">
        <f>IF(B1275="","",IFERROR(VLOOKUP(B1275, PLANTA_BASE!A:W, 6, FALSE), "NO ENCONTRADO EN PLANTA"))</f>
        <v/>
      </c>
      <c r="F1275" s="7" t="str">
        <f>IF(B1275="","",IFERROR(VLOOKUP(B1275, PLANTA_BASE!A:W, 8, FALSE), "DOCENTE / FACILITADOR"))</f>
        <v/>
      </c>
      <c r="G1275" s="7" t="str">
        <f>IF(B1275="","",IFERROR(VLOOKUP(B1275, PLANTA_BASE!A:W, 9, FALSE), "GENERAL"))</f>
        <v/>
      </c>
      <c r="H1275" s="5" t="str">
        <f>IF(B1275="","",IFERROR(VLOOKUP(B1275, PLANTA_BASE!A:W, 17, FALSE), "GENERAL"))</f>
        <v/>
      </c>
    </row>
    <row r="1276" spans="1:8" ht="20.100000000000001" customHeight="1" x14ac:dyDescent="0.25">
      <c r="A1276" s="2" t="str">
        <f>IF(B1276="","",IFERROR(VLOOKUP(B1276, PLANTA_BASE!A:W, 2, FALSE), "NO ENCONTRADO EN PLANTA"))</f>
        <v/>
      </c>
      <c r="B1276" s="3"/>
      <c r="C1276" s="4" t="str">
        <f>IF(B1276="","",IFERROR(VLOOKUP(B1276, PLANTA_BASE!A:W, 3, FALSE), ""))</f>
        <v/>
      </c>
      <c r="D1276" s="2" t="str">
        <f>IF(B1276="","",IFERROR(VLOOKUP(B1276, PLANTA_BASE!A:W, 5, FALSE), "NO ENCONTRADO EN PLANTA"))</f>
        <v/>
      </c>
      <c r="E1276" s="2" t="str">
        <f>IF(B1276="","",IFERROR(VLOOKUP(B1276, PLANTA_BASE!A:W, 6, FALSE), "NO ENCONTRADO EN PLANTA"))</f>
        <v/>
      </c>
      <c r="F1276" s="4" t="str">
        <f>IF(B1276="","",IFERROR(VLOOKUP(B1276, PLANTA_BASE!A:W, 8, FALSE), "DOCENTE / FACILITADOR"))</f>
        <v/>
      </c>
      <c r="G1276" s="4" t="str">
        <f>IF(B1276="","",IFERROR(VLOOKUP(B1276, PLANTA_BASE!A:W, 9, FALSE), "GENERAL"))</f>
        <v/>
      </c>
      <c r="H1276" s="2" t="str">
        <f>IF(B1276="","",IFERROR(VLOOKUP(B1276, PLANTA_BASE!A:W, 17, FALSE), "GENERAL"))</f>
        <v/>
      </c>
    </row>
    <row r="1277" spans="1:8" ht="20.100000000000001" customHeight="1" x14ac:dyDescent="0.25">
      <c r="A1277" s="5" t="str">
        <f>IF(B1277="","",IFERROR(VLOOKUP(B1277, PLANTA_BASE!A:W, 2, FALSE), "NO ENCONTRADO EN PLANTA"))</f>
        <v/>
      </c>
      <c r="B1277" s="6"/>
      <c r="C1277" s="7" t="str">
        <f>IF(B1277="","",IFERROR(VLOOKUP(B1277, PLANTA_BASE!A:W, 3, FALSE), ""))</f>
        <v/>
      </c>
      <c r="D1277" s="5" t="str">
        <f>IF(B1277="","",IFERROR(VLOOKUP(B1277, PLANTA_BASE!A:W, 5, FALSE), "NO ENCONTRADO EN PLANTA"))</f>
        <v/>
      </c>
      <c r="E1277" s="5" t="str">
        <f>IF(B1277="","",IFERROR(VLOOKUP(B1277, PLANTA_BASE!A:W, 6, FALSE), "NO ENCONTRADO EN PLANTA"))</f>
        <v/>
      </c>
      <c r="F1277" s="7" t="str">
        <f>IF(B1277="","",IFERROR(VLOOKUP(B1277, PLANTA_BASE!A:W, 8, FALSE), "DOCENTE / FACILITADOR"))</f>
        <v/>
      </c>
      <c r="G1277" s="7" t="str">
        <f>IF(B1277="","",IFERROR(VLOOKUP(B1277, PLANTA_BASE!A:W, 9, FALSE), "GENERAL"))</f>
        <v/>
      </c>
      <c r="H1277" s="5" t="str">
        <f>IF(B1277="","",IFERROR(VLOOKUP(B1277, PLANTA_BASE!A:W, 17, FALSE), "GENERAL"))</f>
        <v/>
      </c>
    </row>
    <row r="1278" spans="1:8" ht="20.100000000000001" customHeight="1" x14ac:dyDescent="0.25">
      <c r="A1278" s="2" t="str">
        <f>IF(B1278="","",IFERROR(VLOOKUP(B1278, PLANTA_BASE!A:W, 2, FALSE), "NO ENCONTRADO EN PLANTA"))</f>
        <v/>
      </c>
      <c r="B1278" s="3"/>
      <c r="C1278" s="4" t="str">
        <f>IF(B1278="","",IFERROR(VLOOKUP(B1278, PLANTA_BASE!A:W, 3, FALSE), ""))</f>
        <v/>
      </c>
      <c r="D1278" s="2" t="str">
        <f>IF(B1278="","",IFERROR(VLOOKUP(B1278, PLANTA_BASE!A:W, 5, FALSE), "NO ENCONTRADO EN PLANTA"))</f>
        <v/>
      </c>
      <c r="E1278" s="2" t="str">
        <f>IF(B1278="","",IFERROR(VLOOKUP(B1278, PLANTA_BASE!A:W, 6, FALSE), "NO ENCONTRADO EN PLANTA"))</f>
        <v/>
      </c>
      <c r="F1278" s="4" t="str">
        <f>IF(B1278="","",IFERROR(VLOOKUP(B1278, PLANTA_BASE!A:W, 8, FALSE), "DOCENTE / FACILITADOR"))</f>
        <v/>
      </c>
      <c r="G1278" s="4" t="str">
        <f>IF(B1278="","",IFERROR(VLOOKUP(B1278, PLANTA_BASE!A:W, 9, FALSE), "GENERAL"))</f>
        <v/>
      </c>
      <c r="H1278" s="2" t="str">
        <f>IF(B1278="","",IFERROR(VLOOKUP(B1278, PLANTA_BASE!A:W, 17, FALSE), "GENERAL"))</f>
        <v/>
      </c>
    </row>
    <row r="1279" spans="1:8" ht="20.100000000000001" customHeight="1" x14ac:dyDescent="0.25">
      <c r="A1279" s="5" t="str">
        <f>IF(B1279="","",IFERROR(VLOOKUP(B1279, PLANTA_BASE!A:W, 2, FALSE), "NO ENCONTRADO EN PLANTA"))</f>
        <v/>
      </c>
      <c r="B1279" s="6"/>
      <c r="C1279" s="7" t="str">
        <f>IF(B1279="","",IFERROR(VLOOKUP(B1279, PLANTA_BASE!A:W, 3, FALSE), ""))</f>
        <v/>
      </c>
      <c r="D1279" s="5" t="str">
        <f>IF(B1279="","",IFERROR(VLOOKUP(B1279, PLANTA_BASE!A:W, 5, FALSE), "NO ENCONTRADO EN PLANTA"))</f>
        <v/>
      </c>
      <c r="E1279" s="5" t="str">
        <f>IF(B1279="","",IFERROR(VLOOKUP(B1279, PLANTA_BASE!A:W, 6, FALSE), "NO ENCONTRADO EN PLANTA"))</f>
        <v/>
      </c>
      <c r="F1279" s="7" t="str">
        <f>IF(B1279="","",IFERROR(VLOOKUP(B1279, PLANTA_BASE!A:W, 8, FALSE), "DOCENTE / FACILITADOR"))</f>
        <v/>
      </c>
      <c r="G1279" s="7" t="str">
        <f>IF(B1279="","",IFERROR(VLOOKUP(B1279, PLANTA_BASE!A:W, 9, FALSE), "GENERAL"))</f>
        <v/>
      </c>
      <c r="H1279" s="5" t="str">
        <f>IF(B1279="","",IFERROR(VLOOKUP(B1279, PLANTA_BASE!A:W, 17, FALSE), "GENERAL"))</f>
        <v/>
      </c>
    </row>
    <row r="1280" spans="1:8" ht="20.100000000000001" customHeight="1" x14ac:dyDescent="0.25">
      <c r="A1280" s="2" t="str">
        <f>IF(B1280="","",IFERROR(VLOOKUP(B1280, PLANTA_BASE!A:W, 2, FALSE), "NO ENCONTRADO EN PLANTA"))</f>
        <v/>
      </c>
      <c r="B1280" s="3"/>
      <c r="C1280" s="4" t="str">
        <f>IF(B1280="","",IFERROR(VLOOKUP(B1280, PLANTA_BASE!A:W, 3, FALSE), ""))</f>
        <v/>
      </c>
      <c r="D1280" s="2" t="str">
        <f>IF(B1280="","",IFERROR(VLOOKUP(B1280, PLANTA_BASE!A:W, 5, FALSE), "NO ENCONTRADO EN PLANTA"))</f>
        <v/>
      </c>
      <c r="E1280" s="2" t="str">
        <f>IF(B1280="","",IFERROR(VLOOKUP(B1280, PLANTA_BASE!A:W, 6, FALSE), "NO ENCONTRADO EN PLANTA"))</f>
        <v/>
      </c>
      <c r="F1280" s="4" t="str">
        <f>IF(B1280="","",IFERROR(VLOOKUP(B1280, PLANTA_BASE!A:W, 8, FALSE), "DOCENTE / FACILITADOR"))</f>
        <v/>
      </c>
      <c r="G1280" s="4" t="str">
        <f>IF(B1280="","",IFERROR(VLOOKUP(B1280, PLANTA_BASE!A:W, 9, FALSE), "GENERAL"))</f>
        <v/>
      </c>
      <c r="H1280" s="2" t="str">
        <f>IF(B1280="","",IFERROR(VLOOKUP(B1280, PLANTA_BASE!A:W, 17, FALSE), "GENERAL"))</f>
        <v/>
      </c>
    </row>
    <row r="1281" spans="1:8" ht="20.100000000000001" customHeight="1" x14ac:dyDescent="0.25">
      <c r="A1281" s="5" t="str">
        <f>IF(B1281="","",IFERROR(VLOOKUP(B1281, PLANTA_BASE!A:W, 2, FALSE), "NO ENCONTRADO EN PLANTA"))</f>
        <v/>
      </c>
      <c r="B1281" s="6"/>
      <c r="C1281" s="7" t="str">
        <f>IF(B1281="","",IFERROR(VLOOKUP(B1281, PLANTA_BASE!A:W, 3, FALSE), ""))</f>
        <v/>
      </c>
      <c r="D1281" s="5" t="str">
        <f>IF(B1281="","",IFERROR(VLOOKUP(B1281, PLANTA_BASE!A:W, 5, FALSE), "NO ENCONTRADO EN PLANTA"))</f>
        <v/>
      </c>
      <c r="E1281" s="5" t="str">
        <f>IF(B1281="","",IFERROR(VLOOKUP(B1281, PLANTA_BASE!A:W, 6, FALSE), "NO ENCONTRADO EN PLANTA"))</f>
        <v/>
      </c>
      <c r="F1281" s="7" t="str">
        <f>IF(B1281="","",IFERROR(VLOOKUP(B1281, PLANTA_BASE!A:W, 8, FALSE), "DOCENTE / FACILITADOR"))</f>
        <v/>
      </c>
      <c r="G1281" s="7" t="str">
        <f>IF(B1281="","",IFERROR(VLOOKUP(B1281, PLANTA_BASE!A:W, 9, FALSE), "GENERAL"))</f>
        <v/>
      </c>
      <c r="H1281" s="5" t="str">
        <f>IF(B1281="","",IFERROR(VLOOKUP(B1281, PLANTA_BASE!A:W, 17, FALSE), "GENERAL"))</f>
        <v/>
      </c>
    </row>
    <row r="1282" spans="1:8" ht="20.100000000000001" customHeight="1" x14ac:dyDescent="0.25">
      <c r="A1282" s="2" t="str">
        <f>IF(B1282="","",IFERROR(VLOOKUP(B1282, PLANTA_BASE!A:W, 2, FALSE), "NO ENCONTRADO EN PLANTA"))</f>
        <v/>
      </c>
      <c r="B1282" s="3"/>
      <c r="C1282" s="4" t="str">
        <f>IF(B1282="","",IFERROR(VLOOKUP(B1282, PLANTA_BASE!A:W, 3, FALSE), ""))</f>
        <v/>
      </c>
      <c r="D1282" s="2" t="str">
        <f>IF(B1282="","",IFERROR(VLOOKUP(B1282, PLANTA_BASE!A:W, 5, FALSE), "NO ENCONTRADO EN PLANTA"))</f>
        <v/>
      </c>
      <c r="E1282" s="2" t="str">
        <f>IF(B1282="","",IFERROR(VLOOKUP(B1282, PLANTA_BASE!A:W, 6, FALSE), "NO ENCONTRADO EN PLANTA"))</f>
        <v/>
      </c>
      <c r="F1282" s="4" t="str">
        <f>IF(B1282="","",IFERROR(VLOOKUP(B1282, PLANTA_BASE!A:W, 8, FALSE), "DOCENTE / FACILITADOR"))</f>
        <v/>
      </c>
      <c r="G1282" s="4" t="str">
        <f>IF(B1282="","",IFERROR(VLOOKUP(B1282, PLANTA_BASE!A:W, 9, FALSE), "GENERAL"))</f>
        <v/>
      </c>
      <c r="H1282" s="2" t="str">
        <f>IF(B1282="","",IFERROR(VLOOKUP(B1282, PLANTA_BASE!A:W, 17, FALSE), "GENERAL"))</f>
        <v/>
      </c>
    </row>
    <row r="1283" spans="1:8" ht="20.100000000000001" customHeight="1" x14ac:dyDescent="0.25">
      <c r="A1283" s="5" t="str">
        <f>IF(B1283="","",IFERROR(VLOOKUP(B1283, PLANTA_BASE!A:W, 2, FALSE), "NO ENCONTRADO EN PLANTA"))</f>
        <v/>
      </c>
      <c r="B1283" s="6"/>
      <c r="C1283" s="7" t="str">
        <f>IF(B1283="","",IFERROR(VLOOKUP(B1283, PLANTA_BASE!A:W, 3, FALSE), ""))</f>
        <v/>
      </c>
      <c r="D1283" s="5" t="str">
        <f>IF(B1283="","",IFERROR(VLOOKUP(B1283, PLANTA_BASE!A:W, 5, FALSE), "NO ENCONTRADO EN PLANTA"))</f>
        <v/>
      </c>
      <c r="E1283" s="5" t="str">
        <f>IF(B1283="","",IFERROR(VLOOKUP(B1283, PLANTA_BASE!A:W, 6, FALSE), "NO ENCONTRADO EN PLANTA"))</f>
        <v/>
      </c>
      <c r="F1283" s="7" t="str">
        <f>IF(B1283="","",IFERROR(VLOOKUP(B1283, PLANTA_BASE!A:W, 8, FALSE), "DOCENTE / FACILITADOR"))</f>
        <v/>
      </c>
      <c r="G1283" s="7" t="str">
        <f>IF(B1283="","",IFERROR(VLOOKUP(B1283, PLANTA_BASE!A:W, 9, FALSE), "GENERAL"))</f>
        <v/>
      </c>
      <c r="H1283" s="5" t="str">
        <f>IF(B1283="","",IFERROR(VLOOKUP(B1283, PLANTA_BASE!A:W, 17, FALSE), "GENERAL"))</f>
        <v/>
      </c>
    </row>
    <row r="1284" spans="1:8" ht="20.100000000000001" customHeight="1" x14ac:dyDescent="0.25">
      <c r="A1284" s="2" t="str">
        <f>IF(B1284="","",IFERROR(VLOOKUP(B1284, PLANTA_BASE!A:W, 2, FALSE), "NO ENCONTRADO EN PLANTA"))</f>
        <v/>
      </c>
      <c r="B1284" s="3"/>
      <c r="C1284" s="4" t="str">
        <f>IF(B1284="","",IFERROR(VLOOKUP(B1284, PLANTA_BASE!A:W, 3, FALSE), ""))</f>
        <v/>
      </c>
      <c r="D1284" s="2" t="str">
        <f>IF(B1284="","",IFERROR(VLOOKUP(B1284, PLANTA_BASE!A:W, 5, FALSE), "NO ENCONTRADO EN PLANTA"))</f>
        <v/>
      </c>
      <c r="E1284" s="2" t="str">
        <f>IF(B1284="","",IFERROR(VLOOKUP(B1284, PLANTA_BASE!A:W, 6, FALSE), "NO ENCONTRADO EN PLANTA"))</f>
        <v/>
      </c>
      <c r="F1284" s="4" t="str">
        <f>IF(B1284="","",IFERROR(VLOOKUP(B1284, PLANTA_BASE!A:W, 8, FALSE), "DOCENTE / FACILITADOR"))</f>
        <v/>
      </c>
      <c r="G1284" s="4" t="str">
        <f>IF(B1284="","",IFERROR(VLOOKUP(B1284, PLANTA_BASE!A:W, 9, FALSE), "GENERAL"))</f>
        <v/>
      </c>
      <c r="H1284" s="2" t="str">
        <f>IF(B1284="","",IFERROR(VLOOKUP(B1284, PLANTA_BASE!A:W, 17, FALSE), "GENERAL"))</f>
        <v/>
      </c>
    </row>
    <row r="1285" spans="1:8" ht="20.100000000000001" customHeight="1" x14ac:dyDescent="0.25">
      <c r="A1285" s="5" t="str">
        <f>IF(B1285="","",IFERROR(VLOOKUP(B1285, PLANTA_BASE!A:W, 2, FALSE), "NO ENCONTRADO EN PLANTA"))</f>
        <v/>
      </c>
      <c r="B1285" s="6"/>
      <c r="C1285" s="7" t="str">
        <f>IF(B1285="","",IFERROR(VLOOKUP(B1285, PLANTA_BASE!A:W, 3, FALSE), ""))</f>
        <v/>
      </c>
      <c r="D1285" s="5" t="str">
        <f>IF(B1285="","",IFERROR(VLOOKUP(B1285, PLANTA_BASE!A:W, 5, FALSE), "NO ENCONTRADO EN PLANTA"))</f>
        <v/>
      </c>
      <c r="E1285" s="5" t="str">
        <f>IF(B1285="","",IFERROR(VLOOKUP(B1285, PLANTA_BASE!A:W, 6, FALSE), "NO ENCONTRADO EN PLANTA"))</f>
        <v/>
      </c>
      <c r="F1285" s="7" t="str">
        <f>IF(B1285="","",IFERROR(VLOOKUP(B1285, PLANTA_BASE!A:W, 8, FALSE), "DOCENTE / FACILITADOR"))</f>
        <v/>
      </c>
      <c r="G1285" s="7" t="str">
        <f>IF(B1285="","",IFERROR(VLOOKUP(B1285, PLANTA_BASE!A:W, 9, FALSE), "GENERAL"))</f>
        <v/>
      </c>
      <c r="H1285" s="5" t="str">
        <f>IF(B1285="","",IFERROR(VLOOKUP(B1285, PLANTA_BASE!A:W, 17, FALSE), "GENERAL"))</f>
        <v/>
      </c>
    </row>
    <row r="1286" spans="1:8" ht="20.100000000000001" customHeight="1" x14ac:dyDescent="0.25">
      <c r="A1286" s="2" t="str">
        <f>IF(B1286="","",IFERROR(VLOOKUP(B1286, PLANTA_BASE!A:W, 2, FALSE), "NO ENCONTRADO EN PLANTA"))</f>
        <v/>
      </c>
      <c r="B1286" s="3"/>
      <c r="C1286" s="4" t="str">
        <f>IF(B1286="","",IFERROR(VLOOKUP(B1286, PLANTA_BASE!A:W, 3, FALSE), ""))</f>
        <v/>
      </c>
      <c r="D1286" s="2" t="str">
        <f>IF(B1286="","",IFERROR(VLOOKUP(B1286, PLANTA_BASE!A:W, 5, FALSE), "NO ENCONTRADO EN PLANTA"))</f>
        <v/>
      </c>
      <c r="E1286" s="2" t="str">
        <f>IF(B1286="","",IFERROR(VLOOKUP(B1286, PLANTA_BASE!A:W, 6, FALSE), "NO ENCONTRADO EN PLANTA"))</f>
        <v/>
      </c>
      <c r="F1286" s="4" t="str">
        <f>IF(B1286="","",IFERROR(VLOOKUP(B1286, PLANTA_BASE!A:W, 8, FALSE), "DOCENTE / FACILITADOR"))</f>
        <v/>
      </c>
      <c r="G1286" s="4" t="str">
        <f>IF(B1286="","",IFERROR(VLOOKUP(B1286, PLANTA_BASE!A:W, 9, FALSE), "GENERAL"))</f>
        <v/>
      </c>
      <c r="H1286" s="2" t="str">
        <f>IF(B1286="","",IFERROR(VLOOKUP(B1286, PLANTA_BASE!A:W, 17, FALSE), "GENERAL"))</f>
        <v/>
      </c>
    </row>
    <row r="1287" spans="1:8" ht="20.100000000000001" customHeight="1" x14ac:dyDescent="0.25">
      <c r="A1287" s="5" t="str">
        <f>IF(B1287="","",IFERROR(VLOOKUP(B1287, PLANTA_BASE!A:W, 2, FALSE), "NO ENCONTRADO EN PLANTA"))</f>
        <v/>
      </c>
      <c r="B1287" s="6"/>
      <c r="C1287" s="7" t="str">
        <f>IF(B1287="","",IFERROR(VLOOKUP(B1287, PLANTA_BASE!A:W, 3, FALSE), ""))</f>
        <v/>
      </c>
      <c r="D1287" s="5" t="str">
        <f>IF(B1287="","",IFERROR(VLOOKUP(B1287, PLANTA_BASE!A:W, 5, FALSE), "NO ENCONTRADO EN PLANTA"))</f>
        <v/>
      </c>
      <c r="E1287" s="5" t="str">
        <f>IF(B1287="","",IFERROR(VLOOKUP(B1287, PLANTA_BASE!A:W, 6, FALSE), "NO ENCONTRADO EN PLANTA"))</f>
        <v/>
      </c>
      <c r="F1287" s="7" t="str">
        <f>IF(B1287="","",IFERROR(VLOOKUP(B1287, PLANTA_BASE!A:W, 8, FALSE), "DOCENTE / FACILITADOR"))</f>
        <v/>
      </c>
      <c r="G1287" s="7" t="str">
        <f>IF(B1287="","",IFERROR(VLOOKUP(B1287, PLANTA_BASE!A:W, 9, FALSE), "GENERAL"))</f>
        <v/>
      </c>
      <c r="H1287" s="5" t="str">
        <f>IF(B1287="","",IFERROR(VLOOKUP(B1287, PLANTA_BASE!A:W, 17, FALSE), "GENERAL"))</f>
        <v/>
      </c>
    </row>
    <row r="1288" spans="1:8" ht="20.100000000000001" customHeight="1" x14ac:dyDescent="0.25">
      <c r="A1288" s="2" t="str">
        <f>IF(B1288="","",IFERROR(VLOOKUP(B1288, PLANTA_BASE!A:W, 2, FALSE), "NO ENCONTRADO EN PLANTA"))</f>
        <v/>
      </c>
      <c r="B1288" s="3"/>
      <c r="C1288" s="4" t="str">
        <f>IF(B1288="","",IFERROR(VLOOKUP(B1288, PLANTA_BASE!A:W, 3, FALSE), ""))</f>
        <v/>
      </c>
      <c r="D1288" s="2" t="str">
        <f>IF(B1288="","",IFERROR(VLOOKUP(B1288, PLANTA_BASE!A:W, 5, FALSE), "NO ENCONTRADO EN PLANTA"))</f>
        <v/>
      </c>
      <c r="E1288" s="2" t="str">
        <f>IF(B1288="","",IFERROR(VLOOKUP(B1288, PLANTA_BASE!A:W, 6, FALSE), "NO ENCONTRADO EN PLANTA"))</f>
        <v/>
      </c>
      <c r="F1288" s="4" t="str">
        <f>IF(B1288="","",IFERROR(VLOOKUP(B1288, PLANTA_BASE!A:W, 8, FALSE), "DOCENTE / FACILITADOR"))</f>
        <v/>
      </c>
      <c r="G1288" s="4" t="str">
        <f>IF(B1288="","",IFERROR(VLOOKUP(B1288, PLANTA_BASE!A:W, 9, FALSE), "GENERAL"))</f>
        <v/>
      </c>
      <c r="H1288" s="2" t="str">
        <f>IF(B1288="","",IFERROR(VLOOKUP(B1288, PLANTA_BASE!A:W, 17, FALSE), "GENERAL"))</f>
        <v/>
      </c>
    </row>
    <row r="1289" spans="1:8" ht="20.100000000000001" customHeight="1" x14ac:dyDescent="0.25">
      <c r="A1289" s="5" t="str">
        <f>IF(B1289="","",IFERROR(VLOOKUP(B1289, PLANTA_BASE!A:W, 2, FALSE), "NO ENCONTRADO EN PLANTA"))</f>
        <v/>
      </c>
      <c r="B1289" s="6"/>
      <c r="C1289" s="7" t="str">
        <f>IF(B1289="","",IFERROR(VLOOKUP(B1289, PLANTA_BASE!A:W, 3, FALSE), ""))</f>
        <v/>
      </c>
      <c r="D1289" s="5" t="str">
        <f>IF(B1289="","",IFERROR(VLOOKUP(B1289, PLANTA_BASE!A:W, 5, FALSE), "NO ENCONTRADO EN PLANTA"))</f>
        <v/>
      </c>
      <c r="E1289" s="5" t="str">
        <f>IF(B1289="","",IFERROR(VLOOKUP(B1289, PLANTA_BASE!A:W, 6, FALSE), "NO ENCONTRADO EN PLANTA"))</f>
        <v/>
      </c>
      <c r="F1289" s="7" t="str">
        <f>IF(B1289="","",IFERROR(VLOOKUP(B1289, PLANTA_BASE!A:W, 8, FALSE), "DOCENTE / FACILITADOR"))</f>
        <v/>
      </c>
      <c r="G1289" s="7" t="str">
        <f>IF(B1289="","",IFERROR(VLOOKUP(B1289, PLANTA_BASE!A:W, 9, FALSE), "GENERAL"))</f>
        <v/>
      </c>
      <c r="H1289" s="5" t="str">
        <f>IF(B1289="","",IFERROR(VLOOKUP(B1289, PLANTA_BASE!A:W, 17, FALSE), "GENERAL"))</f>
        <v/>
      </c>
    </row>
    <row r="1290" spans="1:8" ht="20.100000000000001" customHeight="1" x14ac:dyDescent="0.25">
      <c r="A1290" s="2" t="str">
        <f>IF(B1290="","",IFERROR(VLOOKUP(B1290, PLANTA_BASE!A:W, 2, FALSE), "NO ENCONTRADO EN PLANTA"))</f>
        <v/>
      </c>
      <c r="B1290" s="3"/>
      <c r="C1290" s="4" t="str">
        <f>IF(B1290="","",IFERROR(VLOOKUP(B1290, PLANTA_BASE!A:W, 3, FALSE), ""))</f>
        <v/>
      </c>
      <c r="D1290" s="2" t="str">
        <f>IF(B1290="","",IFERROR(VLOOKUP(B1290, PLANTA_BASE!A:W, 5, FALSE), "NO ENCONTRADO EN PLANTA"))</f>
        <v/>
      </c>
      <c r="E1290" s="2" t="str">
        <f>IF(B1290="","",IFERROR(VLOOKUP(B1290, PLANTA_BASE!A:W, 6, FALSE), "NO ENCONTRADO EN PLANTA"))</f>
        <v/>
      </c>
      <c r="F1290" s="4" t="str">
        <f>IF(B1290="","",IFERROR(VLOOKUP(B1290, PLANTA_BASE!A:W, 8, FALSE), "DOCENTE / FACILITADOR"))</f>
        <v/>
      </c>
      <c r="G1290" s="4" t="str">
        <f>IF(B1290="","",IFERROR(VLOOKUP(B1290, PLANTA_BASE!A:W, 9, FALSE), "GENERAL"))</f>
        <v/>
      </c>
      <c r="H1290" s="2" t="str">
        <f>IF(B1290="","",IFERROR(VLOOKUP(B1290, PLANTA_BASE!A:W, 17, FALSE), "GENERAL"))</f>
        <v/>
      </c>
    </row>
    <row r="1291" spans="1:8" ht="20.100000000000001" customHeight="1" x14ac:dyDescent="0.25">
      <c r="A1291" s="5" t="str">
        <f>IF(B1291="","",IFERROR(VLOOKUP(B1291, PLANTA_BASE!A:W, 2, FALSE), "NO ENCONTRADO EN PLANTA"))</f>
        <v/>
      </c>
      <c r="B1291" s="6"/>
      <c r="C1291" s="7" t="str">
        <f>IF(B1291="","",IFERROR(VLOOKUP(B1291, PLANTA_BASE!A:W, 3, FALSE), ""))</f>
        <v/>
      </c>
      <c r="D1291" s="5" t="str">
        <f>IF(B1291="","",IFERROR(VLOOKUP(B1291, PLANTA_BASE!A:W, 5, FALSE), "NO ENCONTRADO EN PLANTA"))</f>
        <v/>
      </c>
      <c r="E1291" s="5" t="str">
        <f>IF(B1291="","",IFERROR(VLOOKUP(B1291, PLANTA_BASE!A:W, 6, FALSE), "NO ENCONTRADO EN PLANTA"))</f>
        <v/>
      </c>
      <c r="F1291" s="7" t="str">
        <f>IF(B1291="","",IFERROR(VLOOKUP(B1291, PLANTA_BASE!A:W, 8, FALSE), "DOCENTE / FACILITADOR"))</f>
        <v/>
      </c>
      <c r="G1291" s="7" t="str">
        <f>IF(B1291="","",IFERROR(VLOOKUP(B1291, PLANTA_BASE!A:W, 9, FALSE), "GENERAL"))</f>
        <v/>
      </c>
      <c r="H1291" s="5" t="str">
        <f>IF(B1291="","",IFERROR(VLOOKUP(B1291, PLANTA_BASE!A:W, 17, FALSE), "GENERAL"))</f>
        <v/>
      </c>
    </row>
    <row r="1292" spans="1:8" ht="20.100000000000001" customHeight="1" x14ac:dyDescent="0.25">
      <c r="A1292" s="2" t="str">
        <f>IF(B1292="","",IFERROR(VLOOKUP(B1292, PLANTA_BASE!A:W, 2, FALSE), "NO ENCONTRADO EN PLANTA"))</f>
        <v/>
      </c>
      <c r="B1292" s="3"/>
      <c r="C1292" s="4" t="str">
        <f>IF(B1292="","",IFERROR(VLOOKUP(B1292, PLANTA_BASE!A:W, 3, FALSE), ""))</f>
        <v/>
      </c>
      <c r="D1292" s="2" t="str">
        <f>IF(B1292="","",IFERROR(VLOOKUP(B1292, PLANTA_BASE!A:W, 5, FALSE), "NO ENCONTRADO EN PLANTA"))</f>
        <v/>
      </c>
      <c r="E1292" s="2" t="str">
        <f>IF(B1292="","",IFERROR(VLOOKUP(B1292, PLANTA_BASE!A:W, 6, FALSE), "NO ENCONTRADO EN PLANTA"))</f>
        <v/>
      </c>
      <c r="F1292" s="4" t="str">
        <f>IF(B1292="","",IFERROR(VLOOKUP(B1292, PLANTA_BASE!A:W, 8, FALSE), "DOCENTE / FACILITADOR"))</f>
        <v/>
      </c>
      <c r="G1292" s="4" t="str">
        <f>IF(B1292="","",IFERROR(VLOOKUP(B1292, PLANTA_BASE!A:W, 9, FALSE), "GENERAL"))</f>
        <v/>
      </c>
      <c r="H1292" s="2" t="str">
        <f>IF(B1292="","",IFERROR(VLOOKUP(B1292, PLANTA_BASE!A:W, 17, FALSE), "GENERAL"))</f>
        <v/>
      </c>
    </row>
    <row r="1293" spans="1:8" ht="20.100000000000001" customHeight="1" x14ac:dyDescent="0.25">
      <c r="A1293" s="5" t="str">
        <f>IF(B1293="","",IFERROR(VLOOKUP(B1293, PLANTA_BASE!A:W, 2, FALSE), "NO ENCONTRADO EN PLANTA"))</f>
        <v/>
      </c>
      <c r="B1293" s="6"/>
      <c r="C1293" s="7" t="str">
        <f>IF(B1293="","",IFERROR(VLOOKUP(B1293, PLANTA_BASE!A:W, 3, FALSE), ""))</f>
        <v/>
      </c>
      <c r="D1293" s="5" t="str">
        <f>IF(B1293="","",IFERROR(VLOOKUP(B1293, PLANTA_BASE!A:W, 5, FALSE), "NO ENCONTRADO EN PLANTA"))</f>
        <v/>
      </c>
      <c r="E1293" s="5" t="str">
        <f>IF(B1293="","",IFERROR(VLOOKUP(B1293, PLANTA_BASE!A:W, 6, FALSE), "NO ENCONTRADO EN PLANTA"))</f>
        <v/>
      </c>
      <c r="F1293" s="7" t="str">
        <f>IF(B1293="","",IFERROR(VLOOKUP(B1293, PLANTA_BASE!A:W, 8, FALSE), "DOCENTE / FACILITADOR"))</f>
        <v/>
      </c>
      <c r="G1293" s="7" t="str">
        <f>IF(B1293="","",IFERROR(VLOOKUP(B1293, PLANTA_BASE!A:W, 9, FALSE), "GENERAL"))</f>
        <v/>
      </c>
      <c r="H1293" s="5" t="str">
        <f>IF(B1293="","",IFERROR(VLOOKUP(B1293, PLANTA_BASE!A:W, 17, FALSE), "GENERAL"))</f>
        <v/>
      </c>
    </row>
    <row r="1294" spans="1:8" ht="20.100000000000001" customHeight="1" x14ac:dyDescent="0.25">
      <c r="A1294" s="2" t="str">
        <f>IF(B1294="","",IFERROR(VLOOKUP(B1294, PLANTA_BASE!A:W, 2, FALSE), "NO ENCONTRADO EN PLANTA"))</f>
        <v/>
      </c>
      <c r="B1294" s="3"/>
      <c r="C1294" s="4" t="str">
        <f>IF(B1294="","",IFERROR(VLOOKUP(B1294, PLANTA_BASE!A:W, 3, FALSE), ""))</f>
        <v/>
      </c>
      <c r="D1294" s="2" t="str">
        <f>IF(B1294="","",IFERROR(VLOOKUP(B1294, PLANTA_BASE!A:W, 5, FALSE), "NO ENCONTRADO EN PLANTA"))</f>
        <v/>
      </c>
      <c r="E1294" s="2" t="str">
        <f>IF(B1294="","",IFERROR(VLOOKUP(B1294, PLANTA_BASE!A:W, 6, FALSE), "NO ENCONTRADO EN PLANTA"))</f>
        <v/>
      </c>
      <c r="F1294" s="4" t="str">
        <f>IF(B1294="","",IFERROR(VLOOKUP(B1294, PLANTA_BASE!A:W, 8, FALSE), "DOCENTE / FACILITADOR"))</f>
        <v/>
      </c>
      <c r="G1294" s="4" t="str">
        <f>IF(B1294="","",IFERROR(VLOOKUP(B1294, PLANTA_BASE!A:W, 9, FALSE), "GENERAL"))</f>
        <v/>
      </c>
      <c r="H1294" s="2" t="str">
        <f>IF(B1294="","",IFERROR(VLOOKUP(B1294, PLANTA_BASE!A:W, 17, FALSE), "GENERAL"))</f>
        <v/>
      </c>
    </row>
    <row r="1295" spans="1:8" ht="20.100000000000001" customHeight="1" x14ac:dyDescent="0.25">
      <c r="A1295" s="5" t="str">
        <f>IF(B1295="","",IFERROR(VLOOKUP(B1295, PLANTA_BASE!A:W, 2, FALSE), "NO ENCONTRADO EN PLANTA"))</f>
        <v/>
      </c>
      <c r="B1295" s="6"/>
      <c r="C1295" s="7" t="str">
        <f>IF(B1295="","",IFERROR(VLOOKUP(B1295, PLANTA_BASE!A:W, 3, FALSE), ""))</f>
        <v/>
      </c>
      <c r="D1295" s="5" t="str">
        <f>IF(B1295="","",IFERROR(VLOOKUP(B1295, PLANTA_BASE!A:W, 5, FALSE), "NO ENCONTRADO EN PLANTA"))</f>
        <v/>
      </c>
      <c r="E1295" s="5" t="str">
        <f>IF(B1295="","",IFERROR(VLOOKUP(B1295, PLANTA_BASE!A:W, 6, FALSE), "NO ENCONTRADO EN PLANTA"))</f>
        <v/>
      </c>
      <c r="F1295" s="7" t="str">
        <f>IF(B1295="","",IFERROR(VLOOKUP(B1295, PLANTA_BASE!A:W, 8, FALSE), "DOCENTE / FACILITADOR"))</f>
        <v/>
      </c>
      <c r="G1295" s="7" t="str">
        <f>IF(B1295="","",IFERROR(VLOOKUP(B1295, PLANTA_BASE!A:W, 9, FALSE), "GENERAL"))</f>
        <v/>
      </c>
      <c r="H1295" s="5" t="str">
        <f>IF(B1295="","",IFERROR(VLOOKUP(B1295, PLANTA_BASE!A:W, 17, FALSE), "GENERAL"))</f>
        <v/>
      </c>
    </row>
    <row r="1296" spans="1:8" ht="20.100000000000001" customHeight="1" x14ac:dyDescent="0.25">
      <c r="A1296" s="2" t="str">
        <f>IF(B1296="","",IFERROR(VLOOKUP(B1296, PLANTA_BASE!A:W, 2, FALSE), "NO ENCONTRADO EN PLANTA"))</f>
        <v/>
      </c>
      <c r="B1296" s="3"/>
      <c r="C1296" s="4" t="str">
        <f>IF(B1296="","",IFERROR(VLOOKUP(B1296, PLANTA_BASE!A:W, 3, FALSE), ""))</f>
        <v/>
      </c>
      <c r="D1296" s="2" t="str">
        <f>IF(B1296="","",IFERROR(VLOOKUP(B1296, PLANTA_BASE!A:W, 5, FALSE), "NO ENCONTRADO EN PLANTA"))</f>
        <v/>
      </c>
      <c r="E1296" s="2" t="str">
        <f>IF(B1296="","",IFERROR(VLOOKUP(B1296, PLANTA_BASE!A:W, 6, FALSE), "NO ENCONTRADO EN PLANTA"))</f>
        <v/>
      </c>
      <c r="F1296" s="4" t="str">
        <f>IF(B1296="","",IFERROR(VLOOKUP(B1296, PLANTA_BASE!A:W, 8, FALSE), "DOCENTE / FACILITADOR"))</f>
        <v/>
      </c>
      <c r="G1296" s="4" t="str">
        <f>IF(B1296="","",IFERROR(VLOOKUP(B1296, PLANTA_BASE!A:W, 9, FALSE), "GENERAL"))</f>
        <v/>
      </c>
      <c r="H1296" s="2" t="str">
        <f>IF(B1296="","",IFERROR(VLOOKUP(B1296, PLANTA_BASE!A:W, 17, FALSE), "GENERAL"))</f>
        <v/>
      </c>
    </row>
    <row r="1297" spans="1:8" ht="20.100000000000001" customHeight="1" x14ac:dyDescent="0.25">
      <c r="A1297" s="5" t="str">
        <f>IF(B1297="","",IFERROR(VLOOKUP(B1297, PLANTA_BASE!A:W, 2, FALSE), "NO ENCONTRADO EN PLANTA"))</f>
        <v/>
      </c>
      <c r="B1297" s="6"/>
      <c r="C1297" s="7" t="str">
        <f>IF(B1297="","",IFERROR(VLOOKUP(B1297, PLANTA_BASE!A:W, 3, FALSE), ""))</f>
        <v/>
      </c>
      <c r="D1297" s="5" t="str">
        <f>IF(B1297="","",IFERROR(VLOOKUP(B1297, PLANTA_BASE!A:W, 5, FALSE), "NO ENCONTRADO EN PLANTA"))</f>
        <v/>
      </c>
      <c r="E1297" s="5" t="str">
        <f>IF(B1297="","",IFERROR(VLOOKUP(B1297, PLANTA_BASE!A:W, 6, FALSE), "NO ENCONTRADO EN PLANTA"))</f>
        <v/>
      </c>
      <c r="F1297" s="7" t="str">
        <f>IF(B1297="","",IFERROR(VLOOKUP(B1297, PLANTA_BASE!A:W, 8, FALSE), "DOCENTE / FACILITADOR"))</f>
        <v/>
      </c>
      <c r="G1297" s="7" t="str">
        <f>IF(B1297="","",IFERROR(VLOOKUP(B1297, PLANTA_BASE!A:W, 9, FALSE), "GENERAL"))</f>
        <v/>
      </c>
      <c r="H1297" s="5" t="str">
        <f>IF(B1297="","",IFERROR(VLOOKUP(B1297, PLANTA_BASE!A:W, 17, FALSE), "GENERAL"))</f>
        <v/>
      </c>
    </row>
    <row r="1298" spans="1:8" ht="20.100000000000001" customHeight="1" x14ac:dyDescent="0.25">
      <c r="A1298" s="2" t="str">
        <f>IF(B1298="","",IFERROR(VLOOKUP(B1298, PLANTA_BASE!A:W, 2, FALSE), "NO ENCONTRADO EN PLANTA"))</f>
        <v/>
      </c>
      <c r="B1298" s="3"/>
      <c r="C1298" s="4" t="str">
        <f>IF(B1298="","",IFERROR(VLOOKUP(B1298, PLANTA_BASE!A:W, 3, FALSE), ""))</f>
        <v/>
      </c>
      <c r="D1298" s="2" t="str">
        <f>IF(B1298="","",IFERROR(VLOOKUP(B1298, PLANTA_BASE!A:W, 5, FALSE), "NO ENCONTRADO EN PLANTA"))</f>
        <v/>
      </c>
      <c r="E1298" s="2" t="str">
        <f>IF(B1298="","",IFERROR(VLOOKUP(B1298, PLANTA_BASE!A:W, 6, FALSE), "NO ENCONTRADO EN PLANTA"))</f>
        <v/>
      </c>
      <c r="F1298" s="4" t="str">
        <f>IF(B1298="","",IFERROR(VLOOKUP(B1298, PLANTA_BASE!A:W, 8, FALSE), "DOCENTE / FACILITADOR"))</f>
        <v/>
      </c>
      <c r="G1298" s="4" t="str">
        <f>IF(B1298="","",IFERROR(VLOOKUP(B1298, PLANTA_BASE!A:W, 9, FALSE), "GENERAL"))</f>
        <v/>
      </c>
      <c r="H1298" s="2" t="str">
        <f>IF(B1298="","",IFERROR(VLOOKUP(B1298, PLANTA_BASE!A:W, 17, FALSE), "GENERAL"))</f>
        <v/>
      </c>
    </row>
    <row r="1299" spans="1:8" ht="20.100000000000001" customHeight="1" x14ac:dyDescent="0.25">
      <c r="A1299" s="5" t="str">
        <f>IF(B1299="","",IFERROR(VLOOKUP(B1299, PLANTA_BASE!A:W, 2, FALSE), "NO ENCONTRADO EN PLANTA"))</f>
        <v/>
      </c>
      <c r="B1299" s="6"/>
      <c r="C1299" s="7" t="str">
        <f>IF(B1299="","",IFERROR(VLOOKUP(B1299, PLANTA_BASE!A:W, 3, FALSE), ""))</f>
        <v/>
      </c>
      <c r="D1299" s="5" t="str">
        <f>IF(B1299="","",IFERROR(VLOOKUP(B1299, PLANTA_BASE!A:W, 5, FALSE), "NO ENCONTRADO EN PLANTA"))</f>
        <v/>
      </c>
      <c r="E1299" s="5" t="str">
        <f>IF(B1299="","",IFERROR(VLOOKUP(B1299, PLANTA_BASE!A:W, 6, FALSE), "NO ENCONTRADO EN PLANTA"))</f>
        <v/>
      </c>
      <c r="F1299" s="7" t="str">
        <f>IF(B1299="","",IFERROR(VLOOKUP(B1299, PLANTA_BASE!A:W, 8, FALSE), "DOCENTE / FACILITADOR"))</f>
        <v/>
      </c>
      <c r="G1299" s="7" t="str">
        <f>IF(B1299="","",IFERROR(VLOOKUP(B1299, PLANTA_BASE!A:W, 9, FALSE), "GENERAL"))</f>
        <v/>
      </c>
      <c r="H1299" s="5" t="str">
        <f>IF(B1299="","",IFERROR(VLOOKUP(B1299, PLANTA_BASE!A:W, 17, FALSE), "GENERAL"))</f>
        <v/>
      </c>
    </row>
    <row r="1300" spans="1:8" ht="20.100000000000001" customHeight="1" x14ac:dyDescent="0.25">
      <c r="A1300" s="2" t="str">
        <f>IF(B1300="","",IFERROR(VLOOKUP(B1300, PLANTA_BASE!A:W, 2, FALSE), "NO ENCONTRADO EN PLANTA"))</f>
        <v/>
      </c>
      <c r="B1300" s="3"/>
      <c r="C1300" s="4" t="str">
        <f>IF(B1300="","",IFERROR(VLOOKUP(B1300, PLANTA_BASE!A:W, 3, FALSE), ""))</f>
        <v/>
      </c>
      <c r="D1300" s="2" t="str">
        <f>IF(B1300="","",IFERROR(VLOOKUP(B1300, PLANTA_BASE!A:W, 5, FALSE), "NO ENCONTRADO EN PLANTA"))</f>
        <v/>
      </c>
      <c r="E1300" s="2" t="str">
        <f>IF(B1300="","",IFERROR(VLOOKUP(B1300, PLANTA_BASE!A:W, 6, FALSE), "NO ENCONTRADO EN PLANTA"))</f>
        <v/>
      </c>
      <c r="F1300" s="4" t="str">
        <f>IF(B1300="","",IFERROR(VLOOKUP(B1300, PLANTA_BASE!A:W, 8, FALSE), "DOCENTE / FACILITADOR"))</f>
        <v/>
      </c>
      <c r="G1300" s="4" t="str">
        <f>IF(B1300="","",IFERROR(VLOOKUP(B1300, PLANTA_BASE!A:W, 9, FALSE), "GENERAL"))</f>
        <v/>
      </c>
      <c r="H1300" s="2" t="str">
        <f>IF(B1300="","",IFERROR(VLOOKUP(B1300, PLANTA_BASE!A:W, 17, FALSE), "GENERAL"))</f>
        <v/>
      </c>
    </row>
    <row r="1301" spans="1:8" ht="20.100000000000001" customHeight="1" x14ac:dyDescent="0.25">
      <c r="A1301" s="5" t="str">
        <f>IF(B1301="","",IFERROR(VLOOKUP(B1301, PLANTA_BASE!A:W, 2, FALSE), "NO ENCONTRADO EN PLANTA"))</f>
        <v/>
      </c>
      <c r="B1301" s="6"/>
      <c r="C1301" s="7" t="str">
        <f>IF(B1301="","",IFERROR(VLOOKUP(B1301, PLANTA_BASE!A:W, 3, FALSE), ""))</f>
        <v/>
      </c>
      <c r="D1301" s="5" t="str">
        <f>IF(B1301="","",IFERROR(VLOOKUP(B1301, PLANTA_BASE!A:W, 5, FALSE), "NO ENCONTRADO EN PLANTA"))</f>
        <v/>
      </c>
      <c r="E1301" s="5" t="str">
        <f>IF(B1301="","",IFERROR(VLOOKUP(B1301, PLANTA_BASE!A:W, 6, FALSE), "NO ENCONTRADO EN PLANTA"))</f>
        <v/>
      </c>
      <c r="F1301" s="7" t="str">
        <f>IF(B1301="","",IFERROR(VLOOKUP(B1301, PLANTA_BASE!A:W, 8, FALSE), "DOCENTE / FACILITADOR"))</f>
        <v/>
      </c>
      <c r="G1301" s="7" t="str">
        <f>IF(B1301="","",IFERROR(VLOOKUP(B1301, PLANTA_BASE!A:W, 9, FALSE), "GENERAL"))</f>
        <v/>
      </c>
      <c r="H1301" s="5" t="str">
        <f>IF(B1301="","",IFERROR(VLOOKUP(B1301, PLANTA_BASE!A:W, 17, FALSE), "GENERAL"))</f>
        <v/>
      </c>
    </row>
    <row r="1302" spans="1:8" ht="20.100000000000001" customHeight="1" x14ac:dyDescent="0.25">
      <c r="A1302" s="2" t="str">
        <f>IF(B1302="","",IFERROR(VLOOKUP(B1302, PLANTA_BASE!A:W, 2, FALSE), "NO ENCONTRADO EN PLANTA"))</f>
        <v/>
      </c>
      <c r="B1302" s="3"/>
      <c r="C1302" s="4" t="str">
        <f>IF(B1302="","",IFERROR(VLOOKUP(B1302, PLANTA_BASE!A:W, 3, FALSE), ""))</f>
        <v/>
      </c>
      <c r="D1302" s="2" t="str">
        <f>IF(B1302="","",IFERROR(VLOOKUP(B1302, PLANTA_BASE!A:W, 5, FALSE), "NO ENCONTRADO EN PLANTA"))</f>
        <v/>
      </c>
      <c r="E1302" s="2" t="str">
        <f>IF(B1302="","",IFERROR(VLOOKUP(B1302, PLANTA_BASE!A:W, 6, FALSE), "NO ENCONTRADO EN PLANTA"))</f>
        <v/>
      </c>
      <c r="F1302" s="4" t="str">
        <f>IF(B1302="","",IFERROR(VLOOKUP(B1302, PLANTA_BASE!A:W, 8, FALSE), "DOCENTE / FACILITADOR"))</f>
        <v/>
      </c>
      <c r="G1302" s="4" t="str">
        <f>IF(B1302="","",IFERROR(VLOOKUP(B1302, PLANTA_BASE!A:W, 9, FALSE), "GENERAL"))</f>
        <v/>
      </c>
      <c r="H1302" s="2" t="str">
        <f>IF(B1302="","",IFERROR(VLOOKUP(B1302, PLANTA_BASE!A:W, 17, FALSE), "GENERAL"))</f>
        <v/>
      </c>
    </row>
    <row r="1303" spans="1:8" ht="20.100000000000001" customHeight="1" x14ac:dyDescent="0.25">
      <c r="A1303" s="5" t="str">
        <f>IF(B1303="","",IFERROR(VLOOKUP(B1303, PLANTA_BASE!A:W, 2, FALSE), "NO ENCONTRADO EN PLANTA"))</f>
        <v/>
      </c>
      <c r="B1303" s="6"/>
      <c r="C1303" s="7" t="str">
        <f>IF(B1303="","",IFERROR(VLOOKUP(B1303, PLANTA_BASE!A:W, 3, FALSE), ""))</f>
        <v/>
      </c>
      <c r="D1303" s="5" t="str">
        <f>IF(B1303="","",IFERROR(VLOOKUP(B1303, PLANTA_BASE!A:W, 5, FALSE), "NO ENCONTRADO EN PLANTA"))</f>
        <v/>
      </c>
      <c r="E1303" s="5" t="str">
        <f>IF(B1303="","",IFERROR(VLOOKUP(B1303, PLANTA_BASE!A:W, 6, FALSE), "NO ENCONTRADO EN PLANTA"))</f>
        <v/>
      </c>
      <c r="F1303" s="7" t="str">
        <f>IF(B1303="","",IFERROR(VLOOKUP(B1303, PLANTA_BASE!A:W, 8, FALSE), "DOCENTE / FACILITADOR"))</f>
        <v/>
      </c>
      <c r="G1303" s="7" t="str">
        <f>IF(B1303="","",IFERROR(VLOOKUP(B1303, PLANTA_BASE!A:W, 9, FALSE), "GENERAL"))</f>
        <v/>
      </c>
      <c r="H1303" s="5" t="str">
        <f>IF(B1303="","",IFERROR(VLOOKUP(B1303, PLANTA_BASE!A:W, 17, FALSE), "GENERAL"))</f>
        <v/>
      </c>
    </row>
    <row r="1304" spans="1:8" ht="20.100000000000001" customHeight="1" x14ac:dyDescent="0.25">
      <c r="A1304" s="2" t="str">
        <f>IF(B1304="","",IFERROR(VLOOKUP(B1304, PLANTA_BASE!A:W, 2, FALSE), "NO ENCONTRADO EN PLANTA"))</f>
        <v/>
      </c>
      <c r="B1304" s="3"/>
      <c r="C1304" s="4" t="str">
        <f>IF(B1304="","",IFERROR(VLOOKUP(B1304, PLANTA_BASE!A:W, 3, FALSE), ""))</f>
        <v/>
      </c>
      <c r="D1304" s="2" t="str">
        <f>IF(B1304="","",IFERROR(VLOOKUP(B1304, PLANTA_BASE!A:W, 5, FALSE), "NO ENCONTRADO EN PLANTA"))</f>
        <v/>
      </c>
      <c r="E1304" s="2" t="str">
        <f>IF(B1304="","",IFERROR(VLOOKUP(B1304, PLANTA_BASE!A:W, 6, FALSE), "NO ENCONTRADO EN PLANTA"))</f>
        <v/>
      </c>
      <c r="F1304" s="4" t="str">
        <f>IF(B1304="","",IFERROR(VLOOKUP(B1304, PLANTA_BASE!A:W, 8, FALSE), "DOCENTE / FACILITADOR"))</f>
        <v/>
      </c>
      <c r="G1304" s="4" t="str">
        <f>IF(B1304="","",IFERROR(VLOOKUP(B1304, PLANTA_BASE!A:W, 9, FALSE), "GENERAL"))</f>
        <v/>
      </c>
      <c r="H1304" s="2" t="str">
        <f>IF(B1304="","",IFERROR(VLOOKUP(B1304, PLANTA_BASE!A:W, 17, FALSE), "GENERAL"))</f>
        <v/>
      </c>
    </row>
    <row r="1305" spans="1:8" ht="20.100000000000001" customHeight="1" x14ac:dyDescent="0.25">
      <c r="A1305" s="5" t="str">
        <f>IF(B1305="","",IFERROR(VLOOKUP(B1305, PLANTA_BASE!A:W, 2, FALSE), "NO ENCONTRADO EN PLANTA"))</f>
        <v/>
      </c>
      <c r="B1305" s="6"/>
      <c r="C1305" s="7" t="str">
        <f>IF(B1305="","",IFERROR(VLOOKUP(B1305, PLANTA_BASE!A:W, 3, FALSE), ""))</f>
        <v/>
      </c>
      <c r="D1305" s="5" t="str">
        <f>IF(B1305="","",IFERROR(VLOOKUP(B1305, PLANTA_BASE!A:W, 5, FALSE), "NO ENCONTRADO EN PLANTA"))</f>
        <v/>
      </c>
      <c r="E1305" s="5" t="str">
        <f>IF(B1305="","",IFERROR(VLOOKUP(B1305, PLANTA_BASE!A:W, 6, FALSE), "NO ENCONTRADO EN PLANTA"))</f>
        <v/>
      </c>
      <c r="F1305" s="7" t="str">
        <f>IF(B1305="","",IFERROR(VLOOKUP(B1305, PLANTA_BASE!A:W, 8, FALSE), "DOCENTE / FACILITADOR"))</f>
        <v/>
      </c>
      <c r="G1305" s="7" t="str">
        <f>IF(B1305="","",IFERROR(VLOOKUP(B1305, PLANTA_BASE!A:W, 9, FALSE), "GENERAL"))</f>
        <v/>
      </c>
      <c r="H1305" s="5" t="str">
        <f>IF(B1305="","",IFERROR(VLOOKUP(B1305, PLANTA_BASE!A:W, 17, FALSE), "GENERAL"))</f>
        <v/>
      </c>
    </row>
    <row r="1306" spans="1:8" ht="20.100000000000001" customHeight="1" x14ac:dyDescent="0.25">
      <c r="A1306" s="2" t="str">
        <f>IF(B1306="","",IFERROR(VLOOKUP(B1306, PLANTA_BASE!A:W, 2, FALSE), "NO ENCONTRADO EN PLANTA"))</f>
        <v/>
      </c>
      <c r="B1306" s="3"/>
      <c r="C1306" s="4" t="str">
        <f>IF(B1306="","",IFERROR(VLOOKUP(B1306, PLANTA_BASE!A:W, 3, FALSE), ""))</f>
        <v/>
      </c>
      <c r="D1306" s="2" t="str">
        <f>IF(B1306="","",IFERROR(VLOOKUP(B1306, PLANTA_BASE!A:W, 5, FALSE), "NO ENCONTRADO EN PLANTA"))</f>
        <v/>
      </c>
      <c r="E1306" s="2" t="str">
        <f>IF(B1306="","",IFERROR(VLOOKUP(B1306, PLANTA_BASE!A:W, 6, FALSE), "NO ENCONTRADO EN PLANTA"))</f>
        <v/>
      </c>
      <c r="F1306" s="4" t="str">
        <f>IF(B1306="","",IFERROR(VLOOKUP(B1306, PLANTA_BASE!A:W, 8, FALSE), "DOCENTE / FACILITADOR"))</f>
        <v/>
      </c>
      <c r="G1306" s="4" t="str">
        <f>IF(B1306="","",IFERROR(VLOOKUP(B1306, PLANTA_BASE!A:W, 9, FALSE), "GENERAL"))</f>
        <v/>
      </c>
      <c r="H1306" s="2" t="str">
        <f>IF(B1306="","",IFERROR(VLOOKUP(B1306, PLANTA_BASE!A:W, 17, FALSE), "GENERAL"))</f>
        <v/>
      </c>
    </row>
    <row r="1307" spans="1:8" ht="20.100000000000001" customHeight="1" x14ac:dyDescent="0.25">
      <c r="A1307" s="5" t="str">
        <f>IF(B1307="","",IFERROR(VLOOKUP(B1307, PLANTA_BASE!A:W, 2, FALSE), "NO ENCONTRADO EN PLANTA"))</f>
        <v/>
      </c>
      <c r="B1307" s="6"/>
      <c r="C1307" s="7" t="str">
        <f>IF(B1307="","",IFERROR(VLOOKUP(B1307, PLANTA_BASE!A:W, 3, FALSE), ""))</f>
        <v/>
      </c>
      <c r="D1307" s="5" t="str">
        <f>IF(B1307="","",IFERROR(VLOOKUP(B1307, PLANTA_BASE!A:W, 5, FALSE), "NO ENCONTRADO EN PLANTA"))</f>
        <v/>
      </c>
      <c r="E1307" s="5" t="str">
        <f>IF(B1307="","",IFERROR(VLOOKUP(B1307, PLANTA_BASE!A:W, 6, FALSE), "NO ENCONTRADO EN PLANTA"))</f>
        <v/>
      </c>
      <c r="F1307" s="7" t="str">
        <f>IF(B1307="","",IFERROR(VLOOKUP(B1307, PLANTA_BASE!A:W, 8, FALSE), "DOCENTE / FACILITADOR"))</f>
        <v/>
      </c>
      <c r="G1307" s="7" t="str">
        <f>IF(B1307="","",IFERROR(VLOOKUP(B1307, PLANTA_BASE!A:W, 9, FALSE), "GENERAL"))</f>
        <v/>
      </c>
      <c r="H1307" s="5" t="str">
        <f>IF(B1307="","",IFERROR(VLOOKUP(B1307, PLANTA_BASE!A:W, 17, FALSE), "GENERAL"))</f>
        <v/>
      </c>
    </row>
    <row r="1308" spans="1:8" ht="20.100000000000001" customHeight="1" x14ac:dyDescent="0.25">
      <c r="A1308" s="2" t="str">
        <f>IF(B1308="","",IFERROR(VLOOKUP(B1308, PLANTA_BASE!A:W, 2, FALSE), "NO ENCONTRADO EN PLANTA"))</f>
        <v/>
      </c>
      <c r="B1308" s="3"/>
      <c r="C1308" s="4" t="str">
        <f>IF(B1308="","",IFERROR(VLOOKUP(B1308, PLANTA_BASE!A:W, 3, FALSE), ""))</f>
        <v/>
      </c>
      <c r="D1308" s="2" t="str">
        <f>IF(B1308="","",IFERROR(VLOOKUP(B1308, PLANTA_BASE!A:W, 5, FALSE), "NO ENCONTRADO EN PLANTA"))</f>
        <v/>
      </c>
      <c r="E1308" s="2" t="str">
        <f>IF(B1308="","",IFERROR(VLOOKUP(B1308, PLANTA_BASE!A:W, 6, FALSE), "NO ENCONTRADO EN PLANTA"))</f>
        <v/>
      </c>
      <c r="F1308" s="4" t="str">
        <f>IF(B1308="","",IFERROR(VLOOKUP(B1308, PLANTA_BASE!A:W, 8, FALSE), "DOCENTE / FACILITADOR"))</f>
        <v/>
      </c>
      <c r="G1308" s="4" t="str">
        <f>IF(B1308="","",IFERROR(VLOOKUP(B1308, PLANTA_BASE!A:W, 9, FALSE), "GENERAL"))</f>
        <v/>
      </c>
      <c r="H1308" s="2" t="str">
        <f>IF(B1308="","",IFERROR(VLOOKUP(B1308, PLANTA_BASE!A:W, 17, FALSE), "GENERAL"))</f>
        <v/>
      </c>
    </row>
    <row r="1309" spans="1:8" ht="20.100000000000001" customHeight="1" x14ac:dyDescent="0.25">
      <c r="A1309" s="5" t="str">
        <f>IF(B1309="","",IFERROR(VLOOKUP(B1309, PLANTA_BASE!A:W, 2, FALSE), "NO ENCONTRADO EN PLANTA"))</f>
        <v/>
      </c>
      <c r="B1309" s="6"/>
      <c r="C1309" s="7" t="str">
        <f>IF(B1309="","",IFERROR(VLOOKUP(B1309, PLANTA_BASE!A:W, 3, FALSE), ""))</f>
        <v/>
      </c>
      <c r="D1309" s="5" t="str">
        <f>IF(B1309="","",IFERROR(VLOOKUP(B1309, PLANTA_BASE!A:W, 5, FALSE), "NO ENCONTRADO EN PLANTA"))</f>
        <v/>
      </c>
      <c r="E1309" s="5" t="str">
        <f>IF(B1309="","",IFERROR(VLOOKUP(B1309, PLANTA_BASE!A:W, 6, FALSE), "NO ENCONTRADO EN PLANTA"))</f>
        <v/>
      </c>
      <c r="F1309" s="7" t="str">
        <f>IF(B1309="","",IFERROR(VLOOKUP(B1309, PLANTA_BASE!A:W, 8, FALSE), "DOCENTE / FACILITADOR"))</f>
        <v/>
      </c>
      <c r="G1309" s="7" t="str">
        <f>IF(B1309="","",IFERROR(VLOOKUP(B1309, PLANTA_BASE!A:W, 9, FALSE), "GENERAL"))</f>
        <v/>
      </c>
      <c r="H1309" s="5" t="str">
        <f>IF(B1309="","",IFERROR(VLOOKUP(B1309, PLANTA_BASE!A:W, 17, FALSE), "GENERAL"))</f>
        <v/>
      </c>
    </row>
    <row r="1310" spans="1:8" ht="20.100000000000001" customHeight="1" x14ac:dyDescent="0.25">
      <c r="A1310" s="2" t="str">
        <f>IF(B1310="","",IFERROR(VLOOKUP(B1310, PLANTA_BASE!A:W, 2, FALSE), "NO ENCONTRADO EN PLANTA"))</f>
        <v/>
      </c>
      <c r="B1310" s="3"/>
      <c r="C1310" s="4" t="str">
        <f>IF(B1310="","",IFERROR(VLOOKUP(B1310, PLANTA_BASE!A:W, 3, FALSE), ""))</f>
        <v/>
      </c>
      <c r="D1310" s="2" t="str">
        <f>IF(B1310="","",IFERROR(VLOOKUP(B1310, PLANTA_BASE!A:W, 5, FALSE), "NO ENCONTRADO EN PLANTA"))</f>
        <v/>
      </c>
      <c r="E1310" s="2" t="str">
        <f>IF(B1310="","",IFERROR(VLOOKUP(B1310, PLANTA_BASE!A:W, 6, FALSE), "NO ENCONTRADO EN PLANTA"))</f>
        <v/>
      </c>
      <c r="F1310" s="4" t="str">
        <f>IF(B1310="","",IFERROR(VLOOKUP(B1310, PLANTA_BASE!A:W, 8, FALSE), "DOCENTE / FACILITADOR"))</f>
        <v/>
      </c>
      <c r="G1310" s="4" t="str">
        <f>IF(B1310="","",IFERROR(VLOOKUP(B1310, PLANTA_BASE!A:W, 9, FALSE), "GENERAL"))</f>
        <v/>
      </c>
      <c r="H1310" s="2" t="str">
        <f>IF(B1310="","",IFERROR(VLOOKUP(B1310, PLANTA_BASE!A:W, 17, FALSE), "GENERAL"))</f>
        <v/>
      </c>
    </row>
    <row r="1311" spans="1:8" ht="20.100000000000001" customHeight="1" x14ac:dyDescent="0.25">
      <c r="A1311" s="5" t="str">
        <f>IF(B1311="","",IFERROR(VLOOKUP(B1311, PLANTA_BASE!A:W, 2, FALSE), "NO ENCONTRADO EN PLANTA"))</f>
        <v/>
      </c>
      <c r="B1311" s="6"/>
      <c r="C1311" s="7" t="str">
        <f>IF(B1311="","",IFERROR(VLOOKUP(B1311, PLANTA_BASE!A:W, 3, FALSE), ""))</f>
        <v/>
      </c>
      <c r="D1311" s="5" t="str">
        <f>IF(B1311="","",IFERROR(VLOOKUP(B1311, PLANTA_BASE!A:W, 5, FALSE), "NO ENCONTRADO EN PLANTA"))</f>
        <v/>
      </c>
      <c r="E1311" s="5" t="str">
        <f>IF(B1311="","",IFERROR(VLOOKUP(B1311, PLANTA_BASE!A:W, 6, FALSE), "NO ENCONTRADO EN PLANTA"))</f>
        <v/>
      </c>
      <c r="F1311" s="7" t="str">
        <f>IF(B1311="","",IFERROR(VLOOKUP(B1311, PLANTA_BASE!A:W, 8, FALSE), "DOCENTE / FACILITADOR"))</f>
        <v/>
      </c>
      <c r="G1311" s="7" t="str">
        <f>IF(B1311="","",IFERROR(VLOOKUP(B1311, PLANTA_BASE!A:W, 9, FALSE), "GENERAL"))</f>
        <v/>
      </c>
      <c r="H1311" s="5" t="str">
        <f>IF(B1311="","",IFERROR(VLOOKUP(B1311, PLANTA_BASE!A:W, 17, FALSE), "GENERAL"))</f>
        <v/>
      </c>
    </row>
    <row r="1312" spans="1:8" ht="20.100000000000001" customHeight="1" x14ac:dyDescent="0.25">
      <c r="A1312" s="2" t="str">
        <f>IF(B1312="","",IFERROR(VLOOKUP(B1312, PLANTA_BASE!A:W, 2, FALSE), "NO ENCONTRADO EN PLANTA"))</f>
        <v/>
      </c>
      <c r="B1312" s="3"/>
      <c r="C1312" s="4" t="str">
        <f>IF(B1312="","",IFERROR(VLOOKUP(B1312, PLANTA_BASE!A:W, 3, FALSE), ""))</f>
        <v/>
      </c>
      <c r="D1312" s="2" t="str">
        <f>IF(B1312="","",IFERROR(VLOOKUP(B1312, PLANTA_BASE!A:W, 5, FALSE), "NO ENCONTRADO EN PLANTA"))</f>
        <v/>
      </c>
      <c r="E1312" s="2" t="str">
        <f>IF(B1312="","",IFERROR(VLOOKUP(B1312, PLANTA_BASE!A:W, 6, FALSE), "NO ENCONTRADO EN PLANTA"))</f>
        <v/>
      </c>
      <c r="F1312" s="4" t="str">
        <f>IF(B1312="","",IFERROR(VLOOKUP(B1312, PLANTA_BASE!A:W, 8, FALSE), "DOCENTE / FACILITADOR"))</f>
        <v/>
      </c>
      <c r="G1312" s="4" t="str">
        <f>IF(B1312="","",IFERROR(VLOOKUP(B1312, PLANTA_BASE!A:W, 9, FALSE), "GENERAL"))</f>
        <v/>
      </c>
      <c r="H1312" s="2" t="str">
        <f>IF(B1312="","",IFERROR(VLOOKUP(B1312, PLANTA_BASE!A:W, 17, FALSE), "GENERAL"))</f>
        <v/>
      </c>
    </row>
    <row r="1313" spans="1:8" ht="20.100000000000001" customHeight="1" x14ac:dyDescent="0.25">
      <c r="A1313" s="5" t="str">
        <f>IF(B1313="","",IFERROR(VLOOKUP(B1313, PLANTA_BASE!A:W, 2, FALSE), "NO ENCONTRADO EN PLANTA"))</f>
        <v/>
      </c>
      <c r="B1313" s="6"/>
      <c r="C1313" s="7" t="str">
        <f>IF(B1313="","",IFERROR(VLOOKUP(B1313, PLANTA_BASE!A:W, 3, FALSE), ""))</f>
        <v/>
      </c>
      <c r="D1313" s="5" t="str">
        <f>IF(B1313="","",IFERROR(VLOOKUP(B1313, PLANTA_BASE!A:W, 5, FALSE), "NO ENCONTRADO EN PLANTA"))</f>
        <v/>
      </c>
      <c r="E1313" s="5" t="str">
        <f>IF(B1313="","",IFERROR(VLOOKUP(B1313, PLANTA_BASE!A:W, 6, FALSE), "NO ENCONTRADO EN PLANTA"))</f>
        <v/>
      </c>
      <c r="F1313" s="7" t="str">
        <f>IF(B1313="","",IFERROR(VLOOKUP(B1313, PLANTA_BASE!A:W, 8, FALSE), "DOCENTE / FACILITADOR"))</f>
        <v/>
      </c>
      <c r="G1313" s="7" t="str">
        <f>IF(B1313="","",IFERROR(VLOOKUP(B1313, PLANTA_BASE!A:W, 9, FALSE), "GENERAL"))</f>
        <v/>
      </c>
      <c r="H1313" s="5" t="str">
        <f>IF(B1313="","",IFERROR(VLOOKUP(B1313, PLANTA_BASE!A:W, 17, FALSE), "GENERAL"))</f>
        <v/>
      </c>
    </row>
    <row r="1314" spans="1:8" ht="20.100000000000001" customHeight="1" x14ac:dyDescent="0.25">
      <c r="A1314" s="2" t="str">
        <f>IF(B1314="","",IFERROR(VLOOKUP(B1314, PLANTA_BASE!A:W, 2, FALSE), "NO ENCONTRADO EN PLANTA"))</f>
        <v/>
      </c>
      <c r="B1314" s="3"/>
      <c r="C1314" s="4" t="str">
        <f>IF(B1314="","",IFERROR(VLOOKUP(B1314, PLANTA_BASE!A:W, 3, FALSE), ""))</f>
        <v/>
      </c>
      <c r="D1314" s="2" t="str">
        <f>IF(B1314="","",IFERROR(VLOOKUP(B1314, PLANTA_BASE!A:W, 5, FALSE), "NO ENCONTRADO EN PLANTA"))</f>
        <v/>
      </c>
      <c r="E1314" s="2" t="str">
        <f>IF(B1314="","",IFERROR(VLOOKUP(B1314, PLANTA_BASE!A:W, 6, FALSE), "NO ENCONTRADO EN PLANTA"))</f>
        <v/>
      </c>
      <c r="F1314" s="4" t="str">
        <f>IF(B1314="","",IFERROR(VLOOKUP(B1314, PLANTA_BASE!A:W, 8, FALSE), "DOCENTE / FACILITADOR"))</f>
        <v/>
      </c>
      <c r="G1314" s="4" t="str">
        <f>IF(B1314="","",IFERROR(VLOOKUP(B1314, PLANTA_BASE!A:W, 9, FALSE), "GENERAL"))</f>
        <v/>
      </c>
      <c r="H1314" s="2" t="str">
        <f>IF(B1314="","",IFERROR(VLOOKUP(B1314, PLANTA_BASE!A:W, 17, FALSE), "GENERAL"))</f>
        <v/>
      </c>
    </row>
    <row r="1315" spans="1:8" ht="20.100000000000001" customHeight="1" x14ac:dyDescent="0.25">
      <c r="A1315" s="5" t="str">
        <f>IF(B1315="","",IFERROR(VLOOKUP(B1315, PLANTA_BASE!A:W, 2, FALSE), "NO ENCONTRADO EN PLANTA"))</f>
        <v/>
      </c>
      <c r="B1315" s="6"/>
      <c r="C1315" s="7" t="str">
        <f>IF(B1315="","",IFERROR(VLOOKUP(B1315, PLANTA_BASE!A:W, 3, FALSE), ""))</f>
        <v/>
      </c>
      <c r="D1315" s="5" t="str">
        <f>IF(B1315="","",IFERROR(VLOOKUP(B1315, PLANTA_BASE!A:W, 5, FALSE), "NO ENCONTRADO EN PLANTA"))</f>
        <v/>
      </c>
      <c r="E1315" s="5" t="str">
        <f>IF(B1315="","",IFERROR(VLOOKUP(B1315, PLANTA_BASE!A:W, 6, FALSE), "NO ENCONTRADO EN PLANTA"))</f>
        <v/>
      </c>
      <c r="F1315" s="7" t="str">
        <f>IF(B1315="","",IFERROR(VLOOKUP(B1315, PLANTA_BASE!A:W, 8, FALSE), "DOCENTE / FACILITADOR"))</f>
        <v/>
      </c>
      <c r="G1315" s="7" t="str">
        <f>IF(B1315="","",IFERROR(VLOOKUP(B1315, PLANTA_BASE!A:W, 9, FALSE), "GENERAL"))</f>
        <v/>
      </c>
      <c r="H1315" s="5" t="str">
        <f>IF(B1315="","",IFERROR(VLOOKUP(B1315, PLANTA_BASE!A:W, 17, FALSE), "GENERAL"))</f>
        <v/>
      </c>
    </row>
    <row r="1316" spans="1:8" ht="20.100000000000001" customHeight="1" x14ac:dyDescent="0.25">
      <c r="A1316" s="2" t="str">
        <f>IF(B1316="","",IFERROR(VLOOKUP(B1316, PLANTA_BASE!A:W, 2, FALSE), "NO ENCONTRADO EN PLANTA"))</f>
        <v/>
      </c>
      <c r="B1316" s="3"/>
      <c r="C1316" s="4" t="str">
        <f>IF(B1316="","",IFERROR(VLOOKUP(B1316, PLANTA_BASE!A:W, 3, FALSE), ""))</f>
        <v/>
      </c>
      <c r="D1316" s="2" t="str">
        <f>IF(B1316="","",IFERROR(VLOOKUP(B1316, PLANTA_BASE!A:W, 5, FALSE), "NO ENCONTRADO EN PLANTA"))</f>
        <v/>
      </c>
      <c r="E1316" s="2" t="str">
        <f>IF(B1316="","",IFERROR(VLOOKUP(B1316, PLANTA_BASE!A:W, 6, FALSE), "NO ENCONTRADO EN PLANTA"))</f>
        <v/>
      </c>
      <c r="F1316" s="4" t="str">
        <f>IF(B1316="","",IFERROR(VLOOKUP(B1316, PLANTA_BASE!A:W, 8, FALSE), "DOCENTE / FACILITADOR"))</f>
        <v/>
      </c>
      <c r="G1316" s="4" t="str">
        <f>IF(B1316="","",IFERROR(VLOOKUP(B1316, PLANTA_BASE!A:W, 9, FALSE), "GENERAL"))</f>
        <v/>
      </c>
      <c r="H1316" s="2" t="str">
        <f>IF(B1316="","",IFERROR(VLOOKUP(B1316, PLANTA_BASE!A:W, 17, FALSE), "GENERAL"))</f>
        <v/>
      </c>
    </row>
    <row r="1317" spans="1:8" ht="20.100000000000001" customHeight="1" x14ac:dyDescent="0.25">
      <c r="A1317" s="5" t="str">
        <f>IF(B1317="","",IFERROR(VLOOKUP(B1317, PLANTA_BASE!A:W, 2, FALSE), "NO ENCONTRADO EN PLANTA"))</f>
        <v/>
      </c>
      <c r="B1317" s="6"/>
      <c r="C1317" s="7" t="str">
        <f>IF(B1317="","",IFERROR(VLOOKUP(B1317, PLANTA_BASE!A:W, 3, FALSE), ""))</f>
        <v/>
      </c>
      <c r="D1317" s="5" t="str">
        <f>IF(B1317="","",IFERROR(VLOOKUP(B1317, PLANTA_BASE!A:W, 5, FALSE), "NO ENCONTRADO EN PLANTA"))</f>
        <v/>
      </c>
      <c r="E1317" s="5" t="str">
        <f>IF(B1317="","",IFERROR(VLOOKUP(B1317, PLANTA_BASE!A:W, 6, FALSE), "NO ENCONTRADO EN PLANTA"))</f>
        <v/>
      </c>
      <c r="F1317" s="7" t="str">
        <f>IF(B1317="","",IFERROR(VLOOKUP(B1317, PLANTA_BASE!A:W, 8, FALSE), "DOCENTE / FACILITADOR"))</f>
        <v/>
      </c>
      <c r="G1317" s="7" t="str">
        <f>IF(B1317="","",IFERROR(VLOOKUP(B1317, PLANTA_BASE!A:W, 9, FALSE), "GENERAL"))</f>
        <v/>
      </c>
      <c r="H1317" s="5" t="str">
        <f>IF(B1317="","",IFERROR(VLOOKUP(B1317, PLANTA_BASE!A:W, 17, FALSE), "GENERAL"))</f>
        <v/>
      </c>
    </row>
    <row r="1318" spans="1:8" ht="20.100000000000001" customHeight="1" x14ac:dyDescent="0.25">
      <c r="A1318" s="2" t="str">
        <f>IF(B1318="","",IFERROR(VLOOKUP(B1318, PLANTA_BASE!A:W, 2, FALSE), "NO ENCONTRADO EN PLANTA"))</f>
        <v/>
      </c>
      <c r="B1318" s="3"/>
      <c r="C1318" s="4" t="str">
        <f>IF(B1318="","",IFERROR(VLOOKUP(B1318, PLANTA_BASE!A:W, 3, FALSE), ""))</f>
        <v/>
      </c>
      <c r="D1318" s="2" t="str">
        <f>IF(B1318="","",IFERROR(VLOOKUP(B1318, PLANTA_BASE!A:W, 5, FALSE), "NO ENCONTRADO EN PLANTA"))</f>
        <v/>
      </c>
      <c r="E1318" s="2" t="str">
        <f>IF(B1318="","",IFERROR(VLOOKUP(B1318, PLANTA_BASE!A:W, 6, FALSE), "NO ENCONTRADO EN PLANTA"))</f>
        <v/>
      </c>
      <c r="F1318" s="4" t="str">
        <f>IF(B1318="","",IFERROR(VLOOKUP(B1318, PLANTA_BASE!A:W, 8, FALSE), "DOCENTE / FACILITADOR"))</f>
        <v/>
      </c>
      <c r="G1318" s="4" t="str">
        <f>IF(B1318="","",IFERROR(VLOOKUP(B1318, PLANTA_BASE!A:W, 9, FALSE), "GENERAL"))</f>
        <v/>
      </c>
      <c r="H1318" s="2" t="str">
        <f>IF(B1318="","",IFERROR(VLOOKUP(B1318, PLANTA_BASE!A:W, 17, FALSE), "GENERAL"))</f>
        <v/>
      </c>
    </row>
    <row r="1319" spans="1:8" ht="20.100000000000001" customHeight="1" x14ac:dyDescent="0.25">
      <c r="A1319" s="5" t="str">
        <f>IF(B1319="","",IFERROR(VLOOKUP(B1319, PLANTA_BASE!A:W, 2, FALSE), "NO ENCONTRADO EN PLANTA"))</f>
        <v/>
      </c>
      <c r="B1319" s="6"/>
      <c r="C1319" s="7" t="str">
        <f>IF(B1319="","",IFERROR(VLOOKUP(B1319, PLANTA_BASE!A:W, 3, FALSE), ""))</f>
        <v/>
      </c>
      <c r="D1319" s="5" t="str">
        <f>IF(B1319="","",IFERROR(VLOOKUP(B1319, PLANTA_BASE!A:W, 5, FALSE), "NO ENCONTRADO EN PLANTA"))</f>
        <v/>
      </c>
      <c r="E1319" s="5" t="str">
        <f>IF(B1319="","",IFERROR(VLOOKUP(B1319, PLANTA_BASE!A:W, 6, FALSE), "NO ENCONTRADO EN PLANTA"))</f>
        <v/>
      </c>
      <c r="F1319" s="7" t="str">
        <f>IF(B1319="","",IFERROR(VLOOKUP(B1319, PLANTA_BASE!A:W, 8, FALSE), "DOCENTE / FACILITADOR"))</f>
        <v/>
      </c>
      <c r="G1319" s="7" t="str">
        <f>IF(B1319="","",IFERROR(VLOOKUP(B1319, PLANTA_BASE!A:W, 9, FALSE), "GENERAL"))</f>
        <v/>
      </c>
      <c r="H1319" s="5" t="str">
        <f>IF(B1319="","",IFERROR(VLOOKUP(B1319, PLANTA_BASE!A:W, 17, FALSE), "GENERAL"))</f>
        <v/>
      </c>
    </row>
    <row r="1320" spans="1:8" ht="20.100000000000001" customHeight="1" x14ac:dyDescent="0.25">
      <c r="A1320" s="2" t="str">
        <f>IF(B1320="","",IFERROR(VLOOKUP(B1320, PLANTA_BASE!A:W, 2, FALSE), "NO ENCONTRADO EN PLANTA"))</f>
        <v/>
      </c>
      <c r="B1320" s="3"/>
      <c r="C1320" s="4" t="str">
        <f>IF(B1320="","",IFERROR(VLOOKUP(B1320, PLANTA_BASE!A:W, 3, FALSE), ""))</f>
        <v/>
      </c>
      <c r="D1320" s="2" t="str">
        <f>IF(B1320="","",IFERROR(VLOOKUP(B1320, PLANTA_BASE!A:W, 5, FALSE), "NO ENCONTRADO EN PLANTA"))</f>
        <v/>
      </c>
      <c r="E1320" s="2" t="str">
        <f>IF(B1320="","",IFERROR(VLOOKUP(B1320, PLANTA_BASE!A:W, 6, FALSE), "NO ENCONTRADO EN PLANTA"))</f>
        <v/>
      </c>
      <c r="F1320" s="4" t="str">
        <f>IF(B1320="","",IFERROR(VLOOKUP(B1320, PLANTA_BASE!A:W, 8, FALSE), "DOCENTE / FACILITADOR"))</f>
        <v/>
      </c>
      <c r="G1320" s="4" t="str">
        <f>IF(B1320="","",IFERROR(VLOOKUP(B1320, PLANTA_BASE!A:W, 9, FALSE), "GENERAL"))</f>
        <v/>
      </c>
      <c r="H1320" s="2" t="str">
        <f>IF(B1320="","",IFERROR(VLOOKUP(B1320, PLANTA_BASE!A:W, 17, FALSE), "GENERAL"))</f>
        <v/>
      </c>
    </row>
    <row r="1321" spans="1:8" ht="20.100000000000001" customHeight="1" x14ac:dyDescent="0.25">
      <c r="A1321" s="5" t="str">
        <f>IF(B1321="","",IFERROR(VLOOKUP(B1321, PLANTA_BASE!A:W, 2, FALSE), "NO ENCONTRADO EN PLANTA"))</f>
        <v/>
      </c>
      <c r="B1321" s="6"/>
      <c r="C1321" s="7" t="str">
        <f>IF(B1321="","",IFERROR(VLOOKUP(B1321, PLANTA_BASE!A:W, 3, FALSE), ""))</f>
        <v/>
      </c>
      <c r="D1321" s="5" t="str">
        <f>IF(B1321="","",IFERROR(VLOOKUP(B1321, PLANTA_BASE!A:W, 5, FALSE), "NO ENCONTRADO EN PLANTA"))</f>
        <v/>
      </c>
      <c r="E1321" s="5" t="str">
        <f>IF(B1321="","",IFERROR(VLOOKUP(B1321, PLANTA_BASE!A:W, 6, FALSE), "NO ENCONTRADO EN PLANTA"))</f>
        <v/>
      </c>
      <c r="F1321" s="7" t="str">
        <f>IF(B1321="","",IFERROR(VLOOKUP(B1321, PLANTA_BASE!A:W, 8, FALSE), "DOCENTE / FACILITADOR"))</f>
        <v/>
      </c>
      <c r="G1321" s="7" t="str">
        <f>IF(B1321="","",IFERROR(VLOOKUP(B1321, PLANTA_BASE!A:W, 9, FALSE), "GENERAL"))</f>
        <v/>
      </c>
      <c r="H1321" s="5" t="str">
        <f>IF(B1321="","",IFERROR(VLOOKUP(B1321, PLANTA_BASE!A:W, 17, FALSE), "GENERAL"))</f>
        <v/>
      </c>
    </row>
    <row r="1322" spans="1:8" ht="20.100000000000001" customHeight="1" x14ac:dyDescent="0.25">
      <c r="A1322" s="2" t="str">
        <f>IF(B1322="","",IFERROR(VLOOKUP(B1322, PLANTA_BASE!A:W, 2, FALSE), "NO ENCONTRADO EN PLANTA"))</f>
        <v/>
      </c>
      <c r="B1322" s="3"/>
      <c r="C1322" s="4" t="str">
        <f>IF(B1322="","",IFERROR(VLOOKUP(B1322, PLANTA_BASE!A:W, 3, FALSE), ""))</f>
        <v/>
      </c>
      <c r="D1322" s="2" t="str">
        <f>IF(B1322="","",IFERROR(VLOOKUP(B1322, PLANTA_BASE!A:W, 5, FALSE), "NO ENCONTRADO EN PLANTA"))</f>
        <v/>
      </c>
      <c r="E1322" s="2" t="str">
        <f>IF(B1322="","",IFERROR(VLOOKUP(B1322, PLANTA_BASE!A:W, 6, FALSE), "NO ENCONTRADO EN PLANTA"))</f>
        <v/>
      </c>
      <c r="F1322" s="4" t="str">
        <f>IF(B1322="","",IFERROR(VLOOKUP(B1322, PLANTA_BASE!A:W, 8, FALSE), "DOCENTE / FACILITADOR"))</f>
        <v/>
      </c>
      <c r="G1322" s="4" t="str">
        <f>IF(B1322="","",IFERROR(VLOOKUP(B1322, PLANTA_BASE!A:W, 9, FALSE), "GENERAL"))</f>
        <v/>
      </c>
      <c r="H1322" s="2" t="str">
        <f>IF(B1322="","",IFERROR(VLOOKUP(B1322, PLANTA_BASE!A:W, 17, FALSE), "GENERAL"))</f>
        <v/>
      </c>
    </row>
    <row r="1323" spans="1:8" ht="20.100000000000001" customHeight="1" x14ac:dyDescent="0.25">
      <c r="A1323" s="5" t="str">
        <f>IF(B1323="","",IFERROR(VLOOKUP(B1323, PLANTA_BASE!A:W, 2, FALSE), "NO ENCONTRADO EN PLANTA"))</f>
        <v/>
      </c>
      <c r="B1323" s="6"/>
      <c r="C1323" s="7" t="str">
        <f>IF(B1323="","",IFERROR(VLOOKUP(B1323, PLANTA_BASE!A:W, 3, FALSE), ""))</f>
        <v/>
      </c>
      <c r="D1323" s="5" t="str">
        <f>IF(B1323="","",IFERROR(VLOOKUP(B1323, PLANTA_BASE!A:W, 5, FALSE), "NO ENCONTRADO EN PLANTA"))</f>
        <v/>
      </c>
      <c r="E1323" s="5" t="str">
        <f>IF(B1323="","",IFERROR(VLOOKUP(B1323, PLANTA_BASE!A:W, 6, FALSE), "NO ENCONTRADO EN PLANTA"))</f>
        <v/>
      </c>
      <c r="F1323" s="7" t="str">
        <f>IF(B1323="","",IFERROR(VLOOKUP(B1323, PLANTA_BASE!A:W, 8, FALSE), "DOCENTE / FACILITADOR"))</f>
        <v/>
      </c>
      <c r="G1323" s="7" t="str">
        <f>IF(B1323="","",IFERROR(VLOOKUP(B1323, PLANTA_BASE!A:W, 9, FALSE), "GENERAL"))</f>
        <v/>
      </c>
      <c r="H1323" s="5" t="str">
        <f>IF(B1323="","",IFERROR(VLOOKUP(B1323, PLANTA_BASE!A:W, 17, FALSE), "GENERAL"))</f>
        <v/>
      </c>
    </row>
    <row r="1324" spans="1:8" ht="20.100000000000001" customHeight="1" x14ac:dyDescent="0.25">
      <c r="A1324" s="2" t="str">
        <f>IF(B1324="","",IFERROR(VLOOKUP(B1324, PLANTA_BASE!A:W, 2, FALSE), "NO ENCONTRADO EN PLANTA"))</f>
        <v/>
      </c>
      <c r="B1324" s="3"/>
      <c r="C1324" s="4" t="str">
        <f>IF(B1324="","",IFERROR(VLOOKUP(B1324, PLANTA_BASE!A:W, 3, FALSE), ""))</f>
        <v/>
      </c>
      <c r="D1324" s="2" t="str">
        <f>IF(B1324="","",IFERROR(VLOOKUP(B1324, PLANTA_BASE!A:W, 5, FALSE), "NO ENCONTRADO EN PLANTA"))</f>
        <v/>
      </c>
      <c r="E1324" s="2" t="str">
        <f>IF(B1324="","",IFERROR(VLOOKUP(B1324, PLANTA_BASE!A:W, 6, FALSE), "NO ENCONTRADO EN PLANTA"))</f>
        <v/>
      </c>
      <c r="F1324" s="4" t="str">
        <f>IF(B1324="","",IFERROR(VLOOKUP(B1324, PLANTA_BASE!A:W, 8, FALSE), "DOCENTE / FACILITADOR"))</f>
        <v/>
      </c>
      <c r="G1324" s="4" t="str">
        <f>IF(B1324="","",IFERROR(VLOOKUP(B1324, PLANTA_BASE!A:W, 9, FALSE), "GENERAL"))</f>
        <v/>
      </c>
      <c r="H1324" s="2" t="str">
        <f>IF(B1324="","",IFERROR(VLOOKUP(B1324, PLANTA_BASE!A:W, 17, FALSE), "GENERAL"))</f>
        <v/>
      </c>
    </row>
    <row r="1325" spans="1:8" ht="20.100000000000001" customHeight="1" x14ac:dyDescent="0.25">
      <c r="A1325" s="5" t="str">
        <f>IF(B1325="","",IFERROR(VLOOKUP(B1325, PLANTA_BASE!A:W, 2, FALSE), "NO ENCONTRADO EN PLANTA"))</f>
        <v/>
      </c>
      <c r="B1325" s="6"/>
      <c r="C1325" s="7" t="str">
        <f>IF(B1325="","",IFERROR(VLOOKUP(B1325, PLANTA_BASE!A:W, 3, FALSE), ""))</f>
        <v/>
      </c>
      <c r="D1325" s="5" t="str">
        <f>IF(B1325="","",IFERROR(VLOOKUP(B1325, PLANTA_BASE!A:W, 5, FALSE), "NO ENCONTRADO EN PLANTA"))</f>
        <v/>
      </c>
      <c r="E1325" s="5" t="str">
        <f>IF(B1325="","",IFERROR(VLOOKUP(B1325, PLANTA_BASE!A:W, 6, FALSE), "NO ENCONTRADO EN PLANTA"))</f>
        <v/>
      </c>
      <c r="F1325" s="7" t="str">
        <f>IF(B1325="","",IFERROR(VLOOKUP(B1325, PLANTA_BASE!A:W, 8, FALSE), "DOCENTE / FACILITADOR"))</f>
        <v/>
      </c>
      <c r="G1325" s="7" t="str">
        <f>IF(B1325="","",IFERROR(VLOOKUP(B1325, PLANTA_BASE!A:W, 9, FALSE), "GENERAL"))</f>
        <v/>
      </c>
      <c r="H1325" s="5" t="str">
        <f>IF(B1325="","",IFERROR(VLOOKUP(B1325, PLANTA_BASE!A:W, 17, FALSE), "GENERAL"))</f>
        <v/>
      </c>
    </row>
    <row r="1326" spans="1:8" ht="20.100000000000001" customHeight="1" x14ac:dyDescent="0.25">
      <c r="A1326" s="2" t="str">
        <f>IF(B1326="","",IFERROR(VLOOKUP(B1326, PLANTA_BASE!A:W, 2, FALSE), "NO ENCONTRADO EN PLANTA"))</f>
        <v/>
      </c>
      <c r="B1326" s="3"/>
      <c r="C1326" s="4" t="str">
        <f>IF(B1326="","",IFERROR(VLOOKUP(B1326, PLANTA_BASE!A:W, 3, FALSE), ""))</f>
        <v/>
      </c>
      <c r="D1326" s="2" t="str">
        <f>IF(B1326="","",IFERROR(VLOOKUP(B1326, PLANTA_BASE!A:W, 5, FALSE), "NO ENCONTRADO EN PLANTA"))</f>
        <v/>
      </c>
      <c r="E1326" s="2" t="str">
        <f>IF(B1326="","",IFERROR(VLOOKUP(B1326, PLANTA_BASE!A:W, 6, FALSE), "NO ENCONTRADO EN PLANTA"))</f>
        <v/>
      </c>
      <c r="F1326" s="4" t="str">
        <f>IF(B1326="","",IFERROR(VLOOKUP(B1326, PLANTA_BASE!A:W, 8, FALSE), "DOCENTE / FACILITADOR"))</f>
        <v/>
      </c>
      <c r="G1326" s="4" t="str">
        <f>IF(B1326="","",IFERROR(VLOOKUP(B1326, PLANTA_BASE!A:W, 9, FALSE), "GENERAL"))</f>
        <v/>
      </c>
      <c r="H1326" s="2" t="str">
        <f>IF(B1326="","",IFERROR(VLOOKUP(B1326, PLANTA_BASE!A:W, 17, FALSE), "GENERAL"))</f>
        <v/>
      </c>
    </row>
    <row r="1327" spans="1:8" ht="20.100000000000001" customHeight="1" x14ac:dyDescent="0.25">
      <c r="A1327" s="5" t="str">
        <f>IF(B1327="","",IFERROR(VLOOKUP(B1327, PLANTA_BASE!A:W, 2, FALSE), "NO ENCONTRADO EN PLANTA"))</f>
        <v/>
      </c>
      <c r="B1327" s="6"/>
      <c r="C1327" s="7" t="str">
        <f>IF(B1327="","",IFERROR(VLOOKUP(B1327, PLANTA_BASE!A:W, 3, FALSE), ""))</f>
        <v/>
      </c>
      <c r="D1327" s="5" t="str">
        <f>IF(B1327="","",IFERROR(VLOOKUP(B1327, PLANTA_BASE!A:W, 5, FALSE), "NO ENCONTRADO EN PLANTA"))</f>
        <v/>
      </c>
      <c r="E1327" s="5" t="str">
        <f>IF(B1327="","",IFERROR(VLOOKUP(B1327, PLANTA_BASE!A:W, 6, FALSE), "NO ENCONTRADO EN PLANTA"))</f>
        <v/>
      </c>
      <c r="F1327" s="7" t="str">
        <f>IF(B1327="","",IFERROR(VLOOKUP(B1327, PLANTA_BASE!A:W, 8, FALSE), "DOCENTE / FACILITADOR"))</f>
        <v/>
      </c>
      <c r="G1327" s="7" t="str">
        <f>IF(B1327="","",IFERROR(VLOOKUP(B1327, PLANTA_BASE!A:W, 9, FALSE), "GENERAL"))</f>
        <v/>
      </c>
      <c r="H1327" s="5" t="str">
        <f>IF(B1327="","",IFERROR(VLOOKUP(B1327, PLANTA_BASE!A:W, 17, FALSE), "GENERAL"))</f>
        <v/>
      </c>
    </row>
    <row r="1328" spans="1:8" ht="20.100000000000001" customHeight="1" x14ac:dyDescent="0.25">
      <c r="A1328" s="2" t="str">
        <f>IF(B1328="","",IFERROR(VLOOKUP(B1328, PLANTA_BASE!A:W, 2, FALSE), "NO ENCONTRADO EN PLANTA"))</f>
        <v/>
      </c>
      <c r="B1328" s="3"/>
      <c r="C1328" s="4" t="str">
        <f>IF(B1328="","",IFERROR(VLOOKUP(B1328, PLANTA_BASE!A:W, 3, FALSE), ""))</f>
        <v/>
      </c>
      <c r="D1328" s="2" t="str">
        <f>IF(B1328="","",IFERROR(VLOOKUP(B1328, PLANTA_BASE!A:W, 5, FALSE), "NO ENCONTRADO EN PLANTA"))</f>
        <v/>
      </c>
      <c r="E1328" s="2" t="str">
        <f>IF(B1328="","",IFERROR(VLOOKUP(B1328, PLANTA_BASE!A:W, 6, FALSE), "NO ENCONTRADO EN PLANTA"))</f>
        <v/>
      </c>
      <c r="F1328" s="4" t="str">
        <f>IF(B1328="","",IFERROR(VLOOKUP(B1328, PLANTA_BASE!A:W, 8, FALSE), "DOCENTE / FACILITADOR"))</f>
        <v/>
      </c>
      <c r="G1328" s="4" t="str">
        <f>IF(B1328="","",IFERROR(VLOOKUP(B1328, PLANTA_BASE!A:W, 9, FALSE), "GENERAL"))</f>
        <v/>
      </c>
      <c r="H1328" s="2" t="str">
        <f>IF(B1328="","",IFERROR(VLOOKUP(B1328, PLANTA_BASE!A:W, 17, FALSE), "GENERAL"))</f>
        <v/>
      </c>
    </row>
    <row r="1329" spans="1:8" ht="20.100000000000001" customHeight="1" x14ac:dyDescent="0.25">
      <c r="A1329" s="5" t="str">
        <f>IF(B1329="","",IFERROR(VLOOKUP(B1329, PLANTA_BASE!A:W, 2, FALSE), "NO ENCONTRADO EN PLANTA"))</f>
        <v/>
      </c>
      <c r="B1329" s="6"/>
      <c r="C1329" s="7" t="str">
        <f>IF(B1329="","",IFERROR(VLOOKUP(B1329, PLANTA_BASE!A:W, 3, FALSE), ""))</f>
        <v/>
      </c>
      <c r="D1329" s="5" t="str">
        <f>IF(B1329="","",IFERROR(VLOOKUP(B1329, PLANTA_BASE!A:W, 5, FALSE), "NO ENCONTRADO EN PLANTA"))</f>
        <v/>
      </c>
      <c r="E1329" s="5" t="str">
        <f>IF(B1329="","",IFERROR(VLOOKUP(B1329, PLANTA_BASE!A:W, 6, FALSE), "NO ENCONTRADO EN PLANTA"))</f>
        <v/>
      </c>
      <c r="F1329" s="7" t="str">
        <f>IF(B1329="","",IFERROR(VLOOKUP(B1329, PLANTA_BASE!A:W, 8, FALSE), "DOCENTE / FACILITADOR"))</f>
        <v/>
      </c>
      <c r="G1329" s="7" t="str">
        <f>IF(B1329="","",IFERROR(VLOOKUP(B1329, PLANTA_BASE!A:W, 9, FALSE), "GENERAL"))</f>
        <v/>
      </c>
      <c r="H1329" s="5" t="str">
        <f>IF(B1329="","",IFERROR(VLOOKUP(B1329, PLANTA_BASE!A:W, 17, FALSE), "GENERAL"))</f>
        <v/>
      </c>
    </row>
    <row r="1330" spans="1:8" ht="20.100000000000001" customHeight="1" x14ac:dyDescent="0.25">
      <c r="A1330" s="2" t="str">
        <f>IF(B1330="","",IFERROR(VLOOKUP(B1330, PLANTA_BASE!A:W, 2, FALSE), "NO ENCONTRADO EN PLANTA"))</f>
        <v/>
      </c>
      <c r="B1330" s="3"/>
      <c r="C1330" s="4" t="str">
        <f>IF(B1330="","",IFERROR(VLOOKUP(B1330, PLANTA_BASE!A:W, 3, FALSE), ""))</f>
        <v/>
      </c>
      <c r="D1330" s="2" t="str">
        <f>IF(B1330="","",IFERROR(VLOOKUP(B1330, PLANTA_BASE!A:W, 5, FALSE), "NO ENCONTRADO EN PLANTA"))</f>
        <v/>
      </c>
      <c r="E1330" s="2" t="str">
        <f>IF(B1330="","",IFERROR(VLOOKUP(B1330, PLANTA_BASE!A:W, 6, FALSE), "NO ENCONTRADO EN PLANTA"))</f>
        <v/>
      </c>
      <c r="F1330" s="4" t="str">
        <f>IF(B1330="","",IFERROR(VLOOKUP(B1330, PLANTA_BASE!A:W, 8, FALSE), "DOCENTE / FACILITADOR"))</f>
        <v/>
      </c>
      <c r="G1330" s="4" t="str">
        <f>IF(B1330="","",IFERROR(VLOOKUP(B1330, PLANTA_BASE!A:W, 9, FALSE), "GENERAL"))</f>
        <v/>
      </c>
      <c r="H1330" s="2" t="str">
        <f>IF(B1330="","",IFERROR(VLOOKUP(B1330, PLANTA_BASE!A:W, 17, FALSE), "GENERAL"))</f>
        <v/>
      </c>
    </row>
    <row r="1331" spans="1:8" ht="20.100000000000001" customHeight="1" x14ac:dyDescent="0.25">
      <c r="A1331" s="5" t="str">
        <f>IF(B1331="","",IFERROR(VLOOKUP(B1331, PLANTA_BASE!A:W, 2, FALSE), "NO ENCONTRADO EN PLANTA"))</f>
        <v/>
      </c>
      <c r="B1331" s="6"/>
      <c r="C1331" s="7" t="str">
        <f>IF(B1331="","",IFERROR(VLOOKUP(B1331, PLANTA_BASE!A:W, 3, FALSE), ""))</f>
        <v/>
      </c>
      <c r="D1331" s="5" t="str">
        <f>IF(B1331="","",IFERROR(VLOOKUP(B1331, PLANTA_BASE!A:W, 5, FALSE), "NO ENCONTRADO EN PLANTA"))</f>
        <v/>
      </c>
      <c r="E1331" s="5" t="str">
        <f>IF(B1331="","",IFERROR(VLOOKUP(B1331, PLANTA_BASE!A:W, 6, FALSE), "NO ENCONTRADO EN PLANTA"))</f>
        <v/>
      </c>
      <c r="F1331" s="7" t="str">
        <f>IF(B1331="","",IFERROR(VLOOKUP(B1331, PLANTA_BASE!A:W, 8, FALSE), "DOCENTE / FACILITADOR"))</f>
        <v/>
      </c>
      <c r="G1331" s="7" t="str">
        <f>IF(B1331="","",IFERROR(VLOOKUP(B1331, PLANTA_BASE!A:W, 9, FALSE), "GENERAL"))</f>
        <v/>
      </c>
      <c r="H1331" s="5" t="str">
        <f>IF(B1331="","",IFERROR(VLOOKUP(B1331, PLANTA_BASE!A:W, 17, FALSE), "GENERAL"))</f>
        <v/>
      </c>
    </row>
    <row r="1332" spans="1:8" ht="20.100000000000001" customHeight="1" x14ac:dyDescent="0.25">
      <c r="A1332" s="2" t="str">
        <f>IF(B1332="","",IFERROR(VLOOKUP(B1332, PLANTA_BASE!A:W, 2, FALSE), "NO ENCONTRADO EN PLANTA"))</f>
        <v/>
      </c>
      <c r="B1332" s="3"/>
      <c r="C1332" s="4" t="str">
        <f>IF(B1332="","",IFERROR(VLOOKUP(B1332, PLANTA_BASE!A:W, 3, FALSE), ""))</f>
        <v/>
      </c>
      <c r="D1332" s="2" t="str">
        <f>IF(B1332="","",IFERROR(VLOOKUP(B1332, PLANTA_BASE!A:W, 5, FALSE), "NO ENCONTRADO EN PLANTA"))</f>
        <v/>
      </c>
      <c r="E1332" s="2" t="str">
        <f>IF(B1332="","",IFERROR(VLOOKUP(B1332, PLANTA_BASE!A:W, 6, FALSE), "NO ENCONTRADO EN PLANTA"))</f>
        <v/>
      </c>
      <c r="F1332" s="4" t="str">
        <f>IF(B1332="","",IFERROR(VLOOKUP(B1332, PLANTA_BASE!A:W, 8, FALSE), "DOCENTE / FACILITADOR"))</f>
        <v/>
      </c>
      <c r="G1332" s="4" t="str">
        <f>IF(B1332="","",IFERROR(VLOOKUP(B1332, PLANTA_BASE!A:W, 9, FALSE), "GENERAL"))</f>
        <v/>
      </c>
      <c r="H1332" s="2" t="str">
        <f>IF(B1332="","",IFERROR(VLOOKUP(B1332, PLANTA_BASE!A:W, 17, FALSE), "GENERAL"))</f>
        <v/>
      </c>
    </row>
    <row r="1333" spans="1:8" ht="20.100000000000001" customHeight="1" x14ac:dyDescent="0.25">
      <c r="A1333" s="5" t="str">
        <f>IF(B1333="","",IFERROR(VLOOKUP(B1333, PLANTA_BASE!A:W, 2, FALSE), "NO ENCONTRADO EN PLANTA"))</f>
        <v/>
      </c>
      <c r="B1333" s="6"/>
      <c r="C1333" s="7" t="str">
        <f>IF(B1333="","",IFERROR(VLOOKUP(B1333, PLANTA_BASE!A:W, 3, FALSE), ""))</f>
        <v/>
      </c>
      <c r="D1333" s="5" t="str">
        <f>IF(B1333="","",IFERROR(VLOOKUP(B1333, PLANTA_BASE!A:W, 5, FALSE), "NO ENCONTRADO EN PLANTA"))</f>
        <v/>
      </c>
      <c r="E1333" s="5" t="str">
        <f>IF(B1333="","",IFERROR(VLOOKUP(B1333, PLANTA_BASE!A:W, 6, FALSE), "NO ENCONTRADO EN PLANTA"))</f>
        <v/>
      </c>
      <c r="F1333" s="7" t="str">
        <f>IF(B1333="","",IFERROR(VLOOKUP(B1333, PLANTA_BASE!A:W, 8, FALSE), "DOCENTE / FACILITADOR"))</f>
        <v/>
      </c>
      <c r="G1333" s="7" t="str">
        <f>IF(B1333="","",IFERROR(VLOOKUP(B1333, PLANTA_BASE!A:W, 9, FALSE), "GENERAL"))</f>
        <v/>
      </c>
      <c r="H1333" s="5" t="str">
        <f>IF(B1333="","",IFERROR(VLOOKUP(B1333, PLANTA_BASE!A:W, 17, FALSE), "GENERAL"))</f>
        <v/>
      </c>
    </row>
    <row r="1334" spans="1:8" ht="20.100000000000001" customHeight="1" x14ac:dyDescent="0.25">
      <c r="A1334" s="2" t="str">
        <f>IF(B1334="","",IFERROR(VLOOKUP(B1334, PLANTA_BASE!A:W, 2, FALSE), "NO ENCONTRADO EN PLANTA"))</f>
        <v/>
      </c>
      <c r="B1334" s="3"/>
      <c r="C1334" s="4" t="str">
        <f>IF(B1334="","",IFERROR(VLOOKUP(B1334, PLANTA_BASE!A:W, 3, FALSE), ""))</f>
        <v/>
      </c>
      <c r="D1334" s="2" t="str">
        <f>IF(B1334="","",IFERROR(VLOOKUP(B1334, PLANTA_BASE!A:W, 5, FALSE), "NO ENCONTRADO EN PLANTA"))</f>
        <v/>
      </c>
      <c r="E1334" s="2" t="str">
        <f>IF(B1334="","",IFERROR(VLOOKUP(B1334, PLANTA_BASE!A:W, 6, FALSE), "NO ENCONTRADO EN PLANTA"))</f>
        <v/>
      </c>
      <c r="F1334" s="4" t="str">
        <f>IF(B1334="","",IFERROR(VLOOKUP(B1334, PLANTA_BASE!A:W, 8, FALSE), "DOCENTE / FACILITADOR"))</f>
        <v/>
      </c>
      <c r="G1334" s="4" t="str">
        <f>IF(B1334="","",IFERROR(VLOOKUP(B1334, PLANTA_BASE!A:W, 9, FALSE), "GENERAL"))</f>
        <v/>
      </c>
      <c r="H1334" s="2" t="str">
        <f>IF(B1334="","",IFERROR(VLOOKUP(B1334, PLANTA_BASE!A:W, 17, FALSE), "GENERAL"))</f>
        <v/>
      </c>
    </row>
    <row r="1335" spans="1:8" ht="20.100000000000001" customHeight="1" x14ac:dyDescent="0.25">
      <c r="A1335" s="5" t="str">
        <f>IF(B1335="","",IFERROR(VLOOKUP(B1335, PLANTA_BASE!A:W, 2, FALSE), "NO ENCONTRADO EN PLANTA"))</f>
        <v/>
      </c>
      <c r="B1335" s="6"/>
      <c r="C1335" s="7" t="str">
        <f>IF(B1335="","",IFERROR(VLOOKUP(B1335, PLANTA_BASE!A:W, 3, FALSE), ""))</f>
        <v/>
      </c>
      <c r="D1335" s="5" t="str">
        <f>IF(B1335="","",IFERROR(VLOOKUP(B1335, PLANTA_BASE!A:W, 5, FALSE), "NO ENCONTRADO EN PLANTA"))</f>
        <v/>
      </c>
      <c r="E1335" s="5" t="str">
        <f>IF(B1335="","",IFERROR(VLOOKUP(B1335, PLANTA_BASE!A:W, 6, FALSE), "NO ENCONTRADO EN PLANTA"))</f>
        <v/>
      </c>
      <c r="F1335" s="7" t="str">
        <f>IF(B1335="","",IFERROR(VLOOKUP(B1335, PLANTA_BASE!A:W, 8, FALSE), "DOCENTE / FACILITADOR"))</f>
        <v/>
      </c>
      <c r="G1335" s="7" t="str">
        <f>IF(B1335="","",IFERROR(VLOOKUP(B1335, PLANTA_BASE!A:W, 9, FALSE), "GENERAL"))</f>
        <v/>
      </c>
      <c r="H1335" s="5" t="str">
        <f>IF(B1335="","",IFERROR(VLOOKUP(B1335, PLANTA_BASE!A:W, 17, FALSE), "GENERAL"))</f>
        <v/>
      </c>
    </row>
    <row r="1336" spans="1:8" ht="20.100000000000001" customHeight="1" x14ac:dyDescent="0.25">
      <c r="A1336" s="2" t="str">
        <f>IF(B1336="","",IFERROR(VLOOKUP(B1336, PLANTA_BASE!A:W, 2, FALSE), "NO ENCONTRADO EN PLANTA"))</f>
        <v/>
      </c>
      <c r="B1336" s="3"/>
      <c r="C1336" s="4" t="str">
        <f>IF(B1336="","",IFERROR(VLOOKUP(B1336, PLANTA_BASE!A:W, 3, FALSE), ""))</f>
        <v/>
      </c>
      <c r="D1336" s="2" t="str">
        <f>IF(B1336="","",IFERROR(VLOOKUP(B1336, PLANTA_BASE!A:W, 5, FALSE), "NO ENCONTRADO EN PLANTA"))</f>
        <v/>
      </c>
      <c r="E1336" s="2" t="str">
        <f>IF(B1336="","",IFERROR(VLOOKUP(B1336, PLANTA_BASE!A:W, 6, FALSE), "NO ENCONTRADO EN PLANTA"))</f>
        <v/>
      </c>
      <c r="F1336" s="4" t="str">
        <f>IF(B1336="","",IFERROR(VLOOKUP(B1336, PLANTA_BASE!A:W, 8, FALSE), "DOCENTE / FACILITADOR"))</f>
        <v/>
      </c>
      <c r="G1336" s="4" t="str">
        <f>IF(B1336="","",IFERROR(VLOOKUP(B1336, PLANTA_BASE!A:W, 9, FALSE), "GENERAL"))</f>
        <v/>
      </c>
      <c r="H1336" s="2" t="str">
        <f>IF(B1336="","",IFERROR(VLOOKUP(B1336, PLANTA_BASE!A:W, 17, FALSE), "GENERAL"))</f>
        <v/>
      </c>
    </row>
    <row r="1337" spans="1:8" ht="20.100000000000001" customHeight="1" x14ac:dyDescent="0.25">
      <c r="A1337" s="5" t="str">
        <f>IF(B1337="","",IFERROR(VLOOKUP(B1337, PLANTA_BASE!A:W, 2, FALSE), "NO ENCONTRADO EN PLANTA"))</f>
        <v/>
      </c>
      <c r="B1337" s="6"/>
      <c r="C1337" s="7" t="str">
        <f>IF(B1337="","",IFERROR(VLOOKUP(B1337, PLANTA_BASE!A:W, 3, FALSE), ""))</f>
        <v/>
      </c>
      <c r="D1337" s="5" t="str">
        <f>IF(B1337="","",IFERROR(VLOOKUP(B1337, PLANTA_BASE!A:W, 5, FALSE), "NO ENCONTRADO EN PLANTA"))</f>
        <v/>
      </c>
      <c r="E1337" s="5" t="str">
        <f>IF(B1337="","",IFERROR(VLOOKUP(B1337, PLANTA_BASE!A:W, 6, FALSE), "NO ENCONTRADO EN PLANTA"))</f>
        <v/>
      </c>
      <c r="F1337" s="7" t="str">
        <f>IF(B1337="","",IFERROR(VLOOKUP(B1337, PLANTA_BASE!A:W, 8, FALSE), "DOCENTE / FACILITADOR"))</f>
        <v/>
      </c>
      <c r="G1337" s="7" t="str">
        <f>IF(B1337="","",IFERROR(VLOOKUP(B1337, PLANTA_BASE!A:W, 9, FALSE), "GENERAL"))</f>
        <v/>
      </c>
      <c r="H1337" s="5" t="str">
        <f>IF(B1337="","",IFERROR(VLOOKUP(B1337, PLANTA_BASE!A:W, 17, FALSE), "GENERAL"))</f>
        <v/>
      </c>
    </row>
    <row r="1338" spans="1:8" ht="20.100000000000001" customHeight="1" x14ac:dyDescent="0.25">
      <c r="A1338" s="2" t="str">
        <f>IF(B1338="","",IFERROR(VLOOKUP(B1338, PLANTA_BASE!A:W, 2, FALSE), "NO ENCONTRADO EN PLANTA"))</f>
        <v/>
      </c>
      <c r="B1338" s="3"/>
      <c r="C1338" s="4" t="str">
        <f>IF(B1338="","",IFERROR(VLOOKUP(B1338, PLANTA_BASE!A:W, 3, FALSE), ""))</f>
        <v/>
      </c>
      <c r="D1338" s="2" t="str">
        <f>IF(B1338="","",IFERROR(VLOOKUP(B1338, PLANTA_BASE!A:W, 5, FALSE), "NO ENCONTRADO EN PLANTA"))</f>
        <v/>
      </c>
      <c r="E1338" s="2" t="str">
        <f>IF(B1338="","",IFERROR(VLOOKUP(B1338, PLANTA_BASE!A:W, 6, FALSE), "NO ENCONTRADO EN PLANTA"))</f>
        <v/>
      </c>
      <c r="F1338" s="4" t="str">
        <f>IF(B1338="","",IFERROR(VLOOKUP(B1338, PLANTA_BASE!A:W, 8, FALSE), "DOCENTE / FACILITADOR"))</f>
        <v/>
      </c>
      <c r="G1338" s="4" t="str">
        <f>IF(B1338="","",IFERROR(VLOOKUP(B1338, PLANTA_BASE!A:W, 9, FALSE), "GENERAL"))</f>
        <v/>
      </c>
      <c r="H1338" s="2" t="str">
        <f>IF(B1338="","",IFERROR(VLOOKUP(B1338, PLANTA_BASE!A:W, 17, FALSE), "GENERAL"))</f>
        <v/>
      </c>
    </row>
    <row r="1339" spans="1:8" ht="20.100000000000001" customHeight="1" x14ac:dyDescent="0.25">
      <c r="A1339" s="5" t="str">
        <f>IF(B1339="","",IFERROR(VLOOKUP(B1339, PLANTA_BASE!A:W, 2, FALSE), "NO ENCONTRADO EN PLANTA"))</f>
        <v/>
      </c>
      <c r="B1339" s="6"/>
      <c r="C1339" s="7" t="str">
        <f>IF(B1339="","",IFERROR(VLOOKUP(B1339, PLANTA_BASE!A:W, 3, FALSE), ""))</f>
        <v/>
      </c>
      <c r="D1339" s="5" t="str">
        <f>IF(B1339="","",IFERROR(VLOOKUP(B1339, PLANTA_BASE!A:W, 5, FALSE), "NO ENCONTRADO EN PLANTA"))</f>
        <v/>
      </c>
      <c r="E1339" s="5" t="str">
        <f>IF(B1339="","",IFERROR(VLOOKUP(B1339, PLANTA_BASE!A:W, 6, FALSE), "NO ENCONTRADO EN PLANTA"))</f>
        <v/>
      </c>
      <c r="F1339" s="7" t="str">
        <f>IF(B1339="","",IFERROR(VLOOKUP(B1339, PLANTA_BASE!A:W, 8, FALSE), "DOCENTE / FACILITADOR"))</f>
        <v/>
      </c>
      <c r="G1339" s="7" t="str">
        <f>IF(B1339="","",IFERROR(VLOOKUP(B1339, PLANTA_BASE!A:W, 9, FALSE), "GENERAL"))</f>
        <v/>
      </c>
      <c r="H1339" s="5" t="str">
        <f>IF(B1339="","",IFERROR(VLOOKUP(B1339, PLANTA_BASE!A:W, 17, FALSE), "GENERAL"))</f>
        <v/>
      </c>
    </row>
    <row r="1340" spans="1:8" ht="20.100000000000001" customHeight="1" x14ac:dyDescent="0.25">
      <c r="A1340" s="2" t="str">
        <f>IF(B1340="","",IFERROR(VLOOKUP(B1340, PLANTA_BASE!A:W, 2, FALSE), "NO ENCONTRADO EN PLANTA"))</f>
        <v/>
      </c>
      <c r="B1340" s="3"/>
      <c r="C1340" s="4" t="str">
        <f>IF(B1340="","",IFERROR(VLOOKUP(B1340, PLANTA_BASE!A:W, 3, FALSE), ""))</f>
        <v/>
      </c>
      <c r="D1340" s="2" t="str">
        <f>IF(B1340="","",IFERROR(VLOOKUP(B1340, PLANTA_BASE!A:W, 5, FALSE), "NO ENCONTRADO EN PLANTA"))</f>
        <v/>
      </c>
      <c r="E1340" s="2" t="str">
        <f>IF(B1340="","",IFERROR(VLOOKUP(B1340, PLANTA_BASE!A:W, 6, FALSE), "NO ENCONTRADO EN PLANTA"))</f>
        <v/>
      </c>
      <c r="F1340" s="4" t="str">
        <f>IF(B1340="","",IFERROR(VLOOKUP(B1340, PLANTA_BASE!A:W, 8, FALSE), "DOCENTE / FACILITADOR"))</f>
        <v/>
      </c>
      <c r="G1340" s="4" t="str">
        <f>IF(B1340="","",IFERROR(VLOOKUP(B1340, PLANTA_BASE!A:W, 9, FALSE), "GENERAL"))</f>
        <v/>
      </c>
      <c r="H1340" s="2" t="str">
        <f>IF(B1340="","",IFERROR(VLOOKUP(B1340, PLANTA_BASE!A:W, 17, FALSE), "GENERAL"))</f>
        <v/>
      </c>
    </row>
    <row r="1341" spans="1:8" ht="20.100000000000001" customHeight="1" x14ac:dyDescent="0.25">
      <c r="A1341" s="5" t="str">
        <f>IF(B1341="","",IFERROR(VLOOKUP(B1341, PLANTA_BASE!A:W, 2, FALSE), "NO ENCONTRADO EN PLANTA"))</f>
        <v/>
      </c>
      <c r="B1341" s="6"/>
      <c r="C1341" s="7" t="str">
        <f>IF(B1341="","",IFERROR(VLOOKUP(B1341, PLANTA_BASE!A:W, 3, FALSE), ""))</f>
        <v/>
      </c>
      <c r="D1341" s="5" t="str">
        <f>IF(B1341="","",IFERROR(VLOOKUP(B1341, PLANTA_BASE!A:W, 5, FALSE), "NO ENCONTRADO EN PLANTA"))</f>
        <v/>
      </c>
      <c r="E1341" s="5" t="str">
        <f>IF(B1341="","",IFERROR(VLOOKUP(B1341, PLANTA_BASE!A:W, 6, FALSE), "NO ENCONTRADO EN PLANTA"))</f>
        <v/>
      </c>
      <c r="F1341" s="7" t="str">
        <f>IF(B1341="","",IFERROR(VLOOKUP(B1341, PLANTA_BASE!A:W, 8, FALSE), "DOCENTE / FACILITADOR"))</f>
        <v/>
      </c>
      <c r="G1341" s="7" t="str">
        <f>IF(B1341="","",IFERROR(VLOOKUP(B1341, PLANTA_BASE!A:W, 9, FALSE), "GENERAL"))</f>
        <v/>
      </c>
      <c r="H1341" s="5" t="str">
        <f>IF(B1341="","",IFERROR(VLOOKUP(B1341, PLANTA_BASE!A:W, 17, FALSE), "GENERAL"))</f>
        <v/>
      </c>
    </row>
    <row r="1342" spans="1:8" ht="20.100000000000001" customHeight="1" x14ac:dyDescent="0.25">
      <c r="A1342" s="2" t="str">
        <f>IF(B1342="","",IFERROR(VLOOKUP(B1342, PLANTA_BASE!A:W, 2, FALSE), "NO ENCONTRADO EN PLANTA"))</f>
        <v/>
      </c>
      <c r="B1342" s="3"/>
      <c r="C1342" s="4" t="str">
        <f>IF(B1342="","",IFERROR(VLOOKUP(B1342, PLANTA_BASE!A:W, 3, FALSE), ""))</f>
        <v/>
      </c>
      <c r="D1342" s="2" t="str">
        <f>IF(B1342="","",IFERROR(VLOOKUP(B1342, PLANTA_BASE!A:W, 5, FALSE), "NO ENCONTRADO EN PLANTA"))</f>
        <v/>
      </c>
      <c r="E1342" s="2" t="str">
        <f>IF(B1342="","",IFERROR(VLOOKUP(B1342, PLANTA_BASE!A:W, 6, FALSE), "NO ENCONTRADO EN PLANTA"))</f>
        <v/>
      </c>
      <c r="F1342" s="4" t="str">
        <f>IF(B1342="","",IFERROR(VLOOKUP(B1342, PLANTA_BASE!A:W, 8, FALSE), "DOCENTE / FACILITADOR"))</f>
        <v/>
      </c>
      <c r="G1342" s="4" t="str">
        <f>IF(B1342="","",IFERROR(VLOOKUP(B1342, PLANTA_BASE!A:W, 9, FALSE), "GENERAL"))</f>
        <v/>
      </c>
      <c r="H1342" s="2" t="str">
        <f>IF(B1342="","",IFERROR(VLOOKUP(B1342, PLANTA_BASE!A:W, 17, FALSE), "GENERAL"))</f>
        <v/>
      </c>
    </row>
    <row r="1343" spans="1:8" ht="20.100000000000001" customHeight="1" x14ac:dyDescent="0.25">
      <c r="A1343" s="5" t="str">
        <f>IF(B1343="","",IFERROR(VLOOKUP(B1343, PLANTA_BASE!A:W, 2, FALSE), "NO ENCONTRADO EN PLANTA"))</f>
        <v/>
      </c>
      <c r="B1343" s="6"/>
      <c r="C1343" s="7" t="str">
        <f>IF(B1343="","",IFERROR(VLOOKUP(B1343, PLANTA_BASE!A:W, 3, FALSE), ""))</f>
        <v/>
      </c>
      <c r="D1343" s="5" t="str">
        <f>IF(B1343="","",IFERROR(VLOOKUP(B1343, PLANTA_BASE!A:W, 5, FALSE), "NO ENCONTRADO EN PLANTA"))</f>
        <v/>
      </c>
      <c r="E1343" s="5" t="str">
        <f>IF(B1343="","",IFERROR(VLOOKUP(B1343, PLANTA_BASE!A:W, 6, FALSE), "NO ENCONTRADO EN PLANTA"))</f>
        <v/>
      </c>
      <c r="F1343" s="7" t="str">
        <f>IF(B1343="","",IFERROR(VLOOKUP(B1343, PLANTA_BASE!A:W, 8, FALSE), "DOCENTE / FACILITADOR"))</f>
        <v/>
      </c>
      <c r="G1343" s="7" t="str">
        <f>IF(B1343="","",IFERROR(VLOOKUP(B1343, PLANTA_BASE!A:W, 9, FALSE), "GENERAL"))</f>
        <v/>
      </c>
      <c r="H1343" s="5" t="str">
        <f>IF(B1343="","",IFERROR(VLOOKUP(B1343, PLANTA_BASE!A:W, 17, FALSE), "GENERAL"))</f>
        <v/>
      </c>
    </row>
    <row r="1344" spans="1:8" ht="20.100000000000001" customHeight="1" x14ac:dyDescent="0.25">
      <c r="A1344" s="2" t="str">
        <f>IF(B1344="","",IFERROR(VLOOKUP(B1344, PLANTA_BASE!A:W, 2, FALSE), "NO ENCONTRADO EN PLANTA"))</f>
        <v/>
      </c>
      <c r="B1344" s="3"/>
      <c r="C1344" s="4" t="str">
        <f>IF(B1344="","",IFERROR(VLOOKUP(B1344, PLANTA_BASE!A:W, 3, FALSE), ""))</f>
        <v/>
      </c>
      <c r="D1344" s="2" t="str">
        <f>IF(B1344="","",IFERROR(VLOOKUP(B1344, PLANTA_BASE!A:W, 5, FALSE), "NO ENCONTRADO EN PLANTA"))</f>
        <v/>
      </c>
      <c r="E1344" s="2" t="str">
        <f>IF(B1344="","",IFERROR(VLOOKUP(B1344, PLANTA_BASE!A:W, 6, FALSE), "NO ENCONTRADO EN PLANTA"))</f>
        <v/>
      </c>
      <c r="F1344" s="4" t="str">
        <f>IF(B1344="","",IFERROR(VLOOKUP(B1344, PLANTA_BASE!A:W, 8, FALSE), "DOCENTE / FACILITADOR"))</f>
        <v/>
      </c>
      <c r="G1344" s="4" t="str">
        <f>IF(B1344="","",IFERROR(VLOOKUP(B1344, PLANTA_BASE!A:W, 9, FALSE), "GENERAL"))</f>
        <v/>
      </c>
      <c r="H1344" s="2" t="str">
        <f>IF(B1344="","",IFERROR(VLOOKUP(B1344, PLANTA_BASE!A:W, 17, FALSE), "GENERAL"))</f>
        <v/>
      </c>
    </row>
    <row r="1345" spans="1:8" ht="20.100000000000001" customHeight="1" x14ac:dyDescent="0.25">
      <c r="A1345" s="5" t="str">
        <f>IF(B1345="","",IFERROR(VLOOKUP(B1345, PLANTA_BASE!A:W, 2, FALSE), "NO ENCONTRADO EN PLANTA"))</f>
        <v/>
      </c>
      <c r="B1345" s="6"/>
      <c r="C1345" s="7" t="str">
        <f>IF(B1345="","",IFERROR(VLOOKUP(B1345, PLANTA_BASE!A:W, 3, FALSE), ""))</f>
        <v/>
      </c>
      <c r="D1345" s="5" t="str">
        <f>IF(B1345="","",IFERROR(VLOOKUP(B1345, PLANTA_BASE!A:W, 5, FALSE), "NO ENCONTRADO EN PLANTA"))</f>
        <v/>
      </c>
      <c r="E1345" s="5" t="str">
        <f>IF(B1345="","",IFERROR(VLOOKUP(B1345, PLANTA_BASE!A:W, 6, FALSE), "NO ENCONTRADO EN PLANTA"))</f>
        <v/>
      </c>
      <c r="F1345" s="7" t="str">
        <f>IF(B1345="","",IFERROR(VLOOKUP(B1345, PLANTA_BASE!A:W, 8, FALSE), "DOCENTE / FACILITADOR"))</f>
        <v/>
      </c>
      <c r="G1345" s="7" t="str">
        <f>IF(B1345="","",IFERROR(VLOOKUP(B1345, PLANTA_BASE!A:W, 9, FALSE), "GENERAL"))</f>
        <v/>
      </c>
      <c r="H1345" s="5" t="str">
        <f>IF(B1345="","",IFERROR(VLOOKUP(B1345, PLANTA_BASE!A:W, 17, FALSE), "GENERAL"))</f>
        <v/>
      </c>
    </row>
    <row r="1346" spans="1:8" ht="20.100000000000001" customHeight="1" x14ac:dyDescent="0.25">
      <c r="A1346" s="2" t="str">
        <f>IF(B1346="","",IFERROR(VLOOKUP(B1346, PLANTA_BASE!A:W, 2, FALSE), "NO ENCONTRADO EN PLANTA"))</f>
        <v/>
      </c>
      <c r="B1346" s="3"/>
      <c r="C1346" s="4" t="str">
        <f>IF(B1346="","",IFERROR(VLOOKUP(B1346, PLANTA_BASE!A:W, 3, FALSE), ""))</f>
        <v/>
      </c>
      <c r="D1346" s="2" t="str">
        <f>IF(B1346="","",IFERROR(VLOOKUP(B1346, PLANTA_BASE!A:W, 5, FALSE), "NO ENCONTRADO EN PLANTA"))</f>
        <v/>
      </c>
      <c r="E1346" s="2" t="str">
        <f>IF(B1346="","",IFERROR(VLOOKUP(B1346, PLANTA_BASE!A:W, 6, FALSE), "NO ENCONTRADO EN PLANTA"))</f>
        <v/>
      </c>
      <c r="F1346" s="4" t="str">
        <f>IF(B1346="","",IFERROR(VLOOKUP(B1346, PLANTA_BASE!A:W, 8, FALSE), "DOCENTE / FACILITADOR"))</f>
        <v/>
      </c>
      <c r="G1346" s="4" t="str">
        <f>IF(B1346="","",IFERROR(VLOOKUP(B1346, PLANTA_BASE!A:W, 9, FALSE), "GENERAL"))</f>
        <v/>
      </c>
      <c r="H1346" s="2" t="str">
        <f>IF(B1346="","",IFERROR(VLOOKUP(B1346, PLANTA_BASE!A:W, 17, FALSE), "GENERAL"))</f>
        <v/>
      </c>
    </row>
    <row r="1347" spans="1:8" ht="20.100000000000001" customHeight="1" x14ac:dyDescent="0.25">
      <c r="A1347" s="5" t="str">
        <f>IF(B1347="","",IFERROR(VLOOKUP(B1347, PLANTA_BASE!A:W, 2, FALSE), "NO ENCONTRADO EN PLANTA"))</f>
        <v/>
      </c>
      <c r="B1347" s="6"/>
      <c r="C1347" s="7" t="str">
        <f>IF(B1347="","",IFERROR(VLOOKUP(B1347, PLANTA_BASE!A:W, 3, FALSE), ""))</f>
        <v/>
      </c>
      <c r="D1347" s="5" t="str">
        <f>IF(B1347="","",IFERROR(VLOOKUP(B1347, PLANTA_BASE!A:W, 5, FALSE), "NO ENCONTRADO EN PLANTA"))</f>
        <v/>
      </c>
      <c r="E1347" s="5" t="str">
        <f>IF(B1347="","",IFERROR(VLOOKUP(B1347, PLANTA_BASE!A:W, 6, FALSE), "NO ENCONTRADO EN PLANTA"))</f>
        <v/>
      </c>
      <c r="F1347" s="7" t="str">
        <f>IF(B1347="","",IFERROR(VLOOKUP(B1347, PLANTA_BASE!A:W, 8, FALSE), "DOCENTE / FACILITADOR"))</f>
        <v/>
      </c>
      <c r="G1347" s="7" t="str">
        <f>IF(B1347="","",IFERROR(VLOOKUP(B1347, PLANTA_BASE!A:W, 9, FALSE), "GENERAL"))</f>
        <v/>
      </c>
      <c r="H1347" s="5" t="str">
        <f>IF(B1347="","",IFERROR(VLOOKUP(B1347, PLANTA_BASE!A:W, 17, FALSE), "GENERAL"))</f>
        <v/>
      </c>
    </row>
    <row r="1348" spans="1:8" ht="20.100000000000001" customHeight="1" x14ac:dyDescent="0.25">
      <c r="A1348" s="2" t="str">
        <f>IF(B1348="","",IFERROR(VLOOKUP(B1348, PLANTA_BASE!A:W, 2, FALSE), "NO ENCONTRADO EN PLANTA"))</f>
        <v/>
      </c>
      <c r="B1348" s="3"/>
      <c r="C1348" s="4" t="str">
        <f>IF(B1348="","",IFERROR(VLOOKUP(B1348, PLANTA_BASE!A:W, 3, FALSE), ""))</f>
        <v/>
      </c>
      <c r="D1348" s="2" t="str">
        <f>IF(B1348="","",IFERROR(VLOOKUP(B1348, PLANTA_BASE!A:W, 5, FALSE), "NO ENCONTRADO EN PLANTA"))</f>
        <v/>
      </c>
      <c r="E1348" s="2" t="str">
        <f>IF(B1348="","",IFERROR(VLOOKUP(B1348, PLANTA_BASE!A:W, 6, FALSE), "NO ENCONTRADO EN PLANTA"))</f>
        <v/>
      </c>
      <c r="F1348" s="4" t="str">
        <f>IF(B1348="","",IFERROR(VLOOKUP(B1348, PLANTA_BASE!A:W, 8, FALSE), "DOCENTE / FACILITADOR"))</f>
        <v/>
      </c>
      <c r="G1348" s="4" t="str">
        <f>IF(B1348="","",IFERROR(VLOOKUP(B1348, PLANTA_BASE!A:W, 9, FALSE), "GENERAL"))</f>
        <v/>
      </c>
      <c r="H1348" s="2" t="str">
        <f>IF(B1348="","",IFERROR(VLOOKUP(B1348, PLANTA_BASE!A:W, 17, FALSE), "GENERAL"))</f>
        <v/>
      </c>
    </row>
    <row r="1349" spans="1:8" ht="20.100000000000001" customHeight="1" x14ac:dyDescent="0.25">
      <c r="A1349" s="5" t="str">
        <f>IF(B1349="","",IFERROR(VLOOKUP(B1349, PLANTA_BASE!A:W, 2, FALSE), "NO ENCONTRADO EN PLANTA"))</f>
        <v/>
      </c>
      <c r="B1349" s="6"/>
      <c r="C1349" s="7" t="str">
        <f>IF(B1349="","",IFERROR(VLOOKUP(B1349, PLANTA_BASE!A:W, 3, FALSE), ""))</f>
        <v/>
      </c>
      <c r="D1349" s="5" t="str">
        <f>IF(B1349="","",IFERROR(VLOOKUP(B1349, PLANTA_BASE!A:W, 5, FALSE), "NO ENCONTRADO EN PLANTA"))</f>
        <v/>
      </c>
      <c r="E1349" s="5" t="str">
        <f>IF(B1349="","",IFERROR(VLOOKUP(B1349, PLANTA_BASE!A:W, 6, FALSE), "NO ENCONTRADO EN PLANTA"))</f>
        <v/>
      </c>
      <c r="F1349" s="7" t="str">
        <f>IF(B1349="","",IFERROR(VLOOKUP(B1349, PLANTA_BASE!A:W, 8, FALSE), "DOCENTE / FACILITADOR"))</f>
        <v/>
      </c>
      <c r="G1349" s="7" t="str">
        <f>IF(B1349="","",IFERROR(VLOOKUP(B1349, PLANTA_BASE!A:W, 9, FALSE), "GENERAL"))</f>
        <v/>
      </c>
      <c r="H1349" s="5" t="str">
        <f>IF(B1349="","",IFERROR(VLOOKUP(B1349, PLANTA_BASE!A:W, 17, FALSE), "GENERAL"))</f>
        <v/>
      </c>
    </row>
    <row r="1350" spans="1:8" ht="20.100000000000001" customHeight="1" x14ac:dyDescent="0.25">
      <c r="A1350" s="2" t="str">
        <f>IF(B1350="","",IFERROR(VLOOKUP(B1350, PLANTA_BASE!A:W, 2, FALSE), "NO ENCONTRADO EN PLANTA"))</f>
        <v/>
      </c>
      <c r="B1350" s="3"/>
      <c r="C1350" s="4" t="str">
        <f>IF(B1350="","",IFERROR(VLOOKUP(B1350, PLANTA_BASE!A:W, 3, FALSE), ""))</f>
        <v/>
      </c>
      <c r="D1350" s="2" t="str">
        <f>IF(B1350="","",IFERROR(VLOOKUP(B1350, PLANTA_BASE!A:W, 5, FALSE), "NO ENCONTRADO EN PLANTA"))</f>
        <v/>
      </c>
      <c r="E1350" s="2" t="str">
        <f>IF(B1350="","",IFERROR(VLOOKUP(B1350, PLANTA_BASE!A:W, 6, FALSE), "NO ENCONTRADO EN PLANTA"))</f>
        <v/>
      </c>
      <c r="F1350" s="4" t="str">
        <f>IF(B1350="","",IFERROR(VLOOKUP(B1350, PLANTA_BASE!A:W, 8, FALSE), "DOCENTE / FACILITADOR"))</f>
        <v/>
      </c>
      <c r="G1350" s="4" t="str">
        <f>IF(B1350="","",IFERROR(VLOOKUP(B1350, PLANTA_BASE!A:W, 9, FALSE), "GENERAL"))</f>
        <v/>
      </c>
      <c r="H1350" s="2" t="str">
        <f>IF(B1350="","",IFERROR(VLOOKUP(B1350, PLANTA_BASE!A:W, 17, FALSE), "GENERAL"))</f>
        <v/>
      </c>
    </row>
    <row r="1351" spans="1:8" ht="20.100000000000001" customHeight="1" x14ac:dyDescent="0.25">
      <c r="A1351" s="5" t="str">
        <f>IF(B1351="","",IFERROR(VLOOKUP(B1351, PLANTA_BASE!A:W, 2, FALSE), "NO ENCONTRADO EN PLANTA"))</f>
        <v/>
      </c>
      <c r="B1351" s="6"/>
      <c r="C1351" s="7" t="str">
        <f>IF(B1351="","",IFERROR(VLOOKUP(B1351, PLANTA_BASE!A:W, 3, FALSE), ""))</f>
        <v/>
      </c>
      <c r="D1351" s="5" t="str">
        <f>IF(B1351="","",IFERROR(VLOOKUP(B1351, PLANTA_BASE!A:W, 5, FALSE), "NO ENCONTRADO EN PLANTA"))</f>
        <v/>
      </c>
      <c r="E1351" s="5" t="str">
        <f>IF(B1351="","",IFERROR(VLOOKUP(B1351, PLANTA_BASE!A:W, 6, FALSE), "NO ENCONTRADO EN PLANTA"))</f>
        <v/>
      </c>
      <c r="F1351" s="7" t="str">
        <f>IF(B1351="","",IFERROR(VLOOKUP(B1351, PLANTA_BASE!A:W, 8, FALSE), "DOCENTE / FACILITADOR"))</f>
        <v/>
      </c>
      <c r="G1351" s="7" t="str">
        <f>IF(B1351="","",IFERROR(VLOOKUP(B1351, PLANTA_BASE!A:W, 9, FALSE), "GENERAL"))</f>
        <v/>
      </c>
      <c r="H1351" s="5" t="str">
        <f>IF(B1351="","",IFERROR(VLOOKUP(B1351, PLANTA_BASE!A:W, 17, FALSE), "GENERAL"))</f>
        <v/>
      </c>
    </row>
    <row r="1352" spans="1:8" ht="20.100000000000001" customHeight="1" x14ac:dyDescent="0.25">
      <c r="A1352" s="2" t="str">
        <f>IF(B1352="","",IFERROR(VLOOKUP(B1352, PLANTA_BASE!A:W, 2, FALSE), "NO ENCONTRADO EN PLANTA"))</f>
        <v/>
      </c>
      <c r="B1352" s="3"/>
      <c r="C1352" s="4" t="str">
        <f>IF(B1352="","",IFERROR(VLOOKUP(B1352, PLANTA_BASE!A:W, 3, FALSE), ""))</f>
        <v/>
      </c>
      <c r="D1352" s="2" t="str">
        <f>IF(B1352="","",IFERROR(VLOOKUP(B1352, PLANTA_BASE!A:W, 5, FALSE), "NO ENCONTRADO EN PLANTA"))</f>
        <v/>
      </c>
      <c r="E1352" s="2" t="str">
        <f>IF(B1352="","",IFERROR(VLOOKUP(B1352, PLANTA_BASE!A:W, 6, FALSE), "NO ENCONTRADO EN PLANTA"))</f>
        <v/>
      </c>
      <c r="F1352" s="4" t="str">
        <f>IF(B1352="","",IFERROR(VLOOKUP(B1352, PLANTA_BASE!A:W, 8, FALSE), "DOCENTE / FACILITADOR"))</f>
        <v/>
      </c>
      <c r="G1352" s="4" t="str">
        <f>IF(B1352="","",IFERROR(VLOOKUP(B1352, PLANTA_BASE!A:W, 9, FALSE), "GENERAL"))</f>
        <v/>
      </c>
      <c r="H1352" s="2" t="str">
        <f>IF(B1352="","",IFERROR(VLOOKUP(B1352, PLANTA_BASE!A:W, 17, FALSE), "GENERAL"))</f>
        <v/>
      </c>
    </row>
    <row r="1353" spans="1:8" ht="20.100000000000001" customHeight="1" x14ac:dyDescent="0.25">
      <c r="A1353" s="5" t="str">
        <f>IF(B1353="","",IFERROR(VLOOKUP(B1353, PLANTA_BASE!A:W, 2, FALSE), "NO ENCONTRADO EN PLANTA"))</f>
        <v/>
      </c>
      <c r="B1353" s="6"/>
      <c r="C1353" s="7" t="str">
        <f>IF(B1353="","",IFERROR(VLOOKUP(B1353, PLANTA_BASE!A:W, 3, FALSE), ""))</f>
        <v/>
      </c>
      <c r="D1353" s="5" t="str">
        <f>IF(B1353="","",IFERROR(VLOOKUP(B1353, PLANTA_BASE!A:W, 5, FALSE), "NO ENCONTRADO EN PLANTA"))</f>
        <v/>
      </c>
      <c r="E1353" s="5" t="str">
        <f>IF(B1353="","",IFERROR(VLOOKUP(B1353, PLANTA_BASE!A:W, 6, FALSE), "NO ENCONTRADO EN PLANTA"))</f>
        <v/>
      </c>
      <c r="F1353" s="7" t="str">
        <f>IF(B1353="","",IFERROR(VLOOKUP(B1353, PLANTA_BASE!A:W, 8, FALSE), "DOCENTE / FACILITADOR"))</f>
        <v/>
      </c>
      <c r="G1353" s="7" t="str">
        <f>IF(B1353="","",IFERROR(VLOOKUP(B1353, PLANTA_BASE!A:W, 9, FALSE), "GENERAL"))</f>
        <v/>
      </c>
      <c r="H1353" s="5" t="str">
        <f>IF(B1353="","",IFERROR(VLOOKUP(B1353, PLANTA_BASE!A:W, 17, FALSE), "GENERAL"))</f>
        <v/>
      </c>
    </row>
    <row r="1354" spans="1:8" ht="20.100000000000001" customHeight="1" x14ac:dyDescent="0.25">
      <c r="A1354" s="2" t="str">
        <f>IF(B1354="","",IFERROR(VLOOKUP(B1354, PLANTA_BASE!A:W, 2, FALSE), "NO ENCONTRADO EN PLANTA"))</f>
        <v/>
      </c>
      <c r="B1354" s="3"/>
      <c r="C1354" s="4" t="str">
        <f>IF(B1354="","",IFERROR(VLOOKUP(B1354, PLANTA_BASE!A:W, 3, FALSE), ""))</f>
        <v/>
      </c>
      <c r="D1354" s="2" t="str">
        <f>IF(B1354="","",IFERROR(VLOOKUP(B1354, PLANTA_BASE!A:W, 5, FALSE), "NO ENCONTRADO EN PLANTA"))</f>
        <v/>
      </c>
      <c r="E1354" s="2" t="str">
        <f>IF(B1354="","",IFERROR(VLOOKUP(B1354, PLANTA_BASE!A:W, 6, FALSE), "NO ENCONTRADO EN PLANTA"))</f>
        <v/>
      </c>
      <c r="F1354" s="4" t="str">
        <f>IF(B1354="","",IFERROR(VLOOKUP(B1354, PLANTA_BASE!A:W, 8, FALSE), "DOCENTE / FACILITADOR"))</f>
        <v/>
      </c>
      <c r="G1354" s="4" t="str">
        <f>IF(B1354="","",IFERROR(VLOOKUP(B1354, PLANTA_BASE!A:W, 9, FALSE), "GENERAL"))</f>
        <v/>
      </c>
      <c r="H1354" s="2" t="str">
        <f>IF(B1354="","",IFERROR(VLOOKUP(B1354, PLANTA_BASE!A:W, 17, FALSE), "GENERAL"))</f>
        <v/>
      </c>
    </row>
    <row r="1355" spans="1:8" ht="20.100000000000001" customHeight="1" x14ac:dyDescent="0.25">
      <c r="A1355" s="5" t="str">
        <f>IF(B1355="","",IFERROR(VLOOKUP(B1355, PLANTA_BASE!A:W, 2, FALSE), "NO ENCONTRADO EN PLANTA"))</f>
        <v/>
      </c>
      <c r="B1355" s="6"/>
      <c r="C1355" s="7" t="str">
        <f>IF(B1355="","",IFERROR(VLOOKUP(B1355, PLANTA_BASE!A:W, 3, FALSE), ""))</f>
        <v/>
      </c>
      <c r="D1355" s="5" t="str">
        <f>IF(B1355="","",IFERROR(VLOOKUP(B1355, PLANTA_BASE!A:W, 5, FALSE), "NO ENCONTRADO EN PLANTA"))</f>
        <v/>
      </c>
      <c r="E1355" s="5" t="str">
        <f>IF(B1355="","",IFERROR(VLOOKUP(B1355, PLANTA_BASE!A:W, 6, FALSE), "NO ENCONTRADO EN PLANTA"))</f>
        <v/>
      </c>
      <c r="F1355" s="7" t="str">
        <f>IF(B1355="","",IFERROR(VLOOKUP(B1355, PLANTA_BASE!A:W, 8, FALSE), "DOCENTE / FACILITADOR"))</f>
        <v/>
      </c>
      <c r="G1355" s="7" t="str">
        <f>IF(B1355="","",IFERROR(VLOOKUP(B1355, PLANTA_BASE!A:W, 9, FALSE), "GENERAL"))</f>
        <v/>
      </c>
      <c r="H1355" s="5" t="str">
        <f>IF(B1355="","",IFERROR(VLOOKUP(B1355, PLANTA_BASE!A:W, 17, FALSE), "GENERAL"))</f>
        <v/>
      </c>
    </row>
    <row r="1356" spans="1:8" ht="20.100000000000001" customHeight="1" x14ac:dyDescent="0.25">
      <c r="A1356" s="2" t="str">
        <f>IF(B1356="","",IFERROR(VLOOKUP(B1356, PLANTA_BASE!A:W, 2, FALSE), "NO ENCONTRADO EN PLANTA"))</f>
        <v/>
      </c>
      <c r="B1356" s="3"/>
      <c r="C1356" s="4" t="str">
        <f>IF(B1356="","",IFERROR(VLOOKUP(B1356, PLANTA_BASE!A:W, 3, FALSE), ""))</f>
        <v/>
      </c>
      <c r="D1356" s="2" t="str">
        <f>IF(B1356="","",IFERROR(VLOOKUP(B1356, PLANTA_BASE!A:W, 5, FALSE), "NO ENCONTRADO EN PLANTA"))</f>
        <v/>
      </c>
      <c r="E1356" s="2" t="str">
        <f>IF(B1356="","",IFERROR(VLOOKUP(B1356, PLANTA_BASE!A:W, 6, FALSE), "NO ENCONTRADO EN PLANTA"))</f>
        <v/>
      </c>
      <c r="F1356" s="4" t="str">
        <f>IF(B1356="","",IFERROR(VLOOKUP(B1356, PLANTA_BASE!A:W, 8, FALSE), "DOCENTE / FACILITADOR"))</f>
        <v/>
      </c>
      <c r="G1356" s="4" t="str">
        <f>IF(B1356="","",IFERROR(VLOOKUP(B1356, PLANTA_BASE!A:W, 9, FALSE), "GENERAL"))</f>
        <v/>
      </c>
      <c r="H1356" s="2" t="str">
        <f>IF(B1356="","",IFERROR(VLOOKUP(B1356, PLANTA_BASE!A:W, 17, FALSE), "GENERAL"))</f>
        <v/>
      </c>
    </row>
    <row r="1357" spans="1:8" ht="20.100000000000001" customHeight="1" x14ac:dyDescent="0.25">
      <c r="A1357" s="5" t="str">
        <f>IF(B1357="","",IFERROR(VLOOKUP(B1357, PLANTA_BASE!A:W, 2, FALSE), "NO ENCONTRADO EN PLANTA"))</f>
        <v/>
      </c>
      <c r="B1357" s="6"/>
      <c r="C1357" s="7" t="str">
        <f>IF(B1357="","",IFERROR(VLOOKUP(B1357, PLANTA_BASE!A:W, 3, FALSE), ""))</f>
        <v/>
      </c>
      <c r="D1357" s="5" t="str">
        <f>IF(B1357="","",IFERROR(VLOOKUP(B1357, PLANTA_BASE!A:W, 5, FALSE), "NO ENCONTRADO EN PLANTA"))</f>
        <v/>
      </c>
      <c r="E1357" s="5" t="str">
        <f>IF(B1357="","",IFERROR(VLOOKUP(B1357, PLANTA_BASE!A:W, 6, FALSE), "NO ENCONTRADO EN PLANTA"))</f>
        <v/>
      </c>
      <c r="F1357" s="7" t="str">
        <f>IF(B1357="","",IFERROR(VLOOKUP(B1357, PLANTA_BASE!A:W, 8, FALSE), "DOCENTE / FACILITADOR"))</f>
        <v/>
      </c>
      <c r="G1357" s="7" t="str">
        <f>IF(B1357="","",IFERROR(VLOOKUP(B1357, PLANTA_BASE!A:W, 9, FALSE), "GENERAL"))</f>
        <v/>
      </c>
      <c r="H1357" s="5" t="str">
        <f>IF(B1357="","",IFERROR(VLOOKUP(B1357, PLANTA_BASE!A:W, 17, FALSE), "GENERAL"))</f>
        <v/>
      </c>
    </row>
    <row r="1358" spans="1:8" ht="20.100000000000001" customHeight="1" x14ac:dyDescent="0.25">
      <c r="A1358" s="2" t="str">
        <f>IF(B1358="","",IFERROR(VLOOKUP(B1358, PLANTA_BASE!A:W, 2, FALSE), "NO ENCONTRADO EN PLANTA"))</f>
        <v/>
      </c>
      <c r="B1358" s="3"/>
      <c r="C1358" s="4" t="str">
        <f>IF(B1358="","",IFERROR(VLOOKUP(B1358, PLANTA_BASE!A:W, 3, FALSE), ""))</f>
        <v/>
      </c>
      <c r="D1358" s="2" t="str">
        <f>IF(B1358="","",IFERROR(VLOOKUP(B1358, PLANTA_BASE!A:W, 5, FALSE), "NO ENCONTRADO EN PLANTA"))</f>
        <v/>
      </c>
      <c r="E1358" s="2" t="str">
        <f>IF(B1358="","",IFERROR(VLOOKUP(B1358, PLANTA_BASE!A:W, 6, FALSE), "NO ENCONTRADO EN PLANTA"))</f>
        <v/>
      </c>
      <c r="F1358" s="4" t="str">
        <f>IF(B1358="","",IFERROR(VLOOKUP(B1358, PLANTA_BASE!A:W, 8, FALSE), "DOCENTE / FACILITADOR"))</f>
        <v/>
      </c>
      <c r="G1358" s="4" t="str">
        <f>IF(B1358="","",IFERROR(VLOOKUP(B1358, PLANTA_BASE!A:W, 9, FALSE), "GENERAL"))</f>
        <v/>
      </c>
      <c r="H1358" s="2" t="str">
        <f>IF(B1358="","",IFERROR(VLOOKUP(B1358, PLANTA_BASE!A:W, 17, FALSE), "GENERAL"))</f>
        <v/>
      </c>
    </row>
    <row r="1359" spans="1:8" ht="20.100000000000001" customHeight="1" x14ac:dyDescent="0.25">
      <c r="A1359" s="5" t="str">
        <f>IF(B1359="","",IFERROR(VLOOKUP(B1359, PLANTA_BASE!A:W, 2, FALSE), "NO ENCONTRADO EN PLANTA"))</f>
        <v/>
      </c>
      <c r="B1359" s="6"/>
      <c r="C1359" s="7" t="str">
        <f>IF(B1359="","",IFERROR(VLOOKUP(B1359, PLANTA_BASE!A:W, 3, FALSE), ""))</f>
        <v/>
      </c>
      <c r="D1359" s="5" t="str">
        <f>IF(B1359="","",IFERROR(VLOOKUP(B1359, PLANTA_BASE!A:W, 5, FALSE), "NO ENCONTRADO EN PLANTA"))</f>
        <v/>
      </c>
      <c r="E1359" s="5" t="str">
        <f>IF(B1359="","",IFERROR(VLOOKUP(B1359, PLANTA_BASE!A:W, 6, FALSE), "NO ENCONTRADO EN PLANTA"))</f>
        <v/>
      </c>
      <c r="F1359" s="7" t="str">
        <f>IF(B1359="","",IFERROR(VLOOKUP(B1359, PLANTA_BASE!A:W, 8, FALSE), "DOCENTE / FACILITADOR"))</f>
        <v/>
      </c>
      <c r="G1359" s="7" t="str">
        <f>IF(B1359="","",IFERROR(VLOOKUP(B1359, PLANTA_BASE!A:W, 9, FALSE), "GENERAL"))</f>
        <v/>
      </c>
      <c r="H1359" s="5" t="str">
        <f>IF(B1359="","",IFERROR(VLOOKUP(B1359, PLANTA_BASE!A:W, 17, FALSE), "GENERAL"))</f>
        <v/>
      </c>
    </row>
    <row r="1360" spans="1:8" ht="20.100000000000001" customHeight="1" x14ac:dyDescent="0.25">
      <c r="A1360" s="2" t="str">
        <f>IF(B1360="","",IFERROR(VLOOKUP(B1360, PLANTA_BASE!A:W, 2, FALSE), "NO ENCONTRADO EN PLANTA"))</f>
        <v/>
      </c>
      <c r="B1360" s="3"/>
      <c r="C1360" s="4" t="str">
        <f>IF(B1360="","",IFERROR(VLOOKUP(B1360, PLANTA_BASE!A:W, 3, FALSE), ""))</f>
        <v/>
      </c>
      <c r="D1360" s="2" t="str">
        <f>IF(B1360="","",IFERROR(VLOOKUP(B1360, PLANTA_BASE!A:W, 5, FALSE), "NO ENCONTRADO EN PLANTA"))</f>
        <v/>
      </c>
      <c r="E1360" s="2" t="str">
        <f>IF(B1360="","",IFERROR(VLOOKUP(B1360, PLANTA_BASE!A:W, 6, FALSE), "NO ENCONTRADO EN PLANTA"))</f>
        <v/>
      </c>
      <c r="F1360" s="4" t="str">
        <f>IF(B1360="","",IFERROR(VLOOKUP(B1360, PLANTA_BASE!A:W, 8, FALSE), "DOCENTE / FACILITADOR"))</f>
        <v/>
      </c>
      <c r="G1360" s="4" t="str">
        <f>IF(B1360="","",IFERROR(VLOOKUP(B1360, PLANTA_BASE!A:W, 9, FALSE), "GENERAL"))</f>
        <v/>
      </c>
      <c r="H1360" s="2" t="str">
        <f>IF(B1360="","",IFERROR(VLOOKUP(B1360, PLANTA_BASE!A:W, 17, FALSE), "GENERAL"))</f>
        <v/>
      </c>
    </row>
    <row r="1361" spans="1:8" ht="20.100000000000001" customHeight="1" x14ac:dyDescent="0.25">
      <c r="A1361" s="5" t="str">
        <f>IF(B1361="","",IFERROR(VLOOKUP(B1361, PLANTA_BASE!A:W, 2, FALSE), "NO ENCONTRADO EN PLANTA"))</f>
        <v/>
      </c>
      <c r="B1361" s="6"/>
      <c r="C1361" s="7" t="str">
        <f>IF(B1361="","",IFERROR(VLOOKUP(B1361, PLANTA_BASE!A:W, 3, FALSE), ""))</f>
        <v/>
      </c>
      <c r="D1361" s="5" t="str">
        <f>IF(B1361="","",IFERROR(VLOOKUP(B1361, PLANTA_BASE!A:W, 5, FALSE), "NO ENCONTRADO EN PLANTA"))</f>
        <v/>
      </c>
      <c r="E1361" s="5" t="str">
        <f>IF(B1361="","",IFERROR(VLOOKUP(B1361, PLANTA_BASE!A:W, 6, FALSE), "NO ENCONTRADO EN PLANTA"))</f>
        <v/>
      </c>
      <c r="F1361" s="7" t="str">
        <f>IF(B1361="","",IFERROR(VLOOKUP(B1361, PLANTA_BASE!A:W, 8, FALSE), "DOCENTE / FACILITADOR"))</f>
        <v/>
      </c>
      <c r="G1361" s="7" t="str">
        <f>IF(B1361="","",IFERROR(VLOOKUP(B1361, PLANTA_BASE!A:W, 9, FALSE), "GENERAL"))</f>
        <v/>
      </c>
      <c r="H1361" s="5" t="str">
        <f>IF(B1361="","",IFERROR(VLOOKUP(B1361, PLANTA_BASE!A:W, 17, FALSE), "GENERAL"))</f>
        <v/>
      </c>
    </row>
    <row r="1362" spans="1:8" ht="20.100000000000001" customHeight="1" x14ac:dyDescent="0.25">
      <c r="A1362" s="2" t="str">
        <f>IF(B1362="","",IFERROR(VLOOKUP(B1362, PLANTA_BASE!A:W, 2, FALSE), "NO ENCONTRADO EN PLANTA"))</f>
        <v/>
      </c>
      <c r="B1362" s="3"/>
      <c r="C1362" s="4" t="str">
        <f>IF(B1362="","",IFERROR(VLOOKUP(B1362, PLANTA_BASE!A:W, 3, FALSE), ""))</f>
        <v/>
      </c>
      <c r="D1362" s="2" t="str">
        <f>IF(B1362="","",IFERROR(VLOOKUP(B1362, PLANTA_BASE!A:W, 5, FALSE), "NO ENCONTRADO EN PLANTA"))</f>
        <v/>
      </c>
      <c r="E1362" s="2" t="str">
        <f>IF(B1362="","",IFERROR(VLOOKUP(B1362, PLANTA_BASE!A:W, 6, FALSE), "NO ENCONTRADO EN PLANTA"))</f>
        <v/>
      </c>
      <c r="F1362" s="4" t="str">
        <f>IF(B1362="","",IFERROR(VLOOKUP(B1362, PLANTA_BASE!A:W, 8, FALSE), "DOCENTE / FACILITADOR"))</f>
        <v/>
      </c>
      <c r="G1362" s="4" t="str">
        <f>IF(B1362="","",IFERROR(VLOOKUP(B1362, PLANTA_BASE!A:W, 9, FALSE), "GENERAL"))</f>
        <v/>
      </c>
      <c r="H1362" s="2" t="str">
        <f>IF(B1362="","",IFERROR(VLOOKUP(B1362, PLANTA_BASE!A:W, 17, FALSE), "GENERAL"))</f>
        <v/>
      </c>
    </row>
    <row r="1363" spans="1:8" ht="20.100000000000001" customHeight="1" x14ac:dyDescent="0.25">
      <c r="A1363" s="5" t="str">
        <f>IF(B1363="","",IFERROR(VLOOKUP(B1363, PLANTA_BASE!A:W, 2, FALSE), "NO ENCONTRADO EN PLANTA"))</f>
        <v/>
      </c>
      <c r="B1363" s="6"/>
      <c r="C1363" s="7" t="str">
        <f>IF(B1363="","",IFERROR(VLOOKUP(B1363, PLANTA_BASE!A:W, 3, FALSE), ""))</f>
        <v/>
      </c>
      <c r="D1363" s="5" t="str">
        <f>IF(B1363="","",IFERROR(VLOOKUP(B1363, PLANTA_BASE!A:W, 5, FALSE), "NO ENCONTRADO EN PLANTA"))</f>
        <v/>
      </c>
      <c r="E1363" s="5" t="str">
        <f>IF(B1363="","",IFERROR(VLOOKUP(B1363, PLANTA_BASE!A:W, 6, FALSE), "NO ENCONTRADO EN PLANTA"))</f>
        <v/>
      </c>
      <c r="F1363" s="7" t="str">
        <f>IF(B1363="","",IFERROR(VLOOKUP(B1363, PLANTA_BASE!A:W, 8, FALSE), "DOCENTE / FACILITADOR"))</f>
        <v/>
      </c>
      <c r="G1363" s="7" t="str">
        <f>IF(B1363="","",IFERROR(VLOOKUP(B1363, PLANTA_BASE!A:W, 9, FALSE), "GENERAL"))</f>
        <v/>
      </c>
      <c r="H1363" s="5" t="str">
        <f>IF(B1363="","",IFERROR(VLOOKUP(B1363, PLANTA_BASE!A:W, 17, FALSE), "GENERAL"))</f>
        <v/>
      </c>
    </row>
    <row r="1364" spans="1:8" ht="20.100000000000001" customHeight="1" x14ac:dyDescent="0.25">
      <c r="A1364" s="2" t="str">
        <f>IF(B1364="","",IFERROR(VLOOKUP(B1364, PLANTA_BASE!A:W, 2, FALSE), "NO ENCONTRADO EN PLANTA"))</f>
        <v/>
      </c>
      <c r="B1364" s="3"/>
      <c r="C1364" s="4" t="str">
        <f>IF(B1364="","",IFERROR(VLOOKUP(B1364, PLANTA_BASE!A:W, 3, FALSE), ""))</f>
        <v/>
      </c>
      <c r="D1364" s="2" t="str">
        <f>IF(B1364="","",IFERROR(VLOOKUP(B1364, PLANTA_BASE!A:W, 5, FALSE), "NO ENCONTRADO EN PLANTA"))</f>
        <v/>
      </c>
      <c r="E1364" s="2" t="str">
        <f>IF(B1364="","",IFERROR(VLOOKUP(B1364, PLANTA_BASE!A:W, 6, FALSE), "NO ENCONTRADO EN PLANTA"))</f>
        <v/>
      </c>
      <c r="F1364" s="4" t="str">
        <f>IF(B1364="","",IFERROR(VLOOKUP(B1364, PLANTA_BASE!A:W, 8, FALSE), "DOCENTE / FACILITADOR"))</f>
        <v/>
      </c>
      <c r="G1364" s="4" t="str">
        <f>IF(B1364="","",IFERROR(VLOOKUP(B1364, PLANTA_BASE!A:W, 9, FALSE), "GENERAL"))</f>
        <v/>
      </c>
      <c r="H1364" s="2" t="str">
        <f>IF(B1364="","",IFERROR(VLOOKUP(B1364, PLANTA_BASE!A:W, 17, FALSE), "GENERAL"))</f>
        <v/>
      </c>
    </row>
    <row r="1365" spans="1:8" ht="20.100000000000001" customHeight="1" x14ac:dyDescent="0.25">
      <c r="A1365" s="5" t="str">
        <f>IF(B1365="","",IFERROR(VLOOKUP(B1365, PLANTA_BASE!A:W, 2, FALSE), "NO ENCONTRADO EN PLANTA"))</f>
        <v/>
      </c>
      <c r="B1365" s="6"/>
      <c r="C1365" s="7" t="str">
        <f>IF(B1365="","",IFERROR(VLOOKUP(B1365, PLANTA_BASE!A:W, 3, FALSE), ""))</f>
        <v/>
      </c>
      <c r="D1365" s="5" t="str">
        <f>IF(B1365="","",IFERROR(VLOOKUP(B1365, PLANTA_BASE!A:W, 5, FALSE), "NO ENCONTRADO EN PLANTA"))</f>
        <v/>
      </c>
      <c r="E1365" s="5" t="str">
        <f>IF(B1365="","",IFERROR(VLOOKUP(B1365, PLANTA_BASE!A:W, 6, FALSE), "NO ENCONTRADO EN PLANTA"))</f>
        <v/>
      </c>
      <c r="F1365" s="7" t="str">
        <f>IF(B1365="","",IFERROR(VLOOKUP(B1365, PLANTA_BASE!A:W, 8, FALSE), "DOCENTE / FACILITADOR"))</f>
        <v/>
      </c>
      <c r="G1365" s="7" t="str">
        <f>IF(B1365="","",IFERROR(VLOOKUP(B1365, PLANTA_BASE!A:W, 9, FALSE), "GENERAL"))</f>
        <v/>
      </c>
      <c r="H1365" s="5" t="str">
        <f>IF(B1365="","",IFERROR(VLOOKUP(B1365, PLANTA_BASE!A:W, 17, FALSE), "GENERAL"))</f>
        <v/>
      </c>
    </row>
    <row r="1366" spans="1:8" ht="20.100000000000001" customHeight="1" x14ac:dyDescent="0.25">
      <c r="A1366" s="2" t="str">
        <f>IF(B1366="","",IFERROR(VLOOKUP(B1366, PLANTA_BASE!A:W, 2, FALSE), "NO ENCONTRADO EN PLANTA"))</f>
        <v/>
      </c>
      <c r="B1366" s="3"/>
      <c r="C1366" s="4" t="str">
        <f>IF(B1366="","",IFERROR(VLOOKUP(B1366, PLANTA_BASE!A:W, 3, FALSE), ""))</f>
        <v/>
      </c>
      <c r="D1366" s="2" t="str">
        <f>IF(B1366="","",IFERROR(VLOOKUP(B1366, PLANTA_BASE!A:W, 5, FALSE), "NO ENCONTRADO EN PLANTA"))</f>
        <v/>
      </c>
      <c r="E1366" s="2" t="str">
        <f>IF(B1366="","",IFERROR(VLOOKUP(B1366, PLANTA_BASE!A:W, 6, FALSE), "NO ENCONTRADO EN PLANTA"))</f>
        <v/>
      </c>
      <c r="F1366" s="4" t="str">
        <f>IF(B1366="","",IFERROR(VLOOKUP(B1366, PLANTA_BASE!A:W, 8, FALSE), "DOCENTE / FACILITADOR"))</f>
        <v/>
      </c>
      <c r="G1366" s="4" t="str">
        <f>IF(B1366="","",IFERROR(VLOOKUP(B1366, PLANTA_BASE!A:W, 9, FALSE), "GENERAL"))</f>
        <v/>
      </c>
      <c r="H1366" s="2" t="str">
        <f>IF(B1366="","",IFERROR(VLOOKUP(B1366, PLANTA_BASE!A:W, 17, FALSE), "GENERAL"))</f>
        <v/>
      </c>
    </row>
    <row r="1367" spans="1:8" ht="20.100000000000001" customHeight="1" x14ac:dyDescent="0.25">
      <c r="A1367" s="5" t="str">
        <f>IF(B1367="","",IFERROR(VLOOKUP(B1367, PLANTA_BASE!A:W, 2, FALSE), "NO ENCONTRADO EN PLANTA"))</f>
        <v/>
      </c>
      <c r="B1367" s="6"/>
      <c r="C1367" s="7" t="str">
        <f>IF(B1367="","",IFERROR(VLOOKUP(B1367, PLANTA_BASE!A:W, 3, FALSE), ""))</f>
        <v/>
      </c>
      <c r="D1367" s="5" t="str">
        <f>IF(B1367="","",IFERROR(VLOOKUP(B1367, PLANTA_BASE!A:W, 5, FALSE), "NO ENCONTRADO EN PLANTA"))</f>
        <v/>
      </c>
      <c r="E1367" s="5" t="str">
        <f>IF(B1367="","",IFERROR(VLOOKUP(B1367, PLANTA_BASE!A:W, 6, FALSE), "NO ENCONTRADO EN PLANTA"))</f>
        <v/>
      </c>
      <c r="F1367" s="7" t="str">
        <f>IF(B1367="","",IFERROR(VLOOKUP(B1367, PLANTA_BASE!A:W, 8, FALSE), "DOCENTE / FACILITADOR"))</f>
        <v/>
      </c>
      <c r="G1367" s="7" t="str">
        <f>IF(B1367="","",IFERROR(VLOOKUP(B1367, PLANTA_BASE!A:W, 9, FALSE), "GENERAL"))</f>
        <v/>
      </c>
      <c r="H1367" s="5" t="str">
        <f>IF(B1367="","",IFERROR(VLOOKUP(B1367, PLANTA_BASE!A:W, 17, FALSE), "GENERAL"))</f>
        <v/>
      </c>
    </row>
    <row r="1368" spans="1:8" ht="20.100000000000001" customHeight="1" x14ac:dyDescent="0.25">
      <c r="A1368" s="2" t="str">
        <f>IF(B1368="","",IFERROR(VLOOKUP(B1368, PLANTA_BASE!A:W, 2, FALSE), "NO ENCONTRADO EN PLANTA"))</f>
        <v/>
      </c>
      <c r="B1368" s="3"/>
      <c r="C1368" s="4" t="str">
        <f>IF(B1368="","",IFERROR(VLOOKUP(B1368, PLANTA_BASE!A:W, 3, FALSE), ""))</f>
        <v/>
      </c>
      <c r="D1368" s="2" t="str">
        <f>IF(B1368="","",IFERROR(VLOOKUP(B1368, PLANTA_BASE!A:W, 5, FALSE), "NO ENCONTRADO EN PLANTA"))</f>
        <v/>
      </c>
      <c r="E1368" s="2" t="str">
        <f>IF(B1368="","",IFERROR(VLOOKUP(B1368, PLANTA_BASE!A:W, 6, FALSE), "NO ENCONTRADO EN PLANTA"))</f>
        <v/>
      </c>
      <c r="F1368" s="4" t="str">
        <f>IF(B1368="","",IFERROR(VLOOKUP(B1368, PLANTA_BASE!A:W, 8, FALSE), "DOCENTE / FACILITADOR"))</f>
        <v/>
      </c>
      <c r="G1368" s="4" t="str">
        <f>IF(B1368="","",IFERROR(VLOOKUP(B1368, PLANTA_BASE!A:W, 9, FALSE), "GENERAL"))</f>
        <v/>
      </c>
      <c r="H1368" s="2" t="str">
        <f>IF(B1368="","",IFERROR(VLOOKUP(B1368, PLANTA_BASE!A:W, 17, FALSE), "GENERAL"))</f>
        <v/>
      </c>
    </row>
    <row r="1369" spans="1:8" ht="20.100000000000001" customHeight="1" x14ac:dyDescent="0.25">
      <c r="A1369" s="5" t="str">
        <f>IF(B1369="","",IFERROR(VLOOKUP(B1369, PLANTA_BASE!A:W, 2, FALSE), "NO ENCONTRADO EN PLANTA"))</f>
        <v/>
      </c>
      <c r="B1369" s="6"/>
      <c r="C1369" s="7" t="str">
        <f>IF(B1369="","",IFERROR(VLOOKUP(B1369, PLANTA_BASE!A:W, 3, FALSE), ""))</f>
        <v/>
      </c>
      <c r="D1369" s="5" t="str">
        <f>IF(B1369="","",IFERROR(VLOOKUP(B1369, PLANTA_BASE!A:W, 5, FALSE), "NO ENCONTRADO EN PLANTA"))</f>
        <v/>
      </c>
      <c r="E1369" s="5" t="str">
        <f>IF(B1369="","",IFERROR(VLOOKUP(B1369, PLANTA_BASE!A:W, 6, FALSE), "NO ENCONTRADO EN PLANTA"))</f>
        <v/>
      </c>
      <c r="F1369" s="7" t="str">
        <f>IF(B1369="","",IFERROR(VLOOKUP(B1369, PLANTA_BASE!A:W, 8, FALSE), "DOCENTE / FACILITADOR"))</f>
        <v/>
      </c>
      <c r="G1369" s="7" t="str">
        <f>IF(B1369="","",IFERROR(VLOOKUP(B1369, PLANTA_BASE!A:W, 9, FALSE), "GENERAL"))</f>
        <v/>
      </c>
      <c r="H1369" s="5" t="str">
        <f>IF(B1369="","",IFERROR(VLOOKUP(B1369, PLANTA_BASE!A:W, 17, FALSE), "GENERAL"))</f>
        <v/>
      </c>
    </row>
    <row r="1370" spans="1:8" ht="20.100000000000001" customHeight="1" x14ac:dyDescent="0.25">
      <c r="A1370" s="2" t="str">
        <f>IF(B1370="","",IFERROR(VLOOKUP(B1370, PLANTA_BASE!A:W, 2, FALSE), "NO ENCONTRADO EN PLANTA"))</f>
        <v/>
      </c>
      <c r="B1370" s="3"/>
      <c r="C1370" s="4" t="str">
        <f>IF(B1370="","",IFERROR(VLOOKUP(B1370, PLANTA_BASE!A:W, 3, FALSE), ""))</f>
        <v/>
      </c>
      <c r="D1370" s="2" t="str">
        <f>IF(B1370="","",IFERROR(VLOOKUP(B1370, PLANTA_BASE!A:W, 5, FALSE), "NO ENCONTRADO EN PLANTA"))</f>
        <v/>
      </c>
      <c r="E1370" s="2" t="str">
        <f>IF(B1370="","",IFERROR(VLOOKUP(B1370, PLANTA_BASE!A:W, 6, FALSE), "NO ENCONTRADO EN PLANTA"))</f>
        <v/>
      </c>
      <c r="F1370" s="4" t="str">
        <f>IF(B1370="","",IFERROR(VLOOKUP(B1370, PLANTA_BASE!A:W, 8, FALSE), "DOCENTE / FACILITADOR"))</f>
        <v/>
      </c>
      <c r="G1370" s="4" t="str">
        <f>IF(B1370="","",IFERROR(VLOOKUP(B1370, PLANTA_BASE!A:W, 9, FALSE), "GENERAL"))</f>
        <v/>
      </c>
      <c r="H1370" s="2" t="str">
        <f>IF(B1370="","",IFERROR(VLOOKUP(B1370, PLANTA_BASE!A:W, 17, FALSE), "GENERAL"))</f>
        <v/>
      </c>
    </row>
    <row r="1371" spans="1:8" ht="20.100000000000001" customHeight="1" x14ac:dyDescent="0.25">
      <c r="A1371" s="5" t="str">
        <f>IF(B1371="","",IFERROR(VLOOKUP(B1371, PLANTA_BASE!A:W, 2, FALSE), "NO ENCONTRADO EN PLANTA"))</f>
        <v/>
      </c>
      <c r="B1371" s="6"/>
      <c r="C1371" s="7" t="str">
        <f>IF(B1371="","",IFERROR(VLOOKUP(B1371, PLANTA_BASE!A:W, 3, FALSE), ""))</f>
        <v/>
      </c>
      <c r="D1371" s="5" t="str">
        <f>IF(B1371="","",IFERROR(VLOOKUP(B1371, PLANTA_BASE!A:W, 5, FALSE), "NO ENCONTRADO EN PLANTA"))</f>
        <v/>
      </c>
      <c r="E1371" s="5" t="str">
        <f>IF(B1371="","",IFERROR(VLOOKUP(B1371, PLANTA_BASE!A:W, 6, FALSE), "NO ENCONTRADO EN PLANTA"))</f>
        <v/>
      </c>
      <c r="F1371" s="7" t="str">
        <f>IF(B1371="","",IFERROR(VLOOKUP(B1371, PLANTA_BASE!A:W, 8, FALSE), "DOCENTE / FACILITADOR"))</f>
        <v/>
      </c>
      <c r="G1371" s="7" t="str">
        <f>IF(B1371="","",IFERROR(VLOOKUP(B1371, PLANTA_BASE!A:W, 9, FALSE), "GENERAL"))</f>
        <v/>
      </c>
      <c r="H1371" s="5" t="str">
        <f>IF(B1371="","",IFERROR(VLOOKUP(B1371, PLANTA_BASE!A:W, 17, FALSE), "GENERAL"))</f>
        <v/>
      </c>
    </row>
    <row r="1372" spans="1:8" ht="20.100000000000001" customHeight="1" x14ac:dyDescent="0.25">
      <c r="A1372" s="2" t="str">
        <f>IF(B1372="","",IFERROR(VLOOKUP(B1372, PLANTA_BASE!A:W, 2, FALSE), "NO ENCONTRADO EN PLANTA"))</f>
        <v/>
      </c>
      <c r="B1372" s="3"/>
      <c r="C1372" s="4" t="str">
        <f>IF(B1372="","",IFERROR(VLOOKUP(B1372, PLANTA_BASE!A:W, 3, FALSE), ""))</f>
        <v/>
      </c>
      <c r="D1372" s="2" t="str">
        <f>IF(B1372="","",IFERROR(VLOOKUP(B1372, PLANTA_BASE!A:W, 5, FALSE), "NO ENCONTRADO EN PLANTA"))</f>
        <v/>
      </c>
      <c r="E1372" s="2" t="str">
        <f>IF(B1372="","",IFERROR(VLOOKUP(B1372, PLANTA_BASE!A:W, 6, FALSE), "NO ENCONTRADO EN PLANTA"))</f>
        <v/>
      </c>
      <c r="F1372" s="4" t="str">
        <f>IF(B1372="","",IFERROR(VLOOKUP(B1372, PLANTA_BASE!A:W, 8, FALSE), "DOCENTE / FACILITADOR"))</f>
        <v/>
      </c>
      <c r="G1372" s="4" t="str">
        <f>IF(B1372="","",IFERROR(VLOOKUP(B1372, PLANTA_BASE!A:W, 9, FALSE), "GENERAL"))</f>
        <v/>
      </c>
      <c r="H1372" s="2" t="str">
        <f>IF(B1372="","",IFERROR(VLOOKUP(B1372, PLANTA_BASE!A:W, 17, FALSE), "GENERAL"))</f>
        <v/>
      </c>
    </row>
    <row r="1373" spans="1:8" ht="20.100000000000001" customHeight="1" x14ac:dyDescent="0.25">
      <c r="A1373" s="5" t="str">
        <f>IF(B1373="","",IFERROR(VLOOKUP(B1373, PLANTA_BASE!A:W, 2, FALSE), "NO ENCONTRADO EN PLANTA"))</f>
        <v/>
      </c>
      <c r="B1373" s="6"/>
      <c r="C1373" s="7" t="str">
        <f>IF(B1373="","",IFERROR(VLOOKUP(B1373, PLANTA_BASE!A:W, 3, FALSE), ""))</f>
        <v/>
      </c>
      <c r="D1373" s="5" t="str">
        <f>IF(B1373="","",IFERROR(VLOOKUP(B1373, PLANTA_BASE!A:W, 5, FALSE), "NO ENCONTRADO EN PLANTA"))</f>
        <v/>
      </c>
      <c r="E1373" s="5" t="str">
        <f>IF(B1373="","",IFERROR(VLOOKUP(B1373, PLANTA_BASE!A:W, 6, FALSE), "NO ENCONTRADO EN PLANTA"))</f>
        <v/>
      </c>
      <c r="F1373" s="7" t="str">
        <f>IF(B1373="","",IFERROR(VLOOKUP(B1373, PLANTA_BASE!A:W, 8, FALSE), "DOCENTE / FACILITADOR"))</f>
        <v/>
      </c>
      <c r="G1373" s="7" t="str">
        <f>IF(B1373="","",IFERROR(VLOOKUP(B1373, PLANTA_BASE!A:W, 9, FALSE), "GENERAL"))</f>
        <v/>
      </c>
      <c r="H1373" s="5" t="str">
        <f>IF(B1373="","",IFERROR(VLOOKUP(B1373, PLANTA_BASE!A:W, 17, FALSE), "GENERAL"))</f>
        <v/>
      </c>
    </row>
    <row r="1374" spans="1:8" ht="20.100000000000001" customHeight="1" x14ac:dyDescent="0.25">
      <c r="A1374" s="2" t="str">
        <f>IF(B1374="","",IFERROR(VLOOKUP(B1374, PLANTA_BASE!A:W, 2, FALSE), "NO ENCONTRADO EN PLANTA"))</f>
        <v/>
      </c>
      <c r="B1374" s="3"/>
      <c r="C1374" s="4" t="str">
        <f>IF(B1374="","",IFERROR(VLOOKUP(B1374, PLANTA_BASE!A:W, 3, FALSE), ""))</f>
        <v/>
      </c>
      <c r="D1374" s="2" t="str">
        <f>IF(B1374="","",IFERROR(VLOOKUP(B1374, PLANTA_BASE!A:W, 5, FALSE), "NO ENCONTRADO EN PLANTA"))</f>
        <v/>
      </c>
      <c r="E1374" s="2" t="str">
        <f>IF(B1374="","",IFERROR(VLOOKUP(B1374, PLANTA_BASE!A:W, 6, FALSE), "NO ENCONTRADO EN PLANTA"))</f>
        <v/>
      </c>
      <c r="F1374" s="4" t="str">
        <f>IF(B1374="","",IFERROR(VLOOKUP(B1374, PLANTA_BASE!A:W, 8, FALSE), "DOCENTE / FACILITADOR"))</f>
        <v/>
      </c>
      <c r="G1374" s="4" t="str">
        <f>IF(B1374="","",IFERROR(VLOOKUP(B1374, PLANTA_BASE!A:W, 9, FALSE), "GENERAL"))</f>
        <v/>
      </c>
      <c r="H1374" s="2" t="str">
        <f>IF(B1374="","",IFERROR(VLOOKUP(B1374, PLANTA_BASE!A:W, 17, FALSE), "GENERAL"))</f>
        <v/>
      </c>
    </row>
    <row r="1375" spans="1:8" ht="20.100000000000001" customHeight="1" x14ac:dyDescent="0.25">
      <c r="A1375" s="5" t="str">
        <f>IF(B1375="","",IFERROR(VLOOKUP(B1375, PLANTA_BASE!A:W, 2, FALSE), "NO ENCONTRADO EN PLANTA"))</f>
        <v/>
      </c>
      <c r="B1375" s="6"/>
      <c r="C1375" s="7" t="str">
        <f>IF(B1375="","",IFERROR(VLOOKUP(B1375, PLANTA_BASE!A:W, 3, FALSE), ""))</f>
        <v/>
      </c>
      <c r="D1375" s="5" t="str">
        <f>IF(B1375="","",IFERROR(VLOOKUP(B1375, PLANTA_BASE!A:W, 5, FALSE), "NO ENCONTRADO EN PLANTA"))</f>
        <v/>
      </c>
      <c r="E1375" s="5" t="str">
        <f>IF(B1375="","",IFERROR(VLOOKUP(B1375, PLANTA_BASE!A:W, 6, FALSE), "NO ENCONTRADO EN PLANTA"))</f>
        <v/>
      </c>
      <c r="F1375" s="7" t="str">
        <f>IF(B1375="","",IFERROR(VLOOKUP(B1375, PLANTA_BASE!A:W, 8, FALSE), "DOCENTE / FACILITADOR"))</f>
        <v/>
      </c>
      <c r="G1375" s="7" t="str">
        <f>IF(B1375="","",IFERROR(VLOOKUP(B1375, PLANTA_BASE!A:W, 9, FALSE), "GENERAL"))</f>
        <v/>
      </c>
      <c r="H1375" s="5" t="str">
        <f>IF(B1375="","",IFERROR(VLOOKUP(B1375, PLANTA_BASE!A:W, 17, FALSE), "GENERAL"))</f>
        <v/>
      </c>
    </row>
    <row r="1376" spans="1:8" ht="20.100000000000001" customHeight="1" x14ac:dyDescent="0.25">
      <c r="A1376" s="2" t="str">
        <f>IF(B1376="","",IFERROR(VLOOKUP(B1376, PLANTA_BASE!A:W, 2, FALSE), "NO ENCONTRADO EN PLANTA"))</f>
        <v/>
      </c>
      <c r="B1376" s="3"/>
      <c r="C1376" s="4" t="str">
        <f>IF(B1376="","",IFERROR(VLOOKUP(B1376, PLANTA_BASE!A:W, 3, FALSE), ""))</f>
        <v/>
      </c>
      <c r="D1376" s="2" t="str">
        <f>IF(B1376="","",IFERROR(VLOOKUP(B1376, PLANTA_BASE!A:W, 5, FALSE), "NO ENCONTRADO EN PLANTA"))</f>
        <v/>
      </c>
      <c r="E1376" s="2" t="str">
        <f>IF(B1376="","",IFERROR(VLOOKUP(B1376, PLANTA_BASE!A:W, 6, FALSE), "NO ENCONTRADO EN PLANTA"))</f>
        <v/>
      </c>
      <c r="F1376" s="4" t="str">
        <f>IF(B1376="","",IFERROR(VLOOKUP(B1376, PLANTA_BASE!A:W, 8, FALSE), "DOCENTE / FACILITADOR"))</f>
        <v/>
      </c>
      <c r="G1376" s="4" t="str">
        <f>IF(B1376="","",IFERROR(VLOOKUP(B1376, PLANTA_BASE!A:W, 9, FALSE), "GENERAL"))</f>
        <v/>
      </c>
      <c r="H1376" s="2" t="str">
        <f>IF(B1376="","",IFERROR(VLOOKUP(B1376, PLANTA_BASE!A:W, 17, FALSE), "GENERAL"))</f>
        <v/>
      </c>
    </row>
    <row r="1377" spans="1:8" ht="20.100000000000001" customHeight="1" x14ac:dyDescent="0.25">
      <c r="A1377" s="5" t="str">
        <f>IF(B1377="","",IFERROR(VLOOKUP(B1377, PLANTA_BASE!A:W, 2, FALSE), "NO ENCONTRADO EN PLANTA"))</f>
        <v/>
      </c>
      <c r="B1377" s="6"/>
      <c r="C1377" s="7" t="str">
        <f>IF(B1377="","",IFERROR(VLOOKUP(B1377, PLANTA_BASE!A:W, 3, FALSE), ""))</f>
        <v/>
      </c>
      <c r="D1377" s="5" t="str">
        <f>IF(B1377="","",IFERROR(VLOOKUP(B1377, PLANTA_BASE!A:W, 5, FALSE), "NO ENCONTRADO EN PLANTA"))</f>
        <v/>
      </c>
      <c r="E1377" s="5" t="str">
        <f>IF(B1377="","",IFERROR(VLOOKUP(B1377, PLANTA_BASE!A:W, 6, FALSE), "NO ENCONTRADO EN PLANTA"))</f>
        <v/>
      </c>
      <c r="F1377" s="7" t="str">
        <f>IF(B1377="","",IFERROR(VLOOKUP(B1377, PLANTA_BASE!A:W, 8, FALSE), "DOCENTE / FACILITADOR"))</f>
        <v/>
      </c>
      <c r="G1377" s="7" t="str">
        <f>IF(B1377="","",IFERROR(VLOOKUP(B1377, PLANTA_BASE!A:W, 9, FALSE), "GENERAL"))</f>
        <v/>
      </c>
      <c r="H1377" s="5" t="str">
        <f>IF(B1377="","",IFERROR(VLOOKUP(B1377, PLANTA_BASE!A:W, 17, FALSE), "GENERAL"))</f>
        <v/>
      </c>
    </row>
    <row r="1378" spans="1:8" ht="20.100000000000001" customHeight="1" x14ac:dyDescent="0.25">
      <c r="A1378" s="2" t="str">
        <f>IF(B1378="","",IFERROR(VLOOKUP(B1378, PLANTA_BASE!A:W, 2, FALSE), "NO ENCONTRADO EN PLANTA"))</f>
        <v/>
      </c>
      <c r="B1378" s="3"/>
      <c r="C1378" s="4" t="str">
        <f>IF(B1378="","",IFERROR(VLOOKUP(B1378, PLANTA_BASE!A:W, 3, FALSE), ""))</f>
        <v/>
      </c>
      <c r="D1378" s="2" t="str">
        <f>IF(B1378="","",IFERROR(VLOOKUP(B1378, PLANTA_BASE!A:W, 5, FALSE), "NO ENCONTRADO EN PLANTA"))</f>
        <v/>
      </c>
      <c r="E1378" s="2" t="str">
        <f>IF(B1378="","",IFERROR(VLOOKUP(B1378, PLANTA_BASE!A:W, 6, FALSE), "NO ENCONTRADO EN PLANTA"))</f>
        <v/>
      </c>
      <c r="F1378" s="4" t="str">
        <f>IF(B1378="","",IFERROR(VLOOKUP(B1378, PLANTA_BASE!A:W, 8, FALSE), "DOCENTE / FACILITADOR"))</f>
        <v/>
      </c>
      <c r="G1378" s="4" t="str">
        <f>IF(B1378="","",IFERROR(VLOOKUP(B1378, PLANTA_BASE!A:W, 9, FALSE), "GENERAL"))</f>
        <v/>
      </c>
      <c r="H1378" s="2" t="str">
        <f>IF(B1378="","",IFERROR(VLOOKUP(B1378, PLANTA_BASE!A:W, 17, FALSE), "GENERAL"))</f>
        <v/>
      </c>
    </row>
    <row r="1379" spans="1:8" ht="20.100000000000001" customHeight="1" x14ac:dyDescent="0.25">
      <c r="A1379" s="5" t="str">
        <f>IF(B1379="","",IFERROR(VLOOKUP(B1379, PLANTA_BASE!A:W, 2, FALSE), "NO ENCONTRADO EN PLANTA"))</f>
        <v/>
      </c>
      <c r="B1379" s="6"/>
      <c r="C1379" s="7" t="str">
        <f>IF(B1379="","",IFERROR(VLOOKUP(B1379, PLANTA_BASE!A:W, 3, FALSE), ""))</f>
        <v/>
      </c>
      <c r="D1379" s="5" t="str">
        <f>IF(B1379="","",IFERROR(VLOOKUP(B1379, PLANTA_BASE!A:W, 5, FALSE), "NO ENCONTRADO EN PLANTA"))</f>
        <v/>
      </c>
      <c r="E1379" s="5" t="str">
        <f>IF(B1379="","",IFERROR(VLOOKUP(B1379, PLANTA_BASE!A:W, 6, FALSE), "NO ENCONTRADO EN PLANTA"))</f>
        <v/>
      </c>
      <c r="F1379" s="7" t="str">
        <f>IF(B1379="","",IFERROR(VLOOKUP(B1379, PLANTA_BASE!A:W, 8, FALSE), "DOCENTE / FACILITADOR"))</f>
        <v/>
      </c>
      <c r="G1379" s="7" t="str">
        <f>IF(B1379="","",IFERROR(VLOOKUP(B1379, PLANTA_BASE!A:W, 9, FALSE), "GENERAL"))</f>
        <v/>
      </c>
      <c r="H1379" s="5" t="str">
        <f>IF(B1379="","",IFERROR(VLOOKUP(B1379, PLANTA_BASE!A:W, 17, FALSE), "GENERAL"))</f>
        <v/>
      </c>
    </row>
    <row r="1380" spans="1:8" ht="20.100000000000001" customHeight="1" x14ac:dyDescent="0.25">
      <c r="A1380" s="2" t="str">
        <f>IF(B1380="","",IFERROR(VLOOKUP(B1380, PLANTA_BASE!A:W, 2, FALSE), "NO ENCONTRADO EN PLANTA"))</f>
        <v/>
      </c>
      <c r="B1380" s="3"/>
      <c r="C1380" s="4" t="str">
        <f>IF(B1380="","",IFERROR(VLOOKUP(B1380, PLANTA_BASE!A:W, 3, FALSE), ""))</f>
        <v/>
      </c>
      <c r="D1380" s="2" t="str">
        <f>IF(B1380="","",IFERROR(VLOOKUP(B1380, PLANTA_BASE!A:W, 5, FALSE), "NO ENCONTRADO EN PLANTA"))</f>
        <v/>
      </c>
      <c r="E1380" s="2" t="str">
        <f>IF(B1380="","",IFERROR(VLOOKUP(B1380, PLANTA_BASE!A:W, 6, FALSE), "NO ENCONTRADO EN PLANTA"))</f>
        <v/>
      </c>
      <c r="F1380" s="4" t="str">
        <f>IF(B1380="","",IFERROR(VLOOKUP(B1380, PLANTA_BASE!A:W, 8, FALSE), "DOCENTE / FACILITADOR"))</f>
        <v/>
      </c>
      <c r="G1380" s="4" t="str">
        <f>IF(B1380="","",IFERROR(VLOOKUP(B1380, PLANTA_BASE!A:W, 9, FALSE), "GENERAL"))</f>
        <v/>
      </c>
      <c r="H1380" s="2" t="str">
        <f>IF(B1380="","",IFERROR(VLOOKUP(B1380, PLANTA_BASE!A:W, 17, FALSE), "GENERAL"))</f>
        <v/>
      </c>
    </row>
    <row r="1381" spans="1:8" ht="20.100000000000001" customHeight="1" x14ac:dyDescent="0.25">
      <c r="A1381" s="5" t="str">
        <f>IF(B1381="","",IFERROR(VLOOKUP(B1381, PLANTA_BASE!A:W, 2, FALSE), "NO ENCONTRADO EN PLANTA"))</f>
        <v/>
      </c>
      <c r="B1381" s="6"/>
      <c r="C1381" s="7" t="str">
        <f>IF(B1381="","",IFERROR(VLOOKUP(B1381, PLANTA_BASE!A:W, 3, FALSE), ""))</f>
        <v/>
      </c>
      <c r="D1381" s="5" t="str">
        <f>IF(B1381="","",IFERROR(VLOOKUP(B1381, PLANTA_BASE!A:W, 5, FALSE), "NO ENCONTRADO EN PLANTA"))</f>
        <v/>
      </c>
      <c r="E1381" s="5" t="str">
        <f>IF(B1381="","",IFERROR(VLOOKUP(B1381, PLANTA_BASE!A:W, 6, FALSE), "NO ENCONTRADO EN PLANTA"))</f>
        <v/>
      </c>
      <c r="F1381" s="7" t="str">
        <f>IF(B1381="","",IFERROR(VLOOKUP(B1381, PLANTA_BASE!A:W, 8, FALSE), "DOCENTE / FACILITADOR"))</f>
        <v/>
      </c>
      <c r="G1381" s="7" t="str">
        <f>IF(B1381="","",IFERROR(VLOOKUP(B1381, PLANTA_BASE!A:W, 9, FALSE), "GENERAL"))</f>
        <v/>
      </c>
      <c r="H1381" s="5" t="str">
        <f>IF(B1381="","",IFERROR(VLOOKUP(B1381, PLANTA_BASE!A:W, 17, FALSE), "GENERAL"))</f>
        <v/>
      </c>
    </row>
    <row r="1382" spans="1:8" ht="20.100000000000001" customHeight="1" x14ac:dyDescent="0.25">
      <c r="A1382" s="2" t="str">
        <f>IF(B1382="","",IFERROR(VLOOKUP(B1382, PLANTA_BASE!A:W, 2, FALSE), "NO ENCONTRADO EN PLANTA"))</f>
        <v/>
      </c>
      <c r="B1382" s="3"/>
      <c r="C1382" s="4" t="str">
        <f>IF(B1382="","",IFERROR(VLOOKUP(B1382, PLANTA_BASE!A:W, 3, FALSE), ""))</f>
        <v/>
      </c>
      <c r="D1382" s="2" t="str">
        <f>IF(B1382="","",IFERROR(VLOOKUP(B1382, PLANTA_BASE!A:W, 5, FALSE), "NO ENCONTRADO EN PLANTA"))</f>
        <v/>
      </c>
      <c r="E1382" s="2" t="str">
        <f>IF(B1382="","",IFERROR(VLOOKUP(B1382, PLANTA_BASE!A:W, 6, FALSE), "NO ENCONTRADO EN PLANTA"))</f>
        <v/>
      </c>
      <c r="F1382" s="4" t="str">
        <f>IF(B1382="","",IFERROR(VLOOKUP(B1382, PLANTA_BASE!A:W, 8, FALSE), "DOCENTE / FACILITADOR"))</f>
        <v/>
      </c>
      <c r="G1382" s="4" t="str">
        <f>IF(B1382="","",IFERROR(VLOOKUP(B1382, PLANTA_BASE!A:W, 9, FALSE), "GENERAL"))</f>
        <v/>
      </c>
      <c r="H1382" s="2" t="str">
        <f>IF(B1382="","",IFERROR(VLOOKUP(B1382, PLANTA_BASE!A:W, 17, FALSE), "GENERAL"))</f>
        <v/>
      </c>
    </row>
    <row r="1383" spans="1:8" ht="20.100000000000001" customHeight="1" x14ac:dyDescent="0.25">
      <c r="A1383" s="5" t="str">
        <f>IF(B1383="","",IFERROR(VLOOKUP(B1383, PLANTA_BASE!A:W, 2, FALSE), "NO ENCONTRADO EN PLANTA"))</f>
        <v/>
      </c>
      <c r="B1383" s="6"/>
      <c r="C1383" s="7" t="str">
        <f>IF(B1383="","",IFERROR(VLOOKUP(B1383, PLANTA_BASE!A:W, 3, FALSE), ""))</f>
        <v/>
      </c>
      <c r="D1383" s="5" t="str">
        <f>IF(B1383="","",IFERROR(VLOOKUP(B1383, PLANTA_BASE!A:W, 5, FALSE), "NO ENCONTRADO EN PLANTA"))</f>
        <v/>
      </c>
      <c r="E1383" s="5" t="str">
        <f>IF(B1383="","",IFERROR(VLOOKUP(B1383, PLANTA_BASE!A:W, 6, FALSE), "NO ENCONTRADO EN PLANTA"))</f>
        <v/>
      </c>
      <c r="F1383" s="7" t="str">
        <f>IF(B1383="","",IFERROR(VLOOKUP(B1383, PLANTA_BASE!A:W, 8, FALSE), "DOCENTE / FACILITADOR"))</f>
        <v/>
      </c>
      <c r="G1383" s="7" t="str">
        <f>IF(B1383="","",IFERROR(VLOOKUP(B1383, PLANTA_BASE!A:W, 9, FALSE), "GENERAL"))</f>
        <v/>
      </c>
      <c r="H1383" s="5" t="str">
        <f>IF(B1383="","",IFERROR(VLOOKUP(B1383, PLANTA_BASE!A:W, 17, FALSE), "GENERAL"))</f>
        <v/>
      </c>
    </row>
    <row r="1384" spans="1:8" ht="20.100000000000001" customHeight="1" x14ac:dyDescent="0.25">
      <c r="A1384" s="2" t="str">
        <f>IF(B1384="","",IFERROR(VLOOKUP(B1384, PLANTA_BASE!A:W, 2, FALSE), "NO ENCONTRADO EN PLANTA"))</f>
        <v/>
      </c>
      <c r="B1384" s="3"/>
      <c r="C1384" s="4" t="str">
        <f>IF(B1384="","",IFERROR(VLOOKUP(B1384, PLANTA_BASE!A:W, 3, FALSE), ""))</f>
        <v/>
      </c>
      <c r="D1384" s="2" t="str">
        <f>IF(B1384="","",IFERROR(VLOOKUP(B1384, PLANTA_BASE!A:W, 5, FALSE), "NO ENCONTRADO EN PLANTA"))</f>
        <v/>
      </c>
      <c r="E1384" s="2" t="str">
        <f>IF(B1384="","",IFERROR(VLOOKUP(B1384, PLANTA_BASE!A:W, 6, FALSE), "NO ENCONTRADO EN PLANTA"))</f>
        <v/>
      </c>
      <c r="F1384" s="4" t="str">
        <f>IF(B1384="","",IFERROR(VLOOKUP(B1384, PLANTA_BASE!A:W, 8, FALSE), "DOCENTE / FACILITADOR"))</f>
        <v/>
      </c>
      <c r="G1384" s="4" t="str">
        <f>IF(B1384="","",IFERROR(VLOOKUP(B1384, PLANTA_BASE!A:W, 9, FALSE), "GENERAL"))</f>
        <v/>
      </c>
      <c r="H1384" s="2" t="str">
        <f>IF(B1384="","",IFERROR(VLOOKUP(B1384, PLANTA_BASE!A:W, 17, FALSE), "GENERAL"))</f>
        <v/>
      </c>
    </row>
    <row r="1385" spans="1:8" ht="20.100000000000001" customHeight="1" x14ac:dyDescent="0.25">
      <c r="A1385" s="5" t="str">
        <f>IF(B1385="","",IFERROR(VLOOKUP(B1385, PLANTA_BASE!A:W, 2, FALSE), "NO ENCONTRADO EN PLANTA"))</f>
        <v/>
      </c>
      <c r="B1385" s="6"/>
      <c r="C1385" s="7" t="str">
        <f>IF(B1385="","",IFERROR(VLOOKUP(B1385, PLANTA_BASE!A:W, 3, FALSE), ""))</f>
        <v/>
      </c>
      <c r="D1385" s="5" t="str">
        <f>IF(B1385="","",IFERROR(VLOOKUP(B1385, PLANTA_BASE!A:W, 5, FALSE), "NO ENCONTRADO EN PLANTA"))</f>
        <v/>
      </c>
      <c r="E1385" s="5" t="str">
        <f>IF(B1385="","",IFERROR(VLOOKUP(B1385, PLANTA_BASE!A:W, 6, FALSE), "NO ENCONTRADO EN PLANTA"))</f>
        <v/>
      </c>
      <c r="F1385" s="7" t="str">
        <f>IF(B1385="","",IFERROR(VLOOKUP(B1385, PLANTA_BASE!A:W, 8, FALSE), "DOCENTE / FACILITADOR"))</f>
        <v/>
      </c>
      <c r="G1385" s="7" t="str">
        <f>IF(B1385="","",IFERROR(VLOOKUP(B1385, PLANTA_BASE!A:W, 9, FALSE), "GENERAL"))</f>
        <v/>
      </c>
      <c r="H1385" s="5" t="str">
        <f>IF(B1385="","",IFERROR(VLOOKUP(B1385, PLANTA_BASE!A:W, 17, FALSE), "GENERAL"))</f>
        <v/>
      </c>
    </row>
    <row r="1386" spans="1:8" ht="20.100000000000001" customHeight="1" x14ac:dyDescent="0.25">
      <c r="A1386" s="2" t="str">
        <f>IF(B1386="","",IFERROR(VLOOKUP(B1386, PLANTA_BASE!A:W, 2, FALSE), "NO ENCONTRADO EN PLANTA"))</f>
        <v/>
      </c>
      <c r="B1386" s="3"/>
      <c r="C1386" s="4" t="str">
        <f>IF(B1386="","",IFERROR(VLOOKUP(B1386, PLANTA_BASE!A:W, 3, FALSE), ""))</f>
        <v/>
      </c>
      <c r="D1386" s="2" t="str">
        <f>IF(B1386="","",IFERROR(VLOOKUP(B1386, PLANTA_BASE!A:W, 5, FALSE), "NO ENCONTRADO EN PLANTA"))</f>
        <v/>
      </c>
      <c r="E1386" s="2" t="str">
        <f>IF(B1386="","",IFERROR(VLOOKUP(B1386, PLANTA_BASE!A:W, 6, FALSE), "NO ENCONTRADO EN PLANTA"))</f>
        <v/>
      </c>
      <c r="F1386" s="4" t="str">
        <f>IF(B1386="","",IFERROR(VLOOKUP(B1386, PLANTA_BASE!A:W, 8, FALSE), "DOCENTE / FACILITADOR"))</f>
        <v/>
      </c>
      <c r="G1386" s="4" t="str">
        <f>IF(B1386="","",IFERROR(VLOOKUP(B1386, PLANTA_BASE!A:W, 9, FALSE), "GENERAL"))</f>
        <v/>
      </c>
      <c r="H1386" s="2" t="str">
        <f>IF(B1386="","",IFERROR(VLOOKUP(B1386, PLANTA_BASE!A:W, 17, FALSE), "GENERAL"))</f>
        <v/>
      </c>
    </row>
    <row r="1387" spans="1:8" ht="20.100000000000001" customHeight="1" x14ac:dyDescent="0.25">
      <c r="A1387" s="5" t="str">
        <f>IF(B1387="","",IFERROR(VLOOKUP(B1387, PLANTA_BASE!A:W, 2, FALSE), "NO ENCONTRADO EN PLANTA"))</f>
        <v/>
      </c>
      <c r="B1387" s="6"/>
      <c r="C1387" s="7" t="str">
        <f>IF(B1387="","",IFERROR(VLOOKUP(B1387, PLANTA_BASE!A:W, 3, FALSE), ""))</f>
        <v/>
      </c>
      <c r="D1387" s="5" t="str">
        <f>IF(B1387="","",IFERROR(VLOOKUP(B1387, PLANTA_BASE!A:W, 5, FALSE), "NO ENCONTRADO EN PLANTA"))</f>
        <v/>
      </c>
      <c r="E1387" s="5" t="str">
        <f>IF(B1387="","",IFERROR(VLOOKUP(B1387, PLANTA_BASE!A:W, 6, FALSE), "NO ENCONTRADO EN PLANTA"))</f>
        <v/>
      </c>
      <c r="F1387" s="7" t="str">
        <f>IF(B1387="","",IFERROR(VLOOKUP(B1387, PLANTA_BASE!A:W, 8, FALSE), "DOCENTE / FACILITADOR"))</f>
        <v/>
      </c>
      <c r="G1387" s="7" t="str">
        <f>IF(B1387="","",IFERROR(VLOOKUP(B1387, PLANTA_BASE!A:W, 9, FALSE), "GENERAL"))</f>
        <v/>
      </c>
      <c r="H1387" s="5" t="str">
        <f>IF(B1387="","",IFERROR(VLOOKUP(B1387, PLANTA_BASE!A:W, 17, FALSE), "GENERAL"))</f>
        <v/>
      </c>
    </row>
    <row r="1388" spans="1:8" ht="20.100000000000001" customHeight="1" x14ac:dyDescent="0.25">
      <c r="A1388" s="2" t="str">
        <f>IF(B1388="","",IFERROR(VLOOKUP(B1388, PLANTA_BASE!A:W, 2, FALSE), "NO ENCONTRADO EN PLANTA"))</f>
        <v/>
      </c>
      <c r="B1388" s="3"/>
      <c r="C1388" s="4" t="str">
        <f>IF(B1388="","",IFERROR(VLOOKUP(B1388, PLANTA_BASE!A:W, 3, FALSE), ""))</f>
        <v/>
      </c>
      <c r="D1388" s="2" t="str">
        <f>IF(B1388="","",IFERROR(VLOOKUP(B1388, PLANTA_BASE!A:W, 5, FALSE), "NO ENCONTRADO EN PLANTA"))</f>
        <v/>
      </c>
      <c r="E1388" s="2" t="str">
        <f>IF(B1388="","",IFERROR(VLOOKUP(B1388, PLANTA_BASE!A:W, 6, FALSE), "NO ENCONTRADO EN PLANTA"))</f>
        <v/>
      </c>
      <c r="F1388" s="4" t="str">
        <f>IF(B1388="","",IFERROR(VLOOKUP(B1388, PLANTA_BASE!A:W, 8, FALSE), "DOCENTE / FACILITADOR"))</f>
        <v/>
      </c>
      <c r="G1388" s="4" t="str">
        <f>IF(B1388="","",IFERROR(VLOOKUP(B1388, PLANTA_BASE!A:W, 9, FALSE), "GENERAL"))</f>
        <v/>
      </c>
      <c r="H1388" s="2" t="str">
        <f>IF(B1388="","",IFERROR(VLOOKUP(B1388, PLANTA_BASE!A:W, 17, FALSE), "GENERAL"))</f>
        <v/>
      </c>
    </row>
    <row r="1389" spans="1:8" ht="20.100000000000001" customHeight="1" x14ac:dyDescent="0.25">
      <c r="A1389" s="5" t="str">
        <f>IF(B1389="","",IFERROR(VLOOKUP(B1389, PLANTA_BASE!A:W, 2, FALSE), "NO ENCONTRADO EN PLANTA"))</f>
        <v/>
      </c>
      <c r="B1389" s="6"/>
      <c r="C1389" s="7" t="str">
        <f>IF(B1389="","",IFERROR(VLOOKUP(B1389, PLANTA_BASE!A:W, 3, FALSE), ""))</f>
        <v/>
      </c>
      <c r="D1389" s="5" t="str">
        <f>IF(B1389="","",IFERROR(VLOOKUP(B1389, PLANTA_BASE!A:W, 5, FALSE), "NO ENCONTRADO EN PLANTA"))</f>
        <v/>
      </c>
      <c r="E1389" s="5" t="str">
        <f>IF(B1389="","",IFERROR(VLOOKUP(B1389, PLANTA_BASE!A:W, 6, FALSE), "NO ENCONTRADO EN PLANTA"))</f>
        <v/>
      </c>
      <c r="F1389" s="7" t="str">
        <f>IF(B1389="","",IFERROR(VLOOKUP(B1389, PLANTA_BASE!A:W, 8, FALSE), "DOCENTE / FACILITADOR"))</f>
        <v/>
      </c>
      <c r="G1389" s="7" t="str">
        <f>IF(B1389="","",IFERROR(VLOOKUP(B1389, PLANTA_BASE!A:W, 9, FALSE), "GENERAL"))</f>
        <v/>
      </c>
      <c r="H1389" s="5" t="str">
        <f>IF(B1389="","",IFERROR(VLOOKUP(B1389, PLANTA_BASE!A:W, 17, FALSE), "GENERAL"))</f>
        <v/>
      </c>
    </row>
    <row r="1390" spans="1:8" ht="20.100000000000001" customHeight="1" x14ac:dyDescent="0.25">
      <c r="A1390" s="2" t="str">
        <f>IF(B1390="","",IFERROR(VLOOKUP(B1390, PLANTA_BASE!A:W, 2, FALSE), "NO ENCONTRADO EN PLANTA"))</f>
        <v/>
      </c>
      <c r="B1390" s="3"/>
      <c r="C1390" s="4" t="str">
        <f>IF(B1390="","",IFERROR(VLOOKUP(B1390, PLANTA_BASE!A:W, 3, FALSE), ""))</f>
        <v/>
      </c>
      <c r="D1390" s="2" t="str">
        <f>IF(B1390="","",IFERROR(VLOOKUP(B1390, PLANTA_BASE!A:W, 5, FALSE), "NO ENCONTRADO EN PLANTA"))</f>
        <v/>
      </c>
      <c r="E1390" s="2" t="str">
        <f>IF(B1390="","",IFERROR(VLOOKUP(B1390, PLANTA_BASE!A:W, 6, FALSE), "NO ENCONTRADO EN PLANTA"))</f>
        <v/>
      </c>
      <c r="F1390" s="4" t="str">
        <f>IF(B1390="","",IFERROR(VLOOKUP(B1390, PLANTA_BASE!A:W, 8, FALSE), "DOCENTE / FACILITADOR"))</f>
        <v/>
      </c>
      <c r="G1390" s="4" t="str">
        <f>IF(B1390="","",IFERROR(VLOOKUP(B1390, PLANTA_BASE!A:W, 9, FALSE), "GENERAL"))</f>
        <v/>
      </c>
      <c r="H1390" s="2" t="str">
        <f>IF(B1390="","",IFERROR(VLOOKUP(B1390, PLANTA_BASE!A:W, 17, FALSE), "GENERAL"))</f>
        <v/>
      </c>
    </row>
    <row r="1391" spans="1:8" ht="20.100000000000001" customHeight="1" x14ac:dyDescent="0.25">
      <c r="A1391" s="5" t="str">
        <f>IF(B1391="","",IFERROR(VLOOKUP(B1391, PLANTA_BASE!A:W, 2, FALSE), "NO ENCONTRADO EN PLANTA"))</f>
        <v/>
      </c>
      <c r="B1391" s="6"/>
      <c r="C1391" s="7" t="str">
        <f>IF(B1391="","",IFERROR(VLOOKUP(B1391, PLANTA_BASE!A:W, 3, FALSE), ""))</f>
        <v/>
      </c>
      <c r="D1391" s="5" t="str">
        <f>IF(B1391="","",IFERROR(VLOOKUP(B1391, PLANTA_BASE!A:W, 5, FALSE), "NO ENCONTRADO EN PLANTA"))</f>
        <v/>
      </c>
      <c r="E1391" s="5" t="str">
        <f>IF(B1391="","",IFERROR(VLOOKUP(B1391, PLANTA_BASE!A:W, 6, FALSE), "NO ENCONTRADO EN PLANTA"))</f>
        <v/>
      </c>
      <c r="F1391" s="7" t="str">
        <f>IF(B1391="","",IFERROR(VLOOKUP(B1391, PLANTA_BASE!A:W, 8, FALSE), "DOCENTE / FACILITADOR"))</f>
        <v/>
      </c>
      <c r="G1391" s="7" t="str">
        <f>IF(B1391="","",IFERROR(VLOOKUP(B1391, PLANTA_BASE!A:W, 9, FALSE), "GENERAL"))</f>
        <v/>
      </c>
      <c r="H1391" s="5" t="str">
        <f>IF(B1391="","",IFERROR(VLOOKUP(B1391, PLANTA_BASE!A:W, 17, FALSE), "GENERAL"))</f>
        <v/>
      </c>
    </row>
    <row r="1392" spans="1:8" ht="20.100000000000001" customHeight="1" x14ac:dyDescent="0.25">
      <c r="A1392" s="2" t="str">
        <f>IF(B1392="","",IFERROR(VLOOKUP(B1392, PLANTA_BASE!A:W, 2, FALSE), "NO ENCONTRADO EN PLANTA"))</f>
        <v/>
      </c>
      <c r="B1392" s="3"/>
      <c r="C1392" s="4" t="str">
        <f>IF(B1392="","",IFERROR(VLOOKUP(B1392, PLANTA_BASE!A:W, 3, FALSE), ""))</f>
        <v/>
      </c>
      <c r="D1392" s="2" t="str">
        <f>IF(B1392="","",IFERROR(VLOOKUP(B1392, PLANTA_BASE!A:W, 5, FALSE), "NO ENCONTRADO EN PLANTA"))</f>
        <v/>
      </c>
      <c r="E1392" s="2" t="str">
        <f>IF(B1392="","",IFERROR(VLOOKUP(B1392, PLANTA_BASE!A:W, 6, FALSE), "NO ENCONTRADO EN PLANTA"))</f>
        <v/>
      </c>
      <c r="F1392" s="4" t="str">
        <f>IF(B1392="","",IFERROR(VLOOKUP(B1392, PLANTA_BASE!A:W, 8, FALSE), "DOCENTE / FACILITADOR"))</f>
        <v/>
      </c>
      <c r="G1392" s="4" t="str">
        <f>IF(B1392="","",IFERROR(VLOOKUP(B1392, PLANTA_BASE!A:W, 9, FALSE), "GENERAL"))</f>
        <v/>
      </c>
      <c r="H1392" s="2" t="str">
        <f>IF(B1392="","",IFERROR(VLOOKUP(B1392, PLANTA_BASE!A:W, 17, FALSE), "GENERAL"))</f>
        <v/>
      </c>
    </row>
    <row r="1393" spans="1:8" ht="20.100000000000001" customHeight="1" x14ac:dyDescent="0.25">
      <c r="A1393" s="5" t="str">
        <f>IF(B1393="","",IFERROR(VLOOKUP(B1393, PLANTA_BASE!A:W, 2, FALSE), "NO ENCONTRADO EN PLANTA"))</f>
        <v/>
      </c>
      <c r="B1393" s="6"/>
      <c r="C1393" s="7" t="str">
        <f>IF(B1393="","",IFERROR(VLOOKUP(B1393, PLANTA_BASE!A:W, 3, FALSE), ""))</f>
        <v/>
      </c>
      <c r="D1393" s="5" t="str">
        <f>IF(B1393="","",IFERROR(VLOOKUP(B1393, PLANTA_BASE!A:W, 5, FALSE), "NO ENCONTRADO EN PLANTA"))</f>
        <v/>
      </c>
      <c r="E1393" s="5" t="str">
        <f>IF(B1393="","",IFERROR(VLOOKUP(B1393, PLANTA_BASE!A:W, 6, FALSE), "NO ENCONTRADO EN PLANTA"))</f>
        <v/>
      </c>
      <c r="F1393" s="7" t="str">
        <f>IF(B1393="","",IFERROR(VLOOKUP(B1393, PLANTA_BASE!A:W, 8, FALSE), "DOCENTE / FACILITADOR"))</f>
        <v/>
      </c>
      <c r="G1393" s="7" t="str">
        <f>IF(B1393="","",IFERROR(VLOOKUP(B1393, PLANTA_BASE!A:W, 9, FALSE), "GENERAL"))</f>
        <v/>
      </c>
      <c r="H1393" s="5" t="str">
        <f>IF(B1393="","",IFERROR(VLOOKUP(B1393, PLANTA_BASE!A:W, 17, FALSE), "GENERAL"))</f>
        <v/>
      </c>
    </row>
    <row r="1394" spans="1:8" ht="20.100000000000001" customHeight="1" x14ac:dyDescent="0.25">
      <c r="A1394" s="2" t="str">
        <f>IF(B1394="","",IFERROR(VLOOKUP(B1394, PLANTA_BASE!A:W, 2, FALSE), "NO ENCONTRADO EN PLANTA"))</f>
        <v/>
      </c>
      <c r="B1394" s="3"/>
      <c r="C1394" s="4" t="str">
        <f>IF(B1394="","",IFERROR(VLOOKUP(B1394, PLANTA_BASE!A:W, 3, FALSE), ""))</f>
        <v/>
      </c>
      <c r="D1394" s="2" t="str">
        <f>IF(B1394="","",IFERROR(VLOOKUP(B1394, PLANTA_BASE!A:W, 5, FALSE), "NO ENCONTRADO EN PLANTA"))</f>
        <v/>
      </c>
      <c r="E1394" s="2" t="str">
        <f>IF(B1394="","",IFERROR(VLOOKUP(B1394, PLANTA_BASE!A:W, 6, FALSE), "NO ENCONTRADO EN PLANTA"))</f>
        <v/>
      </c>
      <c r="F1394" s="4" t="str">
        <f>IF(B1394="","",IFERROR(VLOOKUP(B1394, PLANTA_BASE!A:W, 8, FALSE), "DOCENTE / FACILITADOR"))</f>
        <v/>
      </c>
      <c r="G1394" s="4" t="str">
        <f>IF(B1394="","",IFERROR(VLOOKUP(B1394, PLANTA_BASE!A:W, 9, FALSE), "GENERAL"))</f>
        <v/>
      </c>
      <c r="H1394" s="2" t="str">
        <f>IF(B1394="","",IFERROR(VLOOKUP(B1394, PLANTA_BASE!A:W, 17, FALSE), "GENERAL"))</f>
        <v/>
      </c>
    </row>
    <row r="1395" spans="1:8" ht="20.100000000000001" customHeight="1" x14ac:dyDescent="0.25">
      <c r="A1395" s="5" t="str">
        <f>IF(B1395="","",IFERROR(VLOOKUP(B1395, PLANTA_BASE!A:W, 2, FALSE), "NO ENCONTRADO EN PLANTA"))</f>
        <v/>
      </c>
      <c r="B1395" s="6"/>
      <c r="C1395" s="7" t="str">
        <f>IF(B1395="","",IFERROR(VLOOKUP(B1395, PLANTA_BASE!A:W, 3, FALSE), ""))</f>
        <v/>
      </c>
      <c r="D1395" s="5" t="str">
        <f>IF(B1395="","",IFERROR(VLOOKUP(B1395, PLANTA_BASE!A:W, 5, FALSE), "NO ENCONTRADO EN PLANTA"))</f>
        <v/>
      </c>
      <c r="E1395" s="5" t="str">
        <f>IF(B1395="","",IFERROR(VLOOKUP(B1395, PLANTA_BASE!A:W, 6, FALSE), "NO ENCONTRADO EN PLANTA"))</f>
        <v/>
      </c>
      <c r="F1395" s="7" t="str">
        <f>IF(B1395="","",IFERROR(VLOOKUP(B1395, PLANTA_BASE!A:W, 8, FALSE), "DOCENTE / FACILITADOR"))</f>
        <v/>
      </c>
      <c r="G1395" s="7" t="str">
        <f>IF(B1395="","",IFERROR(VLOOKUP(B1395, PLANTA_BASE!A:W, 9, FALSE), "GENERAL"))</f>
        <v/>
      </c>
      <c r="H1395" s="5" t="str">
        <f>IF(B1395="","",IFERROR(VLOOKUP(B1395, PLANTA_BASE!A:W, 17, FALSE), "GENERAL"))</f>
        <v/>
      </c>
    </row>
    <row r="1396" spans="1:8" ht="20.100000000000001" customHeight="1" x14ac:dyDescent="0.25">
      <c r="A1396" s="2" t="str">
        <f>IF(B1396="","",IFERROR(VLOOKUP(B1396, PLANTA_BASE!A:W, 2, FALSE), "NO ENCONTRADO EN PLANTA"))</f>
        <v/>
      </c>
      <c r="B1396" s="3"/>
      <c r="C1396" s="4" t="str">
        <f>IF(B1396="","",IFERROR(VLOOKUP(B1396, PLANTA_BASE!A:W, 3, FALSE), ""))</f>
        <v/>
      </c>
      <c r="D1396" s="2" t="str">
        <f>IF(B1396="","",IFERROR(VLOOKUP(B1396, PLANTA_BASE!A:W, 5, FALSE), "NO ENCONTRADO EN PLANTA"))</f>
        <v/>
      </c>
      <c r="E1396" s="2" t="str">
        <f>IF(B1396="","",IFERROR(VLOOKUP(B1396, PLANTA_BASE!A:W, 6, FALSE), "NO ENCONTRADO EN PLANTA"))</f>
        <v/>
      </c>
      <c r="F1396" s="4" t="str">
        <f>IF(B1396="","",IFERROR(VLOOKUP(B1396, PLANTA_BASE!A:W, 8, FALSE), "DOCENTE / FACILITADOR"))</f>
        <v/>
      </c>
      <c r="G1396" s="4" t="str">
        <f>IF(B1396="","",IFERROR(VLOOKUP(B1396, PLANTA_BASE!A:W, 9, FALSE), "GENERAL"))</f>
        <v/>
      </c>
      <c r="H1396" s="2" t="str">
        <f>IF(B1396="","",IFERROR(VLOOKUP(B1396, PLANTA_BASE!A:W, 17, FALSE), "GENERAL"))</f>
        <v/>
      </c>
    </row>
    <row r="1397" spans="1:8" ht="20.100000000000001" customHeight="1" x14ac:dyDescent="0.25">
      <c r="A1397" s="5" t="str">
        <f>IF(B1397="","",IFERROR(VLOOKUP(B1397, PLANTA_BASE!A:W, 2, FALSE), "NO ENCONTRADO EN PLANTA"))</f>
        <v/>
      </c>
      <c r="B1397" s="6"/>
      <c r="C1397" s="7" t="str">
        <f>IF(B1397="","",IFERROR(VLOOKUP(B1397, PLANTA_BASE!A:W, 3, FALSE), ""))</f>
        <v/>
      </c>
      <c r="D1397" s="5" t="str">
        <f>IF(B1397="","",IFERROR(VLOOKUP(B1397, PLANTA_BASE!A:W, 5, FALSE), "NO ENCONTRADO EN PLANTA"))</f>
        <v/>
      </c>
      <c r="E1397" s="5" t="str">
        <f>IF(B1397="","",IFERROR(VLOOKUP(B1397, PLANTA_BASE!A:W, 6, FALSE), "NO ENCONTRADO EN PLANTA"))</f>
        <v/>
      </c>
      <c r="F1397" s="7" t="str">
        <f>IF(B1397="","",IFERROR(VLOOKUP(B1397, PLANTA_BASE!A:W, 8, FALSE), "DOCENTE / FACILITADOR"))</f>
        <v/>
      </c>
      <c r="G1397" s="7" t="str">
        <f>IF(B1397="","",IFERROR(VLOOKUP(B1397, PLANTA_BASE!A:W, 9, FALSE), "GENERAL"))</f>
        <v/>
      </c>
      <c r="H1397" s="5" t="str">
        <f>IF(B1397="","",IFERROR(VLOOKUP(B1397, PLANTA_BASE!A:W, 17, FALSE), "GENERAL"))</f>
        <v/>
      </c>
    </row>
    <row r="1398" spans="1:8" ht="20.100000000000001" customHeight="1" x14ac:dyDescent="0.25">
      <c r="A1398" s="2" t="str">
        <f>IF(B1398="","",IFERROR(VLOOKUP(B1398, PLANTA_BASE!A:W, 2, FALSE), "NO ENCONTRADO EN PLANTA"))</f>
        <v/>
      </c>
      <c r="B1398" s="3"/>
      <c r="C1398" s="4" t="str">
        <f>IF(B1398="","",IFERROR(VLOOKUP(B1398, PLANTA_BASE!A:W, 3, FALSE), ""))</f>
        <v/>
      </c>
      <c r="D1398" s="2" t="str">
        <f>IF(B1398="","",IFERROR(VLOOKUP(B1398, PLANTA_BASE!A:W, 5, FALSE), "NO ENCONTRADO EN PLANTA"))</f>
        <v/>
      </c>
      <c r="E1398" s="2" t="str">
        <f>IF(B1398="","",IFERROR(VLOOKUP(B1398, PLANTA_BASE!A:W, 6, FALSE), "NO ENCONTRADO EN PLANTA"))</f>
        <v/>
      </c>
      <c r="F1398" s="4" t="str">
        <f>IF(B1398="","",IFERROR(VLOOKUP(B1398, PLANTA_BASE!A:W, 8, FALSE), "DOCENTE / FACILITADOR"))</f>
        <v/>
      </c>
      <c r="G1398" s="4" t="str">
        <f>IF(B1398="","",IFERROR(VLOOKUP(B1398, PLANTA_BASE!A:W, 9, FALSE), "GENERAL"))</f>
        <v/>
      </c>
      <c r="H1398" s="2" t="str">
        <f>IF(B1398="","",IFERROR(VLOOKUP(B1398, PLANTA_BASE!A:W, 17, FALSE), "GENERAL"))</f>
        <v/>
      </c>
    </row>
    <row r="1399" spans="1:8" ht="20.100000000000001" customHeight="1" x14ac:dyDescent="0.25">
      <c r="A1399" s="5" t="str">
        <f>IF(B1399="","",IFERROR(VLOOKUP(B1399, PLANTA_BASE!A:W, 2, FALSE), "NO ENCONTRADO EN PLANTA"))</f>
        <v/>
      </c>
      <c r="B1399" s="6"/>
      <c r="C1399" s="7" t="str">
        <f>IF(B1399="","",IFERROR(VLOOKUP(B1399, PLANTA_BASE!A:W, 3, FALSE), ""))</f>
        <v/>
      </c>
      <c r="D1399" s="5" t="str">
        <f>IF(B1399="","",IFERROR(VLOOKUP(B1399, PLANTA_BASE!A:W, 5, FALSE), "NO ENCONTRADO EN PLANTA"))</f>
        <v/>
      </c>
      <c r="E1399" s="5" t="str">
        <f>IF(B1399="","",IFERROR(VLOOKUP(B1399, PLANTA_BASE!A:W, 6, FALSE), "NO ENCONTRADO EN PLANTA"))</f>
        <v/>
      </c>
      <c r="F1399" s="7" t="str">
        <f>IF(B1399="","",IFERROR(VLOOKUP(B1399, PLANTA_BASE!A:W, 8, FALSE), "DOCENTE / FACILITADOR"))</f>
        <v/>
      </c>
      <c r="G1399" s="7" t="str">
        <f>IF(B1399="","",IFERROR(VLOOKUP(B1399, PLANTA_BASE!A:W, 9, FALSE), "GENERAL"))</f>
        <v/>
      </c>
      <c r="H1399" s="5" t="str">
        <f>IF(B1399="","",IFERROR(VLOOKUP(B1399, PLANTA_BASE!A:W, 17, FALSE), "GENERAL"))</f>
        <v/>
      </c>
    </row>
    <row r="1400" spans="1:8" ht="20.100000000000001" customHeight="1" x14ac:dyDescent="0.25">
      <c r="A1400" s="2" t="str">
        <f>IF(B1400="","",IFERROR(VLOOKUP(B1400, PLANTA_BASE!A:W, 2, FALSE), "NO ENCONTRADO EN PLANTA"))</f>
        <v/>
      </c>
      <c r="B1400" s="3"/>
      <c r="C1400" s="4" t="str">
        <f>IF(B1400="","",IFERROR(VLOOKUP(B1400, PLANTA_BASE!A:W, 3, FALSE), ""))</f>
        <v/>
      </c>
      <c r="D1400" s="2" t="str">
        <f>IF(B1400="","",IFERROR(VLOOKUP(B1400, PLANTA_BASE!A:W, 5, FALSE), "NO ENCONTRADO EN PLANTA"))</f>
        <v/>
      </c>
      <c r="E1400" s="2" t="str">
        <f>IF(B1400="","",IFERROR(VLOOKUP(B1400, PLANTA_BASE!A:W, 6, FALSE), "NO ENCONTRADO EN PLANTA"))</f>
        <v/>
      </c>
      <c r="F1400" s="4" t="str">
        <f>IF(B1400="","",IFERROR(VLOOKUP(B1400, PLANTA_BASE!A:W, 8, FALSE), "DOCENTE / FACILITADOR"))</f>
        <v/>
      </c>
      <c r="G1400" s="4" t="str">
        <f>IF(B1400="","",IFERROR(VLOOKUP(B1400, PLANTA_BASE!A:W, 9, FALSE), "GENERAL"))</f>
        <v/>
      </c>
      <c r="H1400" s="2" t="str">
        <f>IF(B1400="","",IFERROR(VLOOKUP(B1400, PLANTA_BASE!A:W, 17, FALSE), "GENERAL"))</f>
        <v/>
      </c>
    </row>
    <row r="1401" spans="1:8" ht="20.100000000000001" customHeight="1" x14ac:dyDescent="0.25">
      <c r="A1401" s="5" t="str">
        <f>IF(B1401="","",IFERROR(VLOOKUP(B1401, PLANTA_BASE!A:W, 2, FALSE), "NO ENCONTRADO EN PLANTA"))</f>
        <v/>
      </c>
      <c r="B1401" s="6"/>
      <c r="C1401" s="7" t="str">
        <f>IF(B1401="","",IFERROR(VLOOKUP(B1401, PLANTA_BASE!A:W, 3, FALSE), ""))</f>
        <v/>
      </c>
      <c r="D1401" s="5" t="str">
        <f>IF(B1401="","",IFERROR(VLOOKUP(B1401, PLANTA_BASE!A:W, 5, FALSE), "NO ENCONTRADO EN PLANTA"))</f>
        <v/>
      </c>
      <c r="E1401" s="5" t="str">
        <f>IF(B1401="","",IFERROR(VLOOKUP(B1401, PLANTA_BASE!A:W, 6, FALSE), "NO ENCONTRADO EN PLANTA"))</f>
        <v/>
      </c>
      <c r="F1401" s="7" t="str">
        <f>IF(B1401="","",IFERROR(VLOOKUP(B1401, PLANTA_BASE!A:W, 8, FALSE), "DOCENTE / FACILITADOR"))</f>
        <v/>
      </c>
      <c r="G1401" s="7" t="str">
        <f>IF(B1401="","",IFERROR(VLOOKUP(B1401, PLANTA_BASE!A:W, 9, FALSE), "GENERAL"))</f>
        <v/>
      </c>
      <c r="H1401" s="5" t="str">
        <f>IF(B1401="","",IFERROR(VLOOKUP(B1401, PLANTA_BASE!A:W, 17, FALSE), "GENERAL"))</f>
        <v/>
      </c>
    </row>
    <row r="1402" spans="1:8" ht="20.100000000000001" customHeight="1" x14ac:dyDescent="0.25">
      <c r="A1402" s="2" t="str">
        <f>IF(B1402="","",IFERROR(VLOOKUP(B1402, PLANTA_BASE!A:W, 2, FALSE), "NO ENCONTRADO EN PLANTA"))</f>
        <v/>
      </c>
      <c r="B1402" s="3"/>
      <c r="C1402" s="4" t="str">
        <f>IF(B1402="","",IFERROR(VLOOKUP(B1402, PLANTA_BASE!A:W, 3, FALSE), ""))</f>
        <v/>
      </c>
      <c r="D1402" s="2" t="str">
        <f>IF(B1402="","",IFERROR(VLOOKUP(B1402, PLANTA_BASE!A:W, 5, FALSE), "NO ENCONTRADO EN PLANTA"))</f>
        <v/>
      </c>
      <c r="E1402" s="2" t="str">
        <f>IF(B1402="","",IFERROR(VLOOKUP(B1402, PLANTA_BASE!A:W, 6, FALSE), "NO ENCONTRADO EN PLANTA"))</f>
        <v/>
      </c>
      <c r="F1402" s="4" t="str">
        <f>IF(B1402="","",IFERROR(VLOOKUP(B1402, PLANTA_BASE!A:W, 8, FALSE), "DOCENTE / FACILITADOR"))</f>
        <v/>
      </c>
      <c r="G1402" s="4" t="str">
        <f>IF(B1402="","",IFERROR(VLOOKUP(B1402, PLANTA_BASE!A:W, 9, FALSE), "GENERAL"))</f>
        <v/>
      </c>
      <c r="H1402" s="2" t="str">
        <f>IF(B1402="","",IFERROR(VLOOKUP(B1402, PLANTA_BASE!A:W, 17, FALSE), "GENERAL"))</f>
        <v/>
      </c>
    </row>
    <row r="1403" spans="1:8" ht="20.100000000000001" customHeight="1" x14ac:dyDescent="0.25">
      <c r="A1403" s="5" t="str">
        <f>IF(B1403="","",IFERROR(VLOOKUP(B1403, PLANTA_BASE!A:W, 2, FALSE), "NO ENCONTRADO EN PLANTA"))</f>
        <v/>
      </c>
      <c r="B1403" s="6"/>
      <c r="C1403" s="7" t="str">
        <f>IF(B1403="","",IFERROR(VLOOKUP(B1403, PLANTA_BASE!A:W, 3, FALSE), ""))</f>
        <v/>
      </c>
      <c r="D1403" s="5" t="str">
        <f>IF(B1403="","",IFERROR(VLOOKUP(B1403, PLANTA_BASE!A:W, 5, FALSE), "NO ENCONTRADO EN PLANTA"))</f>
        <v/>
      </c>
      <c r="E1403" s="5" t="str">
        <f>IF(B1403="","",IFERROR(VLOOKUP(B1403, PLANTA_BASE!A:W, 6, FALSE), "NO ENCONTRADO EN PLANTA"))</f>
        <v/>
      </c>
      <c r="F1403" s="7" t="str">
        <f>IF(B1403="","",IFERROR(VLOOKUP(B1403, PLANTA_BASE!A:W, 8, FALSE), "DOCENTE / FACILITADOR"))</f>
        <v/>
      </c>
      <c r="G1403" s="7" t="str">
        <f>IF(B1403="","",IFERROR(VLOOKUP(B1403, PLANTA_BASE!A:W, 9, FALSE), "GENERAL"))</f>
        <v/>
      </c>
      <c r="H1403" s="5" t="str">
        <f>IF(B1403="","",IFERROR(VLOOKUP(B1403, PLANTA_BASE!A:W, 17, FALSE), "GENERAL"))</f>
        <v/>
      </c>
    </row>
    <row r="1404" spans="1:8" ht="20.100000000000001" customHeight="1" x14ac:dyDescent="0.25">
      <c r="A1404" s="2" t="str">
        <f>IF(B1404="","",IFERROR(VLOOKUP(B1404, PLANTA_BASE!A:W, 2, FALSE), "NO ENCONTRADO EN PLANTA"))</f>
        <v/>
      </c>
      <c r="B1404" s="3"/>
      <c r="C1404" s="4" t="str">
        <f>IF(B1404="","",IFERROR(VLOOKUP(B1404, PLANTA_BASE!A:W, 3, FALSE), ""))</f>
        <v/>
      </c>
      <c r="D1404" s="2" t="str">
        <f>IF(B1404="","",IFERROR(VLOOKUP(B1404, PLANTA_BASE!A:W, 5, FALSE), "NO ENCONTRADO EN PLANTA"))</f>
        <v/>
      </c>
      <c r="E1404" s="2" t="str">
        <f>IF(B1404="","",IFERROR(VLOOKUP(B1404, PLANTA_BASE!A:W, 6, FALSE), "NO ENCONTRADO EN PLANTA"))</f>
        <v/>
      </c>
      <c r="F1404" s="4" t="str">
        <f>IF(B1404="","",IFERROR(VLOOKUP(B1404, PLANTA_BASE!A:W, 8, FALSE), "DOCENTE / FACILITADOR"))</f>
        <v/>
      </c>
      <c r="G1404" s="4" t="str">
        <f>IF(B1404="","",IFERROR(VLOOKUP(B1404, PLANTA_BASE!A:W, 9, FALSE), "GENERAL"))</f>
        <v/>
      </c>
      <c r="H1404" s="2" t="str">
        <f>IF(B1404="","",IFERROR(VLOOKUP(B1404, PLANTA_BASE!A:W, 17, FALSE), "GENERAL"))</f>
        <v/>
      </c>
    </row>
    <row r="1405" spans="1:8" ht="20.100000000000001" customHeight="1" x14ac:dyDescent="0.25">
      <c r="A1405" s="5" t="str">
        <f>IF(B1405="","",IFERROR(VLOOKUP(B1405, PLANTA_BASE!A:W, 2, FALSE), "NO ENCONTRADO EN PLANTA"))</f>
        <v/>
      </c>
      <c r="B1405" s="6"/>
      <c r="C1405" s="7" t="str">
        <f>IF(B1405="","",IFERROR(VLOOKUP(B1405, PLANTA_BASE!A:W, 3, FALSE), ""))</f>
        <v/>
      </c>
      <c r="D1405" s="5" t="str">
        <f>IF(B1405="","",IFERROR(VLOOKUP(B1405, PLANTA_BASE!A:W, 5, FALSE), "NO ENCONTRADO EN PLANTA"))</f>
        <v/>
      </c>
      <c r="E1405" s="5" t="str">
        <f>IF(B1405="","",IFERROR(VLOOKUP(B1405, PLANTA_BASE!A:W, 6, FALSE), "NO ENCONTRADO EN PLANTA"))</f>
        <v/>
      </c>
      <c r="F1405" s="7" t="str">
        <f>IF(B1405="","",IFERROR(VLOOKUP(B1405, PLANTA_BASE!A:W, 8, FALSE), "DOCENTE / FACILITADOR"))</f>
        <v/>
      </c>
      <c r="G1405" s="7" t="str">
        <f>IF(B1405="","",IFERROR(VLOOKUP(B1405, PLANTA_BASE!A:W, 9, FALSE), "GENERAL"))</f>
        <v/>
      </c>
      <c r="H1405" s="5" t="str">
        <f>IF(B1405="","",IFERROR(VLOOKUP(B1405, PLANTA_BASE!A:W, 17, FALSE), "GENERAL"))</f>
        <v/>
      </c>
    </row>
    <row r="1406" spans="1:8" ht="20.100000000000001" customHeight="1" x14ac:dyDescent="0.25">
      <c r="A1406" s="2" t="str">
        <f>IF(B1406="","",IFERROR(VLOOKUP(B1406, PLANTA_BASE!A:W, 2, FALSE), "NO ENCONTRADO EN PLANTA"))</f>
        <v/>
      </c>
      <c r="B1406" s="3"/>
      <c r="C1406" s="4" t="str">
        <f>IF(B1406="","",IFERROR(VLOOKUP(B1406, PLANTA_BASE!A:W, 3, FALSE), ""))</f>
        <v/>
      </c>
      <c r="D1406" s="2" t="str">
        <f>IF(B1406="","",IFERROR(VLOOKUP(B1406, PLANTA_BASE!A:W, 5, FALSE), "NO ENCONTRADO EN PLANTA"))</f>
        <v/>
      </c>
      <c r="E1406" s="2" t="str">
        <f>IF(B1406="","",IFERROR(VLOOKUP(B1406, PLANTA_BASE!A:W, 6, FALSE), "NO ENCONTRADO EN PLANTA"))</f>
        <v/>
      </c>
      <c r="F1406" s="4" t="str">
        <f>IF(B1406="","",IFERROR(VLOOKUP(B1406, PLANTA_BASE!A:W, 8, FALSE), "DOCENTE / FACILITADOR"))</f>
        <v/>
      </c>
      <c r="G1406" s="4" t="str">
        <f>IF(B1406="","",IFERROR(VLOOKUP(B1406, PLANTA_BASE!A:W, 9, FALSE), "GENERAL"))</f>
        <v/>
      </c>
      <c r="H1406" s="2" t="str">
        <f>IF(B1406="","",IFERROR(VLOOKUP(B1406, PLANTA_BASE!A:W, 17, FALSE), "GENERAL"))</f>
        <v/>
      </c>
    </row>
    <row r="1407" spans="1:8" ht="20.100000000000001" customHeight="1" x14ac:dyDescent="0.25">
      <c r="A1407" s="5" t="str">
        <f>IF(B1407="","",IFERROR(VLOOKUP(B1407, PLANTA_BASE!A:W, 2, FALSE), "NO ENCONTRADO EN PLANTA"))</f>
        <v/>
      </c>
      <c r="B1407" s="6"/>
      <c r="C1407" s="7" t="str">
        <f>IF(B1407="","",IFERROR(VLOOKUP(B1407, PLANTA_BASE!A:W, 3, FALSE), ""))</f>
        <v/>
      </c>
      <c r="D1407" s="5" t="str">
        <f>IF(B1407="","",IFERROR(VLOOKUP(B1407, PLANTA_BASE!A:W, 5, FALSE), "NO ENCONTRADO EN PLANTA"))</f>
        <v/>
      </c>
      <c r="E1407" s="5" t="str">
        <f>IF(B1407="","",IFERROR(VLOOKUP(B1407, PLANTA_BASE!A:W, 6, FALSE), "NO ENCONTRADO EN PLANTA"))</f>
        <v/>
      </c>
      <c r="F1407" s="7" t="str">
        <f>IF(B1407="","",IFERROR(VLOOKUP(B1407, PLANTA_BASE!A:W, 8, FALSE), "DOCENTE / FACILITADOR"))</f>
        <v/>
      </c>
      <c r="G1407" s="7" t="str">
        <f>IF(B1407="","",IFERROR(VLOOKUP(B1407, PLANTA_BASE!A:W, 9, FALSE), "GENERAL"))</f>
        <v/>
      </c>
      <c r="H1407" s="5" t="str">
        <f>IF(B1407="","",IFERROR(VLOOKUP(B1407, PLANTA_BASE!A:W, 17, FALSE), "GENERAL"))</f>
        <v/>
      </c>
    </row>
    <row r="1408" spans="1:8" ht="20.100000000000001" customHeight="1" x14ac:dyDescent="0.25">
      <c r="A1408" s="2" t="str">
        <f>IF(B1408="","",IFERROR(VLOOKUP(B1408, PLANTA_BASE!A:W, 2, FALSE), "NO ENCONTRADO EN PLANTA"))</f>
        <v/>
      </c>
      <c r="B1408" s="3"/>
      <c r="C1408" s="4" t="str">
        <f>IF(B1408="","",IFERROR(VLOOKUP(B1408, PLANTA_BASE!A:W, 3, FALSE), ""))</f>
        <v/>
      </c>
      <c r="D1408" s="2" t="str">
        <f>IF(B1408="","",IFERROR(VLOOKUP(B1408, PLANTA_BASE!A:W, 5, FALSE), "NO ENCONTRADO EN PLANTA"))</f>
        <v/>
      </c>
      <c r="E1408" s="2" t="str">
        <f>IF(B1408="","",IFERROR(VLOOKUP(B1408, PLANTA_BASE!A:W, 6, FALSE), "NO ENCONTRADO EN PLANTA"))</f>
        <v/>
      </c>
      <c r="F1408" s="4" t="str">
        <f>IF(B1408="","",IFERROR(VLOOKUP(B1408, PLANTA_BASE!A:W, 8, FALSE), "DOCENTE / FACILITADOR"))</f>
        <v/>
      </c>
      <c r="G1408" s="4" t="str">
        <f>IF(B1408="","",IFERROR(VLOOKUP(B1408, PLANTA_BASE!A:W, 9, FALSE), "GENERAL"))</f>
        <v/>
      </c>
      <c r="H1408" s="2" t="str">
        <f>IF(B1408="","",IFERROR(VLOOKUP(B1408, PLANTA_BASE!A:W, 17, FALSE), "GENERAL"))</f>
        <v/>
      </c>
    </row>
    <row r="1409" spans="1:8" ht="20.100000000000001" customHeight="1" x14ac:dyDescent="0.25">
      <c r="A1409" s="5" t="str">
        <f>IF(B1409="","",IFERROR(VLOOKUP(B1409, PLANTA_BASE!A:W, 2, FALSE), "NO ENCONTRADO EN PLANTA"))</f>
        <v/>
      </c>
      <c r="B1409" s="6"/>
      <c r="C1409" s="7" t="str">
        <f>IF(B1409="","",IFERROR(VLOOKUP(B1409, PLANTA_BASE!A:W, 3, FALSE), ""))</f>
        <v/>
      </c>
      <c r="D1409" s="5" t="str">
        <f>IF(B1409="","",IFERROR(VLOOKUP(B1409, PLANTA_BASE!A:W, 5, FALSE), "NO ENCONTRADO EN PLANTA"))</f>
        <v/>
      </c>
      <c r="E1409" s="5" t="str">
        <f>IF(B1409="","",IFERROR(VLOOKUP(B1409, PLANTA_BASE!A:W, 6, FALSE), "NO ENCONTRADO EN PLANTA"))</f>
        <v/>
      </c>
      <c r="F1409" s="7" t="str">
        <f>IF(B1409="","",IFERROR(VLOOKUP(B1409, PLANTA_BASE!A:W, 8, FALSE), "DOCENTE / FACILITADOR"))</f>
        <v/>
      </c>
      <c r="G1409" s="7" t="str">
        <f>IF(B1409="","",IFERROR(VLOOKUP(B1409, PLANTA_BASE!A:W, 9, FALSE), "GENERAL"))</f>
        <v/>
      </c>
      <c r="H1409" s="5" t="str">
        <f>IF(B1409="","",IFERROR(VLOOKUP(B1409, PLANTA_BASE!A:W, 17, FALSE), "GENERAL"))</f>
        <v/>
      </c>
    </row>
    <row r="1410" spans="1:8" ht="20.100000000000001" customHeight="1" x14ac:dyDescent="0.25">
      <c r="A1410" s="2" t="str">
        <f>IF(B1410="","",IFERROR(VLOOKUP(B1410, PLANTA_BASE!A:W, 2, FALSE), "NO ENCONTRADO EN PLANTA"))</f>
        <v/>
      </c>
      <c r="B1410" s="3"/>
      <c r="C1410" s="4" t="str">
        <f>IF(B1410="","",IFERROR(VLOOKUP(B1410, PLANTA_BASE!A:W, 3, FALSE), ""))</f>
        <v/>
      </c>
      <c r="D1410" s="2" t="str">
        <f>IF(B1410="","",IFERROR(VLOOKUP(B1410, PLANTA_BASE!A:W, 5, FALSE), "NO ENCONTRADO EN PLANTA"))</f>
        <v/>
      </c>
      <c r="E1410" s="2" t="str">
        <f>IF(B1410="","",IFERROR(VLOOKUP(B1410, PLANTA_BASE!A:W, 6, FALSE), "NO ENCONTRADO EN PLANTA"))</f>
        <v/>
      </c>
      <c r="F1410" s="4" t="str">
        <f>IF(B1410="","",IFERROR(VLOOKUP(B1410, PLANTA_BASE!A:W, 8, FALSE), "DOCENTE / FACILITADOR"))</f>
        <v/>
      </c>
      <c r="G1410" s="4" t="str">
        <f>IF(B1410="","",IFERROR(VLOOKUP(B1410, PLANTA_BASE!A:W, 9, FALSE), "GENERAL"))</f>
        <v/>
      </c>
      <c r="H1410" s="2" t="str">
        <f>IF(B1410="","",IFERROR(VLOOKUP(B1410, PLANTA_BASE!A:W, 17, FALSE), "GENERAL"))</f>
        <v/>
      </c>
    </row>
    <row r="1411" spans="1:8" ht="20.100000000000001" customHeight="1" x14ac:dyDescent="0.25">
      <c r="A1411" s="5" t="str">
        <f>IF(B1411="","",IFERROR(VLOOKUP(B1411, PLANTA_BASE!A:W, 2, FALSE), "NO ENCONTRADO EN PLANTA"))</f>
        <v/>
      </c>
      <c r="B1411" s="6"/>
      <c r="C1411" s="7" t="str">
        <f>IF(B1411="","",IFERROR(VLOOKUP(B1411, PLANTA_BASE!A:W, 3, FALSE), ""))</f>
        <v/>
      </c>
      <c r="D1411" s="5" t="str">
        <f>IF(B1411="","",IFERROR(VLOOKUP(B1411, PLANTA_BASE!A:W, 5, FALSE), "NO ENCONTRADO EN PLANTA"))</f>
        <v/>
      </c>
      <c r="E1411" s="5" t="str">
        <f>IF(B1411="","",IFERROR(VLOOKUP(B1411, PLANTA_BASE!A:W, 6, FALSE), "NO ENCONTRADO EN PLANTA"))</f>
        <v/>
      </c>
      <c r="F1411" s="7" t="str">
        <f>IF(B1411="","",IFERROR(VLOOKUP(B1411, PLANTA_BASE!A:W, 8, FALSE), "DOCENTE / FACILITADOR"))</f>
        <v/>
      </c>
      <c r="G1411" s="7" t="str">
        <f>IF(B1411="","",IFERROR(VLOOKUP(B1411, PLANTA_BASE!A:W, 9, FALSE), "GENERAL"))</f>
        <v/>
      </c>
      <c r="H1411" s="5" t="str">
        <f>IF(B1411="","",IFERROR(VLOOKUP(B1411, PLANTA_BASE!A:W, 17, FALSE), "GENERAL"))</f>
        <v/>
      </c>
    </row>
    <row r="1412" spans="1:8" ht="20.100000000000001" customHeight="1" x14ac:dyDescent="0.25">
      <c r="A1412" s="2" t="str">
        <f>IF(B1412="","",IFERROR(VLOOKUP(B1412, PLANTA_BASE!A:W, 2, FALSE), "NO ENCONTRADO EN PLANTA"))</f>
        <v/>
      </c>
      <c r="B1412" s="3"/>
      <c r="C1412" s="4" t="str">
        <f>IF(B1412="","",IFERROR(VLOOKUP(B1412, PLANTA_BASE!A:W, 3, FALSE), ""))</f>
        <v/>
      </c>
      <c r="D1412" s="2" t="str">
        <f>IF(B1412="","",IFERROR(VLOOKUP(B1412, PLANTA_BASE!A:W, 5, FALSE), "NO ENCONTRADO EN PLANTA"))</f>
        <v/>
      </c>
      <c r="E1412" s="2" t="str">
        <f>IF(B1412="","",IFERROR(VLOOKUP(B1412, PLANTA_BASE!A:W, 6, FALSE), "NO ENCONTRADO EN PLANTA"))</f>
        <v/>
      </c>
      <c r="F1412" s="4" t="str">
        <f>IF(B1412="","",IFERROR(VLOOKUP(B1412, PLANTA_BASE!A:W, 8, FALSE), "DOCENTE / FACILITADOR"))</f>
        <v/>
      </c>
      <c r="G1412" s="4" t="str">
        <f>IF(B1412="","",IFERROR(VLOOKUP(B1412, PLANTA_BASE!A:W, 9, FALSE), "GENERAL"))</f>
        <v/>
      </c>
      <c r="H1412" s="2" t="str">
        <f>IF(B1412="","",IFERROR(VLOOKUP(B1412, PLANTA_BASE!A:W, 17, FALSE), "GENERAL"))</f>
        <v/>
      </c>
    </row>
    <row r="1413" spans="1:8" ht="20.100000000000001" customHeight="1" x14ac:dyDescent="0.25">
      <c r="A1413" s="5" t="str">
        <f>IF(B1413="","",IFERROR(VLOOKUP(B1413, PLANTA_BASE!A:W, 2, FALSE), "NO ENCONTRADO EN PLANTA"))</f>
        <v/>
      </c>
      <c r="B1413" s="6"/>
      <c r="C1413" s="7" t="str">
        <f>IF(B1413="","",IFERROR(VLOOKUP(B1413, PLANTA_BASE!A:W, 3, FALSE), ""))</f>
        <v/>
      </c>
      <c r="D1413" s="5" t="str">
        <f>IF(B1413="","",IFERROR(VLOOKUP(B1413, PLANTA_BASE!A:W, 5, FALSE), "NO ENCONTRADO EN PLANTA"))</f>
        <v/>
      </c>
      <c r="E1413" s="5" t="str">
        <f>IF(B1413="","",IFERROR(VLOOKUP(B1413, PLANTA_BASE!A:W, 6, FALSE), "NO ENCONTRADO EN PLANTA"))</f>
        <v/>
      </c>
      <c r="F1413" s="7" t="str">
        <f>IF(B1413="","",IFERROR(VLOOKUP(B1413, PLANTA_BASE!A:W, 8, FALSE), "DOCENTE / FACILITADOR"))</f>
        <v/>
      </c>
      <c r="G1413" s="7" t="str">
        <f>IF(B1413="","",IFERROR(VLOOKUP(B1413, PLANTA_BASE!A:W, 9, FALSE), "GENERAL"))</f>
        <v/>
      </c>
      <c r="H1413" s="5" t="str">
        <f>IF(B1413="","",IFERROR(VLOOKUP(B1413, PLANTA_BASE!A:W, 17, FALSE), "GENERAL"))</f>
        <v/>
      </c>
    </row>
    <row r="1414" spans="1:8" ht="20.100000000000001" customHeight="1" x14ac:dyDescent="0.25">
      <c r="A1414" s="2" t="str">
        <f>IF(B1414="","",IFERROR(VLOOKUP(B1414, PLANTA_BASE!A:W, 2, FALSE), "NO ENCONTRADO EN PLANTA"))</f>
        <v/>
      </c>
      <c r="B1414" s="3"/>
      <c r="C1414" s="4" t="str">
        <f>IF(B1414="","",IFERROR(VLOOKUP(B1414, PLANTA_BASE!A:W, 3, FALSE), ""))</f>
        <v/>
      </c>
      <c r="D1414" s="2" t="str">
        <f>IF(B1414="","",IFERROR(VLOOKUP(B1414, PLANTA_BASE!A:W, 5, FALSE), "NO ENCONTRADO EN PLANTA"))</f>
        <v/>
      </c>
      <c r="E1414" s="2" t="str">
        <f>IF(B1414="","",IFERROR(VLOOKUP(B1414, PLANTA_BASE!A:W, 6, FALSE), "NO ENCONTRADO EN PLANTA"))</f>
        <v/>
      </c>
      <c r="F1414" s="4" t="str">
        <f>IF(B1414="","",IFERROR(VLOOKUP(B1414, PLANTA_BASE!A:W, 8, FALSE), "DOCENTE / FACILITADOR"))</f>
        <v/>
      </c>
      <c r="G1414" s="4" t="str">
        <f>IF(B1414="","",IFERROR(VLOOKUP(B1414, PLANTA_BASE!A:W, 9, FALSE), "GENERAL"))</f>
        <v/>
      </c>
      <c r="H1414" s="2" t="str">
        <f>IF(B1414="","",IFERROR(VLOOKUP(B1414, PLANTA_BASE!A:W, 17, FALSE), "GENERAL"))</f>
        <v/>
      </c>
    </row>
    <row r="1415" spans="1:8" ht="20.100000000000001" customHeight="1" x14ac:dyDescent="0.25">
      <c r="A1415" s="5" t="str">
        <f>IF(B1415="","",IFERROR(VLOOKUP(B1415, PLANTA_BASE!A:W, 2, FALSE), "NO ENCONTRADO EN PLANTA"))</f>
        <v/>
      </c>
      <c r="B1415" s="6"/>
      <c r="C1415" s="7" t="str">
        <f>IF(B1415="","",IFERROR(VLOOKUP(B1415, PLANTA_BASE!A:W, 3, FALSE), ""))</f>
        <v/>
      </c>
      <c r="D1415" s="5" t="str">
        <f>IF(B1415="","",IFERROR(VLOOKUP(B1415, PLANTA_BASE!A:W, 5, FALSE), "NO ENCONTRADO EN PLANTA"))</f>
        <v/>
      </c>
      <c r="E1415" s="5" t="str">
        <f>IF(B1415="","",IFERROR(VLOOKUP(B1415, PLANTA_BASE!A:W, 6, FALSE), "NO ENCONTRADO EN PLANTA"))</f>
        <v/>
      </c>
      <c r="F1415" s="7" t="str">
        <f>IF(B1415="","",IFERROR(VLOOKUP(B1415, PLANTA_BASE!A:W, 8, FALSE), "DOCENTE / FACILITADOR"))</f>
        <v/>
      </c>
      <c r="G1415" s="7" t="str">
        <f>IF(B1415="","",IFERROR(VLOOKUP(B1415, PLANTA_BASE!A:W, 9, FALSE), "GENERAL"))</f>
        <v/>
      </c>
      <c r="H1415" s="5" t="str">
        <f>IF(B1415="","",IFERROR(VLOOKUP(B1415, PLANTA_BASE!A:W, 17, FALSE), "GENERAL"))</f>
        <v/>
      </c>
    </row>
    <row r="1416" spans="1:8" ht="20.100000000000001" customHeight="1" x14ac:dyDescent="0.25">
      <c r="A1416" s="2" t="str">
        <f>IF(B1416="","",IFERROR(VLOOKUP(B1416, PLANTA_BASE!A:W, 2, FALSE), "NO ENCONTRADO EN PLANTA"))</f>
        <v/>
      </c>
      <c r="B1416" s="3"/>
      <c r="C1416" s="4" t="str">
        <f>IF(B1416="","",IFERROR(VLOOKUP(B1416, PLANTA_BASE!A:W, 3, FALSE), ""))</f>
        <v/>
      </c>
      <c r="D1416" s="2" t="str">
        <f>IF(B1416="","",IFERROR(VLOOKUP(B1416, PLANTA_BASE!A:W, 5, FALSE), "NO ENCONTRADO EN PLANTA"))</f>
        <v/>
      </c>
      <c r="E1416" s="2" t="str">
        <f>IF(B1416="","",IFERROR(VLOOKUP(B1416, PLANTA_BASE!A:W, 6, FALSE), "NO ENCONTRADO EN PLANTA"))</f>
        <v/>
      </c>
      <c r="F1416" s="4" t="str">
        <f>IF(B1416="","",IFERROR(VLOOKUP(B1416, PLANTA_BASE!A:W, 8, FALSE), "DOCENTE / FACILITADOR"))</f>
        <v/>
      </c>
      <c r="G1416" s="4" t="str">
        <f>IF(B1416="","",IFERROR(VLOOKUP(B1416, PLANTA_BASE!A:W, 9, FALSE), "GENERAL"))</f>
        <v/>
      </c>
      <c r="H1416" s="2" t="str">
        <f>IF(B1416="","",IFERROR(VLOOKUP(B1416, PLANTA_BASE!A:W, 17, FALSE), "GENERAL"))</f>
        <v/>
      </c>
    </row>
    <row r="1417" spans="1:8" ht="20.100000000000001" customHeight="1" x14ac:dyDescent="0.25">
      <c r="A1417" s="5" t="str">
        <f>IF(B1417="","",IFERROR(VLOOKUP(B1417, PLANTA_BASE!A:W, 2, FALSE), "NO ENCONTRADO EN PLANTA"))</f>
        <v/>
      </c>
      <c r="B1417" s="6"/>
      <c r="C1417" s="7" t="str">
        <f>IF(B1417="","",IFERROR(VLOOKUP(B1417, PLANTA_BASE!A:W, 3, FALSE), ""))</f>
        <v/>
      </c>
      <c r="D1417" s="5" t="str">
        <f>IF(B1417="","",IFERROR(VLOOKUP(B1417, PLANTA_BASE!A:W, 5, FALSE), "NO ENCONTRADO EN PLANTA"))</f>
        <v/>
      </c>
      <c r="E1417" s="5" t="str">
        <f>IF(B1417="","",IFERROR(VLOOKUP(B1417, PLANTA_BASE!A:W, 6, FALSE), "NO ENCONTRADO EN PLANTA"))</f>
        <v/>
      </c>
      <c r="F1417" s="7" t="str">
        <f>IF(B1417="","",IFERROR(VLOOKUP(B1417, PLANTA_BASE!A:W, 8, FALSE), "DOCENTE / FACILITADOR"))</f>
        <v/>
      </c>
      <c r="G1417" s="7" t="str">
        <f>IF(B1417="","",IFERROR(VLOOKUP(B1417, PLANTA_BASE!A:W, 9, FALSE), "GENERAL"))</f>
        <v/>
      </c>
      <c r="H1417" s="5" t="str">
        <f>IF(B1417="","",IFERROR(VLOOKUP(B1417, PLANTA_BASE!A:W, 17, FALSE), "GENERAL"))</f>
        <v/>
      </c>
    </row>
    <row r="1418" spans="1:8" ht="20.100000000000001" customHeight="1" x14ac:dyDescent="0.25">
      <c r="A1418" s="2" t="str">
        <f>IF(B1418="","",IFERROR(VLOOKUP(B1418, PLANTA_BASE!A:W, 2, FALSE), "NO ENCONTRADO EN PLANTA"))</f>
        <v/>
      </c>
      <c r="B1418" s="3"/>
      <c r="C1418" s="4" t="str">
        <f>IF(B1418="","",IFERROR(VLOOKUP(B1418, PLANTA_BASE!A:W, 3, FALSE), ""))</f>
        <v/>
      </c>
      <c r="D1418" s="2" t="str">
        <f>IF(B1418="","",IFERROR(VLOOKUP(B1418, PLANTA_BASE!A:W, 5, FALSE), "NO ENCONTRADO EN PLANTA"))</f>
        <v/>
      </c>
      <c r="E1418" s="2" t="str">
        <f>IF(B1418="","",IFERROR(VLOOKUP(B1418, PLANTA_BASE!A:W, 6, FALSE), "NO ENCONTRADO EN PLANTA"))</f>
        <v/>
      </c>
      <c r="F1418" s="4" t="str">
        <f>IF(B1418="","",IFERROR(VLOOKUP(B1418, PLANTA_BASE!A:W, 8, FALSE), "DOCENTE / FACILITADOR"))</f>
        <v/>
      </c>
      <c r="G1418" s="4" t="str">
        <f>IF(B1418="","",IFERROR(VLOOKUP(B1418, PLANTA_BASE!A:W, 9, FALSE), "GENERAL"))</f>
        <v/>
      </c>
      <c r="H1418" s="2" t="str">
        <f>IF(B1418="","",IFERROR(VLOOKUP(B1418, PLANTA_BASE!A:W, 17, FALSE), "GENERAL"))</f>
        <v/>
      </c>
    </row>
    <row r="1419" spans="1:8" ht="20.100000000000001" customHeight="1" x14ac:dyDescent="0.25">
      <c r="A1419" s="5" t="str">
        <f>IF(B1419="","",IFERROR(VLOOKUP(B1419, PLANTA_BASE!A:W, 2, FALSE), "NO ENCONTRADO EN PLANTA"))</f>
        <v/>
      </c>
      <c r="B1419" s="6"/>
      <c r="C1419" s="7" t="str">
        <f>IF(B1419="","",IFERROR(VLOOKUP(B1419, PLANTA_BASE!A:W, 3, FALSE), ""))</f>
        <v/>
      </c>
      <c r="D1419" s="5" t="str">
        <f>IF(B1419="","",IFERROR(VLOOKUP(B1419, PLANTA_BASE!A:W, 5, FALSE), "NO ENCONTRADO EN PLANTA"))</f>
        <v/>
      </c>
      <c r="E1419" s="5" t="str">
        <f>IF(B1419="","",IFERROR(VLOOKUP(B1419, PLANTA_BASE!A:W, 6, FALSE), "NO ENCONTRADO EN PLANTA"))</f>
        <v/>
      </c>
      <c r="F1419" s="7" t="str">
        <f>IF(B1419="","",IFERROR(VLOOKUP(B1419, PLANTA_BASE!A:W, 8, FALSE), "DOCENTE / FACILITADOR"))</f>
        <v/>
      </c>
      <c r="G1419" s="7" t="str">
        <f>IF(B1419="","",IFERROR(VLOOKUP(B1419, PLANTA_BASE!A:W, 9, FALSE), "GENERAL"))</f>
        <v/>
      </c>
      <c r="H1419" s="5" t="str">
        <f>IF(B1419="","",IFERROR(VLOOKUP(B1419, PLANTA_BASE!A:W, 17, FALSE), "GENERAL"))</f>
        <v/>
      </c>
    </row>
    <row r="1420" spans="1:8" ht="20.100000000000001" customHeight="1" x14ac:dyDescent="0.25">
      <c r="A1420" s="2" t="str">
        <f>IF(B1420="","",IFERROR(VLOOKUP(B1420, PLANTA_BASE!A:W, 2, FALSE), "NO ENCONTRADO EN PLANTA"))</f>
        <v/>
      </c>
      <c r="B1420" s="3"/>
      <c r="C1420" s="4" t="str">
        <f>IF(B1420="","",IFERROR(VLOOKUP(B1420, PLANTA_BASE!A:W, 3, FALSE), ""))</f>
        <v/>
      </c>
      <c r="D1420" s="2" t="str">
        <f>IF(B1420="","",IFERROR(VLOOKUP(B1420, PLANTA_BASE!A:W, 5, FALSE), "NO ENCONTRADO EN PLANTA"))</f>
        <v/>
      </c>
      <c r="E1420" s="2" t="str">
        <f>IF(B1420="","",IFERROR(VLOOKUP(B1420, PLANTA_BASE!A:W, 6, FALSE), "NO ENCONTRADO EN PLANTA"))</f>
        <v/>
      </c>
      <c r="F1420" s="4" t="str">
        <f>IF(B1420="","",IFERROR(VLOOKUP(B1420, PLANTA_BASE!A:W, 8, FALSE), "DOCENTE / FACILITADOR"))</f>
        <v/>
      </c>
      <c r="G1420" s="4" t="str">
        <f>IF(B1420="","",IFERROR(VLOOKUP(B1420, PLANTA_BASE!A:W, 9, FALSE), "GENERAL"))</f>
        <v/>
      </c>
      <c r="H1420" s="2" t="str">
        <f>IF(B1420="","",IFERROR(VLOOKUP(B1420, PLANTA_BASE!A:W, 17, FALSE), "GENERAL"))</f>
        <v/>
      </c>
    </row>
    <row r="1421" spans="1:8" ht="20.100000000000001" customHeight="1" x14ac:dyDescent="0.25">
      <c r="A1421" s="5" t="str">
        <f>IF(B1421="","",IFERROR(VLOOKUP(B1421, PLANTA_BASE!A:W, 2, FALSE), "NO ENCONTRADO EN PLANTA"))</f>
        <v/>
      </c>
      <c r="B1421" s="6"/>
      <c r="C1421" s="7" t="str">
        <f>IF(B1421="","",IFERROR(VLOOKUP(B1421, PLANTA_BASE!A:W, 3, FALSE), ""))</f>
        <v/>
      </c>
      <c r="D1421" s="5" t="str">
        <f>IF(B1421="","",IFERROR(VLOOKUP(B1421, PLANTA_BASE!A:W, 5, FALSE), "NO ENCONTRADO EN PLANTA"))</f>
        <v/>
      </c>
      <c r="E1421" s="5" t="str">
        <f>IF(B1421="","",IFERROR(VLOOKUP(B1421, PLANTA_BASE!A:W, 6, FALSE), "NO ENCONTRADO EN PLANTA"))</f>
        <v/>
      </c>
      <c r="F1421" s="7" t="str">
        <f>IF(B1421="","",IFERROR(VLOOKUP(B1421, PLANTA_BASE!A:W, 8, FALSE), "DOCENTE / FACILITADOR"))</f>
        <v/>
      </c>
      <c r="G1421" s="7" t="str">
        <f>IF(B1421="","",IFERROR(VLOOKUP(B1421, PLANTA_BASE!A:W, 9, FALSE), "GENERAL"))</f>
        <v/>
      </c>
      <c r="H1421" s="5" t="str">
        <f>IF(B1421="","",IFERROR(VLOOKUP(B1421, PLANTA_BASE!A:W, 17, FALSE), "GENERAL"))</f>
        <v/>
      </c>
    </row>
    <row r="1422" spans="1:8" ht="20.100000000000001" customHeight="1" x14ac:dyDescent="0.25">
      <c r="A1422" s="2" t="str">
        <f>IF(B1422="","",IFERROR(VLOOKUP(B1422, PLANTA_BASE!A:W, 2, FALSE), "NO ENCONTRADO EN PLANTA"))</f>
        <v/>
      </c>
      <c r="B1422" s="3"/>
      <c r="C1422" s="4" t="str">
        <f>IF(B1422="","",IFERROR(VLOOKUP(B1422, PLANTA_BASE!A:W, 3, FALSE), ""))</f>
        <v/>
      </c>
      <c r="D1422" s="2" t="str">
        <f>IF(B1422="","",IFERROR(VLOOKUP(B1422, PLANTA_BASE!A:W, 5, FALSE), "NO ENCONTRADO EN PLANTA"))</f>
        <v/>
      </c>
      <c r="E1422" s="2" t="str">
        <f>IF(B1422="","",IFERROR(VLOOKUP(B1422, PLANTA_BASE!A:W, 6, FALSE), "NO ENCONTRADO EN PLANTA"))</f>
        <v/>
      </c>
      <c r="F1422" s="4" t="str">
        <f>IF(B1422="","",IFERROR(VLOOKUP(B1422, PLANTA_BASE!A:W, 8, FALSE), "DOCENTE / FACILITADOR"))</f>
        <v/>
      </c>
      <c r="G1422" s="4" t="str">
        <f>IF(B1422="","",IFERROR(VLOOKUP(B1422, PLANTA_BASE!A:W, 9, FALSE), "GENERAL"))</f>
        <v/>
      </c>
      <c r="H1422" s="2" t="str">
        <f>IF(B1422="","",IFERROR(VLOOKUP(B1422, PLANTA_BASE!A:W, 17, FALSE), "GENERAL"))</f>
        <v/>
      </c>
    </row>
    <row r="1423" spans="1:8" ht="20.100000000000001" customHeight="1" x14ac:dyDescent="0.25">
      <c r="A1423" s="5" t="str">
        <f>IF(B1423="","",IFERROR(VLOOKUP(B1423, PLANTA_BASE!A:W, 2, FALSE), "NO ENCONTRADO EN PLANTA"))</f>
        <v/>
      </c>
      <c r="B1423" s="6"/>
      <c r="C1423" s="7" t="str">
        <f>IF(B1423="","",IFERROR(VLOOKUP(B1423, PLANTA_BASE!A:W, 3, FALSE), ""))</f>
        <v/>
      </c>
      <c r="D1423" s="5" t="str">
        <f>IF(B1423="","",IFERROR(VLOOKUP(B1423, PLANTA_BASE!A:W, 5, FALSE), "NO ENCONTRADO EN PLANTA"))</f>
        <v/>
      </c>
      <c r="E1423" s="5" t="str">
        <f>IF(B1423="","",IFERROR(VLOOKUP(B1423, PLANTA_BASE!A:W, 6, FALSE), "NO ENCONTRADO EN PLANTA"))</f>
        <v/>
      </c>
      <c r="F1423" s="7" t="str">
        <f>IF(B1423="","",IFERROR(VLOOKUP(B1423, PLANTA_BASE!A:W, 8, FALSE), "DOCENTE / FACILITADOR"))</f>
        <v/>
      </c>
      <c r="G1423" s="7" t="str">
        <f>IF(B1423="","",IFERROR(VLOOKUP(B1423, PLANTA_BASE!A:W, 9, FALSE), "GENERAL"))</f>
        <v/>
      </c>
      <c r="H1423" s="5" t="str">
        <f>IF(B1423="","",IFERROR(VLOOKUP(B1423, PLANTA_BASE!A:W, 17, FALSE), "GENERAL"))</f>
        <v/>
      </c>
    </row>
    <row r="1424" spans="1:8" ht="20.100000000000001" customHeight="1" x14ac:dyDescent="0.25">
      <c r="A1424" s="2" t="str">
        <f>IF(B1424="","",IFERROR(VLOOKUP(B1424, PLANTA_BASE!A:W, 2, FALSE), "NO ENCONTRADO EN PLANTA"))</f>
        <v/>
      </c>
      <c r="B1424" s="3"/>
      <c r="C1424" s="4" t="str">
        <f>IF(B1424="","",IFERROR(VLOOKUP(B1424, PLANTA_BASE!A:W, 3, FALSE), ""))</f>
        <v/>
      </c>
      <c r="D1424" s="2" t="str">
        <f>IF(B1424="","",IFERROR(VLOOKUP(B1424, PLANTA_BASE!A:W, 5, FALSE), "NO ENCONTRADO EN PLANTA"))</f>
        <v/>
      </c>
      <c r="E1424" s="2" t="str">
        <f>IF(B1424="","",IFERROR(VLOOKUP(B1424, PLANTA_BASE!A:W, 6, FALSE), "NO ENCONTRADO EN PLANTA"))</f>
        <v/>
      </c>
      <c r="F1424" s="4" t="str">
        <f>IF(B1424="","",IFERROR(VLOOKUP(B1424, PLANTA_BASE!A:W, 8, FALSE), "DOCENTE / FACILITADOR"))</f>
        <v/>
      </c>
      <c r="G1424" s="4" t="str">
        <f>IF(B1424="","",IFERROR(VLOOKUP(B1424, PLANTA_BASE!A:W, 9, FALSE), "GENERAL"))</f>
        <v/>
      </c>
      <c r="H1424" s="2" t="str">
        <f>IF(B1424="","",IFERROR(VLOOKUP(B1424, PLANTA_BASE!A:W, 17, FALSE), "GENERAL"))</f>
        <v/>
      </c>
    </row>
    <row r="1425" spans="1:8" ht="20.100000000000001" customHeight="1" x14ac:dyDescent="0.25">
      <c r="A1425" s="5" t="str">
        <f>IF(B1425="","",IFERROR(VLOOKUP(B1425, PLANTA_BASE!A:W, 2, FALSE), "NO ENCONTRADO EN PLANTA"))</f>
        <v/>
      </c>
      <c r="B1425" s="6"/>
      <c r="C1425" s="7" t="str">
        <f>IF(B1425="","",IFERROR(VLOOKUP(B1425, PLANTA_BASE!A:W, 3, FALSE), ""))</f>
        <v/>
      </c>
      <c r="D1425" s="5" t="str">
        <f>IF(B1425="","",IFERROR(VLOOKUP(B1425, PLANTA_BASE!A:W, 5, FALSE), "NO ENCONTRADO EN PLANTA"))</f>
        <v/>
      </c>
      <c r="E1425" s="5" t="str">
        <f>IF(B1425="","",IFERROR(VLOOKUP(B1425, PLANTA_BASE!A:W, 6, FALSE), "NO ENCONTRADO EN PLANTA"))</f>
        <v/>
      </c>
      <c r="F1425" s="7" t="str">
        <f>IF(B1425="","",IFERROR(VLOOKUP(B1425, PLANTA_BASE!A:W, 8, FALSE), "DOCENTE / FACILITADOR"))</f>
        <v/>
      </c>
      <c r="G1425" s="7" t="str">
        <f>IF(B1425="","",IFERROR(VLOOKUP(B1425, PLANTA_BASE!A:W, 9, FALSE), "GENERAL"))</f>
        <v/>
      </c>
      <c r="H1425" s="5" t="str">
        <f>IF(B1425="","",IFERROR(VLOOKUP(B1425, PLANTA_BASE!A:W, 17, FALSE), "GENERAL"))</f>
        <v/>
      </c>
    </row>
    <row r="1426" spans="1:8" ht="20.100000000000001" customHeight="1" x14ac:dyDescent="0.25">
      <c r="A1426" s="2" t="str">
        <f>IF(B1426="","",IFERROR(VLOOKUP(B1426, PLANTA_BASE!A:W, 2, FALSE), "NO ENCONTRADO EN PLANTA"))</f>
        <v/>
      </c>
      <c r="B1426" s="3"/>
      <c r="C1426" s="4" t="str">
        <f>IF(B1426="","",IFERROR(VLOOKUP(B1426, PLANTA_BASE!A:W, 3, FALSE), ""))</f>
        <v/>
      </c>
      <c r="D1426" s="2" t="str">
        <f>IF(B1426="","",IFERROR(VLOOKUP(B1426, PLANTA_BASE!A:W, 5, FALSE), "NO ENCONTRADO EN PLANTA"))</f>
        <v/>
      </c>
      <c r="E1426" s="2" t="str">
        <f>IF(B1426="","",IFERROR(VLOOKUP(B1426, PLANTA_BASE!A:W, 6, FALSE), "NO ENCONTRADO EN PLANTA"))</f>
        <v/>
      </c>
      <c r="F1426" s="4" t="str">
        <f>IF(B1426="","",IFERROR(VLOOKUP(B1426, PLANTA_BASE!A:W, 8, FALSE), "DOCENTE / FACILITADOR"))</f>
        <v/>
      </c>
      <c r="G1426" s="4" t="str">
        <f>IF(B1426="","",IFERROR(VLOOKUP(B1426, PLANTA_BASE!A:W, 9, FALSE), "GENERAL"))</f>
        <v/>
      </c>
      <c r="H1426" s="2" t="str">
        <f>IF(B1426="","",IFERROR(VLOOKUP(B1426, PLANTA_BASE!A:W, 17, FALSE), "GENERAL"))</f>
        <v/>
      </c>
    </row>
    <row r="1427" spans="1:8" ht="20.100000000000001" customHeight="1" x14ac:dyDescent="0.25">
      <c r="A1427" s="5" t="str">
        <f>IF(B1427="","",IFERROR(VLOOKUP(B1427, PLANTA_BASE!A:W, 2, FALSE), "NO ENCONTRADO EN PLANTA"))</f>
        <v/>
      </c>
      <c r="B1427" s="6"/>
      <c r="C1427" s="7" t="str">
        <f>IF(B1427="","",IFERROR(VLOOKUP(B1427, PLANTA_BASE!A:W, 3, FALSE), ""))</f>
        <v/>
      </c>
      <c r="D1427" s="5" t="str">
        <f>IF(B1427="","",IFERROR(VLOOKUP(B1427, PLANTA_BASE!A:W, 5, FALSE), "NO ENCONTRADO EN PLANTA"))</f>
        <v/>
      </c>
      <c r="E1427" s="5" t="str">
        <f>IF(B1427="","",IFERROR(VLOOKUP(B1427, PLANTA_BASE!A:W, 6, FALSE), "NO ENCONTRADO EN PLANTA"))</f>
        <v/>
      </c>
      <c r="F1427" s="7" t="str">
        <f>IF(B1427="","",IFERROR(VLOOKUP(B1427, PLANTA_BASE!A:W, 8, FALSE), "DOCENTE / FACILITADOR"))</f>
        <v/>
      </c>
      <c r="G1427" s="7" t="str">
        <f>IF(B1427="","",IFERROR(VLOOKUP(B1427, PLANTA_BASE!A:W, 9, FALSE), "GENERAL"))</f>
        <v/>
      </c>
      <c r="H1427" s="5" t="str">
        <f>IF(B1427="","",IFERROR(VLOOKUP(B1427, PLANTA_BASE!A:W, 17, FALSE), "GENERAL"))</f>
        <v/>
      </c>
    </row>
    <row r="1428" spans="1:8" ht="20.100000000000001" customHeight="1" x14ac:dyDescent="0.25">
      <c r="A1428" s="2" t="str">
        <f>IF(B1428="","",IFERROR(VLOOKUP(B1428, PLANTA_BASE!A:W, 2, FALSE), "NO ENCONTRADO EN PLANTA"))</f>
        <v/>
      </c>
      <c r="B1428" s="3"/>
      <c r="C1428" s="4" t="str">
        <f>IF(B1428="","",IFERROR(VLOOKUP(B1428, PLANTA_BASE!A:W, 3, FALSE), ""))</f>
        <v/>
      </c>
      <c r="D1428" s="2" t="str">
        <f>IF(B1428="","",IFERROR(VLOOKUP(B1428, PLANTA_BASE!A:W, 5, FALSE), "NO ENCONTRADO EN PLANTA"))</f>
        <v/>
      </c>
      <c r="E1428" s="2" t="str">
        <f>IF(B1428="","",IFERROR(VLOOKUP(B1428, PLANTA_BASE!A:W, 6, FALSE), "NO ENCONTRADO EN PLANTA"))</f>
        <v/>
      </c>
      <c r="F1428" s="4" t="str">
        <f>IF(B1428="","",IFERROR(VLOOKUP(B1428, PLANTA_BASE!A:W, 8, FALSE), "DOCENTE / FACILITADOR"))</f>
        <v/>
      </c>
      <c r="G1428" s="4" t="str">
        <f>IF(B1428="","",IFERROR(VLOOKUP(B1428, PLANTA_BASE!A:W, 9, FALSE), "GENERAL"))</f>
        <v/>
      </c>
      <c r="H1428" s="2" t="str">
        <f>IF(B1428="","",IFERROR(VLOOKUP(B1428, PLANTA_BASE!A:W, 17, FALSE), "GENERAL"))</f>
        <v/>
      </c>
    </row>
    <row r="1429" spans="1:8" ht="20.100000000000001" customHeight="1" x14ac:dyDescent="0.25">
      <c r="A1429" s="5" t="str">
        <f>IF(B1429="","",IFERROR(VLOOKUP(B1429, PLANTA_BASE!A:W, 2, FALSE), "NO ENCONTRADO EN PLANTA"))</f>
        <v/>
      </c>
      <c r="B1429" s="6"/>
      <c r="C1429" s="7" t="str">
        <f>IF(B1429="","",IFERROR(VLOOKUP(B1429, PLANTA_BASE!A:W, 3, FALSE), ""))</f>
        <v/>
      </c>
      <c r="D1429" s="5" t="str">
        <f>IF(B1429="","",IFERROR(VLOOKUP(B1429, PLANTA_BASE!A:W, 5, FALSE), "NO ENCONTRADO EN PLANTA"))</f>
        <v/>
      </c>
      <c r="E1429" s="5" t="str">
        <f>IF(B1429="","",IFERROR(VLOOKUP(B1429, PLANTA_BASE!A:W, 6, FALSE), "NO ENCONTRADO EN PLANTA"))</f>
        <v/>
      </c>
      <c r="F1429" s="7" t="str">
        <f>IF(B1429="","",IFERROR(VLOOKUP(B1429, PLANTA_BASE!A:W, 8, FALSE), "DOCENTE / FACILITADOR"))</f>
        <v/>
      </c>
      <c r="G1429" s="7" t="str">
        <f>IF(B1429="","",IFERROR(VLOOKUP(B1429, PLANTA_BASE!A:W, 9, FALSE), "GENERAL"))</f>
        <v/>
      </c>
      <c r="H1429" s="5" t="str">
        <f>IF(B1429="","",IFERROR(VLOOKUP(B1429, PLANTA_BASE!A:W, 17, FALSE), "GENERAL"))</f>
        <v/>
      </c>
    </row>
    <row r="1430" spans="1:8" ht="20.100000000000001" customHeight="1" x14ac:dyDescent="0.25">
      <c r="A1430" s="2" t="str">
        <f>IF(B1430="","",IFERROR(VLOOKUP(B1430, PLANTA_BASE!A:W, 2, FALSE), "NO ENCONTRADO EN PLANTA"))</f>
        <v/>
      </c>
      <c r="B1430" s="3"/>
      <c r="C1430" s="4" t="str">
        <f>IF(B1430="","",IFERROR(VLOOKUP(B1430, PLANTA_BASE!A:W, 3, FALSE), ""))</f>
        <v/>
      </c>
      <c r="D1430" s="2" t="str">
        <f>IF(B1430="","",IFERROR(VLOOKUP(B1430, PLANTA_BASE!A:W, 5, FALSE), "NO ENCONTRADO EN PLANTA"))</f>
        <v/>
      </c>
      <c r="E1430" s="2" t="str">
        <f>IF(B1430="","",IFERROR(VLOOKUP(B1430, PLANTA_BASE!A:W, 6, FALSE), "NO ENCONTRADO EN PLANTA"))</f>
        <v/>
      </c>
      <c r="F1430" s="4" t="str">
        <f>IF(B1430="","",IFERROR(VLOOKUP(B1430, PLANTA_BASE!A:W, 8, FALSE), "DOCENTE / FACILITADOR"))</f>
        <v/>
      </c>
      <c r="G1430" s="4" t="str">
        <f>IF(B1430="","",IFERROR(VLOOKUP(B1430, PLANTA_BASE!A:W, 9, FALSE), "GENERAL"))</f>
        <v/>
      </c>
      <c r="H1430" s="2" t="str">
        <f>IF(B1430="","",IFERROR(VLOOKUP(B1430, PLANTA_BASE!A:W, 17, FALSE), "GENERAL"))</f>
        <v/>
      </c>
    </row>
    <row r="1431" spans="1:8" ht="20.100000000000001" customHeight="1" x14ac:dyDescent="0.25">
      <c r="A1431" s="5" t="str">
        <f>IF(B1431="","",IFERROR(VLOOKUP(B1431, PLANTA_BASE!A:W, 2, FALSE), "NO ENCONTRADO EN PLANTA"))</f>
        <v/>
      </c>
      <c r="B1431" s="6"/>
      <c r="C1431" s="7" t="str">
        <f>IF(B1431="","",IFERROR(VLOOKUP(B1431, PLANTA_BASE!A:W, 3, FALSE), ""))</f>
        <v/>
      </c>
      <c r="D1431" s="5" t="str">
        <f>IF(B1431="","",IFERROR(VLOOKUP(B1431, PLANTA_BASE!A:W, 5, FALSE), "NO ENCONTRADO EN PLANTA"))</f>
        <v/>
      </c>
      <c r="E1431" s="5" t="str">
        <f>IF(B1431="","",IFERROR(VLOOKUP(B1431, PLANTA_BASE!A:W, 6, FALSE), "NO ENCONTRADO EN PLANTA"))</f>
        <v/>
      </c>
      <c r="F1431" s="7" t="str">
        <f>IF(B1431="","",IFERROR(VLOOKUP(B1431, PLANTA_BASE!A:W, 8, FALSE), "DOCENTE / FACILITADOR"))</f>
        <v/>
      </c>
      <c r="G1431" s="7" t="str">
        <f>IF(B1431="","",IFERROR(VLOOKUP(B1431, PLANTA_BASE!A:W, 9, FALSE), "GENERAL"))</f>
        <v/>
      </c>
      <c r="H1431" s="5" t="str">
        <f>IF(B1431="","",IFERROR(VLOOKUP(B1431, PLANTA_BASE!A:W, 17, FALSE), "GENERAL"))</f>
        <v/>
      </c>
    </row>
    <row r="1432" spans="1:8" ht="20.100000000000001" customHeight="1" x14ac:dyDescent="0.25">
      <c r="A1432" s="2" t="str">
        <f>IF(B1432="","",IFERROR(VLOOKUP(B1432, PLANTA_BASE!A:W, 2, FALSE), "NO ENCONTRADO EN PLANTA"))</f>
        <v/>
      </c>
      <c r="B1432" s="3"/>
      <c r="C1432" s="4" t="str">
        <f>IF(B1432="","",IFERROR(VLOOKUP(B1432, PLANTA_BASE!A:W, 3, FALSE), ""))</f>
        <v/>
      </c>
      <c r="D1432" s="2" t="str">
        <f>IF(B1432="","",IFERROR(VLOOKUP(B1432, PLANTA_BASE!A:W, 5, FALSE), "NO ENCONTRADO EN PLANTA"))</f>
        <v/>
      </c>
      <c r="E1432" s="2" t="str">
        <f>IF(B1432="","",IFERROR(VLOOKUP(B1432, PLANTA_BASE!A:W, 6, FALSE), "NO ENCONTRADO EN PLANTA"))</f>
        <v/>
      </c>
      <c r="F1432" s="4" t="str">
        <f>IF(B1432="","",IFERROR(VLOOKUP(B1432, PLANTA_BASE!A:W, 8, FALSE), "DOCENTE / FACILITADOR"))</f>
        <v/>
      </c>
      <c r="G1432" s="4" t="str">
        <f>IF(B1432="","",IFERROR(VLOOKUP(B1432, PLANTA_BASE!A:W, 9, FALSE), "GENERAL"))</f>
        <v/>
      </c>
      <c r="H1432" s="2" t="str">
        <f>IF(B1432="","",IFERROR(VLOOKUP(B1432, PLANTA_BASE!A:W, 17, FALSE), "GENERAL"))</f>
        <v/>
      </c>
    </row>
    <row r="1433" spans="1:8" ht="20.100000000000001" customHeight="1" x14ac:dyDescent="0.25">
      <c r="A1433" s="5" t="str">
        <f>IF(B1433="","",IFERROR(VLOOKUP(B1433, PLANTA_BASE!A:W, 2, FALSE), "NO ENCONTRADO EN PLANTA"))</f>
        <v/>
      </c>
      <c r="B1433" s="6"/>
      <c r="C1433" s="7" t="str">
        <f>IF(B1433="","",IFERROR(VLOOKUP(B1433, PLANTA_BASE!A:W, 3, FALSE), ""))</f>
        <v/>
      </c>
      <c r="D1433" s="5" t="str">
        <f>IF(B1433="","",IFERROR(VLOOKUP(B1433, PLANTA_BASE!A:W, 5, FALSE), "NO ENCONTRADO EN PLANTA"))</f>
        <v/>
      </c>
      <c r="E1433" s="5" t="str">
        <f>IF(B1433="","",IFERROR(VLOOKUP(B1433, PLANTA_BASE!A:W, 6, FALSE), "NO ENCONTRADO EN PLANTA"))</f>
        <v/>
      </c>
      <c r="F1433" s="7" t="str">
        <f>IF(B1433="","",IFERROR(VLOOKUP(B1433, PLANTA_BASE!A:W, 8, FALSE), "DOCENTE / FACILITADOR"))</f>
        <v/>
      </c>
      <c r="G1433" s="7" t="str">
        <f>IF(B1433="","",IFERROR(VLOOKUP(B1433, PLANTA_BASE!A:W, 9, FALSE), "GENERAL"))</f>
        <v/>
      </c>
      <c r="H1433" s="5" t="str">
        <f>IF(B1433="","",IFERROR(VLOOKUP(B1433, PLANTA_BASE!A:W, 17, FALSE), "GENERAL"))</f>
        <v/>
      </c>
    </row>
    <row r="1434" spans="1:8" ht="20.100000000000001" customHeight="1" x14ac:dyDescent="0.25">
      <c r="A1434" s="2" t="str">
        <f>IF(B1434="","",IFERROR(VLOOKUP(B1434, PLANTA_BASE!A:W, 2, FALSE), "NO ENCONTRADO EN PLANTA"))</f>
        <v/>
      </c>
      <c r="B1434" s="3"/>
      <c r="C1434" s="4" t="str">
        <f>IF(B1434="","",IFERROR(VLOOKUP(B1434, PLANTA_BASE!A:W, 3, FALSE), ""))</f>
        <v/>
      </c>
      <c r="D1434" s="2" t="str">
        <f>IF(B1434="","",IFERROR(VLOOKUP(B1434, PLANTA_BASE!A:W, 5, FALSE), "NO ENCONTRADO EN PLANTA"))</f>
        <v/>
      </c>
      <c r="E1434" s="2" t="str">
        <f>IF(B1434="","",IFERROR(VLOOKUP(B1434, PLANTA_BASE!A:W, 6, FALSE), "NO ENCONTRADO EN PLANTA"))</f>
        <v/>
      </c>
      <c r="F1434" s="4" t="str">
        <f>IF(B1434="","",IFERROR(VLOOKUP(B1434, PLANTA_BASE!A:W, 8, FALSE), "DOCENTE / FACILITADOR"))</f>
        <v/>
      </c>
      <c r="G1434" s="4" t="str">
        <f>IF(B1434="","",IFERROR(VLOOKUP(B1434, PLANTA_BASE!A:W, 9, FALSE), "GENERAL"))</f>
        <v/>
      </c>
      <c r="H1434" s="2" t="str">
        <f>IF(B1434="","",IFERROR(VLOOKUP(B1434, PLANTA_BASE!A:W, 17, FALSE), "GENERAL"))</f>
        <v/>
      </c>
    </row>
    <row r="1435" spans="1:8" ht="20.100000000000001" customHeight="1" x14ac:dyDescent="0.25">
      <c r="A1435" s="5" t="str">
        <f>IF(B1435="","",IFERROR(VLOOKUP(B1435, PLANTA_BASE!A:W, 2, FALSE), "NO ENCONTRADO EN PLANTA"))</f>
        <v/>
      </c>
      <c r="B1435" s="6"/>
      <c r="C1435" s="7" t="str">
        <f>IF(B1435="","",IFERROR(VLOOKUP(B1435, PLANTA_BASE!A:W, 3, FALSE), ""))</f>
        <v/>
      </c>
      <c r="D1435" s="5" t="str">
        <f>IF(B1435="","",IFERROR(VLOOKUP(B1435, PLANTA_BASE!A:W, 5, FALSE), "NO ENCONTRADO EN PLANTA"))</f>
        <v/>
      </c>
      <c r="E1435" s="5" t="str">
        <f>IF(B1435="","",IFERROR(VLOOKUP(B1435, PLANTA_BASE!A:W, 6, FALSE), "NO ENCONTRADO EN PLANTA"))</f>
        <v/>
      </c>
      <c r="F1435" s="7" t="str">
        <f>IF(B1435="","",IFERROR(VLOOKUP(B1435, PLANTA_BASE!A:W, 8, FALSE), "DOCENTE / FACILITADOR"))</f>
        <v/>
      </c>
      <c r="G1435" s="7" t="str">
        <f>IF(B1435="","",IFERROR(VLOOKUP(B1435, PLANTA_BASE!A:W, 9, FALSE), "GENERAL"))</f>
        <v/>
      </c>
      <c r="H1435" s="5" t="str">
        <f>IF(B1435="","",IFERROR(VLOOKUP(B1435, PLANTA_BASE!A:W, 17, FALSE), "GENERAL"))</f>
        <v/>
      </c>
    </row>
    <row r="1436" spans="1:8" ht="20.100000000000001" customHeight="1" x14ac:dyDescent="0.25">
      <c r="A1436" s="2" t="str">
        <f>IF(B1436="","",IFERROR(VLOOKUP(B1436, PLANTA_BASE!A:W, 2, FALSE), "NO ENCONTRADO EN PLANTA"))</f>
        <v/>
      </c>
      <c r="B1436" s="3"/>
      <c r="C1436" s="4" t="str">
        <f>IF(B1436="","",IFERROR(VLOOKUP(B1436, PLANTA_BASE!A:W, 3, FALSE), ""))</f>
        <v/>
      </c>
      <c r="D1436" s="2" t="str">
        <f>IF(B1436="","",IFERROR(VLOOKUP(B1436, PLANTA_BASE!A:W, 5, FALSE), "NO ENCONTRADO EN PLANTA"))</f>
        <v/>
      </c>
      <c r="E1436" s="2" t="str">
        <f>IF(B1436="","",IFERROR(VLOOKUP(B1436, PLANTA_BASE!A:W, 6, FALSE), "NO ENCONTRADO EN PLANTA"))</f>
        <v/>
      </c>
      <c r="F1436" s="4" t="str">
        <f>IF(B1436="","",IFERROR(VLOOKUP(B1436, PLANTA_BASE!A:W, 8, FALSE), "DOCENTE / FACILITADOR"))</f>
        <v/>
      </c>
      <c r="G1436" s="4" t="str">
        <f>IF(B1436="","",IFERROR(VLOOKUP(B1436, PLANTA_BASE!A:W, 9, FALSE), "GENERAL"))</f>
        <v/>
      </c>
      <c r="H1436" s="2" t="str">
        <f>IF(B1436="","",IFERROR(VLOOKUP(B1436, PLANTA_BASE!A:W, 17, FALSE), "GENERAL"))</f>
        <v/>
      </c>
    </row>
    <row r="1437" spans="1:8" ht="20.100000000000001" customHeight="1" x14ac:dyDescent="0.25">
      <c r="A1437" s="5" t="str">
        <f>IF(B1437="","",IFERROR(VLOOKUP(B1437, PLANTA_BASE!A:W, 2, FALSE), "NO ENCONTRADO EN PLANTA"))</f>
        <v/>
      </c>
      <c r="B1437" s="6"/>
      <c r="C1437" s="7" t="str">
        <f>IF(B1437="","",IFERROR(VLOOKUP(B1437, PLANTA_BASE!A:W, 3, FALSE), ""))</f>
        <v/>
      </c>
      <c r="D1437" s="5" t="str">
        <f>IF(B1437="","",IFERROR(VLOOKUP(B1437, PLANTA_BASE!A:W, 5, FALSE), "NO ENCONTRADO EN PLANTA"))</f>
        <v/>
      </c>
      <c r="E1437" s="5" t="str">
        <f>IF(B1437="","",IFERROR(VLOOKUP(B1437, PLANTA_BASE!A:W, 6, FALSE), "NO ENCONTRADO EN PLANTA"))</f>
        <v/>
      </c>
      <c r="F1437" s="7" t="str">
        <f>IF(B1437="","",IFERROR(VLOOKUP(B1437, PLANTA_BASE!A:W, 8, FALSE), "DOCENTE / FACILITADOR"))</f>
        <v/>
      </c>
      <c r="G1437" s="7" t="str">
        <f>IF(B1437="","",IFERROR(VLOOKUP(B1437, PLANTA_BASE!A:W, 9, FALSE), "GENERAL"))</f>
        <v/>
      </c>
      <c r="H1437" s="5" t="str">
        <f>IF(B1437="","",IFERROR(VLOOKUP(B1437, PLANTA_BASE!A:W, 17, FALSE), "GENERAL"))</f>
        <v/>
      </c>
    </row>
    <row r="1438" spans="1:8" ht="20.100000000000001" customHeight="1" x14ac:dyDescent="0.25">
      <c r="A1438" s="2" t="str">
        <f>IF(B1438="","",IFERROR(VLOOKUP(B1438, PLANTA_BASE!A:W, 2, FALSE), "NO ENCONTRADO EN PLANTA"))</f>
        <v/>
      </c>
      <c r="B1438" s="3"/>
      <c r="C1438" s="4" t="str">
        <f>IF(B1438="","",IFERROR(VLOOKUP(B1438, PLANTA_BASE!A:W, 3, FALSE), ""))</f>
        <v/>
      </c>
      <c r="D1438" s="2" t="str">
        <f>IF(B1438="","",IFERROR(VLOOKUP(B1438, PLANTA_BASE!A:W, 5, FALSE), "NO ENCONTRADO EN PLANTA"))</f>
        <v/>
      </c>
      <c r="E1438" s="2" t="str">
        <f>IF(B1438="","",IFERROR(VLOOKUP(B1438, PLANTA_BASE!A:W, 6, FALSE), "NO ENCONTRADO EN PLANTA"))</f>
        <v/>
      </c>
      <c r="F1438" s="4" t="str">
        <f>IF(B1438="","",IFERROR(VLOOKUP(B1438, PLANTA_BASE!A:W, 8, FALSE), "DOCENTE / FACILITADOR"))</f>
        <v/>
      </c>
      <c r="G1438" s="4" t="str">
        <f>IF(B1438="","",IFERROR(VLOOKUP(B1438, PLANTA_BASE!A:W, 9, FALSE), "GENERAL"))</f>
        <v/>
      </c>
      <c r="H1438" s="2" t="str">
        <f>IF(B1438="","",IFERROR(VLOOKUP(B1438, PLANTA_BASE!A:W, 17, FALSE), "GENERAL"))</f>
        <v/>
      </c>
    </row>
    <row r="1439" spans="1:8" ht="20.100000000000001" customHeight="1" x14ac:dyDescent="0.25">
      <c r="A1439" s="5" t="str">
        <f>IF(B1439="","",IFERROR(VLOOKUP(B1439, PLANTA_BASE!A:W, 2, FALSE), "NO ENCONTRADO EN PLANTA"))</f>
        <v/>
      </c>
      <c r="B1439" s="6"/>
      <c r="C1439" s="7" t="str">
        <f>IF(B1439="","",IFERROR(VLOOKUP(B1439, PLANTA_BASE!A:W, 3, FALSE), ""))</f>
        <v/>
      </c>
      <c r="D1439" s="5" t="str">
        <f>IF(B1439="","",IFERROR(VLOOKUP(B1439, PLANTA_BASE!A:W, 5, FALSE), "NO ENCONTRADO EN PLANTA"))</f>
        <v/>
      </c>
      <c r="E1439" s="5" t="str">
        <f>IF(B1439="","",IFERROR(VLOOKUP(B1439, PLANTA_BASE!A:W, 6, FALSE), "NO ENCONTRADO EN PLANTA"))</f>
        <v/>
      </c>
      <c r="F1439" s="7" t="str">
        <f>IF(B1439="","",IFERROR(VLOOKUP(B1439, PLANTA_BASE!A:W, 8, FALSE), "DOCENTE / FACILITADOR"))</f>
        <v/>
      </c>
      <c r="G1439" s="7" t="str">
        <f>IF(B1439="","",IFERROR(VLOOKUP(B1439, PLANTA_BASE!A:W, 9, FALSE), "GENERAL"))</f>
        <v/>
      </c>
      <c r="H1439" s="5" t="str">
        <f>IF(B1439="","",IFERROR(VLOOKUP(B1439, PLANTA_BASE!A:W, 17, FALSE), "GENERAL"))</f>
        <v/>
      </c>
    </row>
    <row r="1440" spans="1:8" ht="20.100000000000001" customHeight="1" x14ac:dyDescent="0.25">
      <c r="A1440" s="2" t="str">
        <f>IF(B1440="","",IFERROR(VLOOKUP(B1440, PLANTA_BASE!A:W, 2, FALSE), "NO ENCONTRADO EN PLANTA"))</f>
        <v/>
      </c>
      <c r="B1440" s="3"/>
      <c r="C1440" s="4" t="str">
        <f>IF(B1440="","",IFERROR(VLOOKUP(B1440, PLANTA_BASE!A:W, 3, FALSE), ""))</f>
        <v/>
      </c>
      <c r="D1440" s="2" t="str">
        <f>IF(B1440="","",IFERROR(VLOOKUP(B1440, PLANTA_BASE!A:W, 5, FALSE), "NO ENCONTRADO EN PLANTA"))</f>
        <v/>
      </c>
      <c r="E1440" s="2" t="str">
        <f>IF(B1440="","",IFERROR(VLOOKUP(B1440, PLANTA_BASE!A:W, 6, FALSE), "NO ENCONTRADO EN PLANTA"))</f>
        <v/>
      </c>
      <c r="F1440" s="4" t="str">
        <f>IF(B1440="","",IFERROR(VLOOKUP(B1440, PLANTA_BASE!A:W, 8, FALSE), "DOCENTE / FACILITADOR"))</f>
        <v/>
      </c>
      <c r="G1440" s="4" t="str">
        <f>IF(B1440="","",IFERROR(VLOOKUP(B1440, PLANTA_BASE!A:W, 9, FALSE), "GENERAL"))</f>
        <v/>
      </c>
      <c r="H1440" s="2" t="str">
        <f>IF(B1440="","",IFERROR(VLOOKUP(B1440, PLANTA_BASE!A:W, 17, FALSE), "GENERAL"))</f>
        <v/>
      </c>
    </row>
    <row r="1441" spans="1:8" ht="20.100000000000001" customHeight="1" x14ac:dyDescent="0.25">
      <c r="A1441" s="5" t="str">
        <f>IF(B1441="","",IFERROR(VLOOKUP(B1441, PLANTA_BASE!A:W, 2, FALSE), "NO ENCONTRADO EN PLANTA"))</f>
        <v/>
      </c>
      <c r="B1441" s="6"/>
      <c r="C1441" s="7" t="str">
        <f>IF(B1441="","",IFERROR(VLOOKUP(B1441, PLANTA_BASE!A:W, 3, FALSE), ""))</f>
        <v/>
      </c>
      <c r="D1441" s="5" t="str">
        <f>IF(B1441="","",IFERROR(VLOOKUP(B1441, PLANTA_BASE!A:W, 5, FALSE), "NO ENCONTRADO EN PLANTA"))</f>
        <v/>
      </c>
      <c r="E1441" s="5" t="str">
        <f>IF(B1441="","",IFERROR(VLOOKUP(B1441, PLANTA_BASE!A:W, 6, FALSE), "NO ENCONTRADO EN PLANTA"))</f>
        <v/>
      </c>
      <c r="F1441" s="7" t="str">
        <f>IF(B1441="","",IFERROR(VLOOKUP(B1441, PLANTA_BASE!A:W, 8, FALSE), "DOCENTE / FACILITADOR"))</f>
        <v/>
      </c>
      <c r="G1441" s="7" t="str">
        <f>IF(B1441="","",IFERROR(VLOOKUP(B1441, PLANTA_BASE!A:W, 9, FALSE), "GENERAL"))</f>
        <v/>
      </c>
      <c r="H1441" s="5" t="str">
        <f>IF(B1441="","",IFERROR(VLOOKUP(B1441, PLANTA_BASE!A:W, 17, FALSE), "GENERAL"))</f>
        <v/>
      </c>
    </row>
    <row r="1442" spans="1:8" ht="20.100000000000001" customHeight="1" x14ac:dyDescent="0.25">
      <c r="A1442" s="2" t="str">
        <f>IF(B1442="","",IFERROR(VLOOKUP(B1442, PLANTA_BASE!A:W, 2, FALSE), "NO ENCONTRADO EN PLANTA"))</f>
        <v/>
      </c>
      <c r="B1442" s="3"/>
      <c r="C1442" s="4" t="str">
        <f>IF(B1442="","",IFERROR(VLOOKUP(B1442, PLANTA_BASE!A:W, 3, FALSE), ""))</f>
        <v/>
      </c>
      <c r="D1442" s="2" t="str">
        <f>IF(B1442="","",IFERROR(VLOOKUP(B1442, PLANTA_BASE!A:W, 5, FALSE), "NO ENCONTRADO EN PLANTA"))</f>
        <v/>
      </c>
      <c r="E1442" s="2" t="str">
        <f>IF(B1442="","",IFERROR(VLOOKUP(B1442, PLANTA_BASE!A:W, 6, FALSE), "NO ENCONTRADO EN PLANTA"))</f>
        <v/>
      </c>
      <c r="F1442" s="4" t="str">
        <f>IF(B1442="","",IFERROR(VLOOKUP(B1442, PLANTA_BASE!A:W, 8, FALSE), "DOCENTE / FACILITADOR"))</f>
        <v/>
      </c>
      <c r="G1442" s="4" t="str">
        <f>IF(B1442="","",IFERROR(VLOOKUP(B1442, PLANTA_BASE!A:W, 9, FALSE), "GENERAL"))</f>
        <v/>
      </c>
      <c r="H1442" s="2" t="str">
        <f>IF(B1442="","",IFERROR(VLOOKUP(B1442, PLANTA_BASE!A:W, 17, FALSE), "GENERAL"))</f>
        <v/>
      </c>
    </row>
    <row r="1443" spans="1:8" ht="20.100000000000001" customHeight="1" x14ac:dyDescent="0.25">
      <c r="A1443" s="5" t="str">
        <f>IF(B1443="","",IFERROR(VLOOKUP(B1443, PLANTA_BASE!A:W, 2, FALSE), "NO ENCONTRADO EN PLANTA"))</f>
        <v/>
      </c>
      <c r="B1443" s="6"/>
      <c r="C1443" s="7" t="str">
        <f>IF(B1443="","",IFERROR(VLOOKUP(B1443, PLANTA_BASE!A:W, 3, FALSE), ""))</f>
        <v/>
      </c>
      <c r="D1443" s="5" t="str">
        <f>IF(B1443="","",IFERROR(VLOOKUP(B1443, PLANTA_BASE!A:W, 5, FALSE), "NO ENCONTRADO EN PLANTA"))</f>
        <v/>
      </c>
      <c r="E1443" s="5" t="str">
        <f>IF(B1443="","",IFERROR(VLOOKUP(B1443, PLANTA_BASE!A:W, 6, FALSE), "NO ENCONTRADO EN PLANTA"))</f>
        <v/>
      </c>
      <c r="F1443" s="7" t="str">
        <f>IF(B1443="","",IFERROR(VLOOKUP(B1443, PLANTA_BASE!A:W, 8, FALSE), "DOCENTE / FACILITADOR"))</f>
        <v/>
      </c>
      <c r="G1443" s="7" t="str">
        <f>IF(B1443="","",IFERROR(VLOOKUP(B1443, PLANTA_BASE!A:W, 9, FALSE), "GENERAL"))</f>
        <v/>
      </c>
      <c r="H1443" s="5" t="str">
        <f>IF(B1443="","",IFERROR(VLOOKUP(B1443, PLANTA_BASE!A:W, 17, FALSE), "GENERAL"))</f>
        <v/>
      </c>
    </row>
    <row r="1444" spans="1:8" ht="20.100000000000001" customHeight="1" x14ac:dyDescent="0.25">
      <c r="A1444" s="2" t="str">
        <f>IF(B1444="","",IFERROR(VLOOKUP(B1444, PLANTA_BASE!A:W, 2, FALSE), "NO ENCONTRADO EN PLANTA"))</f>
        <v/>
      </c>
      <c r="B1444" s="3"/>
      <c r="C1444" s="4" t="str">
        <f>IF(B1444="","",IFERROR(VLOOKUP(B1444, PLANTA_BASE!A:W, 3, FALSE), ""))</f>
        <v/>
      </c>
      <c r="D1444" s="2" t="str">
        <f>IF(B1444="","",IFERROR(VLOOKUP(B1444, PLANTA_BASE!A:W, 5, FALSE), "NO ENCONTRADO EN PLANTA"))</f>
        <v/>
      </c>
      <c r="E1444" s="2" t="str">
        <f>IF(B1444="","",IFERROR(VLOOKUP(B1444, PLANTA_BASE!A:W, 6, FALSE), "NO ENCONTRADO EN PLANTA"))</f>
        <v/>
      </c>
      <c r="F1444" s="4" t="str">
        <f>IF(B1444="","",IFERROR(VLOOKUP(B1444, PLANTA_BASE!A:W, 8, FALSE), "DOCENTE / FACILITADOR"))</f>
        <v/>
      </c>
      <c r="G1444" s="4" t="str">
        <f>IF(B1444="","",IFERROR(VLOOKUP(B1444, PLANTA_BASE!A:W, 9, FALSE), "GENERAL"))</f>
        <v/>
      </c>
      <c r="H1444" s="2" t="str">
        <f>IF(B1444="","",IFERROR(VLOOKUP(B1444, PLANTA_BASE!A:W, 17, FALSE), "GENERAL"))</f>
        <v/>
      </c>
    </row>
    <row r="1445" spans="1:8" ht="20.100000000000001" customHeight="1" x14ac:dyDescent="0.25">
      <c r="A1445" s="5" t="str">
        <f>IF(B1445="","",IFERROR(VLOOKUP(B1445, PLANTA_BASE!A:W, 2, FALSE), "NO ENCONTRADO EN PLANTA"))</f>
        <v/>
      </c>
      <c r="B1445" s="6"/>
      <c r="C1445" s="7" t="str">
        <f>IF(B1445="","",IFERROR(VLOOKUP(B1445, PLANTA_BASE!A:W, 3, FALSE), ""))</f>
        <v/>
      </c>
      <c r="D1445" s="5" t="str">
        <f>IF(B1445="","",IFERROR(VLOOKUP(B1445, PLANTA_BASE!A:W, 5, FALSE), "NO ENCONTRADO EN PLANTA"))</f>
        <v/>
      </c>
      <c r="E1445" s="5" t="str">
        <f>IF(B1445="","",IFERROR(VLOOKUP(B1445, PLANTA_BASE!A:W, 6, FALSE), "NO ENCONTRADO EN PLANTA"))</f>
        <v/>
      </c>
      <c r="F1445" s="7" t="str">
        <f>IF(B1445="","",IFERROR(VLOOKUP(B1445, PLANTA_BASE!A:W, 8, FALSE), "DOCENTE / FACILITADOR"))</f>
        <v/>
      </c>
      <c r="G1445" s="7" t="str">
        <f>IF(B1445="","",IFERROR(VLOOKUP(B1445, PLANTA_BASE!A:W, 9, FALSE), "GENERAL"))</f>
        <v/>
      </c>
      <c r="H1445" s="5" t="str">
        <f>IF(B1445="","",IFERROR(VLOOKUP(B1445, PLANTA_BASE!A:W, 17, FALSE), "GENERAL"))</f>
        <v/>
      </c>
    </row>
    <row r="1446" spans="1:8" ht="20.100000000000001" customHeight="1" x14ac:dyDescent="0.25">
      <c r="A1446" s="2" t="str">
        <f>IF(B1446="","",IFERROR(VLOOKUP(B1446, PLANTA_BASE!A:W, 2, FALSE), "NO ENCONTRADO EN PLANTA"))</f>
        <v/>
      </c>
      <c r="B1446" s="3"/>
      <c r="C1446" s="4" t="str">
        <f>IF(B1446="","",IFERROR(VLOOKUP(B1446, PLANTA_BASE!A:W, 3, FALSE), ""))</f>
        <v/>
      </c>
      <c r="D1446" s="2" t="str">
        <f>IF(B1446="","",IFERROR(VLOOKUP(B1446, PLANTA_BASE!A:W, 5, FALSE), "NO ENCONTRADO EN PLANTA"))</f>
        <v/>
      </c>
      <c r="E1446" s="2" t="str">
        <f>IF(B1446="","",IFERROR(VLOOKUP(B1446, PLANTA_BASE!A:W, 6, FALSE), "NO ENCONTRADO EN PLANTA"))</f>
        <v/>
      </c>
      <c r="F1446" s="4" t="str">
        <f>IF(B1446="","",IFERROR(VLOOKUP(B1446, PLANTA_BASE!A:W, 8, FALSE), "DOCENTE / FACILITADOR"))</f>
        <v/>
      </c>
      <c r="G1446" s="4" t="str">
        <f>IF(B1446="","",IFERROR(VLOOKUP(B1446, PLANTA_BASE!A:W, 9, FALSE), "GENERAL"))</f>
        <v/>
      </c>
      <c r="H1446" s="2" t="str">
        <f>IF(B1446="","",IFERROR(VLOOKUP(B1446, PLANTA_BASE!A:W, 17, FALSE), "GENERAL"))</f>
        <v/>
      </c>
    </row>
    <row r="1447" spans="1:8" ht="20.100000000000001" customHeight="1" x14ac:dyDescent="0.25">
      <c r="A1447" s="5" t="str">
        <f>IF(B1447="","",IFERROR(VLOOKUP(B1447, PLANTA_BASE!A:W, 2, FALSE), "NO ENCONTRADO EN PLANTA"))</f>
        <v/>
      </c>
      <c r="B1447" s="6"/>
      <c r="C1447" s="7" t="str">
        <f>IF(B1447="","",IFERROR(VLOOKUP(B1447, PLANTA_BASE!A:W, 3, FALSE), ""))</f>
        <v/>
      </c>
      <c r="D1447" s="5" t="str">
        <f>IF(B1447="","",IFERROR(VLOOKUP(B1447, PLANTA_BASE!A:W, 5, FALSE), "NO ENCONTRADO EN PLANTA"))</f>
        <v/>
      </c>
      <c r="E1447" s="5" t="str">
        <f>IF(B1447="","",IFERROR(VLOOKUP(B1447, PLANTA_BASE!A:W, 6, FALSE), "NO ENCONTRADO EN PLANTA"))</f>
        <v/>
      </c>
      <c r="F1447" s="7" t="str">
        <f>IF(B1447="","",IFERROR(VLOOKUP(B1447, PLANTA_BASE!A:W, 8, FALSE), "DOCENTE / FACILITADOR"))</f>
        <v/>
      </c>
      <c r="G1447" s="7" t="str">
        <f>IF(B1447="","",IFERROR(VLOOKUP(B1447, PLANTA_BASE!A:W, 9, FALSE), "GENERAL"))</f>
        <v/>
      </c>
      <c r="H1447" s="5" t="str">
        <f>IF(B1447="","",IFERROR(VLOOKUP(B1447, PLANTA_BASE!A:W, 17, FALSE), "GENERAL"))</f>
        <v/>
      </c>
    </row>
    <row r="1448" spans="1:8" ht="20.100000000000001" customHeight="1" x14ac:dyDescent="0.25">
      <c r="A1448" s="2" t="str">
        <f>IF(B1448="","",IFERROR(VLOOKUP(B1448, PLANTA_BASE!A:W, 2, FALSE), "NO ENCONTRADO EN PLANTA"))</f>
        <v/>
      </c>
      <c r="B1448" s="3"/>
      <c r="C1448" s="4" t="str">
        <f>IF(B1448="","",IFERROR(VLOOKUP(B1448, PLANTA_BASE!A:W, 3, FALSE), ""))</f>
        <v/>
      </c>
      <c r="D1448" s="2" t="str">
        <f>IF(B1448="","",IFERROR(VLOOKUP(B1448, PLANTA_BASE!A:W, 5, FALSE), "NO ENCONTRADO EN PLANTA"))</f>
        <v/>
      </c>
      <c r="E1448" s="2" t="str">
        <f>IF(B1448="","",IFERROR(VLOOKUP(B1448, PLANTA_BASE!A:W, 6, FALSE), "NO ENCONTRADO EN PLANTA"))</f>
        <v/>
      </c>
      <c r="F1448" s="4" t="str">
        <f>IF(B1448="","",IFERROR(VLOOKUP(B1448, PLANTA_BASE!A:W, 8, FALSE), "DOCENTE / FACILITADOR"))</f>
        <v/>
      </c>
      <c r="G1448" s="4" t="str">
        <f>IF(B1448="","",IFERROR(VLOOKUP(B1448, PLANTA_BASE!A:W, 9, FALSE), "GENERAL"))</f>
        <v/>
      </c>
      <c r="H1448" s="2" t="str">
        <f>IF(B1448="","",IFERROR(VLOOKUP(B1448, PLANTA_BASE!A:W, 17, FALSE), "GENERAL"))</f>
        <v/>
      </c>
    </row>
    <row r="1449" spans="1:8" ht="20.100000000000001" customHeight="1" x14ac:dyDescent="0.25">
      <c r="A1449" s="5" t="str">
        <f>IF(B1449="","",IFERROR(VLOOKUP(B1449, PLANTA_BASE!A:W, 2, FALSE), "NO ENCONTRADO EN PLANTA"))</f>
        <v/>
      </c>
      <c r="B1449" s="6"/>
      <c r="C1449" s="7" t="str">
        <f>IF(B1449="","",IFERROR(VLOOKUP(B1449, PLANTA_BASE!A:W, 3, FALSE), ""))</f>
        <v/>
      </c>
      <c r="D1449" s="5" t="str">
        <f>IF(B1449="","",IFERROR(VLOOKUP(B1449, PLANTA_BASE!A:W, 5, FALSE), "NO ENCONTRADO EN PLANTA"))</f>
        <v/>
      </c>
      <c r="E1449" s="5" t="str">
        <f>IF(B1449="","",IFERROR(VLOOKUP(B1449, PLANTA_BASE!A:W, 6, FALSE), "NO ENCONTRADO EN PLANTA"))</f>
        <v/>
      </c>
      <c r="F1449" s="7" t="str">
        <f>IF(B1449="","",IFERROR(VLOOKUP(B1449, PLANTA_BASE!A:W, 8, FALSE), "DOCENTE / FACILITADOR"))</f>
        <v/>
      </c>
      <c r="G1449" s="7" t="str">
        <f>IF(B1449="","",IFERROR(VLOOKUP(B1449, PLANTA_BASE!A:W, 9, FALSE), "GENERAL"))</f>
        <v/>
      </c>
      <c r="H1449" s="5" t="str">
        <f>IF(B1449="","",IFERROR(VLOOKUP(B1449, PLANTA_BASE!A:W, 17, FALSE), "GENERAL"))</f>
        <v/>
      </c>
    </row>
    <row r="1450" spans="1:8" ht="20.100000000000001" customHeight="1" x14ac:dyDescent="0.25">
      <c r="A1450" s="2" t="str">
        <f>IF(B1450="","",IFERROR(VLOOKUP(B1450, PLANTA_BASE!A:W, 2, FALSE), "NO ENCONTRADO EN PLANTA"))</f>
        <v/>
      </c>
      <c r="B1450" s="3"/>
      <c r="C1450" s="4" t="str">
        <f>IF(B1450="","",IFERROR(VLOOKUP(B1450, PLANTA_BASE!A:W, 3, FALSE), ""))</f>
        <v/>
      </c>
      <c r="D1450" s="2" t="str">
        <f>IF(B1450="","",IFERROR(VLOOKUP(B1450, PLANTA_BASE!A:W, 5, FALSE), "NO ENCONTRADO EN PLANTA"))</f>
        <v/>
      </c>
      <c r="E1450" s="2" t="str">
        <f>IF(B1450="","",IFERROR(VLOOKUP(B1450, PLANTA_BASE!A:W, 6, FALSE), "NO ENCONTRADO EN PLANTA"))</f>
        <v/>
      </c>
      <c r="F1450" s="4" t="str">
        <f>IF(B1450="","",IFERROR(VLOOKUP(B1450, PLANTA_BASE!A:W, 8, FALSE), "DOCENTE / FACILITADOR"))</f>
        <v/>
      </c>
      <c r="G1450" s="4" t="str">
        <f>IF(B1450="","",IFERROR(VLOOKUP(B1450, PLANTA_BASE!A:W, 9, FALSE), "GENERAL"))</f>
        <v/>
      </c>
      <c r="H1450" s="2" t="str">
        <f>IF(B1450="","",IFERROR(VLOOKUP(B1450, PLANTA_BASE!A:W, 17, FALSE), "GENERAL"))</f>
        <v/>
      </c>
    </row>
    <row r="1451" spans="1:8" ht="20.100000000000001" customHeight="1" x14ac:dyDescent="0.25">
      <c r="A1451" s="5" t="str">
        <f>IF(B1451="","",IFERROR(VLOOKUP(B1451, PLANTA_BASE!A:W, 2, FALSE), "NO ENCONTRADO EN PLANTA"))</f>
        <v/>
      </c>
      <c r="B1451" s="6"/>
      <c r="C1451" s="7" t="str">
        <f>IF(B1451="","",IFERROR(VLOOKUP(B1451, PLANTA_BASE!A:W, 3, FALSE), ""))</f>
        <v/>
      </c>
      <c r="D1451" s="5" t="str">
        <f>IF(B1451="","",IFERROR(VLOOKUP(B1451, PLANTA_BASE!A:W, 5, FALSE), "NO ENCONTRADO EN PLANTA"))</f>
        <v/>
      </c>
      <c r="E1451" s="5" t="str">
        <f>IF(B1451="","",IFERROR(VLOOKUP(B1451, PLANTA_BASE!A:W, 6, FALSE), "NO ENCONTRADO EN PLANTA"))</f>
        <v/>
      </c>
      <c r="F1451" s="7" t="str">
        <f>IF(B1451="","",IFERROR(VLOOKUP(B1451, PLANTA_BASE!A:W, 8, FALSE), "DOCENTE / FACILITADOR"))</f>
        <v/>
      </c>
      <c r="G1451" s="7" t="str">
        <f>IF(B1451="","",IFERROR(VLOOKUP(B1451, PLANTA_BASE!A:W, 9, FALSE), "GENERAL"))</f>
        <v/>
      </c>
      <c r="H1451" s="5" t="str">
        <f>IF(B1451="","",IFERROR(VLOOKUP(B1451, PLANTA_BASE!A:W, 17, FALSE), "GENERAL"))</f>
        <v/>
      </c>
    </row>
    <row r="1452" spans="1:8" ht="20.100000000000001" customHeight="1" x14ac:dyDescent="0.25">
      <c r="A1452" s="2" t="str">
        <f>IF(B1452="","",IFERROR(VLOOKUP(B1452, PLANTA_BASE!A:W, 2, FALSE), "NO ENCONTRADO EN PLANTA"))</f>
        <v/>
      </c>
      <c r="B1452" s="3"/>
      <c r="C1452" s="4" t="str">
        <f>IF(B1452="","",IFERROR(VLOOKUP(B1452, PLANTA_BASE!A:W, 3, FALSE), ""))</f>
        <v/>
      </c>
      <c r="D1452" s="2" t="str">
        <f>IF(B1452="","",IFERROR(VLOOKUP(B1452, PLANTA_BASE!A:W, 5, FALSE), "NO ENCONTRADO EN PLANTA"))</f>
        <v/>
      </c>
      <c r="E1452" s="2" t="str">
        <f>IF(B1452="","",IFERROR(VLOOKUP(B1452, PLANTA_BASE!A:W, 6, FALSE), "NO ENCONTRADO EN PLANTA"))</f>
        <v/>
      </c>
      <c r="F1452" s="4" t="str">
        <f>IF(B1452="","",IFERROR(VLOOKUP(B1452, PLANTA_BASE!A:W, 8, FALSE), "DOCENTE / FACILITADOR"))</f>
        <v/>
      </c>
      <c r="G1452" s="4" t="str">
        <f>IF(B1452="","",IFERROR(VLOOKUP(B1452, PLANTA_BASE!A:W, 9, FALSE), "GENERAL"))</f>
        <v/>
      </c>
      <c r="H1452" s="2" t="str">
        <f>IF(B1452="","",IFERROR(VLOOKUP(B1452, PLANTA_BASE!A:W, 17, FALSE), "GENERAL"))</f>
        <v/>
      </c>
    </row>
    <row r="1453" spans="1:8" ht="20.100000000000001" customHeight="1" x14ac:dyDescent="0.25">
      <c r="A1453" s="5" t="str">
        <f>IF(B1453="","",IFERROR(VLOOKUP(B1453, PLANTA_BASE!A:W, 2, FALSE), "NO ENCONTRADO EN PLANTA"))</f>
        <v/>
      </c>
      <c r="B1453" s="6"/>
      <c r="C1453" s="7" t="str">
        <f>IF(B1453="","",IFERROR(VLOOKUP(B1453, PLANTA_BASE!A:W, 3, FALSE), ""))</f>
        <v/>
      </c>
      <c r="D1453" s="5" t="str">
        <f>IF(B1453="","",IFERROR(VLOOKUP(B1453, PLANTA_BASE!A:W, 5, FALSE), "NO ENCONTRADO EN PLANTA"))</f>
        <v/>
      </c>
      <c r="E1453" s="5" t="str">
        <f>IF(B1453="","",IFERROR(VLOOKUP(B1453, PLANTA_BASE!A:W, 6, FALSE), "NO ENCONTRADO EN PLANTA"))</f>
        <v/>
      </c>
      <c r="F1453" s="7" t="str">
        <f>IF(B1453="","",IFERROR(VLOOKUP(B1453, PLANTA_BASE!A:W, 8, FALSE), "DOCENTE / FACILITADOR"))</f>
        <v/>
      </c>
      <c r="G1453" s="7" t="str">
        <f>IF(B1453="","",IFERROR(VLOOKUP(B1453, PLANTA_BASE!A:W, 9, FALSE), "GENERAL"))</f>
        <v/>
      </c>
      <c r="H1453" s="5" t="str">
        <f>IF(B1453="","",IFERROR(VLOOKUP(B1453, PLANTA_BASE!A:W, 17, FALSE), "GENERAL"))</f>
        <v/>
      </c>
    </row>
    <row r="1454" spans="1:8" ht="20.100000000000001" customHeight="1" x14ac:dyDescent="0.25">
      <c r="A1454" s="2" t="str">
        <f>IF(B1454="","",IFERROR(VLOOKUP(B1454, PLANTA_BASE!A:W, 2, FALSE), "NO ENCONTRADO EN PLANTA"))</f>
        <v/>
      </c>
      <c r="B1454" s="3"/>
      <c r="C1454" s="4" t="str">
        <f>IF(B1454="","",IFERROR(VLOOKUP(B1454, PLANTA_BASE!A:W, 3, FALSE), ""))</f>
        <v/>
      </c>
      <c r="D1454" s="2" t="str">
        <f>IF(B1454="","",IFERROR(VLOOKUP(B1454, PLANTA_BASE!A:W, 5, FALSE), "NO ENCONTRADO EN PLANTA"))</f>
        <v/>
      </c>
      <c r="E1454" s="2" t="str">
        <f>IF(B1454="","",IFERROR(VLOOKUP(B1454, PLANTA_BASE!A:W, 6, FALSE), "NO ENCONTRADO EN PLANTA"))</f>
        <v/>
      </c>
      <c r="F1454" s="4" t="str">
        <f>IF(B1454="","",IFERROR(VLOOKUP(B1454, PLANTA_BASE!A:W, 8, FALSE), "DOCENTE / FACILITADOR"))</f>
        <v/>
      </c>
      <c r="G1454" s="4" t="str">
        <f>IF(B1454="","",IFERROR(VLOOKUP(B1454, PLANTA_BASE!A:W, 9, FALSE), "GENERAL"))</f>
        <v/>
      </c>
      <c r="H1454" s="2" t="str">
        <f>IF(B1454="","",IFERROR(VLOOKUP(B1454, PLANTA_BASE!A:W, 17, FALSE), "GENERAL"))</f>
        <v/>
      </c>
    </row>
    <row r="1455" spans="1:8" ht="20.100000000000001" customHeight="1" x14ac:dyDescent="0.25">
      <c r="A1455" s="5" t="str">
        <f>IF(B1455="","",IFERROR(VLOOKUP(B1455, PLANTA_BASE!A:W, 2, FALSE), "NO ENCONTRADO EN PLANTA"))</f>
        <v/>
      </c>
      <c r="B1455" s="6"/>
      <c r="C1455" s="7" t="str">
        <f>IF(B1455="","",IFERROR(VLOOKUP(B1455, PLANTA_BASE!A:W, 3, FALSE), ""))</f>
        <v/>
      </c>
      <c r="D1455" s="5" t="str">
        <f>IF(B1455="","",IFERROR(VLOOKUP(B1455, PLANTA_BASE!A:W, 5, FALSE), "NO ENCONTRADO EN PLANTA"))</f>
        <v/>
      </c>
      <c r="E1455" s="5" t="str">
        <f>IF(B1455="","",IFERROR(VLOOKUP(B1455, PLANTA_BASE!A:W, 6, FALSE), "NO ENCONTRADO EN PLANTA"))</f>
        <v/>
      </c>
      <c r="F1455" s="7" t="str">
        <f>IF(B1455="","",IFERROR(VLOOKUP(B1455, PLANTA_BASE!A:W, 8, FALSE), "DOCENTE / FACILITADOR"))</f>
        <v/>
      </c>
      <c r="G1455" s="7" t="str">
        <f>IF(B1455="","",IFERROR(VLOOKUP(B1455, PLANTA_BASE!A:W, 9, FALSE), "GENERAL"))</f>
        <v/>
      </c>
      <c r="H1455" s="5" t="str">
        <f>IF(B1455="","",IFERROR(VLOOKUP(B1455, PLANTA_BASE!A:W, 17, FALSE), "GENERAL"))</f>
        <v/>
      </c>
    </row>
    <row r="1456" spans="1:8" ht="20.100000000000001" customHeight="1" x14ac:dyDescent="0.25">
      <c r="A1456" s="2" t="str">
        <f>IF(B1456="","",IFERROR(VLOOKUP(B1456, PLANTA_BASE!A:W, 2, FALSE), "NO ENCONTRADO EN PLANTA"))</f>
        <v/>
      </c>
      <c r="B1456" s="3"/>
      <c r="C1456" s="4" t="str">
        <f>IF(B1456="","",IFERROR(VLOOKUP(B1456, PLANTA_BASE!A:W, 3, FALSE), ""))</f>
        <v/>
      </c>
      <c r="D1456" s="2" t="str">
        <f>IF(B1456="","",IFERROR(VLOOKUP(B1456, PLANTA_BASE!A:W, 5, FALSE), "NO ENCONTRADO EN PLANTA"))</f>
        <v/>
      </c>
      <c r="E1456" s="2" t="str">
        <f>IF(B1456="","",IFERROR(VLOOKUP(B1456, PLANTA_BASE!A:W, 6, FALSE), "NO ENCONTRADO EN PLANTA"))</f>
        <v/>
      </c>
      <c r="F1456" s="4" t="str">
        <f>IF(B1456="","",IFERROR(VLOOKUP(B1456, PLANTA_BASE!A:W, 8, FALSE), "DOCENTE / FACILITADOR"))</f>
        <v/>
      </c>
      <c r="G1456" s="4" t="str">
        <f>IF(B1456="","",IFERROR(VLOOKUP(B1456, PLANTA_BASE!A:W, 9, FALSE), "GENERAL"))</f>
        <v/>
      </c>
      <c r="H1456" s="2" t="str">
        <f>IF(B1456="","",IFERROR(VLOOKUP(B1456, PLANTA_BASE!A:W, 17, FALSE), "GENERAL"))</f>
        <v/>
      </c>
    </row>
    <row r="1457" spans="1:8" ht="20.100000000000001" customHeight="1" x14ac:dyDescent="0.25">
      <c r="A1457" s="5" t="str">
        <f>IF(B1457="","",IFERROR(VLOOKUP(B1457, PLANTA_BASE!A:W, 2, FALSE), "NO ENCONTRADO EN PLANTA"))</f>
        <v/>
      </c>
      <c r="B1457" s="6"/>
      <c r="C1457" s="7" t="str">
        <f>IF(B1457="","",IFERROR(VLOOKUP(B1457, PLANTA_BASE!A:W, 3, FALSE), ""))</f>
        <v/>
      </c>
      <c r="D1457" s="5" t="str">
        <f>IF(B1457="","",IFERROR(VLOOKUP(B1457, PLANTA_BASE!A:W, 5, FALSE), "NO ENCONTRADO EN PLANTA"))</f>
        <v/>
      </c>
      <c r="E1457" s="5" t="str">
        <f>IF(B1457="","",IFERROR(VLOOKUP(B1457, PLANTA_BASE!A:W, 6, FALSE), "NO ENCONTRADO EN PLANTA"))</f>
        <v/>
      </c>
      <c r="F1457" s="7" t="str">
        <f>IF(B1457="","",IFERROR(VLOOKUP(B1457, PLANTA_BASE!A:W, 8, FALSE), "DOCENTE / FACILITADOR"))</f>
        <v/>
      </c>
      <c r="G1457" s="7" t="str">
        <f>IF(B1457="","",IFERROR(VLOOKUP(B1457, PLANTA_BASE!A:W, 9, FALSE), "GENERAL"))</f>
        <v/>
      </c>
      <c r="H1457" s="5" t="str">
        <f>IF(B1457="","",IFERROR(VLOOKUP(B1457, PLANTA_BASE!A:W, 17, FALSE), "GENERAL"))</f>
        <v/>
      </c>
    </row>
    <row r="1458" spans="1:8" ht="20.100000000000001" customHeight="1" x14ac:dyDescent="0.25">
      <c r="A1458" s="2" t="str">
        <f>IF(B1458="","",IFERROR(VLOOKUP(B1458, PLANTA_BASE!A:W, 2, FALSE), "NO ENCONTRADO EN PLANTA"))</f>
        <v/>
      </c>
      <c r="B1458" s="3"/>
      <c r="C1458" s="4" t="str">
        <f>IF(B1458="","",IFERROR(VLOOKUP(B1458, PLANTA_BASE!A:W, 3, FALSE), ""))</f>
        <v/>
      </c>
      <c r="D1458" s="2" t="str">
        <f>IF(B1458="","",IFERROR(VLOOKUP(B1458, PLANTA_BASE!A:W, 5, FALSE), "NO ENCONTRADO EN PLANTA"))</f>
        <v/>
      </c>
      <c r="E1458" s="2" t="str">
        <f>IF(B1458="","",IFERROR(VLOOKUP(B1458, PLANTA_BASE!A:W, 6, FALSE), "NO ENCONTRADO EN PLANTA"))</f>
        <v/>
      </c>
      <c r="F1458" s="4" t="str">
        <f>IF(B1458="","",IFERROR(VLOOKUP(B1458, PLANTA_BASE!A:W, 8, FALSE), "DOCENTE / FACILITADOR"))</f>
        <v/>
      </c>
      <c r="G1458" s="4" t="str">
        <f>IF(B1458="","",IFERROR(VLOOKUP(B1458, PLANTA_BASE!A:W, 9, FALSE), "GENERAL"))</f>
        <v/>
      </c>
      <c r="H1458" s="2" t="str">
        <f>IF(B1458="","",IFERROR(VLOOKUP(B1458, PLANTA_BASE!A:W, 17, FALSE), "GENERAL"))</f>
        <v/>
      </c>
    </row>
    <row r="1459" spans="1:8" ht="20.100000000000001" customHeight="1" x14ac:dyDescent="0.25">
      <c r="A1459" s="5" t="str">
        <f>IF(B1459="","",IFERROR(VLOOKUP(B1459, PLANTA_BASE!A:W, 2, FALSE), "NO ENCONTRADO EN PLANTA"))</f>
        <v/>
      </c>
      <c r="B1459" s="6"/>
      <c r="C1459" s="7" t="str">
        <f>IF(B1459="","",IFERROR(VLOOKUP(B1459, PLANTA_BASE!A:W, 3, FALSE), ""))</f>
        <v/>
      </c>
      <c r="D1459" s="5" t="str">
        <f>IF(B1459="","",IFERROR(VLOOKUP(B1459, PLANTA_BASE!A:W, 5, FALSE), "NO ENCONTRADO EN PLANTA"))</f>
        <v/>
      </c>
      <c r="E1459" s="5" t="str">
        <f>IF(B1459="","",IFERROR(VLOOKUP(B1459, PLANTA_BASE!A:W, 6, FALSE), "NO ENCONTRADO EN PLANTA"))</f>
        <v/>
      </c>
      <c r="F1459" s="7" t="str">
        <f>IF(B1459="","",IFERROR(VLOOKUP(B1459, PLANTA_BASE!A:W, 8, FALSE), "DOCENTE / FACILITADOR"))</f>
        <v/>
      </c>
      <c r="G1459" s="7" t="str">
        <f>IF(B1459="","",IFERROR(VLOOKUP(B1459, PLANTA_BASE!A:W, 9, FALSE), "GENERAL"))</f>
        <v/>
      </c>
      <c r="H1459" s="5" t="str">
        <f>IF(B1459="","",IFERROR(VLOOKUP(B1459, PLANTA_BASE!A:W, 17, FALSE), "GENERAL"))</f>
        <v/>
      </c>
    </row>
    <row r="1460" spans="1:8" ht="20.100000000000001" customHeight="1" x14ac:dyDescent="0.25">
      <c r="A1460" s="2" t="str">
        <f>IF(B1460="","",IFERROR(VLOOKUP(B1460, PLANTA_BASE!A:W, 2, FALSE), "NO ENCONTRADO EN PLANTA"))</f>
        <v/>
      </c>
      <c r="B1460" s="3"/>
      <c r="C1460" s="4" t="str">
        <f>IF(B1460="","",IFERROR(VLOOKUP(B1460, PLANTA_BASE!A:W, 3, FALSE), ""))</f>
        <v/>
      </c>
      <c r="D1460" s="2" t="str">
        <f>IF(B1460="","",IFERROR(VLOOKUP(B1460, PLANTA_BASE!A:W, 5, FALSE), "NO ENCONTRADO EN PLANTA"))</f>
        <v/>
      </c>
      <c r="E1460" s="2" t="str">
        <f>IF(B1460="","",IFERROR(VLOOKUP(B1460, PLANTA_BASE!A:W, 6, FALSE), "NO ENCONTRADO EN PLANTA"))</f>
        <v/>
      </c>
      <c r="F1460" s="4" t="str">
        <f>IF(B1460="","",IFERROR(VLOOKUP(B1460, PLANTA_BASE!A:W, 8, FALSE), "DOCENTE / FACILITADOR"))</f>
        <v/>
      </c>
      <c r="G1460" s="4" t="str">
        <f>IF(B1460="","",IFERROR(VLOOKUP(B1460, PLANTA_BASE!A:W, 9, FALSE), "GENERAL"))</f>
        <v/>
      </c>
      <c r="H1460" s="2" t="str">
        <f>IF(B1460="","",IFERROR(VLOOKUP(B1460, PLANTA_BASE!A:W, 17, FALSE), "GENERAL"))</f>
        <v/>
      </c>
    </row>
    <row r="1461" spans="1:8" ht="20.100000000000001" customHeight="1" x14ac:dyDescent="0.25">
      <c r="A1461" s="5" t="str">
        <f>IF(B1461="","",IFERROR(VLOOKUP(B1461, PLANTA_BASE!A:W, 2, FALSE), "NO ENCONTRADO EN PLANTA"))</f>
        <v/>
      </c>
      <c r="B1461" s="6"/>
      <c r="C1461" s="7" t="str">
        <f>IF(B1461="","",IFERROR(VLOOKUP(B1461, PLANTA_BASE!A:W, 3, FALSE), ""))</f>
        <v/>
      </c>
      <c r="D1461" s="5" t="str">
        <f>IF(B1461="","",IFERROR(VLOOKUP(B1461, PLANTA_BASE!A:W, 5, FALSE), "NO ENCONTRADO EN PLANTA"))</f>
        <v/>
      </c>
      <c r="E1461" s="5" t="str">
        <f>IF(B1461="","",IFERROR(VLOOKUP(B1461, PLANTA_BASE!A:W, 6, FALSE), "NO ENCONTRADO EN PLANTA"))</f>
        <v/>
      </c>
      <c r="F1461" s="7" t="str">
        <f>IF(B1461="","",IFERROR(VLOOKUP(B1461, PLANTA_BASE!A:W, 8, FALSE), "DOCENTE / FACILITADOR"))</f>
        <v/>
      </c>
      <c r="G1461" s="7" t="str">
        <f>IF(B1461="","",IFERROR(VLOOKUP(B1461, PLANTA_BASE!A:W, 9, FALSE), "GENERAL"))</f>
        <v/>
      </c>
      <c r="H1461" s="5" t="str">
        <f>IF(B1461="","",IFERROR(VLOOKUP(B1461, PLANTA_BASE!A:W, 17, FALSE), "GENERAL"))</f>
        <v/>
      </c>
    </row>
    <row r="1462" spans="1:8" ht="20.100000000000001" customHeight="1" x14ac:dyDescent="0.25">
      <c r="A1462" s="2" t="str">
        <f>IF(B1462="","",IFERROR(VLOOKUP(B1462, PLANTA_BASE!A:W, 2, FALSE), "NO ENCONTRADO EN PLANTA"))</f>
        <v/>
      </c>
      <c r="B1462" s="3"/>
      <c r="C1462" s="4" t="str">
        <f>IF(B1462="","",IFERROR(VLOOKUP(B1462, PLANTA_BASE!A:W, 3, FALSE), ""))</f>
        <v/>
      </c>
      <c r="D1462" s="2" t="str">
        <f>IF(B1462="","",IFERROR(VLOOKUP(B1462, PLANTA_BASE!A:W, 5, FALSE), "NO ENCONTRADO EN PLANTA"))</f>
        <v/>
      </c>
      <c r="E1462" s="2" t="str">
        <f>IF(B1462="","",IFERROR(VLOOKUP(B1462, PLANTA_BASE!A:W, 6, FALSE), "NO ENCONTRADO EN PLANTA"))</f>
        <v/>
      </c>
      <c r="F1462" s="4" t="str">
        <f>IF(B1462="","",IFERROR(VLOOKUP(B1462, PLANTA_BASE!A:W, 8, FALSE), "DOCENTE / FACILITADOR"))</f>
        <v/>
      </c>
      <c r="G1462" s="4" t="str">
        <f>IF(B1462="","",IFERROR(VLOOKUP(B1462, PLANTA_BASE!A:W, 9, FALSE), "GENERAL"))</f>
        <v/>
      </c>
      <c r="H1462" s="2" t="str">
        <f>IF(B1462="","",IFERROR(VLOOKUP(B1462, PLANTA_BASE!A:W, 17, FALSE), "GENERAL"))</f>
        <v/>
      </c>
    </row>
    <row r="1463" spans="1:8" ht="20.100000000000001" customHeight="1" x14ac:dyDescent="0.25">
      <c r="A1463" s="5" t="str">
        <f>IF(B1463="","",IFERROR(VLOOKUP(B1463, PLANTA_BASE!A:W, 2, FALSE), "NO ENCONTRADO EN PLANTA"))</f>
        <v/>
      </c>
      <c r="B1463" s="6"/>
      <c r="C1463" s="7" t="str">
        <f>IF(B1463="","",IFERROR(VLOOKUP(B1463, PLANTA_BASE!A:W, 3, FALSE), ""))</f>
        <v/>
      </c>
      <c r="D1463" s="5" t="str">
        <f>IF(B1463="","",IFERROR(VLOOKUP(B1463, PLANTA_BASE!A:W, 5, FALSE), "NO ENCONTRADO EN PLANTA"))</f>
        <v/>
      </c>
      <c r="E1463" s="5" t="str">
        <f>IF(B1463="","",IFERROR(VLOOKUP(B1463, PLANTA_BASE!A:W, 6, FALSE), "NO ENCONTRADO EN PLANTA"))</f>
        <v/>
      </c>
      <c r="F1463" s="7" t="str">
        <f>IF(B1463="","",IFERROR(VLOOKUP(B1463, PLANTA_BASE!A:W, 8, FALSE), "DOCENTE / FACILITADOR"))</f>
        <v/>
      </c>
      <c r="G1463" s="7" t="str">
        <f>IF(B1463="","",IFERROR(VLOOKUP(B1463, PLANTA_BASE!A:W, 9, FALSE), "GENERAL"))</f>
        <v/>
      </c>
      <c r="H1463" s="5" t="str">
        <f>IF(B1463="","",IFERROR(VLOOKUP(B1463, PLANTA_BASE!A:W, 17, FALSE), "GENERAL"))</f>
        <v/>
      </c>
    </row>
    <row r="1464" spans="1:8" ht="20.100000000000001" customHeight="1" x14ac:dyDescent="0.25">
      <c r="A1464" s="2" t="str">
        <f>IF(B1464="","",IFERROR(VLOOKUP(B1464, PLANTA_BASE!A:W, 2, FALSE), "NO ENCONTRADO EN PLANTA"))</f>
        <v/>
      </c>
      <c r="B1464" s="3"/>
      <c r="C1464" s="4" t="str">
        <f>IF(B1464="","",IFERROR(VLOOKUP(B1464, PLANTA_BASE!A:W, 3, FALSE), ""))</f>
        <v/>
      </c>
      <c r="D1464" s="2" t="str">
        <f>IF(B1464="","",IFERROR(VLOOKUP(B1464, PLANTA_BASE!A:W, 5, FALSE), "NO ENCONTRADO EN PLANTA"))</f>
        <v/>
      </c>
      <c r="E1464" s="2" t="str">
        <f>IF(B1464="","",IFERROR(VLOOKUP(B1464, PLANTA_BASE!A:W, 6, FALSE), "NO ENCONTRADO EN PLANTA"))</f>
        <v/>
      </c>
      <c r="F1464" s="4" t="str">
        <f>IF(B1464="","",IFERROR(VLOOKUP(B1464, PLANTA_BASE!A:W, 8, FALSE), "DOCENTE / FACILITADOR"))</f>
        <v/>
      </c>
      <c r="G1464" s="4" t="str">
        <f>IF(B1464="","",IFERROR(VLOOKUP(B1464, PLANTA_BASE!A:W, 9, FALSE), "GENERAL"))</f>
        <v/>
      </c>
      <c r="H1464" s="2" t="str">
        <f>IF(B1464="","",IFERROR(VLOOKUP(B1464, PLANTA_BASE!A:W, 17, FALSE), "GENERAL"))</f>
        <v/>
      </c>
    </row>
    <row r="1465" spans="1:8" ht="20.100000000000001" customHeight="1" x14ac:dyDescent="0.25">
      <c r="A1465" s="5" t="str">
        <f>IF(B1465="","",IFERROR(VLOOKUP(B1465, PLANTA_BASE!A:W, 2, FALSE), "NO ENCONTRADO EN PLANTA"))</f>
        <v/>
      </c>
      <c r="B1465" s="6"/>
      <c r="C1465" s="7" t="str">
        <f>IF(B1465="","",IFERROR(VLOOKUP(B1465, PLANTA_BASE!A:W, 3, FALSE), ""))</f>
        <v/>
      </c>
      <c r="D1465" s="5" t="str">
        <f>IF(B1465="","",IFERROR(VLOOKUP(B1465, PLANTA_BASE!A:W, 5, FALSE), "NO ENCONTRADO EN PLANTA"))</f>
        <v/>
      </c>
      <c r="E1465" s="5" t="str">
        <f>IF(B1465="","",IFERROR(VLOOKUP(B1465, PLANTA_BASE!A:W, 6, FALSE), "NO ENCONTRADO EN PLANTA"))</f>
        <v/>
      </c>
      <c r="F1465" s="7" t="str">
        <f>IF(B1465="","",IFERROR(VLOOKUP(B1465, PLANTA_BASE!A:W, 8, FALSE), "DOCENTE / FACILITADOR"))</f>
        <v/>
      </c>
      <c r="G1465" s="7" t="str">
        <f>IF(B1465="","",IFERROR(VLOOKUP(B1465, PLANTA_BASE!A:W, 9, FALSE), "GENERAL"))</f>
        <v/>
      </c>
      <c r="H1465" s="5" t="str">
        <f>IF(B1465="","",IFERROR(VLOOKUP(B1465, PLANTA_BASE!A:W, 17, FALSE), "GENERAL"))</f>
        <v/>
      </c>
    </row>
    <row r="1466" spans="1:8" ht="20.100000000000001" customHeight="1" x14ac:dyDescent="0.25">
      <c r="A1466" s="2" t="str">
        <f>IF(B1466="","",IFERROR(VLOOKUP(B1466, PLANTA_BASE!A:W, 2, FALSE), "NO ENCONTRADO EN PLANTA"))</f>
        <v/>
      </c>
      <c r="B1466" s="3"/>
      <c r="C1466" s="4" t="str">
        <f>IF(B1466="","",IFERROR(VLOOKUP(B1466, PLANTA_BASE!A:W, 3, FALSE), ""))</f>
        <v/>
      </c>
      <c r="D1466" s="2" t="str">
        <f>IF(B1466="","",IFERROR(VLOOKUP(B1466, PLANTA_BASE!A:W, 5, FALSE), "NO ENCONTRADO EN PLANTA"))</f>
        <v/>
      </c>
      <c r="E1466" s="2" t="str">
        <f>IF(B1466="","",IFERROR(VLOOKUP(B1466, PLANTA_BASE!A:W, 6, FALSE), "NO ENCONTRADO EN PLANTA"))</f>
        <v/>
      </c>
      <c r="F1466" s="4" t="str">
        <f>IF(B1466="","",IFERROR(VLOOKUP(B1466, PLANTA_BASE!A:W, 8, FALSE), "DOCENTE / FACILITADOR"))</f>
        <v/>
      </c>
      <c r="G1466" s="4" t="str">
        <f>IF(B1466="","",IFERROR(VLOOKUP(B1466, PLANTA_BASE!A:W, 9, FALSE), "GENERAL"))</f>
        <v/>
      </c>
      <c r="H1466" s="2" t="str">
        <f>IF(B1466="","",IFERROR(VLOOKUP(B1466, PLANTA_BASE!A:W, 17, FALSE), "GENERAL"))</f>
        <v/>
      </c>
    </row>
    <row r="1467" spans="1:8" ht="20.100000000000001" customHeight="1" x14ac:dyDescent="0.25">
      <c r="A1467" s="5" t="str">
        <f>IF(B1467="","",IFERROR(VLOOKUP(B1467, PLANTA_BASE!A:W, 2, FALSE), "NO ENCONTRADO EN PLANTA"))</f>
        <v/>
      </c>
      <c r="B1467" s="6"/>
      <c r="C1467" s="7" t="str">
        <f>IF(B1467="","",IFERROR(VLOOKUP(B1467, PLANTA_BASE!A:W, 3, FALSE), ""))</f>
        <v/>
      </c>
      <c r="D1467" s="5" t="str">
        <f>IF(B1467="","",IFERROR(VLOOKUP(B1467, PLANTA_BASE!A:W, 5, FALSE), "NO ENCONTRADO EN PLANTA"))</f>
        <v/>
      </c>
      <c r="E1467" s="5" t="str">
        <f>IF(B1467="","",IFERROR(VLOOKUP(B1467, PLANTA_BASE!A:W, 6, FALSE), "NO ENCONTRADO EN PLANTA"))</f>
        <v/>
      </c>
      <c r="F1467" s="7" t="str">
        <f>IF(B1467="","",IFERROR(VLOOKUP(B1467, PLANTA_BASE!A:W, 8, FALSE), "DOCENTE / FACILITADOR"))</f>
        <v/>
      </c>
      <c r="G1467" s="7" t="str">
        <f>IF(B1467="","",IFERROR(VLOOKUP(B1467, PLANTA_BASE!A:W, 9, FALSE), "GENERAL"))</f>
        <v/>
      </c>
      <c r="H1467" s="5" t="str">
        <f>IF(B1467="","",IFERROR(VLOOKUP(B1467, PLANTA_BASE!A:W, 17, FALSE), "GENERAL"))</f>
        <v/>
      </c>
    </row>
    <row r="1468" spans="1:8" ht="20.100000000000001" customHeight="1" x14ac:dyDescent="0.25">
      <c r="A1468" s="2" t="str">
        <f>IF(B1468="","",IFERROR(VLOOKUP(B1468, PLANTA_BASE!A:W, 2, FALSE), "NO ENCONTRADO EN PLANTA"))</f>
        <v/>
      </c>
      <c r="B1468" s="3"/>
      <c r="C1468" s="4" t="str">
        <f>IF(B1468="","",IFERROR(VLOOKUP(B1468, PLANTA_BASE!A:W, 3, FALSE), ""))</f>
        <v/>
      </c>
      <c r="D1468" s="2" t="str">
        <f>IF(B1468="","",IFERROR(VLOOKUP(B1468, PLANTA_BASE!A:W, 5, FALSE), "NO ENCONTRADO EN PLANTA"))</f>
        <v/>
      </c>
      <c r="E1468" s="2" t="str">
        <f>IF(B1468="","",IFERROR(VLOOKUP(B1468, PLANTA_BASE!A:W, 6, FALSE), "NO ENCONTRADO EN PLANTA"))</f>
        <v/>
      </c>
      <c r="F1468" s="4" t="str">
        <f>IF(B1468="","",IFERROR(VLOOKUP(B1468, PLANTA_BASE!A:W, 8, FALSE), "DOCENTE / FACILITADOR"))</f>
        <v/>
      </c>
      <c r="G1468" s="4" t="str">
        <f>IF(B1468="","",IFERROR(VLOOKUP(B1468, PLANTA_BASE!A:W, 9, FALSE), "GENERAL"))</f>
        <v/>
      </c>
      <c r="H1468" s="2" t="str">
        <f>IF(B1468="","",IFERROR(VLOOKUP(B1468, PLANTA_BASE!A:W, 17, FALSE), "GENERAL"))</f>
        <v/>
      </c>
    </row>
    <row r="1469" spans="1:8" ht="20.100000000000001" customHeight="1" x14ac:dyDescent="0.25">
      <c r="A1469" s="5" t="str">
        <f>IF(B1469="","",IFERROR(VLOOKUP(B1469, PLANTA_BASE!A:W, 2, FALSE), "NO ENCONTRADO EN PLANTA"))</f>
        <v/>
      </c>
      <c r="B1469" s="6"/>
      <c r="C1469" s="7" t="str">
        <f>IF(B1469="","",IFERROR(VLOOKUP(B1469, PLANTA_BASE!A:W, 3, FALSE), ""))</f>
        <v/>
      </c>
      <c r="D1469" s="5" t="str">
        <f>IF(B1469="","",IFERROR(VLOOKUP(B1469, PLANTA_BASE!A:W, 5, FALSE), "NO ENCONTRADO EN PLANTA"))</f>
        <v/>
      </c>
      <c r="E1469" s="5" t="str">
        <f>IF(B1469="","",IFERROR(VLOOKUP(B1469, PLANTA_BASE!A:W, 6, FALSE), "NO ENCONTRADO EN PLANTA"))</f>
        <v/>
      </c>
      <c r="F1469" s="7" t="str">
        <f>IF(B1469="","",IFERROR(VLOOKUP(B1469, PLANTA_BASE!A:W, 8, FALSE), "DOCENTE / FACILITADOR"))</f>
        <v/>
      </c>
      <c r="G1469" s="7" t="str">
        <f>IF(B1469="","",IFERROR(VLOOKUP(B1469, PLANTA_BASE!A:W, 9, FALSE), "GENERAL"))</f>
        <v/>
      </c>
      <c r="H1469" s="5" t="str">
        <f>IF(B1469="","",IFERROR(VLOOKUP(B1469, PLANTA_BASE!A:W, 17, FALSE), "GENERAL"))</f>
        <v/>
      </c>
    </row>
    <row r="1470" spans="1:8" ht="20.100000000000001" customHeight="1" x14ac:dyDescent="0.25">
      <c r="A1470" s="2" t="str">
        <f>IF(B1470="","",IFERROR(VLOOKUP(B1470, PLANTA_BASE!A:W, 2, FALSE), "NO ENCONTRADO EN PLANTA"))</f>
        <v/>
      </c>
      <c r="B1470" s="3"/>
      <c r="C1470" s="4" t="str">
        <f>IF(B1470="","",IFERROR(VLOOKUP(B1470, PLANTA_BASE!A:W, 3, FALSE), ""))</f>
        <v/>
      </c>
      <c r="D1470" s="2" t="str">
        <f>IF(B1470="","",IFERROR(VLOOKUP(B1470, PLANTA_BASE!A:W, 5, FALSE), "NO ENCONTRADO EN PLANTA"))</f>
        <v/>
      </c>
      <c r="E1470" s="2" t="str">
        <f>IF(B1470="","",IFERROR(VLOOKUP(B1470, PLANTA_BASE!A:W, 6, FALSE), "NO ENCONTRADO EN PLANTA"))</f>
        <v/>
      </c>
      <c r="F1470" s="4" t="str">
        <f>IF(B1470="","",IFERROR(VLOOKUP(B1470, PLANTA_BASE!A:W, 8, FALSE), "DOCENTE / FACILITADOR"))</f>
        <v/>
      </c>
      <c r="G1470" s="4" t="str">
        <f>IF(B1470="","",IFERROR(VLOOKUP(B1470, PLANTA_BASE!A:W, 9, FALSE), "GENERAL"))</f>
        <v/>
      </c>
      <c r="H1470" s="2" t="str">
        <f>IF(B1470="","",IFERROR(VLOOKUP(B1470, PLANTA_BASE!A:W, 17, FALSE), "GENERAL"))</f>
        <v/>
      </c>
    </row>
    <row r="1471" spans="1:8" ht="20.100000000000001" customHeight="1" x14ac:dyDescent="0.25">
      <c r="A1471" s="5" t="str">
        <f>IF(B1471="","",IFERROR(VLOOKUP(B1471, PLANTA_BASE!A:W, 2, FALSE), "NO ENCONTRADO EN PLANTA"))</f>
        <v/>
      </c>
      <c r="B1471" s="6"/>
      <c r="C1471" s="7" t="str">
        <f>IF(B1471="","",IFERROR(VLOOKUP(B1471, PLANTA_BASE!A:W, 3, FALSE), ""))</f>
        <v/>
      </c>
      <c r="D1471" s="5" t="str">
        <f>IF(B1471="","",IFERROR(VLOOKUP(B1471, PLANTA_BASE!A:W, 5, FALSE), "NO ENCONTRADO EN PLANTA"))</f>
        <v/>
      </c>
      <c r="E1471" s="5" t="str">
        <f>IF(B1471="","",IFERROR(VLOOKUP(B1471, PLANTA_BASE!A:W, 6, FALSE), "NO ENCONTRADO EN PLANTA"))</f>
        <v/>
      </c>
      <c r="F1471" s="7" t="str">
        <f>IF(B1471="","",IFERROR(VLOOKUP(B1471, PLANTA_BASE!A:W, 8, FALSE), "DOCENTE / FACILITADOR"))</f>
        <v/>
      </c>
      <c r="G1471" s="7" t="str">
        <f>IF(B1471="","",IFERROR(VLOOKUP(B1471, PLANTA_BASE!A:W, 9, FALSE), "GENERAL"))</f>
        <v/>
      </c>
      <c r="H1471" s="5" t="str">
        <f>IF(B1471="","",IFERROR(VLOOKUP(B1471, PLANTA_BASE!A:W, 17, FALSE), "GENERAL"))</f>
        <v/>
      </c>
    </row>
    <row r="1472" spans="1:8" ht="20.100000000000001" customHeight="1" x14ac:dyDescent="0.25">
      <c r="A1472" s="2" t="str">
        <f>IF(B1472="","",IFERROR(VLOOKUP(B1472, PLANTA_BASE!A:W, 2, FALSE), "NO ENCONTRADO EN PLANTA"))</f>
        <v/>
      </c>
      <c r="B1472" s="3"/>
      <c r="C1472" s="4" t="str">
        <f>IF(B1472="","",IFERROR(VLOOKUP(B1472, PLANTA_BASE!A:W, 3, FALSE), ""))</f>
        <v/>
      </c>
      <c r="D1472" s="2" t="str">
        <f>IF(B1472="","",IFERROR(VLOOKUP(B1472, PLANTA_BASE!A:W, 5, FALSE), "NO ENCONTRADO EN PLANTA"))</f>
        <v/>
      </c>
      <c r="E1472" s="2" t="str">
        <f>IF(B1472="","",IFERROR(VLOOKUP(B1472, PLANTA_BASE!A:W, 6, FALSE), "NO ENCONTRADO EN PLANTA"))</f>
        <v/>
      </c>
      <c r="F1472" s="4" t="str">
        <f>IF(B1472="","",IFERROR(VLOOKUP(B1472, PLANTA_BASE!A:W, 8, FALSE), "DOCENTE / FACILITADOR"))</f>
        <v/>
      </c>
      <c r="G1472" s="4" t="str">
        <f>IF(B1472="","",IFERROR(VLOOKUP(B1472, PLANTA_BASE!A:W, 9, FALSE), "GENERAL"))</f>
        <v/>
      </c>
      <c r="H1472" s="2" t="str">
        <f>IF(B1472="","",IFERROR(VLOOKUP(B1472, PLANTA_BASE!A:W, 17, FALSE), "GENERAL"))</f>
        <v/>
      </c>
    </row>
    <row r="1473" spans="1:8" ht="20.100000000000001" customHeight="1" x14ac:dyDescent="0.25">
      <c r="A1473" s="5" t="str">
        <f>IF(B1473="","",IFERROR(VLOOKUP(B1473, PLANTA_BASE!A:W, 2, FALSE), "NO ENCONTRADO EN PLANTA"))</f>
        <v/>
      </c>
      <c r="B1473" s="6"/>
      <c r="C1473" s="7" t="str">
        <f>IF(B1473="","",IFERROR(VLOOKUP(B1473, PLANTA_BASE!A:W, 3, FALSE), ""))</f>
        <v/>
      </c>
      <c r="D1473" s="5" t="str">
        <f>IF(B1473="","",IFERROR(VLOOKUP(B1473, PLANTA_BASE!A:W, 5, FALSE), "NO ENCONTRADO EN PLANTA"))</f>
        <v/>
      </c>
      <c r="E1473" s="5" t="str">
        <f>IF(B1473="","",IFERROR(VLOOKUP(B1473, PLANTA_BASE!A:W, 6, FALSE), "NO ENCONTRADO EN PLANTA"))</f>
        <v/>
      </c>
      <c r="F1473" s="7" t="str">
        <f>IF(B1473="","",IFERROR(VLOOKUP(B1473, PLANTA_BASE!A:W, 8, FALSE), "DOCENTE / FACILITADOR"))</f>
        <v/>
      </c>
      <c r="G1473" s="7" t="str">
        <f>IF(B1473="","",IFERROR(VLOOKUP(B1473, PLANTA_BASE!A:W, 9, FALSE), "GENERAL"))</f>
        <v/>
      </c>
      <c r="H1473" s="5" t="str">
        <f>IF(B1473="","",IFERROR(VLOOKUP(B1473, PLANTA_BASE!A:W, 17, FALSE), "GENERAL"))</f>
        <v/>
      </c>
    </row>
    <row r="1474" spans="1:8" ht="20.100000000000001" customHeight="1" x14ac:dyDescent="0.25">
      <c r="A1474" s="2" t="str">
        <f>IF(B1474="","",IFERROR(VLOOKUP(B1474, PLANTA_BASE!A:W, 2, FALSE), "NO ENCONTRADO EN PLANTA"))</f>
        <v/>
      </c>
      <c r="B1474" s="3"/>
      <c r="C1474" s="4" t="str">
        <f>IF(B1474="","",IFERROR(VLOOKUP(B1474, PLANTA_BASE!A:W, 3, FALSE), ""))</f>
        <v/>
      </c>
      <c r="D1474" s="2" t="str">
        <f>IF(B1474="","",IFERROR(VLOOKUP(B1474, PLANTA_BASE!A:W, 5, FALSE), "NO ENCONTRADO EN PLANTA"))</f>
        <v/>
      </c>
      <c r="E1474" s="2" t="str">
        <f>IF(B1474="","",IFERROR(VLOOKUP(B1474, PLANTA_BASE!A:W, 6, FALSE), "NO ENCONTRADO EN PLANTA"))</f>
        <v/>
      </c>
      <c r="F1474" s="4" t="str">
        <f>IF(B1474="","",IFERROR(VLOOKUP(B1474, PLANTA_BASE!A:W, 8, FALSE), "DOCENTE / FACILITADOR"))</f>
        <v/>
      </c>
      <c r="G1474" s="4" t="str">
        <f>IF(B1474="","",IFERROR(VLOOKUP(B1474, PLANTA_BASE!A:W, 9, FALSE), "GENERAL"))</f>
        <v/>
      </c>
      <c r="H1474" s="2" t="str">
        <f>IF(B1474="","",IFERROR(VLOOKUP(B1474, PLANTA_BASE!A:W, 17, FALSE), "GENERAL"))</f>
        <v/>
      </c>
    </row>
    <row r="1475" spans="1:8" ht="20.100000000000001" customHeight="1" x14ac:dyDescent="0.25">
      <c r="A1475" s="5" t="str">
        <f>IF(B1475="","",IFERROR(VLOOKUP(B1475, PLANTA_BASE!A:W, 2, FALSE), "NO ENCONTRADO EN PLANTA"))</f>
        <v/>
      </c>
      <c r="B1475" s="6"/>
      <c r="C1475" s="7" t="str">
        <f>IF(B1475="","",IFERROR(VLOOKUP(B1475, PLANTA_BASE!A:W, 3, FALSE), ""))</f>
        <v/>
      </c>
      <c r="D1475" s="5" t="str">
        <f>IF(B1475="","",IFERROR(VLOOKUP(B1475, PLANTA_BASE!A:W, 5, FALSE), "NO ENCONTRADO EN PLANTA"))</f>
        <v/>
      </c>
      <c r="E1475" s="5" t="str">
        <f>IF(B1475="","",IFERROR(VLOOKUP(B1475, PLANTA_BASE!A:W, 6, FALSE), "NO ENCONTRADO EN PLANTA"))</f>
        <v/>
      </c>
      <c r="F1475" s="7" t="str">
        <f>IF(B1475="","",IFERROR(VLOOKUP(B1475, PLANTA_BASE!A:W, 8, FALSE), "DOCENTE / FACILITADOR"))</f>
        <v/>
      </c>
      <c r="G1475" s="7" t="str">
        <f>IF(B1475="","",IFERROR(VLOOKUP(B1475, PLANTA_BASE!A:W, 9, FALSE), "GENERAL"))</f>
        <v/>
      </c>
      <c r="H1475" s="5" t="str">
        <f>IF(B1475="","",IFERROR(VLOOKUP(B1475, PLANTA_BASE!A:W, 17, FALSE), "GENERAL"))</f>
        <v/>
      </c>
    </row>
    <row r="1476" spans="1:8" ht="20.100000000000001" customHeight="1" x14ac:dyDescent="0.25">
      <c r="A1476" s="2" t="str">
        <f>IF(B1476="","",IFERROR(VLOOKUP(B1476, PLANTA_BASE!A:W, 2, FALSE), "NO ENCONTRADO EN PLANTA"))</f>
        <v/>
      </c>
      <c r="B1476" s="3"/>
      <c r="C1476" s="4" t="str">
        <f>IF(B1476="","",IFERROR(VLOOKUP(B1476, PLANTA_BASE!A:W, 3, FALSE), ""))</f>
        <v/>
      </c>
      <c r="D1476" s="2" t="str">
        <f>IF(B1476="","",IFERROR(VLOOKUP(B1476, PLANTA_BASE!A:W, 5, FALSE), "NO ENCONTRADO EN PLANTA"))</f>
        <v/>
      </c>
      <c r="E1476" s="2" t="str">
        <f>IF(B1476="","",IFERROR(VLOOKUP(B1476, PLANTA_BASE!A:W, 6, FALSE), "NO ENCONTRADO EN PLANTA"))</f>
        <v/>
      </c>
      <c r="F1476" s="4" t="str">
        <f>IF(B1476="","",IFERROR(VLOOKUP(B1476, PLANTA_BASE!A:W, 8, FALSE), "DOCENTE / FACILITADOR"))</f>
        <v/>
      </c>
      <c r="G1476" s="4" t="str">
        <f>IF(B1476="","",IFERROR(VLOOKUP(B1476, PLANTA_BASE!A:W, 9, FALSE), "GENERAL"))</f>
        <v/>
      </c>
      <c r="H1476" s="2" t="str">
        <f>IF(B1476="","",IFERROR(VLOOKUP(B1476, PLANTA_BASE!A:W, 17, FALSE), "GENERAL"))</f>
        <v/>
      </c>
    </row>
    <row r="1477" spans="1:8" ht="20.100000000000001" customHeight="1" x14ac:dyDescent="0.25">
      <c r="A1477" s="5" t="str">
        <f>IF(B1477="","",IFERROR(VLOOKUP(B1477, PLANTA_BASE!A:W, 2, FALSE), "NO ENCONTRADO EN PLANTA"))</f>
        <v/>
      </c>
      <c r="B1477" s="6"/>
      <c r="C1477" s="7" t="str">
        <f>IF(B1477="","",IFERROR(VLOOKUP(B1477, PLANTA_BASE!A:W, 3, FALSE), ""))</f>
        <v/>
      </c>
      <c r="D1477" s="5" t="str">
        <f>IF(B1477="","",IFERROR(VLOOKUP(B1477, PLANTA_BASE!A:W, 5, FALSE), "NO ENCONTRADO EN PLANTA"))</f>
        <v/>
      </c>
      <c r="E1477" s="5" t="str">
        <f>IF(B1477="","",IFERROR(VLOOKUP(B1477, PLANTA_BASE!A:W, 6, FALSE), "NO ENCONTRADO EN PLANTA"))</f>
        <v/>
      </c>
      <c r="F1477" s="7" t="str">
        <f>IF(B1477="","",IFERROR(VLOOKUP(B1477, PLANTA_BASE!A:W, 8, FALSE), "DOCENTE / FACILITADOR"))</f>
        <v/>
      </c>
      <c r="G1477" s="7" t="str">
        <f>IF(B1477="","",IFERROR(VLOOKUP(B1477, PLANTA_BASE!A:W, 9, FALSE), "GENERAL"))</f>
        <v/>
      </c>
      <c r="H1477" s="5" t="str">
        <f>IF(B1477="","",IFERROR(VLOOKUP(B1477, PLANTA_BASE!A:W, 17, FALSE), "GENERAL"))</f>
        <v/>
      </c>
    </row>
    <row r="1478" spans="1:8" ht="20.100000000000001" customHeight="1" x14ac:dyDescent="0.25">
      <c r="A1478" s="2" t="str">
        <f>IF(B1478="","",IFERROR(VLOOKUP(B1478, PLANTA_BASE!A:W, 2, FALSE), "NO ENCONTRADO EN PLANTA"))</f>
        <v/>
      </c>
      <c r="B1478" s="3"/>
      <c r="C1478" s="4" t="str">
        <f>IF(B1478="","",IFERROR(VLOOKUP(B1478, PLANTA_BASE!A:W, 3, FALSE), ""))</f>
        <v/>
      </c>
      <c r="D1478" s="2" t="str">
        <f>IF(B1478="","",IFERROR(VLOOKUP(B1478, PLANTA_BASE!A:W, 5, FALSE), "NO ENCONTRADO EN PLANTA"))</f>
        <v/>
      </c>
      <c r="E1478" s="2" t="str">
        <f>IF(B1478="","",IFERROR(VLOOKUP(B1478, PLANTA_BASE!A:W, 6, FALSE), "NO ENCONTRADO EN PLANTA"))</f>
        <v/>
      </c>
      <c r="F1478" s="4" t="str">
        <f>IF(B1478="","",IFERROR(VLOOKUP(B1478, PLANTA_BASE!A:W, 8, FALSE), "DOCENTE / FACILITADOR"))</f>
        <v/>
      </c>
      <c r="G1478" s="4" t="str">
        <f>IF(B1478="","",IFERROR(VLOOKUP(B1478, PLANTA_BASE!A:W, 9, FALSE), "GENERAL"))</f>
        <v/>
      </c>
      <c r="H1478" s="2" t="str">
        <f>IF(B1478="","",IFERROR(VLOOKUP(B1478, PLANTA_BASE!A:W, 17, FALSE), "GENERAL"))</f>
        <v/>
      </c>
    </row>
    <row r="1479" spans="1:8" ht="20.100000000000001" customHeight="1" x14ac:dyDescent="0.25">
      <c r="A1479" s="5" t="str">
        <f>IF(B1479="","",IFERROR(VLOOKUP(B1479, PLANTA_BASE!A:W, 2, FALSE), "NO ENCONTRADO EN PLANTA"))</f>
        <v/>
      </c>
      <c r="B1479" s="6"/>
      <c r="C1479" s="7" t="str">
        <f>IF(B1479="","",IFERROR(VLOOKUP(B1479, PLANTA_BASE!A:W, 3, FALSE), ""))</f>
        <v/>
      </c>
      <c r="D1479" s="5" t="str">
        <f>IF(B1479="","",IFERROR(VLOOKUP(B1479, PLANTA_BASE!A:W, 5, FALSE), "NO ENCONTRADO EN PLANTA"))</f>
        <v/>
      </c>
      <c r="E1479" s="5" t="str">
        <f>IF(B1479="","",IFERROR(VLOOKUP(B1479, PLANTA_BASE!A:W, 6, FALSE), "NO ENCONTRADO EN PLANTA"))</f>
        <v/>
      </c>
      <c r="F1479" s="7" t="str">
        <f>IF(B1479="","",IFERROR(VLOOKUP(B1479, PLANTA_BASE!A:W, 8, FALSE), "DOCENTE / FACILITADOR"))</f>
        <v/>
      </c>
      <c r="G1479" s="7" t="str">
        <f>IF(B1479="","",IFERROR(VLOOKUP(B1479, PLANTA_BASE!A:W, 9, FALSE), "GENERAL"))</f>
        <v/>
      </c>
      <c r="H1479" s="5" t="str">
        <f>IF(B1479="","",IFERROR(VLOOKUP(B1479, PLANTA_BASE!A:W, 17, FALSE), "GENERAL"))</f>
        <v/>
      </c>
    </row>
    <row r="1480" spans="1:8" ht="20.100000000000001" customHeight="1" x14ac:dyDescent="0.25">
      <c r="A1480" s="2" t="str">
        <f>IF(B1480="","",IFERROR(VLOOKUP(B1480, PLANTA_BASE!A:W, 2, FALSE), "NO ENCONTRADO EN PLANTA"))</f>
        <v/>
      </c>
      <c r="B1480" s="3"/>
      <c r="C1480" s="4" t="str">
        <f>IF(B1480="","",IFERROR(VLOOKUP(B1480, PLANTA_BASE!A:W, 3, FALSE), ""))</f>
        <v/>
      </c>
      <c r="D1480" s="2" t="str">
        <f>IF(B1480="","",IFERROR(VLOOKUP(B1480, PLANTA_BASE!A:W, 5, FALSE), "NO ENCONTRADO EN PLANTA"))</f>
        <v/>
      </c>
      <c r="E1480" s="2" t="str">
        <f>IF(B1480="","",IFERROR(VLOOKUP(B1480, PLANTA_BASE!A:W, 6, FALSE), "NO ENCONTRADO EN PLANTA"))</f>
        <v/>
      </c>
      <c r="F1480" s="4" t="str">
        <f>IF(B1480="","",IFERROR(VLOOKUP(B1480, PLANTA_BASE!A:W, 8, FALSE), "DOCENTE / FACILITADOR"))</f>
        <v/>
      </c>
      <c r="G1480" s="4" t="str">
        <f>IF(B1480="","",IFERROR(VLOOKUP(B1480, PLANTA_BASE!A:W, 9, FALSE), "GENERAL"))</f>
        <v/>
      </c>
      <c r="H1480" s="2" t="str">
        <f>IF(B1480="","",IFERROR(VLOOKUP(B1480, PLANTA_BASE!A:W, 17, FALSE), "GENERAL"))</f>
        <v/>
      </c>
    </row>
    <row r="1481" spans="1:8" ht="20.100000000000001" customHeight="1" x14ac:dyDescent="0.25">
      <c r="A1481" s="5" t="str">
        <f>IF(B1481="","",IFERROR(VLOOKUP(B1481, PLANTA_BASE!A:W, 2, FALSE), "NO ENCONTRADO EN PLANTA"))</f>
        <v/>
      </c>
      <c r="B1481" s="6"/>
      <c r="C1481" s="7" t="str">
        <f>IF(B1481="","",IFERROR(VLOOKUP(B1481, PLANTA_BASE!A:W, 3, FALSE), ""))</f>
        <v/>
      </c>
      <c r="D1481" s="5" t="str">
        <f>IF(B1481="","",IFERROR(VLOOKUP(B1481, PLANTA_BASE!A:W, 5, FALSE), "NO ENCONTRADO EN PLANTA"))</f>
        <v/>
      </c>
      <c r="E1481" s="5" t="str">
        <f>IF(B1481="","",IFERROR(VLOOKUP(B1481, PLANTA_BASE!A:W, 6, FALSE), "NO ENCONTRADO EN PLANTA"))</f>
        <v/>
      </c>
      <c r="F1481" s="7" t="str">
        <f>IF(B1481="","",IFERROR(VLOOKUP(B1481, PLANTA_BASE!A:W, 8, FALSE), "DOCENTE / FACILITADOR"))</f>
        <v/>
      </c>
      <c r="G1481" s="7" t="str">
        <f>IF(B1481="","",IFERROR(VLOOKUP(B1481, PLANTA_BASE!A:W, 9, FALSE), "GENERAL"))</f>
        <v/>
      </c>
      <c r="H1481" s="5" t="str">
        <f>IF(B1481="","",IFERROR(VLOOKUP(B1481, PLANTA_BASE!A:W, 17, FALSE), "GENERAL"))</f>
        <v/>
      </c>
    </row>
    <row r="1482" spans="1:8" ht="20.100000000000001" customHeight="1" x14ac:dyDescent="0.25">
      <c r="A1482" s="2" t="str">
        <f>IF(B1482="","",IFERROR(VLOOKUP(B1482, PLANTA_BASE!A:W, 2, FALSE), "NO ENCONTRADO EN PLANTA"))</f>
        <v/>
      </c>
      <c r="B1482" s="3"/>
      <c r="C1482" s="4" t="str">
        <f>IF(B1482="","",IFERROR(VLOOKUP(B1482, PLANTA_BASE!A:W, 3, FALSE), ""))</f>
        <v/>
      </c>
      <c r="D1482" s="2" t="str">
        <f>IF(B1482="","",IFERROR(VLOOKUP(B1482, PLANTA_BASE!A:W, 5, FALSE), "NO ENCONTRADO EN PLANTA"))</f>
        <v/>
      </c>
      <c r="E1482" s="2" t="str">
        <f>IF(B1482="","",IFERROR(VLOOKUP(B1482, PLANTA_BASE!A:W, 6, FALSE), "NO ENCONTRADO EN PLANTA"))</f>
        <v/>
      </c>
      <c r="F1482" s="4" t="str">
        <f>IF(B1482="","",IFERROR(VLOOKUP(B1482, PLANTA_BASE!A:W, 8, FALSE), "DOCENTE / FACILITADOR"))</f>
        <v/>
      </c>
      <c r="G1482" s="4" t="str">
        <f>IF(B1482="","",IFERROR(VLOOKUP(B1482, PLANTA_BASE!A:W, 9, FALSE), "GENERAL"))</f>
        <v/>
      </c>
      <c r="H1482" s="2" t="str">
        <f>IF(B1482="","",IFERROR(VLOOKUP(B1482, PLANTA_BASE!A:W, 17, FALSE), "GENERAL"))</f>
        <v/>
      </c>
    </row>
    <row r="1483" spans="1:8" ht="20.100000000000001" customHeight="1" x14ac:dyDescent="0.25">
      <c r="A1483" s="5" t="str">
        <f>IF(B1483="","",IFERROR(VLOOKUP(B1483, PLANTA_BASE!A:W, 2, FALSE), "NO ENCONTRADO EN PLANTA"))</f>
        <v/>
      </c>
      <c r="B1483" s="6"/>
      <c r="C1483" s="7" t="str">
        <f>IF(B1483="","",IFERROR(VLOOKUP(B1483, PLANTA_BASE!A:W, 3, FALSE), ""))</f>
        <v/>
      </c>
      <c r="D1483" s="5" t="str">
        <f>IF(B1483="","",IFERROR(VLOOKUP(B1483, PLANTA_BASE!A:W, 5, FALSE), "NO ENCONTRADO EN PLANTA"))</f>
        <v/>
      </c>
      <c r="E1483" s="5" t="str">
        <f>IF(B1483="","",IFERROR(VLOOKUP(B1483, PLANTA_BASE!A:W, 6, FALSE), "NO ENCONTRADO EN PLANTA"))</f>
        <v/>
      </c>
      <c r="F1483" s="7" t="str">
        <f>IF(B1483="","",IFERROR(VLOOKUP(B1483, PLANTA_BASE!A:W, 8, FALSE), "DOCENTE / FACILITADOR"))</f>
        <v/>
      </c>
      <c r="G1483" s="7" t="str">
        <f>IF(B1483="","",IFERROR(VLOOKUP(B1483, PLANTA_BASE!A:W, 9, FALSE), "GENERAL"))</f>
        <v/>
      </c>
      <c r="H1483" s="5" t="str">
        <f>IF(B1483="","",IFERROR(VLOOKUP(B1483, PLANTA_BASE!A:W, 17, FALSE), "GENERAL"))</f>
        <v/>
      </c>
    </row>
    <row r="1484" spans="1:8" ht="20.100000000000001" customHeight="1" x14ac:dyDescent="0.25">
      <c r="A1484" s="2" t="str">
        <f>IF(B1484="","",IFERROR(VLOOKUP(B1484, PLANTA_BASE!A:W, 2, FALSE), "NO ENCONTRADO EN PLANTA"))</f>
        <v/>
      </c>
      <c r="B1484" s="3"/>
      <c r="C1484" s="4" t="str">
        <f>IF(B1484="","",IFERROR(VLOOKUP(B1484, PLANTA_BASE!A:W, 3, FALSE), ""))</f>
        <v/>
      </c>
      <c r="D1484" s="2" t="str">
        <f>IF(B1484="","",IFERROR(VLOOKUP(B1484, PLANTA_BASE!A:W, 5, FALSE), "NO ENCONTRADO EN PLANTA"))</f>
        <v/>
      </c>
      <c r="E1484" s="2" t="str">
        <f>IF(B1484="","",IFERROR(VLOOKUP(B1484, PLANTA_BASE!A:W, 6, FALSE), "NO ENCONTRADO EN PLANTA"))</f>
        <v/>
      </c>
      <c r="F1484" s="4" t="str">
        <f>IF(B1484="","",IFERROR(VLOOKUP(B1484, PLANTA_BASE!A:W, 8, FALSE), "DOCENTE / FACILITADOR"))</f>
        <v/>
      </c>
      <c r="G1484" s="4" t="str">
        <f>IF(B1484="","",IFERROR(VLOOKUP(B1484, PLANTA_BASE!A:W, 9, FALSE), "GENERAL"))</f>
        <v/>
      </c>
      <c r="H1484" s="2" t="str">
        <f>IF(B1484="","",IFERROR(VLOOKUP(B1484, PLANTA_BASE!A:W, 17, FALSE), "GENERAL"))</f>
        <v/>
      </c>
    </row>
    <row r="1485" spans="1:8" ht="20.100000000000001" customHeight="1" x14ac:dyDescent="0.25">
      <c r="A1485" s="5" t="str">
        <f>IF(B1485="","",IFERROR(VLOOKUP(B1485, PLANTA_BASE!A:W, 2, FALSE), "NO ENCONTRADO EN PLANTA"))</f>
        <v/>
      </c>
      <c r="B1485" s="6"/>
      <c r="C1485" s="7" t="str">
        <f>IF(B1485="","",IFERROR(VLOOKUP(B1485, PLANTA_BASE!A:W, 3, FALSE), ""))</f>
        <v/>
      </c>
      <c r="D1485" s="5" t="str">
        <f>IF(B1485="","",IFERROR(VLOOKUP(B1485, PLANTA_BASE!A:W, 5, FALSE), "NO ENCONTRADO EN PLANTA"))</f>
        <v/>
      </c>
      <c r="E1485" s="5" t="str">
        <f>IF(B1485="","",IFERROR(VLOOKUP(B1485, PLANTA_BASE!A:W, 6, FALSE), "NO ENCONTRADO EN PLANTA"))</f>
        <v/>
      </c>
      <c r="F1485" s="7" t="str">
        <f>IF(B1485="","",IFERROR(VLOOKUP(B1485, PLANTA_BASE!A:W, 8, FALSE), "DOCENTE / FACILITADOR"))</f>
        <v/>
      </c>
      <c r="G1485" s="7" t="str">
        <f>IF(B1485="","",IFERROR(VLOOKUP(B1485, PLANTA_BASE!A:W, 9, FALSE), "GENERAL"))</f>
        <v/>
      </c>
      <c r="H1485" s="5" t="str">
        <f>IF(B1485="","",IFERROR(VLOOKUP(B1485, PLANTA_BASE!A:W, 17, FALSE), "GENERAL"))</f>
        <v/>
      </c>
    </row>
    <row r="1486" spans="1:8" ht="20.100000000000001" customHeight="1" x14ac:dyDescent="0.25">
      <c r="A1486" s="2" t="str">
        <f>IF(B1486="","",IFERROR(VLOOKUP(B1486, PLANTA_BASE!A:W, 2, FALSE), "NO ENCONTRADO EN PLANTA"))</f>
        <v/>
      </c>
      <c r="B1486" s="3"/>
      <c r="C1486" s="4" t="str">
        <f>IF(B1486="","",IFERROR(VLOOKUP(B1486, PLANTA_BASE!A:W, 3, FALSE), ""))</f>
        <v/>
      </c>
      <c r="D1486" s="2" t="str">
        <f>IF(B1486="","",IFERROR(VLOOKUP(B1486, PLANTA_BASE!A:W, 5, FALSE), "NO ENCONTRADO EN PLANTA"))</f>
        <v/>
      </c>
      <c r="E1486" s="2" t="str">
        <f>IF(B1486="","",IFERROR(VLOOKUP(B1486, PLANTA_BASE!A:W, 6, FALSE), "NO ENCONTRADO EN PLANTA"))</f>
        <v/>
      </c>
      <c r="F1486" s="4" t="str">
        <f>IF(B1486="","",IFERROR(VLOOKUP(B1486, PLANTA_BASE!A:W, 8, FALSE), "DOCENTE / FACILITADOR"))</f>
        <v/>
      </c>
      <c r="G1486" s="4" t="str">
        <f>IF(B1486="","",IFERROR(VLOOKUP(B1486, PLANTA_BASE!A:W, 9, FALSE), "GENERAL"))</f>
        <v/>
      </c>
      <c r="H1486" s="2" t="str">
        <f>IF(B1486="","",IFERROR(VLOOKUP(B1486, PLANTA_BASE!A:W, 17, FALSE), "GENERAL"))</f>
        <v/>
      </c>
    </row>
    <row r="1487" spans="1:8" ht="20.100000000000001" customHeight="1" x14ac:dyDescent="0.25">
      <c r="A1487" s="5" t="str">
        <f>IF(B1487="","",IFERROR(VLOOKUP(B1487, PLANTA_BASE!A:W, 2, FALSE), "NO ENCONTRADO EN PLANTA"))</f>
        <v/>
      </c>
      <c r="B1487" s="6"/>
      <c r="C1487" s="7" t="str">
        <f>IF(B1487="","",IFERROR(VLOOKUP(B1487, PLANTA_BASE!A:W, 3, FALSE), ""))</f>
        <v/>
      </c>
      <c r="D1487" s="5" t="str">
        <f>IF(B1487="","",IFERROR(VLOOKUP(B1487, PLANTA_BASE!A:W, 5, FALSE), "NO ENCONTRADO EN PLANTA"))</f>
        <v/>
      </c>
      <c r="E1487" s="5" t="str">
        <f>IF(B1487="","",IFERROR(VLOOKUP(B1487, PLANTA_BASE!A:W, 6, FALSE), "NO ENCONTRADO EN PLANTA"))</f>
        <v/>
      </c>
      <c r="F1487" s="7" t="str">
        <f>IF(B1487="","",IFERROR(VLOOKUP(B1487, PLANTA_BASE!A:W, 8, FALSE), "DOCENTE / FACILITADOR"))</f>
        <v/>
      </c>
      <c r="G1487" s="7" t="str">
        <f>IF(B1487="","",IFERROR(VLOOKUP(B1487, PLANTA_BASE!A:W, 9, FALSE), "GENERAL"))</f>
        <v/>
      </c>
      <c r="H1487" s="5" t="str">
        <f>IF(B1487="","",IFERROR(VLOOKUP(B1487, PLANTA_BASE!A:W, 17, FALSE), "GENERAL"))</f>
        <v/>
      </c>
    </row>
    <row r="1488" spans="1:8" ht="20.100000000000001" customHeight="1" x14ac:dyDescent="0.25">
      <c r="A1488" s="2" t="str">
        <f>IF(B1488="","",IFERROR(VLOOKUP(B1488, PLANTA_BASE!A:W, 2, FALSE), "NO ENCONTRADO EN PLANTA"))</f>
        <v/>
      </c>
      <c r="B1488" s="3"/>
      <c r="C1488" s="4" t="str">
        <f>IF(B1488="","",IFERROR(VLOOKUP(B1488, PLANTA_BASE!A:W, 3, FALSE), ""))</f>
        <v/>
      </c>
      <c r="D1488" s="2" t="str">
        <f>IF(B1488="","",IFERROR(VLOOKUP(B1488, PLANTA_BASE!A:W, 5, FALSE), "NO ENCONTRADO EN PLANTA"))</f>
        <v/>
      </c>
      <c r="E1488" s="2" t="str">
        <f>IF(B1488="","",IFERROR(VLOOKUP(B1488, PLANTA_BASE!A:W, 6, FALSE), "NO ENCONTRADO EN PLANTA"))</f>
        <v/>
      </c>
      <c r="F1488" s="4" t="str">
        <f>IF(B1488="","",IFERROR(VLOOKUP(B1488, PLANTA_BASE!A:W, 8, FALSE), "DOCENTE / FACILITADOR"))</f>
        <v/>
      </c>
      <c r="G1488" s="4" t="str">
        <f>IF(B1488="","",IFERROR(VLOOKUP(B1488, PLANTA_BASE!A:W, 9, FALSE), "GENERAL"))</f>
        <v/>
      </c>
      <c r="H1488" s="2" t="str">
        <f>IF(B1488="","",IFERROR(VLOOKUP(B1488, PLANTA_BASE!A:W, 17, FALSE), "GENERAL"))</f>
        <v/>
      </c>
    </row>
    <row r="1489" spans="1:8" ht="20.100000000000001" customHeight="1" x14ac:dyDescent="0.25">
      <c r="A1489" s="5" t="str">
        <f>IF(B1489="","",IFERROR(VLOOKUP(B1489, PLANTA_BASE!A:W, 2, FALSE), "NO ENCONTRADO EN PLANTA"))</f>
        <v/>
      </c>
      <c r="B1489" s="6"/>
      <c r="C1489" s="7" t="str">
        <f>IF(B1489="","",IFERROR(VLOOKUP(B1489, PLANTA_BASE!A:W, 3, FALSE), ""))</f>
        <v/>
      </c>
      <c r="D1489" s="5" t="str">
        <f>IF(B1489="","",IFERROR(VLOOKUP(B1489, PLANTA_BASE!A:W, 5, FALSE), "NO ENCONTRADO EN PLANTA"))</f>
        <v/>
      </c>
      <c r="E1489" s="5" t="str">
        <f>IF(B1489="","",IFERROR(VLOOKUP(B1489, PLANTA_BASE!A:W, 6, FALSE), "NO ENCONTRADO EN PLANTA"))</f>
        <v/>
      </c>
      <c r="F1489" s="7" t="str">
        <f>IF(B1489="","",IFERROR(VLOOKUP(B1489, PLANTA_BASE!A:W, 8, FALSE), "DOCENTE / FACILITADOR"))</f>
        <v/>
      </c>
      <c r="G1489" s="7" t="str">
        <f>IF(B1489="","",IFERROR(VLOOKUP(B1489, PLANTA_BASE!A:W, 9, FALSE), "GENERAL"))</f>
        <v/>
      </c>
      <c r="H1489" s="5" t="str">
        <f>IF(B1489="","",IFERROR(VLOOKUP(B1489, PLANTA_BASE!A:W, 17, FALSE), "GENERAL"))</f>
        <v/>
      </c>
    </row>
    <row r="1490" spans="1:8" ht="20.100000000000001" customHeight="1" x14ac:dyDescent="0.25">
      <c r="A1490" s="2" t="str">
        <f>IF(B1490="","",IFERROR(VLOOKUP(B1490, PLANTA_BASE!A:W, 2, FALSE), "NO ENCONTRADO EN PLANTA"))</f>
        <v/>
      </c>
      <c r="B1490" s="3"/>
      <c r="C1490" s="4" t="str">
        <f>IF(B1490="","",IFERROR(VLOOKUP(B1490, PLANTA_BASE!A:W, 3, FALSE), ""))</f>
        <v/>
      </c>
      <c r="D1490" s="2" t="str">
        <f>IF(B1490="","",IFERROR(VLOOKUP(B1490, PLANTA_BASE!A:W, 5, FALSE), "NO ENCONTRADO EN PLANTA"))</f>
        <v/>
      </c>
      <c r="E1490" s="2" t="str">
        <f>IF(B1490="","",IFERROR(VLOOKUP(B1490, PLANTA_BASE!A:W, 6, FALSE), "NO ENCONTRADO EN PLANTA"))</f>
        <v/>
      </c>
      <c r="F1490" s="4" t="str">
        <f>IF(B1490="","",IFERROR(VLOOKUP(B1490, PLANTA_BASE!A:W, 8, FALSE), "DOCENTE / FACILITADOR"))</f>
        <v/>
      </c>
      <c r="G1490" s="4" t="str">
        <f>IF(B1490="","",IFERROR(VLOOKUP(B1490, PLANTA_BASE!A:W, 9, FALSE), "GENERAL"))</f>
        <v/>
      </c>
      <c r="H1490" s="2" t="str">
        <f>IF(B1490="","",IFERROR(VLOOKUP(B1490, PLANTA_BASE!A:W, 17, FALSE), "GENERAL"))</f>
        <v/>
      </c>
    </row>
    <row r="1491" spans="1:8" ht="20.100000000000001" customHeight="1" x14ac:dyDescent="0.25">
      <c r="A1491" s="5" t="str">
        <f>IF(B1491="","",IFERROR(VLOOKUP(B1491, PLANTA_BASE!A:W, 2, FALSE), "NO ENCONTRADO EN PLANTA"))</f>
        <v/>
      </c>
      <c r="B1491" s="6"/>
      <c r="C1491" s="7" t="str">
        <f>IF(B1491="","",IFERROR(VLOOKUP(B1491, PLANTA_BASE!A:W, 3, FALSE), ""))</f>
        <v/>
      </c>
      <c r="D1491" s="5" t="str">
        <f>IF(B1491="","",IFERROR(VLOOKUP(B1491, PLANTA_BASE!A:W, 5, FALSE), "NO ENCONTRADO EN PLANTA"))</f>
        <v/>
      </c>
      <c r="E1491" s="5" t="str">
        <f>IF(B1491="","",IFERROR(VLOOKUP(B1491, PLANTA_BASE!A:W, 6, FALSE), "NO ENCONTRADO EN PLANTA"))</f>
        <v/>
      </c>
      <c r="F1491" s="7" t="str">
        <f>IF(B1491="","",IFERROR(VLOOKUP(B1491, PLANTA_BASE!A:W, 8, FALSE), "DOCENTE / FACILITADOR"))</f>
        <v/>
      </c>
      <c r="G1491" s="7" t="str">
        <f>IF(B1491="","",IFERROR(VLOOKUP(B1491, PLANTA_BASE!A:W, 9, FALSE), "GENERAL"))</f>
        <v/>
      </c>
      <c r="H1491" s="5" t="str">
        <f>IF(B1491="","",IFERROR(VLOOKUP(B1491, PLANTA_BASE!A:W, 17, FALSE), "GENERAL"))</f>
        <v/>
      </c>
    </row>
    <row r="1492" spans="1:8" ht="20.100000000000001" customHeight="1" x14ac:dyDescent="0.25">
      <c r="A1492" s="2" t="str">
        <f>IF(B1492="","",IFERROR(VLOOKUP(B1492, PLANTA_BASE!A:W, 2, FALSE), "NO ENCONTRADO EN PLANTA"))</f>
        <v/>
      </c>
      <c r="B1492" s="3"/>
      <c r="C1492" s="4" t="str">
        <f>IF(B1492="","",IFERROR(VLOOKUP(B1492, PLANTA_BASE!A:W, 3, FALSE), ""))</f>
        <v/>
      </c>
      <c r="D1492" s="2" t="str">
        <f>IF(B1492="","",IFERROR(VLOOKUP(B1492, PLANTA_BASE!A:W, 5, FALSE), "NO ENCONTRADO EN PLANTA"))</f>
        <v/>
      </c>
      <c r="E1492" s="2" t="str">
        <f>IF(B1492="","",IFERROR(VLOOKUP(B1492, PLANTA_BASE!A:W, 6, FALSE), "NO ENCONTRADO EN PLANTA"))</f>
        <v/>
      </c>
      <c r="F1492" s="4" t="str">
        <f>IF(B1492="","",IFERROR(VLOOKUP(B1492, PLANTA_BASE!A:W, 8, FALSE), "DOCENTE / FACILITADOR"))</f>
        <v/>
      </c>
      <c r="G1492" s="4" t="str">
        <f>IF(B1492="","",IFERROR(VLOOKUP(B1492, PLANTA_BASE!A:W, 9, FALSE), "GENERAL"))</f>
        <v/>
      </c>
      <c r="H1492" s="2" t="str">
        <f>IF(B1492="","",IFERROR(VLOOKUP(B1492, PLANTA_BASE!A:W, 17, FALSE), "GENERAL"))</f>
        <v/>
      </c>
    </row>
    <row r="1493" spans="1:8" ht="20.100000000000001" customHeight="1" x14ac:dyDescent="0.25">
      <c r="A1493" s="5" t="str">
        <f>IF(B1493="","",IFERROR(VLOOKUP(B1493, PLANTA_BASE!A:W, 2, FALSE), "NO ENCONTRADO EN PLANTA"))</f>
        <v/>
      </c>
      <c r="B1493" s="6"/>
      <c r="C1493" s="7" t="str">
        <f>IF(B1493="","",IFERROR(VLOOKUP(B1493, PLANTA_BASE!A:W, 3, FALSE), ""))</f>
        <v/>
      </c>
      <c r="D1493" s="5" t="str">
        <f>IF(B1493="","",IFERROR(VLOOKUP(B1493, PLANTA_BASE!A:W, 5, FALSE), "NO ENCONTRADO EN PLANTA"))</f>
        <v/>
      </c>
      <c r="E1493" s="5" t="str">
        <f>IF(B1493="","",IFERROR(VLOOKUP(B1493, PLANTA_BASE!A:W, 6, FALSE), "NO ENCONTRADO EN PLANTA"))</f>
        <v/>
      </c>
      <c r="F1493" s="7" t="str">
        <f>IF(B1493="","",IFERROR(VLOOKUP(B1493, PLANTA_BASE!A:W, 8, FALSE), "DOCENTE / FACILITADOR"))</f>
        <v/>
      </c>
      <c r="G1493" s="7" t="str">
        <f>IF(B1493="","",IFERROR(VLOOKUP(B1493, PLANTA_BASE!A:W, 9, FALSE), "GENERAL"))</f>
        <v/>
      </c>
      <c r="H1493" s="5" t="str">
        <f>IF(B1493="","",IFERROR(VLOOKUP(B1493, PLANTA_BASE!A:W, 17, FALSE), "GENERAL"))</f>
        <v/>
      </c>
    </row>
    <row r="1494" spans="1:8" ht="20.100000000000001" customHeight="1" x14ac:dyDescent="0.25">
      <c r="A1494" s="2" t="str">
        <f>IF(B1494="","",IFERROR(VLOOKUP(B1494, PLANTA_BASE!A:W, 2, FALSE), "NO ENCONTRADO EN PLANTA"))</f>
        <v/>
      </c>
      <c r="B1494" s="3"/>
      <c r="C1494" s="4" t="str">
        <f>IF(B1494="","",IFERROR(VLOOKUP(B1494, PLANTA_BASE!A:W, 3, FALSE), ""))</f>
        <v/>
      </c>
      <c r="D1494" s="2" t="str">
        <f>IF(B1494="","",IFERROR(VLOOKUP(B1494, PLANTA_BASE!A:W, 5, FALSE), "NO ENCONTRADO EN PLANTA"))</f>
        <v/>
      </c>
      <c r="E1494" s="2" t="str">
        <f>IF(B1494="","",IFERROR(VLOOKUP(B1494, PLANTA_BASE!A:W, 6, FALSE), "NO ENCONTRADO EN PLANTA"))</f>
        <v/>
      </c>
      <c r="F1494" s="4" t="str">
        <f>IF(B1494="","",IFERROR(VLOOKUP(B1494, PLANTA_BASE!A:W, 8, FALSE), "DOCENTE / FACILITADOR"))</f>
        <v/>
      </c>
      <c r="G1494" s="4" t="str">
        <f>IF(B1494="","",IFERROR(VLOOKUP(B1494, PLANTA_BASE!A:W, 9, FALSE), "GENERAL"))</f>
        <v/>
      </c>
      <c r="H1494" s="2" t="str">
        <f>IF(B1494="","",IFERROR(VLOOKUP(B1494, PLANTA_BASE!A:W, 17, FALSE), "GENERAL"))</f>
        <v/>
      </c>
    </row>
    <row r="1495" spans="1:8" ht="20.100000000000001" customHeight="1" x14ac:dyDescent="0.25">
      <c r="A1495" s="5" t="str">
        <f>IF(B1495="","",IFERROR(VLOOKUP(B1495, PLANTA_BASE!A:W, 2, FALSE), "NO ENCONTRADO EN PLANTA"))</f>
        <v/>
      </c>
      <c r="B1495" s="6"/>
      <c r="C1495" s="7" t="str">
        <f>IF(B1495="","",IFERROR(VLOOKUP(B1495, PLANTA_BASE!A:W, 3, FALSE), ""))</f>
        <v/>
      </c>
      <c r="D1495" s="5" t="str">
        <f>IF(B1495="","",IFERROR(VLOOKUP(B1495, PLANTA_BASE!A:W, 5, FALSE), "NO ENCONTRADO EN PLANTA"))</f>
        <v/>
      </c>
      <c r="E1495" s="5" t="str">
        <f>IF(B1495="","",IFERROR(VLOOKUP(B1495, PLANTA_BASE!A:W, 6, FALSE), "NO ENCONTRADO EN PLANTA"))</f>
        <v/>
      </c>
      <c r="F1495" s="7" t="str">
        <f>IF(B1495="","",IFERROR(VLOOKUP(B1495, PLANTA_BASE!A:W, 8, FALSE), "DOCENTE / FACILITADOR"))</f>
        <v/>
      </c>
      <c r="G1495" s="7" t="str">
        <f>IF(B1495="","",IFERROR(VLOOKUP(B1495, PLANTA_BASE!A:W, 9, FALSE), "GENERAL"))</f>
        <v/>
      </c>
      <c r="H1495" s="5" t="str">
        <f>IF(B1495="","",IFERROR(VLOOKUP(B1495, PLANTA_BASE!A:W, 17, FALSE), "GENERAL"))</f>
        <v/>
      </c>
    </row>
    <row r="1496" spans="1:8" ht="20.100000000000001" customHeight="1" x14ac:dyDescent="0.25">
      <c r="A1496" s="2" t="str">
        <f>IF(B1496="","",IFERROR(VLOOKUP(B1496, PLANTA_BASE!A:W, 2, FALSE), "NO ENCONTRADO EN PLANTA"))</f>
        <v/>
      </c>
      <c r="B1496" s="3"/>
      <c r="C1496" s="4" t="str">
        <f>IF(B1496="","",IFERROR(VLOOKUP(B1496, PLANTA_BASE!A:W, 3, FALSE), ""))</f>
        <v/>
      </c>
      <c r="D1496" s="2" t="str">
        <f>IF(B1496="","",IFERROR(VLOOKUP(B1496, PLANTA_BASE!A:W, 5, FALSE), "NO ENCONTRADO EN PLANTA"))</f>
        <v/>
      </c>
      <c r="E1496" s="2" t="str">
        <f>IF(B1496="","",IFERROR(VLOOKUP(B1496, PLANTA_BASE!A:W, 6, FALSE), "NO ENCONTRADO EN PLANTA"))</f>
        <v/>
      </c>
      <c r="F1496" s="4" t="str">
        <f>IF(B1496="","",IFERROR(VLOOKUP(B1496, PLANTA_BASE!A:W, 8, FALSE), "DOCENTE / FACILITADOR"))</f>
        <v/>
      </c>
      <c r="G1496" s="4" t="str">
        <f>IF(B1496="","",IFERROR(VLOOKUP(B1496, PLANTA_BASE!A:W, 9, FALSE), "GENERAL"))</f>
        <v/>
      </c>
      <c r="H1496" s="2" t="str">
        <f>IF(B1496="","",IFERROR(VLOOKUP(B1496, PLANTA_BASE!A:W, 17, FALSE), "GENERAL"))</f>
        <v/>
      </c>
    </row>
    <row r="1497" spans="1:8" ht="20.100000000000001" customHeight="1" x14ac:dyDescent="0.25">
      <c r="A1497" s="5" t="str">
        <f>IF(B1497="","",IFERROR(VLOOKUP(B1497, PLANTA_BASE!A:W, 2, FALSE), "NO ENCONTRADO EN PLANTA"))</f>
        <v/>
      </c>
      <c r="B1497" s="6"/>
      <c r="C1497" s="7" t="str">
        <f>IF(B1497="","",IFERROR(VLOOKUP(B1497, PLANTA_BASE!A:W, 3, FALSE), ""))</f>
        <v/>
      </c>
      <c r="D1497" s="5" t="str">
        <f>IF(B1497="","",IFERROR(VLOOKUP(B1497, PLANTA_BASE!A:W, 5, FALSE), "NO ENCONTRADO EN PLANTA"))</f>
        <v/>
      </c>
      <c r="E1497" s="5" t="str">
        <f>IF(B1497="","",IFERROR(VLOOKUP(B1497, PLANTA_BASE!A:W, 6, FALSE), "NO ENCONTRADO EN PLANTA"))</f>
        <v/>
      </c>
      <c r="F1497" s="7" t="str">
        <f>IF(B1497="","",IFERROR(VLOOKUP(B1497, PLANTA_BASE!A:W, 8, FALSE), "DOCENTE / FACILITADOR"))</f>
        <v/>
      </c>
      <c r="G1497" s="7" t="str">
        <f>IF(B1497="","",IFERROR(VLOOKUP(B1497, PLANTA_BASE!A:W, 9, FALSE), "GENERAL"))</f>
        <v/>
      </c>
      <c r="H1497" s="5" t="str">
        <f>IF(B1497="","",IFERROR(VLOOKUP(B1497, PLANTA_BASE!A:W, 17, FALSE), "GENERAL"))</f>
        <v/>
      </c>
    </row>
    <row r="1498" spans="1:8" ht="20.100000000000001" customHeight="1" x14ac:dyDescent="0.25">
      <c r="A1498" s="2" t="str">
        <f>IF(B1498="","",IFERROR(VLOOKUP(B1498, PLANTA_BASE!A:W, 2, FALSE), "NO ENCONTRADO EN PLANTA"))</f>
        <v/>
      </c>
      <c r="B1498" s="3"/>
      <c r="C1498" s="4" t="str">
        <f>IF(B1498="","",IFERROR(VLOOKUP(B1498, PLANTA_BASE!A:W, 3, FALSE), ""))</f>
        <v/>
      </c>
      <c r="D1498" s="2" t="str">
        <f>IF(B1498="","",IFERROR(VLOOKUP(B1498, PLANTA_BASE!A:W, 5, FALSE), "NO ENCONTRADO EN PLANTA"))</f>
        <v/>
      </c>
      <c r="E1498" s="2" t="str">
        <f>IF(B1498="","",IFERROR(VLOOKUP(B1498, PLANTA_BASE!A:W, 6, FALSE), "NO ENCONTRADO EN PLANTA"))</f>
        <v/>
      </c>
      <c r="F1498" s="4" t="str">
        <f>IF(B1498="","",IFERROR(VLOOKUP(B1498, PLANTA_BASE!A:W, 8, FALSE), "DOCENTE / FACILITADOR"))</f>
        <v/>
      </c>
      <c r="G1498" s="4" t="str">
        <f>IF(B1498="","",IFERROR(VLOOKUP(B1498, PLANTA_BASE!A:W, 9, FALSE), "GENERAL"))</f>
        <v/>
      </c>
      <c r="H1498" s="2" t="str">
        <f>IF(B1498="","",IFERROR(VLOOKUP(B1498, PLANTA_BASE!A:W, 17, FALSE), "GENERAL"))</f>
        <v/>
      </c>
    </row>
    <row r="1499" spans="1:8" ht="20.100000000000001" customHeight="1" x14ac:dyDescent="0.25">
      <c r="A1499" s="5" t="str">
        <f>IF(B1499="","",IFERROR(VLOOKUP(B1499, PLANTA_BASE!A:W, 2, FALSE), "NO ENCONTRADO EN PLANTA"))</f>
        <v/>
      </c>
      <c r="B1499" s="6"/>
      <c r="C1499" s="7" t="str">
        <f>IF(B1499="","",IFERROR(VLOOKUP(B1499, PLANTA_BASE!A:W, 3, FALSE), ""))</f>
        <v/>
      </c>
      <c r="D1499" s="5" t="str">
        <f>IF(B1499="","",IFERROR(VLOOKUP(B1499, PLANTA_BASE!A:W, 5, FALSE), "NO ENCONTRADO EN PLANTA"))</f>
        <v/>
      </c>
      <c r="E1499" s="5" t="str">
        <f>IF(B1499="","",IFERROR(VLOOKUP(B1499, PLANTA_BASE!A:W, 6, FALSE), "NO ENCONTRADO EN PLANTA"))</f>
        <v/>
      </c>
      <c r="F1499" s="7" t="str">
        <f>IF(B1499="","",IFERROR(VLOOKUP(B1499, PLANTA_BASE!A:W, 8, FALSE), "DOCENTE / FACILITADOR"))</f>
        <v/>
      </c>
      <c r="G1499" s="7" t="str">
        <f>IF(B1499="","",IFERROR(VLOOKUP(B1499, PLANTA_BASE!A:W, 9, FALSE), "GENERAL"))</f>
        <v/>
      </c>
      <c r="H1499" s="5" t="str">
        <f>IF(B1499="","",IFERROR(VLOOKUP(B1499, PLANTA_BASE!A:W, 17, FALSE), "GENERAL"))</f>
        <v/>
      </c>
    </row>
    <row r="1500" spans="1:8" ht="20.100000000000001" customHeight="1" x14ac:dyDescent="0.25">
      <c r="A1500" s="2" t="str">
        <f>IF(B1500="","",IFERROR(VLOOKUP(B1500, PLANTA_BASE!A:W, 2, FALSE), "NO ENCONTRADO EN PLANTA"))</f>
        <v/>
      </c>
      <c r="B1500" s="3"/>
      <c r="C1500" s="4" t="str">
        <f>IF(B1500="","",IFERROR(VLOOKUP(B1500, PLANTA_BASE!A:W, 3, FALSE), ""))</f>
        <v/>
      </c>
      <c r="D1500" s="2" t="str">
        <f>IF(B1500="","",IFERROR(VLOOKUP(B1500, PLANTA_BASE!A:W, 5, FALSE), "NO ENCONTRADO EN PLANTA"))</f>
        <v/>
      </c>
      <c r="E1500" s="2" t="str">
        <f>IF(B1500="","",IFERROR(VLOOKUP(B1500, PLANTA_BASE!A:W, 6, FALSE), "NO ENCONTRADO EN PLANTA"))</f>
        <v/>
      </c>
      <c r="F1500" s="4" t="str">
        <f>IF(B1500="","",IFERROR(VLOOKUP(B1500, PLANTA_BASE!A:W, 8, FALSE), "DOCENTE / FACILITADOR"))</f>
        <v/>
      </c>
      <c r="G1500" s="4" t="str">
        <f>IF(B1500="","",IFERROR(VLOOKUP(B1500, PLANTA_BASE!A:W, 9, FALSE), "GENERAL"))</f>
        <v/>
      </c>
      <c r="H1500" s="2" t="str">
        <f>IF(B1500="","",IFERROR(VLOOKUP(B1500, PLANTA_BASE!A:W, 17, FALSE), "GENERAL"))</f>
        <v/>
      </c>
    </row>
    <row r="1501" spans="1:8" ht="20.100000000000001" customHeight="1" x14ac:dyDescent="0.25">
      <c r="A1501" s="5" t="str">
        <f>IF(B1501="","",IFERROR(VLOOKUP(B1501, PLANTA_BASE!A:W, 2, FALSE), "NO ENCONTRADO EN PLANTA"))</f>
        <v/>
      </c>
      <c r="B1501" s="6"/>
      <c r="C1501" s="7" t="str">
        <f>IF(B1501="","",IFERROR(VLOOKUP(B1501, PLANTA_BASE!A:W, 3, FALSE), ""))</f>
        <v/>
      </c>
      <c r="D1501" s="5" t="str">
        <f>IF(B1501="","",IFERROR(VLOOKUP(B1501, PLANTA_BASE!A:W, 5, FALSE), "NO ENCONTRADO EN PLANTA"))</f>
        <v/>
      </c>
      <c r="E1501" s="5" t="str">
        <f>IF(B1501="","",IFERROR(VLOOKUP(B1501, PLANTA_BASE!A:W, 6, FALSE), "NO ENCONTRADO EN PLANTA"))</f>
        <v/>
      </c>
      <c r="F1501" s="7" t="str">
        <f>IF(B1501="","",IFERROR(VLOOKUP(B1501, PLANTA_BASE!A:W, 8, FALSE), "DOCENTE / FACILITADOR"))</f>
        <v/>
      </c>
      <c r="G1501" s="7" t="str">
        <f>IF(B1501="","",IFERROR(VLOOKUP(B1501, PLANTA_BASE!A:W, 9, FALSE), "GENERAL"))</f>
        <v/>
      </c>
      <c r="H1501" s="5" t="str">
        <f>IF(B1501="","",IFERROR(VLOOKUP(B1501, PLANTA_BASE!A:W,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01"/>
  <sheetViews>
    <sheetView topLeftCell="A241" workbookViewId="0"/>
  </sheetViews>
  <sheetFormatPr baseColWidth="10" defaultColWidth="9.140625" defaultRowHeight="15" x14ac:dyDescent="0.25"/>
  <cols>
    <col min="1" max="8" width="22" customWidth="1"/>
  </cols>
  <sheetData>
    <row r="1" spans="1:8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.100000000000001" customHeight="1" x14ac:dyDescent="0.25">
      <c r="A2" s="2" t="str">
        <f>IF(B2="","",IFERROR(VLOOKUP(B2, PLANTA_BASE!A:W, 2, FALSE), "NO ENCONTRADO EN PLANTA"))</f>
        <v>NO ENCONTRADO EN PLANTA</v>
      </c>
      <c r="B2" s="3" t="s">
        <v>1812</v>
      </c>
      <c r="C2" s="4" t="s">
        <v>1813</v>
      </c>
      <c r="D2" s="2" t="str">
        <f>IF(B2="","",IFERROR(VLOOKUP(B2, PLANTA_BASE!A:W, 5, FALSE), "NO ENCONTRADO EN PLANTA"))</f>
        <v>NO ENCONTRADO EN PLANTA</v>
      </c>
      <c r="E2" s="2" t="str">
        <f>IF(B2="","",IFERROR(VLOOKUP(B2, PLANTA_BASE!A:W, 6, FALSE), "NO ENCONTRADO EN PLANTA"))</f>
        <v>NO ENCONTRADO EN PLANTA</v>
      </c>
      <c r="F2" s="4" t="str">
        <f>IF(B2="","",IFERROR(VLOOKUP(B2, PLANTA_BASE!A:W, 8, FALSE), "DOCENTE / FACILITADOR"))</f>
        <v>DOCENTE / FACILITADOR</v>
      </c>
      <c r="G2" s="4" t="str">
        <f>IF(B2="","",IFERROR(VLOOKUP(B2, PLANTA_BASE!A:W, 9, FALSE), "GENERAL"))</f>
        <v>GENERAL</v>
      </c>
      <c r="H2" s="2" t="str">
        <f>IF(B2="","",IFERROR(VLOOKUP(B2, PLANTA_BASE!A:W, 17, FALSE), "GENERAL"))</f>
        <v>GENERAL</v>
      </c>
    </row>
    <row r="3" spans="1:8" ht="20.100000000000001" customHeight="1" x14ac:dyDescent="0.25">
      <c r="A3" s="5" t="str">
        <f>IF(B3="","",IFERROR(VLOOKUP(B3, PLANTA_BASE!A:W, 2, FALSE), "NO ENCONTRADO EN PLANTA"))</f>
        <v>NO ENCONTRADO EN PLANTA</v>
      </c>
      <c r="B3" s="6" t="s">
        <v>1814</v>
      </c>
      <c r="C3" s="7" t="s">
        <v>45</v>
      </c>
      <c r="D3" s="5" t="str">
        <f>IF(B3="","",IFERROR(VLOOKUP(B3, PLANTA_BASE!A:W, 5, FALSE), "NO ENCONTRADO EN PLANTA"))</f>
        <v>NO ENCONTRADO EN PLANTA</v>
      </c>
      <c r="E3" s="5" t="str">
        <f>IF(B3="","",IFERROR(VLOOKUP(B3, PLANTA_BASE!A:W, 6, FALSE), "NO ENCONTRADO EN PLANTA"))</f>
        <v>NO ENCONTRADO EN PLANTA</v>
      </c>
      <c r="F3" s="7" t="str">
        <f>IF(B3="","",IFERROR(VLOOKUP(B3, PLANTA_BASE!A:W, 8, FALSE), "DOCENTE / FACILITADOR"))</f>
        <v>DOCENTE / FACILITADOR</v>
      </c>
      <c r="G3" s="7" t="str">
        <f>IF(B3="","",IFERROR(VLOOKUP(B3, PLANTA_BASE!A:W, 9, FALSE), "GENERAL"))</f>
        <v>GENERAL</v>
      </c>
      <c r="H3" s="5" t="str">
        <f>IF(B3="","",IFERROR(VLOOKUP(B3, PLANTA_BASE!A:W, 17, FALSE), "GENERAL"))</f>
        <v>GENERAL</v>
      </c>
    </row>
    <row r="4" spans="1:8" ht="20.100000000000001" customHeight="1" x14ac:dyDescent="0.25">
      <c r="A4" s="2" t="str">
        <f>IF(B4="","",IFERROR(VLOOKUP(B4, PLANTA_BASE!A:W, 2, FALSE), "NO ENCONTRADO EN PLANTA"))</f>
        <v>NO ENCONTRADO EN PLANTA</v>
      </c>
      <c r="B4" s="3" t="s">
        <v>1815</v>
      </c>
      <c r="C4" s="4" t="s">
        <v>1816</v>
      </c>
      <c r="D4" s="2" t="str">
        <f>IF(B4="","",IFERROR(VLOOKUP(B4, PLANTA_BASE!A:W, 5, FALSE), "NO ENCONTRADO EN PLANTA"))</f>
        <v>NO ENCONTRADO EN PLANTA</v>
      </c>
      <c r="E4" s="2" t="str">
        <f>IF(B4="","",IFERROR(VLOOKUP(B4, PLANTA_BASE!A:W, 6, FALSE), "NO ENCONTRADO EN PLANTA"))</f>
        <v>NO ENCONTRADO EN PLANTA</v>
      </c>
      <c r="F4" s="4" t="str">
        <f>IF(B4="","",IFERROR(VLOOKUP(B4, PLANTA_BASE!A:W, 8, FALSE), "DOCENTE / FACILITADOR"))</f>
        <v>DOCENTE / FACILITADOR</v>
      </c>
      <c r="G4" s="4" t="str">
        <f>IF(B4="","",IFERROR(VLOOKUP(B4, PLANTA_BASE!A:W, 9, FALSE), "GENERAL"))</f>
        <v>GENERAL</v>
      </c>
      <c r="H4" s="2" t="str">
        <f>IF(B4="","",IFERROR(VLOOKUP(B4, PLANTA_BASE!A:W, 17, FALSE), "GENERAL"))</f>
        <v>GENERAL</v>
      </c>
    </row>
    <row r="5" spans="1:8" ht="20.100000000000001" customHeight="1" x14ac:dyDescent="0.25">
      <c r="A5" s="5" t="str">
        <f>IF(B5="","",IFERROR(VLOOKUP(B5, PLANTA_BASE!A:W, 2, FALSE), "NO ENCONTRADO EN PLANTA"))</f>
        <v>VIRTUAL</v>
      </c>
      <c r="B5" s="6" t="s">
        <v>40</v>
      </c>
      <c r="C5" s="7" t="s">
        <v>41</v>
      </c>
      <c r="D5" s="5" t="str">
        <f>IF(B5="","",IFERROR(VLOOKUP(B5, PLANTA_BASE!A:W, 5, FALSE), "NO ENCONTRADO EN PLANTA"))</f>
        <v>REGIONAL SANTANDER</v>
      </c>
      <c r="E5" s="5" t="str">
        <f>IF(B5="","",IFERROR(VLOOKUP(B5, PLANTA_BASE!A:W, 6, FALSE), "NO ENCONTRADO EN PLANTA"))</f>
        <v>BUCARAMANGA</v>
      </c>
      <c r="F5" s="7" t="str">
        <f>IF(B5="","",IFERROR(VLOOKUP(B5, PLANTA_BASE!A:W, 8, FALSE), "DOCENTE / FACILITADOR"))</f>
        <v>DOC ASOC/N/V/TC/INVESTIGACIONES/INVESTIG</v>
      </c>
      <c r="G5" s="7" t="str">
        <f>IF(B5="","",IFERROR(VLOOKUP(B5, PLANTA_BASE!A:W, 9, FALSE), "GENERAL"))</f>
        <v>INVESTIGACIONES</v>
      </c>
      <c r="H5" s="5" t="str">
        <f>IF(B5="","",IFERROR(VLOOKUP(B5, PLANTA_BASE!A:W, 17, FALSE), "GENERAL"))</f>
        <v>INVESTIGACIONES</v>
      </c>
    </row>
    <row r="6" spans="1:8" ht="20.100000000000001" customHeight="1" x14ac:dyDescent="0.25">
      <c r="A6" s="2" t="str">
        <f>IF(B6="","",IFERROR(VLOOKUP(B6, PLANTA_BASE!A:W, 2, FALSE), "NO ENCONTRADO EN PLANTA"))</f>
        <v>VIRTUAL</v>
      </c>
      <c r="B6" s="3" t="s">
        <v>108</v>
      </c>
      <c r="C6" s="4" t="s">
        <v>109</v>
      </c>
      <c r="D6" s="2" t="str">
        <f>IF(B6="","",IFERROR(VLOOKUP(B6, PLANTA_BASE!A:W, 5, FALSE), "NO ENCONTRADO EN PLANTA"))</f>
        <v>REGIONAL BOGOTA</v>
      </c>
      <c r="E6" s="2" t="str">
        <f>IF(B6="","",IFERROR(VLOOKUP(B6, PLANTA_BASE!A:W, 6, FALSE), "NO ENCONTRADO EN PLANTA"))</f>
        <v>BOGOTA CENTRO</v>
      </c>
      <c r="F6" s="4" t="str">
        <f>IF(B6="","",IFERROR(VLOOKUP(B6, PLANTA_BASE!A:W, 8, FALSE), "DOCENTE / FACILITADOR"))</f>
        <v>DOC ASOC/N/V/TC/ADM EMP AGROIN/PROYECCIO</v>
      </c>
      <c r="G6" s="4" t="str">
        <f>IF(B6="","",IFERROR(VLOOKUP(B6, PLANTA_BASE!A:W, 9, FALSE), "GENERAL"))</f>
        <v>ADMINISTRACION DE EMPRESAS AGROINDUSTRIAL</v>
      </c>
      <c r="H6" s="2" t="str">
        <f>IF(B6="","",IFERROR(VLOOKUP(B6, PLANTA_BASE!A:W, 17, FALSE), "GENERAL"))</f>
        <v>ADMINISTRACION DE EMPRESAS AGROINDUSTRIAL</v>
      </c>
    </row>
    <row r="7" spans="1:8" ht="20.100000000000001" customHeight="1" x14ac:dyDescent="0.25">
      <c r="A7" s="5" t="str">
        <f>IF(B7="","",IFERROR(VLOOKUP(B7, PLANTA_BASE!A:W, 2, FALSE), "NO ENCONTRADO EN PLANTA"))</f>
        <v>NO ENCONTRADO EN PLANTA</v>
      </c>
      <c r="B7" s="6" t="s">
        <v>1817</v>
      </c>
      <c r="C7" s="7" t="s">
        <v>1818</v>
      </c>
      <c r="D7" s="5" t="str">
        <f>IF(B7="","",IFERROR(VLOOKUP(B7, PLANTA_BASE!A:W, 5, FALSE), "NO ENCONTRADO EN PLANTA"))</f>
        <v>NO ENCONTRADO EN PLANTA</v>
      </c>
      <c r="E7" s="5" t="str">
        <f>IF(B7="","",IFERROR(VLOOKUP(B7, PLANTA_BASE!A:W, 6, FALSE), "NO ENCONTRADO EN PLANTA"))</f>
        <v>NO ENCONTRADO EN PLANTA</v>
      </c>
      <c r="F7" s="7" t="str">
        <f>IF(B7="","",IFERROR(VLOOKUP(B7, PLANTA_BASE!A:W, 8, FALSE), "DOCENTE / FACILITADOR"))</f>
        <v>DOCENTE / FACILITADOR</v>
      </c>
      <c r="G7" s="7" t="str">
        <f>IF(B7="","",IFERROR(VLOOKUP(B7, PLANTA_BASE!A:W, 9, FALSE), "GENERAL"))</f>
        <v>GENERAL</v>
      </c>
      <c r="H7" s="5" t="str">
        <f>IF(B7="","",IFERROR(VLOOKUP(B7, PLANTA_BASE!A:W, 17, FALSE), "GENERAL"))</f>
        <v>GENERAL</v>
      </c>
    </row>
    <row r="8" spans="1:8" ht="20.100000000000001" customHeight="1" x14ac:dyDescent="0.25">
      <c r="A8" s="2" t="str">
        <f>IF(B8="","",IFERROR(VLOOKUP(B8, PLANTA_BASE!A:W, 2, FALSE), "NO ENCONTRADO EN PLANTA"))</f>
        <v>VIRTUAL</v>
      </c>
      <c r="B8" s="3" t="s">
        <v>60</v>
      </c>
      <c r="C8" s="4" t="s">
        <v>61</v>
      </c>
      <c r="D8" s="2" t="str">
        <f>IF(B8="","",IFERROR(VLOOKUP(B8, PLANTA_BASE!A:W, 5, FALSE), "NO ENCONTRADO EN PLANTA"))</f>
        <v>REGIONAL VALLE DELCAUCA</v>
      </c>
      <c r="E8" s="2" t="str">
        <f>IF(B8="","",IFERROR(VLOOKUP(B8, PLANTA_BASE!A:W, 6, FALSE), "NO ENCONTRADO EN PLANTA"))</f>
        <v>CALI</v>
      </c>
      <c r="F8" s="4" t="str">
        <f>IF(B8="","",IFERROR(VLOOKUP(B8, PLANTA_BASE!A:W, 8, FALSE), "DOCENTE / FACILITADOR"))</f>
        <v>DOC AUX/N/V/TC/INVESTIGACIONES/INVESTIGACI</v>
      </c>
      <c r="G8" s="4" t="str">
        <f>IF(B8="","",IFERROR(VLOOKUP(B8, PLANTA_BASE!A:W, 9, FALSE), "GENERAL"))</f>
        <v>INVESTIGACIONES</v>
      </c>
      <c r="H8" s="2" t="str">
        <f>IF(B8="","",IFERROR(VLOOKUP(B8, PLANTA_BASE!A:W, 17, FALSE), "GENERAL"))</f>
        <v>INVESTIGACIONES</v>
      </c>
    </row>
    <row r="9" spans="1:8" ht="20.100000000000001" customHeight="1" x14ac:dyDescent="0.25">
      <c r="A9" s="5" t="str">
        <f>IF(B9="","",IFERROR(VLOOKUP(B9, PLANTA_BASE!A:W, 2, FALSE), "NO ENCONTRADO EN PLANTA"))</f>
        <v>NO ENCONTRADO EN PLANTA</v>
      </c>
      <c r="B9" s="6" t="s">
        <v>1819</v>
      </c>
      <c r="C9" s="7" t="s">
        <v>1820</v>
      </c>
      <c r="D9" s="5" t="str">
        <f>IF(B9="","",IFERROR(VLOOKUP(B9, PLANTA_BASE!A:W, 5, FALSE), "NO ENCONTRADO EN PLANTA"))</f>
        <v>NO ENCONTRADO EN PLANTA</v>
      </c>
      <c r="E9" s="5" t="str">
        <f>IF(B9="","",IFERROR(VLOOKUP(B9, PLANTA_BASE!A:W, 6, FALSE), "NO ENCONTRADO EN PLANTA"))</f>
        <v>NO ENCONTRADO EN PLANTA</v>
      </c>
      <c r="F9" s="7" t="str">
        <f>IF(B9="","",IFERROR(VLOOKUP(B9, PLANTA_BASE!A:W, 8, FALSE), "DOCENTE / FACILITADOR"))</f>
        <v>DOCENTE / FACILITADOR</v>
      </c>
      <c r="G9" s="7" t="str">
        <f>IF(B9="","",IFERROR(VLOOKUP(B9, PLANTA_BASE!A:W, 9, FALSE), "GENERAL"))</f>
        <v>GENERAL</v>
      </c>
      <c r="H9" s="5" t="str">
        <f>IF(B9="","",IFERROR(VLOOKUP(B9, PLANTA_BASE!A:W, 17, FALSE), "GENERAL"))</f>
        <v>GENERAL</v>
      </c>
    </row>
    <row r="10" spans="1:8" ht="20.100000000000001" customHeight="1" x14ac:dyDescent="0.25">
      <c r="A10" s="2" t="str">
        <f>IF(B10="","",IFERROR(VLOOKUP(B10, PLANTA_BASE!A:W, 2, FALSE), "NO ENCONTRADO EN PLANTA"))</f>
        <v>NO ENCONTRADO EN PLANTA</v>
      </c>
      <c r="B10" s="3" t="s">
        <v>1821</v>
      </c>
      <c r="C10" s="4" t="s">
        <v>1822</v>
      </c>
      <c r="D10" s="2" t="str">
        <f>IF(B10="","",IFERROR(VLOOKUP(B10, PLANTA_BASE!A:W, 5, FALSE), "NO ENCONTRADO EN PLANTA"))</f>
        <v>NO ENCONTRADO EN PLANTA</v>
      </c>
      <c r="E10" s="2" t="str">
        <f>IF(B10="","",IFERROR(VLOOKUP(B10, PLANTA_BASE!A:W, 6, FALSE), "NO ENCONTRADO EN PLANTA"))</f>
        <v>NO ENCONTRADO EN PLANTA</v>
      </c>
      <c r="F10" s="4" t="str">
        <f>IF(B10="","",IFERROR(VLOOKUP(B10, PLANTA_BASE!A:W, 8, FALSE), "DOCENTE / FACILITADOR"))</f>
        <v>DOCENTE / FACILITADOR</v>
      </c>
      <c r="G10" s="4" t="str">
        <f>IF(B10="","",IFERROR(VLOOKUP(B10, PLANTA_BASE!A:W, 9, FALSE), "GENERAL"))</f>
        <v>GENERAL</v>
      </c>
      <c r="H10" s="2" t="str">
        <f>IF(B10="","",IFERROR(VLOOKUP(B10, PLANTA_BASE!A:W, 17, FALSE), "GENERAL"))</f>
        <v>GENERAL</v>
      </c>
    </row>
    <row r="11" spans="1:8" ht="20.100000000000001" customHeight="1" x14ac:dyDescent="0.25">
      <c r="A11" s="5" t="str">
        <f>IF(B11="","",IFERROR(VLOOKUP(B11, PLANTA_BASE!A:W, 2, FALSE), "NO ENCONTRADO EN PLANTA"))</f>
        <v>NO ENCONTRADO EN PLANTA</v>
      </c>
      <c r="B11" s="6" t="s">
        <v>1823</v>
      </c>
      <c r="C11" s="7" t="s">
        <v>1824</v>
      </c>
      <c r="D11" s="5" t="str">
        <f>IF(B11="","",IFERROR(VLOOKUP(B11, PLANTA_BASE!A:W, 5, FALSE), "NO ENCONTRADO EN PLANTA"))</f>
        <v>NO ENCONTRADO EN PLANTA</v>
      </c>
      <c r="E11" s="5" t="str">
        <f>IF(B11="","",IFERROR(VLOOKUP(B11, PLANTA_BASE!A:W, 6, FALSE), "NO ENCONTRADO EN PLANTA"))</f>
        <v>NO ENCONTRADO EN PLANTA</v>
      </c>
      <c r="F11" s="7" t="str">
        <f>IF(B11="","",IFERROR(VLOOKUP(B11, PLANTA_BASE!A:W, 8, FALSE), "DOCENTE / FACILITADOR"))</f>
        <v>DOCENTE / FACILITADOR</v>
      </c>
      <c r="G11" s="7" t="str">
        <f>IF(B11="","",IFERROR(VLOOKUP(B11, PLANTA_BASE!A:W, 9, FALSE), "GENERAL"))</f>
        <v>GENERAL</v>
      </c>
      <c r="H11" s="5" t="str">
        <f>IF(B11="","",IFERROR(VLOOKUP(B11, PLANTA_BASE!A:W, 17, FALSE), "GENERAL"))</f>
        <v>GENERAL</v>
      </c>
    </row>
    <row r="12" spans="1:8" ht="20.100000000000001" customHeight="1" x14ac:dyDescent="0.25">
      <c r="A12" s="2" t="str">
        <f>IF(B12="","",IFERROR(VLOOKUP(B12, PLANTA_BASE!A:W, 2, FALSE), "NO ENCONTRADO EN PLANTA"))</f>
        <v>VIRTUAL</v>
      </c>
      <c r="B12" s="3" t="s">
        <v>44</v>
      </c>
      <c r="C12" s="4" t="s">
        <v>45</v>
      </c>
      <c r="D12" s="2" t="str">
        <f>IF(B12="","",IFERROR(VLOOKUP(B12, PLANTA_BASE!A:W, 5, FALSE), "NO ENCONTRADO EN PLANTA"))</f>
        <v>REGIONAL SUCRE</v>
      </c>
      <c r="E12" s="2" t="str">
        <f>IF(B12="","",IFERROR(VLOOKUP(B12, PLANTA_BASE!A:W, 6, FALSE), "NO ENCONTRADO EN PLANTA"))</f>
        <v>SINCELEJO</v>
      </c>
      <c r="F12" s="4" t="str">
        <f>IF(B12="","",IFERROR(VLOOKUP(B12, PLANTA_BASE!A:W, 8, FALSE), "DOCENTE / FACILITADOR"))</f>
        <v>DOC AUX/N/V/TC/INVESTIGACIONES/INVESTIGACI</v>
      </c>
      <c r="G12" s="4" t="str">
        <f>IF(B12="","",IFERROR(VLOOKUP(B12, PLANTA_BASE!A:W, 9, FALSE), "GENERAL"))</f>
        <v>INVESTIGACIONES</v>
      </c>
      <c r="H12" s="2" t="str">
        <f>IF(B12="","",IFERROR(VLOOKUP(B12, PLANTA_BASE!A:W, 17, FALSE), "GENERAL"))</f>
        <v>INVESTIGACIONES</v>
      </c>
    </row>
    <row r="13" spans="1:8" ht="20.100000000000001" customHeight="1" x14ac:dyDescent="0.25">
      <c r="A13" s="5" t="str">
        <f>IF(B13="","",IFERROR(VLOOKUP(B13, PLANTA_BASE!A:W, 2, FALSE), "NO ENCONTRADO EN PLANTA"))</f>
        <v>NO ENCONTRADO EN PLANTA</v>
      </c>
      <c r="B13" s="6" t="s">
        <v>1825</v>
      </c>
      <c r="C13" s="7" t="s">
        <v>1826</v>
      </c>
      <c r="D13" s="5" t="str">
        <f>IF(B13="","",IFERROR(VLOOKUP(B13, PLANTA_BASE!A:W, 5, FALSE), "NO ENCONTRADO EN PLANTA"))</f>
        <v>NO ENCONTRADO EN PLANTA</v>
      </c>
      <c r="E13" s="5" t="str">
        <f>IF(B13="","",IFERROR(VLOOKUP(B13, PLANTA_BASE!A:W, 6, FALSE), "NO ENCONTRADO EN PLANTA"))</f>
        <v>NO ENCONTRADO EN PLANTA</v>
      </c>
      <c r="F13" s="7" t="str">
        <f>IF(B13="","",IFERROR(VLOOKUP(B13, PLANTA_BASE!A:W, 8, FALSE), "DOCENTE / FACILITADOR"))</f>
        <v>DOCENTE / FACILITADOR</v>
      </c>
      <c r="G13" s="7" t="str">
        <f>IF(B13="","",IFERROR(VLOOKUP(B13, PLANTA_BASE!A:W, 9, FALSE), "GENERAL"))</f>
        <v>GENERAL</v>
      </c>
      <c r="H13" s="5" t="str">
        <f>IF(B13="","",IFERROR(VLOOKUP(B13, PLANTA_BASE!A:W, 17, FALSE), "GENERAL"))</f>
        <v>GENERAL</v>
      </c>
    </row>
    <row r="14" spans="1:8" ht="20.100000000000001" customHeight="1" x14ac:dyDescent="0.25">
      <c r="A14" s="2" t="str">
        <f>IF(B14="","",IFERROR(VLOOKUP(B14, PLANTA_BASE!A:W, 2, FALSE), "NO ENCONTRADO EN PLANTA"))</f>
        <v>NO ENCONTRADO EN PLANTA</v>
      </c>
      <c r="B14" s="3" t="s">
        <v>1827</v>
      </c>
      <c r="C14" s="4" t="s">
        <v>1828</v>
      </c>
      <c r="D14" s="2" t="str">
        <f>IF(B14="","",IFERROR(VLOOKUP(B14, PLANTA_BASE!A:W, 5, FALSE), "NO ENCONTRADO EN PLANTA"))</f>
        <v>NO ENCONTRADO EN PLANTA</v>
      </c>
      <c r="E14" s="2" t="str">
        <f>IF(B14="","",IFERROR(VLOOKUP(B14, PLANTA_BASE!A:W, 6, FALSE), "NO ENCONTRADO EN PLANTA"))</f>
        <v>NO ENCONTRADO EN PLANTA</v>
      </c>
      <c r="F14" s="4" t="str">
        <f>IF(B14="","",IFERROR(VLOOKUP(B14, PLANTA_BASE!A:W, 8, FALSE), "DOCENTE / FACILITADOR"))</f>
        <v>DOCENTE / FACILITADOR</v>
      </c>
      <c r="G14" s="4" t="str">
        <f>IF(B14="","",IFERROR(VLOOKUP(B14, PLANTA_BASE!A:W, 9, FALSE), "GENERAL"))</f>
        <v>GENERAL</v>
      </c>
      <c r="H14" s="2" t="str">
        <f>IF(B14="","",IFERROR(VLOOKUP(B14, PLANTA_BASE!A:W, 17, FALSE), "GENERAL"))</f>
        <v>GENERAL</v>
      </c>
    </row>
    <row r="15" spans="1:8" ht="20.100000000000001" customHeight="1" x14ac:dyDescent="0.25">
      <c r="A15" s="5" t="str">
        <f>IF(B15="","",IFERROR(VLOOKUP(B15, PLANTA_BASE!A:W, 2, FALSE), "NO ENCONTRADO EN PLANTA"))</f>
        <v>VIRTUAL</v>
      </c>
      <c r="B15" s="6" t="s">
        <v>200</v>
      </c>
      <c r="C15" s="7" t="s">
        <v>201</v>
      </c>
      <c r="D15" s="5" t="str">
        <f>IF(B15="","",IFERROR(VLOOKUP(B15, PLANTA_BASE!A:W, 5, FALSE), "NO ENCONTRADO EN PLANTA"))</f>
        <v>REGIONAL BOGOTA</v>
      </c>
      <c r="E15" s="5" t="str">
        <f>IF(B15="","",IFERROR(VLOOKUP(B15, PLANTA_BASE!A:W, 6, FALSE), "NO ENCONTRADO EN PLANTA"))</f>
        <v>BOGOTA CENTRO</v>
      </c>
      <c r="F15" s="7" t="str">
        <f>IF(B15="","",IFERROR(VLOOKUP(B15, PLANTA_BASE!A:W, 8, FALSE), "DOCENTE / FACILITADOR"))</f>
        <v>DOC AUX/N/V/TC/INVESTIGACIONES/INVESTIGACI</v>
      </c>
      <c r="G15" s="7" t="str">
        <f>IF(B15="","",IFERROR(VLOOKUP(B15, PLANTA_BASE!A:W, 9, FALSE), "GENERAL"))</f>
        <v>INVESTIGACIONES</v>
      </c>
      <c r="H15" s="5" t="str">
        <f>IF(B15="","",IFERROR(VLOOKUP(B15, PLANTA_BASE!A:W, 17, FALSE), "GENERAL"))</f>
        <v>INVESTIGACIONES</v>
      </c>
    </row>
    <row r="16" spans="1:8" ht="20.100000000000001" customHeight="1" x14ac:dyDescent="0.25">
      <c r="A16" s="2" t="str">
        <f>IF(B16="","",IFERROR(VLOOKUP(B16, PLANTA_BASE!A:W, 2, FALSE), "NO ENCONTRADO EN PLANTA"))</f>
        <v>PRESENCIAL</v>
      </c>
      <c r="B16" s="3" t="s">
        <v>54</v>
      </c>
      <c r="C16" s="4" t="s">
        <v>55</v>
      </c>
      <c r="D16" s="2" t="str">
        <f>IF(B16="","",IFERROR(VLOOKUP(B16, PLANTA_BASE!A:W, 5, FALSE), "NO ENCONTRADO EN PLANTA"))</f>
        <v>REGIONAL TOLIMA</v>
      </c>
      <c r="E16" s="2" t="str">
        <f>IF(B16="","",IFERROR(VLOOKUP(B16, PLANTA_BASE!A:W, 6, FALSE), "NO ENCONTRADO EN PLANTA"))</f>
        <v>IBAGUÉ</v>
      </c>
      <c r="F16" s="4" t="str">
        <f>IF(B16="","",IFERROR(VLOOKUP(B16, PLANTA_BASE!A:W, 8, FALSE), "DOCENTE / FACILITADOR"))</f>
        <v>DOC AUX T&amp;T/N/TC/INVESTIGA/INVESTIGACIO</v>
      </c>
      <c r="G16" s="4" t="str">
        <f>IF(B16="","",IFERROR(VLOOKUP(B16, PLANTA_BASE!A:W, 9, FALSE), "GENERAL"))</f>
        <v>INVESTIGACIONES</v>
      </c>
      <c r="H16" s="2" t="str">
        <f>IF(B16="","",IFERROR(VLOOKUP(B16, PLANTA_BASE!A:W, 17, FALSE), "GENERAL"))</f>
        <v>INVESTIGACIONES</v>
      </c>
    </row>
    <row r="17" spans="1:8" ht="20.100000000000001" customHeight="1" x14ac:dyDescent="0.25">
      <c r="A17" s="5" t="str">
        <f>IF(B17="","",IFERROR(VLOOKUP(B17, PLANTA_BASE!A:W, 2, FALSE), "NO ENCONTRADO EN PLANTA"))</f>
        <v>NO ENCONTRADO EN PLANTA</v>
      </c>
      <c r="B17" s="6" t="s">
        <v>1829</v>
      </c>
      <c r="C17" s="7" t="s">
        <v>1830</v>
      </c>
      <c r="D17" s="5" t="str">
        <f>IF(B17="","",IFERROR(VLOOKUP(B17, PLANTA_BASE!A:W, 5, FALSE), "NO ENCONTRADO EN PLANTA"))</f>
        <v>NO ENCONTRADO EN PLANTA</v>
      </c>
      <c r="E17" s="5" t="str">
        <f>IF(B17="","",IFERROR(VLOOKUP(B17, PLANTA_BASE!A:W, 6, FALSE), "NO ENCONTRADO EN PLANTA"))</f>
        <v>NO ENCONTRADO EN PLANTA</v>
      </c>
      <c r="F17" s="7" t="str">
        <f>IF(B17="","",IFERROR(VLOOKUP(B17, PLANTA_BASE!A:W, 8, FALSE), "DOCENTE / FACILITADOR"))</f>
        <v>DOCENTE / FACILITADOR</v>
      </c>
      <c r="G17" s="7" t="str">
        <f>IF(B17="","",IFERROR(VLOOKUP(B17, PLANTA_BASE!A:W, 9, FALSE), "GENERAL"))</f>
        <v>GENERAL</v>
      </c>
      <c r="H17" s="5" t="str">
        <f>IF(B17="","",IFERROR(VLOOKUP(B17, PLANTA_BASE!A:W, 17, FALSE), "GENERAL"))</f>
        <v>GENERAL</v>
      </c>
    </row>
    <row r="18" spans="1:8" ht="20.100000000000001" customHeight="1" x14ac:dyDescent="0.25">
      <c r="A18" s="2" t="str">
        <f>IF(B18="","",IFERROR(VLOOKUP(B18, PLANTA_BASE!A:W, 2, FALSE), "NO ENCONTRADO EN PLANTA"))</f>
        <v>VIRTUAL</v>
      </c>
      <c r="B18" s="3" t="s">
        <v>178</v>
      </c>
      <c r="C18" s="4" t="s">
        <v>179</v>
      </c>
      <c r="D18" s="2" t="str">
        <f>IF(B18="","",IFERROR(VLOOKUP(B18, PLANTA_BASE!A:W, 5, FALSE), "NO ENCONTRADO EN PLANTA"))</f>
        <v>REGIONAL BOLIVAR</v>
      </c>
      <c r="E18" s="2" t="str">
        <f>IF(B18="","",IFERROR(VLOOKUP(B18, PLANTA_BASE!A:W, 6, FALSE), "NO ENCONTRADO EN PLANTA"))</f>
        <v>CARTAGENA</v>
      </c>
      <c r="F18" s="4" t="str">
        <f>IF(B18="","",IFERROR(VLOOKUP(B18, PLANTA_BASE!A:W, 8, FALSE), "DOCENTE / FACILITADOR"))</f>
        <v>DOC TITU/N/V/TC/INVESTIGACIONES/INVESTIG</v>
      </c>
      <c r="G18" s="4" t="str">
        <f>IF(B18="","",IFERROR(VLOOKUP(B18, PLANTA_BASE!A:W, 9, FALSE), "GENERAL"))</f>
        <v>INVESTIGACIONES</v>
      </c>
      <c r="H18" s="2" t="str">
        <f>IF(B18="","",IFERROR(VLOOKUP(B18, PLANTA_BASE!A:W, 17, FALSE), "GENERAL"))</f>
        <v>INVESTIGACIONES</v>
      </c>
    </row>
    <row r="19" spans="1:8" ht="20.100000000000001" customHeight="1" x14ac:dyDescent="0.25">
      <c r="A19" s="5" t="str">
        <f>IF(B19="","",IFERROR(VLOOKUP(B19, PLANTA_BASE!A:W, 2, FALSE), "NO ENCONTRADO EN PLANTA"))</f>
        <v>NO ENCONTRADO EN PLANTA</v>
      </c>
      <c r="B19" s="6" t="s">
        <v>1831</v>
      </c>
      <c r="C19" s="7" t="s">
        <v>1832</v>
      </c>
      <c r="D19" s="5" t="str">
        <f>IF(B19="","",IFERROR(VLOOKUP(B19, PLANTA_BASE!A:W, 5, FALSE), "NO ENCONTRADO EN PLANTA"))</f>
        <v>NO ENCONTRADO EN PLANTA</v>
      </c>
      <c r="E19" s="5" t="str">
        <f>IF(B19="","",IFERROR(VLOOKUP(B19, PLANTA_BASE!A:W, 6, FALSE), "NO ENCONTRADO EN PLANTA"))</f>
        <v>NO ENCONTRADO EN PLANTA</v>
      </c>
      <c r="F19" s="7" t="str">
        <f>IF(B19="","",IFERROR(VLOOKUP(B19, PLANTA_BASE!A:W, 8, FALSE), "DOCENTE / FACILITADOR"))</f>
        <v>DOCENTE / FACILITADOR</v>
      </c>
      <c r="G19" s="7" t="str">
        <f>IF(B19="","",IFERROR(VLOOKUP(B19, PLANTA_BASE!A:W, 9, FALSE), "GENERAL"))</f>
        <v>GENERAL</v>
      </c>
      <c r="H19" s="5" t="str">
        <f>IF(B19="","",IFERROR(VLOOKUP(B19, PLANTA_BASE!A:W, 17, FALSE), "GENERAL"))</f>
        <v>GENERAL</v>
      </c>
    </row>
    <row r="20" spans="1:8" ht="20.100000000000001" customHeight="1" x14ac:dyDescent="0.25">
      <c r="A20" s="2" t="str">
        <f>IF(B20="","",IFERROR(VLOOKUP(B20, PLANTA_BASE!A:W, 2, FALSE), "NO ENCONTRADO EN PLANTA"))</f>
        <v>NO ENCONTRADO EN PLANTA</v>
      </c>
      <c r="B20" s="3" t="s">
        <v>1833</v>
      </c>
      <c r="C20" s="4" t="s">
        <v>1834</v>
      </c>
      <c r="D20" s="2" t="str">
        <f>IF(B20="","",IFERROR(VLOOKUP(B20, PLANTA_BASE!A:W, 5, FALSE), "NO ENCONTRADO EN PLANTA"))</f>
        <v>NO ENCONTRADO EN PLANTA</v>
      </c>
      <c r="E20" s="2" t="str">
        <f>IF(B20="","",IFERROR(VLOOKUP(B20, PLANTA_BASE!A:W, 6, FALSE), "NO ENCONTRADO EN PLANTA"))</f>
        <v>NO ENCONTRADO EN PLANTA</v>
      </c>
      <c r="F20" s="4" t="str">
        <f>IF(B20="","",IFERROR(VLOOKUP(B20, PLANTA_BASE!A:W, 8, FALSE), "DOCENTE / FACILITADOR"))</f>
        <v>DOCENTE / FACILITADOR</v>
      </c>
      <c r="G20" s="4" t="str">
        <f>IF(B20="","",IFERROR(VLOOKUP(B20, PLANTA_BASE!A:W, 9, FALSE), "GENERAL"))</f>
        <v>GENERAL</v>
      </c>
      <c r="H20" s="2" t="str">
        <f>IF(B20="","",IFERROR(VLOOKUP(B20, PLANTA_BASE!A:W, 17, FALSE), "GENERAL"))</f>
        <v>GENERAL</v>
      </c>
    </row>
    <row r="21" spans="1:8" ht="20.100000000000001" customHeight="1" x14ac:dyDescent="0.25">
      <c r="A21" s="5" t="str">
        <f>IF(B21="","",IFERROR(VLOOKUP(B21, PLANTA_BASE!A:W, 2, FALSE), "NO ENCONTRADO EN PLANTA"))</f>
        <v>NO ENCONTRADO EN PLANTA</v>
      </c>
      <c r="B21" s="6" t="s">
        <v>1835</v>
      </c>
      <c r="C21" s="7" t="s">
        <v>1836</v>
      </c>
      <c r="D21" s="5" t="str">
        <f>IF(B21="","",IFERROR(VLOOKUP(B21, PLANTA_BASE!A:W, 5, FALSE), "NO ENCONTRADO EN PLANTA"))</f>
        <v>NO ENCONTRADO EN PLANTA</v>
      </c>
      <c r="E21" s="5" t="str">
        <f>IF(B21="","",IFERROR(VLOOKUP(B21, PLANTA_BASE!A:W, 6, FALSE), "NO ENCONTRADO EN PLANTA"))</f>
        <v>NO ENCONTRADO EN PLANTA</v>
      </c>
      <c r="F21" s="7" t="str">
        <f>IF(B21="","",IFERROR(VLOOKUP(B21, PLANTA_BASE!A:W, 8, FALSE), "DOCENTE / FACILITADOR"))</f>
        <v>DOCENTE / FACILITADOR</v>
      </c>
      <c r="G21" s="7" t="str">
        <f>IF(B21="","",IFERROR(VLOOKUP(B21, PLANTA_BASE!A:W, 9, FALSE), "GENERAL"))</f>
        <v>GENERAL</v>
      </c>
      <c r="H21" s="5" t="str">
        <f>IF(B21="","",IFERROR(VLOOKUP(B21, PLANTA_BASE!A:W, 17, FALSE), "GENERAL"))</f>
        <v>GENERAL</v>
      </c>
    </row>
    <row r="22" spans="1:8" ht="20.100000000000001" customHeight="1" x14ac:dyDescent="0.25">
      <c r="A22" s="2" t="str">
        <f>IF(B22="","",IFERROR(VLOOKUP(B22, PLANTA_BASE!A:W, 2, FALSE), "NO ENCONTRADO EN PLANTA"))</f>
        <v>VIRTUAL</v>
      </c>
      <c r="B22" s="3" t="s">
        <v>136</v>
      </c>
      <c r="C22" s="4" t="s">
        <v>137</v>
      </c>
      <c r="D22" s="2" t="str">
        <f>IF(B22="","",IFERROR(VLOOKUP(B22, PLANTA_BASE!A:W, 5, FALSE), "NO ENCONTRADO EN PLANTA"))</f>
        <v>REGIONAL SANTANDER</v>
      </c>
      <c r="E22" s="2" t="str">
        <f>IF(B22="","",IFERROR(VLOOKUP(B22, PLANTA_BASE!A:W, 6, FALSE), "NO ENCONTRADO EN PLANTA"))</f>
        <v>BUCARAMANGA</v>
      </c>
      <c r="F22" s="4" t="str">
        <f>IF(B22="","",IFERROR(VLOOKUP(B22, PLANTA_BASE!A:W, 8, FALSE), "DOCENTE / FACILITADOR"))</f>
        <v>DOC ASIS/N/V/TC/ESP ALTA GEREN/PROYECCIO</v>
      </c>
      <c r="G22" s="4" t="str">
        <f>IF(B22="","",IFERROR(VLOOKUP(B22, PLANTA_BASE!A:W, 9, FALSE), "GENERAL"))</f>
        <v>ESPECIALIZACION EN ALTA GERENCIA</v>
      </c>
      <c r="H22" s="2" t="str">
        <f>IF(B22="","",IFERROR(VLOOKUP(B22, PLANTA_BASE!A:W, 17, FALSE), "GENERAL"))</f>
        <v>ESPECIALIZACION EN ALTA GERENCIA</v>
      </c>
    </row>
    <row r="23" spans="1:8" ht="20.100000000000001" customHeight="1" x14ac:dyDescent="0.25">
      <c r="A23" s="5" t="str">
        <f>IF(B23="","",IFERROR(VLOOKUP(B23, PLANTA_BASE!A:W, 2, FALSE), "NO ENCONTRADO EN PLANTA"))</f>
        <v>VIRTUAL</v>
      </c>
      <c r="B23" s="6" t="s">
        <v>40</v>
      </c>
      <c r="C23" s="7" t="s">
        <v>41</v>
      </c>
      <c r="D23" s="5" t="str">
        <f>IF(B23="","",IFERROR(VLOOKUP(B23, PLANTA_BASE!A:W, 5, FALSE), "NO ENCONTRADO EN PLANTA"))</f>
        <v>REGIONAL SANTANDER</v>
      </c>
      <c r="E23" s="5" t="str">
        <f>IF(B23="","",IFERROR(VLOOKUP(B23, PLANTA_BASE!A:W, 6, FALSE), "NO ENCONTRADO EN PLANTA"))</f>
        <v>BUCARAMANGA</v>
      </c>
      <c r="F23" s="7" t="str">
        <f>IF(B23="","",IFERROR(VLOOKUP(B23, PLANTA_BASE!A:W, 8, FALSE), "DOCENTE / FACILITADOR"))</f>
        <v>DOC ASOC/N/V/TC/INVESTIGACIONES/INVESTIG</v>
      </c>
      <c r="G23" s="7" t="str">
        <f>IF(B23="","",IFERROR(VLOOKUP(B23, PLANTA_BASE!A:W, 9, FALSE), "GENERAL"))</f>
        <v>INVESTIGACIONES</v>
      </c>
      <c r="H23" s="5" t="str">
        <f>IF(B23="","",IFERROR(VLOOKUP(B23, PLANTA_BASE!A:W, 17, FALSE), "GENERAL"))</f>
        <v>INVESTIGACIONES</v>
      </c>
    </row>
    <row r="24" spans="1:8" ht="20.100000000000001" customHeight="1" x14ac:dyDescent="0.25">
      <c r="A24" s="2" t="str">
        <f>IF(B24="","",IFERROR(VLOOKUP(B24, PLANTA_BASE!A:W, 2, FALSE), "NO ENCONTRADO EN PLANTA"))</f>
        <v>VIRTUAL</v>
      </c>
      <c r="B24" s="3" t="s">
        <v>40</v>
      </c>
      <c r="C24" s="4" t="s">
        <v>41</v>
      </c>
      <c r="D24" s="2" t="str">
        <f>IF(B24="","",IFERROR(VLOOKUP(B24, PLANTA_BASE!A:W, 5, FALSE), "NO ENCONTRADO EN PLANTA"))</f>
        <v>REGIONAL SANTANDER</v>
      </c>
      <c r="E24" s="2" t="str">
        <f>IF(B24="","",IFERROR(VLOOKUP(B24, PLANTA_BASE!A:W, 6, FALSE), "NO ENCONTRADO EN PLANTA"))</f>
        <v>BUCARAMANGA</v>
      </c>
      <c r="F24" s="4" t="str">
        <f>IF(B24="","",IFERROR(VLOOKUP(B24, PLANTA_BASE!A:W, 8, FALSE), "DOCENTE / FACILITADOR"))</f>
        <v>DOC ASOC/N/V/TC/INVESTIGACIONES/INVESTIG</v>
      </c>
      <c r="G24" s="4" t="str">
        <f>IF(B24="","",IFERROR(VLOOKUP(B24, PLANTA_BASE!A:W, 9, FALSE), "GENERAL"))</f>
        <v>INVESTIGACIONES</v>
      </c>
      <c r="H24" s="2" t="str">
        <f>IF(B24="","",IFERROR(VLOOKUP(B24, PLANTA_BASE!A:W, 17, FALSE), "GENERAL"))</f>
        <v>INVESTIGACIONES</v>
      </c>
    </row>
    <row r="25" spans="1:8" ht="20.100000000000001" customHeight="1" x14ac:dyDescent="0.25">
      <c r="A25" s="5" t="str">
        <f>IF(B25="","",IFERROR(VLOOKUP(B25, PLANTA_BASE!A:W, 2, FALSE), "NO ENCONTRADO EN PLANTA"))</f>
        <v>VIRTUAL</v>
      </c>
      <c r="B25" s="6" t="s">
        <v>122</v>
      </c>
      <c r="C25" s="7" t="s">
        <v>123</v>
      </c>
      <c r="D25" s="5" t="str">
        <f>IF(B25="","",IFERROR(VLOOKUP(B25, PLANTA_BASE!A:W, 5, FALSE), "NO ENCONTRADO EN PLANTA"))</f>
        <v>REGIONAL SANTANDER</v>
      </c>
      <c r="E25" s="5" t="str">
        <f>IF(B25="","",IFERROR(VLOOKUP(B25, PLANTA_BASE!A:W, 6, FALSE), "NO ENCONTRADO EN PLANTA"))</f>
        <v>BUCARAMANGA</v>
      </c>
      <c r="F25" s="7" t="str">
        <f>IF(B25="","",IFERROR(VLOOKUP(B25, PLANTA_BASE!A:W, 8, FALSE), "DOCENTE / FACILITADOR"))</f>
        <v>DOC AUX/N/V/TC/NEG INTER/FUN.ACADE-ADMIN</v>
      </c>
      <c r="G25" s="7" t="str">
        <f>IF(B25="","",IFERROR(VLOOKUP(B25, PLANTA_BASE!A:W, 9, FALSE), "GENERAL"))</f>
        <v>NEGOCIOS INTERNACIONALES</v>
      </c>
      <c r="H25" s="5" t="str">
        <f>IF(B25="","",IFERROR(VLOOKUP(B25, PLANTA_BASE!A:W, 17, FALSE), "GENERAL"))</f>
        <v>NEGOCIOS INTERNACIONALES</v>
      </c>
    </row>
    <row r="26" spans="1:8" ht="20.100000000000001" customHeight="1" x14ac:dyDescent="0.25">
      <c r="A26" s="2" t="str">
        <f>IF(B26="","",IFERROR(VLOOKUP(B26, PLANTA_BASE!A:W, 2, FALSE), "NO ENCONTRADO EN PLANTA"))</f>
        <v>VIRTUAL</v>
      </c>
      <c r="B26" s="3" t="s">
        <v>144</v>
      </c>
      <c r="C26" s="4" t="s">
        <v>145</v>
      </c>
      <c r="D26" s="2" t="str">
        <f>IF(B26="","",IFERROR(VLOOKUP(B26, PLANTA_BASE!A:W, 5, FALSE), "NO ENCONTRADO EN PLANTA"))</f>
        <v>REGIONAL BOYACA</v>
      </c>
      <c r="E26" s="2" t="str">
        <f>IF(B26="","",IFERROR(VLOOKUP(B26, PLANTA_BASE!A:W, 6, FALSE), "NO ENCONTRADO EN PLANTA"))</f>
        <v>TUNJA</v>
      </c>
      <c r="F26" s="4" t="str">
        <f>IF(B26="","",IFERROR(VLOOKUP(B26, PLANTA_BASE!A:W, 8, FALSE), "DOCENTE / FACILITADOR"))</f>
        <v>DOC AUX/N/V/TC/INVESTIGACIONES/INVESTIGACI</v>
      </c>
      <c r="G26" s="4" t="str">
        <f>IF(B26="","",IFERROR(VLOOKUP(B26, PLANTA_BASE!A:W, 9, FALSE), "GENERAL"))</f>
        <v>INVESTIGACIONES</v>
      </c>
      <c r="H26" s="2" t="str">
        <f>IF(B26="","",IFERROR(VLOOKUP(B26, PLANTA_BASE!A:W, 17, FALSE), "GENERAL"))</f>
        <v>INVESTIGACIONES</v>
      </c>
    </row>
    <row r="27" spans="1:8" ht="20.100000000000001" customHeight="1" x14ac:dyDescent="0.25">
      <c r="A27" s="5" t="str">
        <f>IF(B27="","",IFERROR(VLOOKUP(B27, PLANTA_BASE!A:W, 2, FALSE), "NO ENCONTRADO EN PLANTA"))</f>
        <v>VIRTUAL</v>
      </c>
      <c r="B27" s="6" t="s">
        <v>100</v>
      </c>
      <c r="C27" s="7" t="s">
        <v>101</v>
      </c>
      <c r="D27" s="5" t="str">
        <f>IF(B27="","",IFERROR(VLOOKUP(B27, PLANTA_BASE!A:W, 5, FALSE), "NO ENCONTRADO EN PLANTA"))</f>
        <v>REGIONAL CESAR</v>
      </c>
      <c r="E27" s="5" t="str">
        <f>IF(B27="","",IFERROR(VLOOKUP(B27, PLANTA_BASE!A:W, 6, FALSE), "NO ENCONTRADO EN PLANTA"))</f>
        <v>VALLEDUPAR</v>
      </c>
      <c r="F27" s="7" t="str">
        <f>IF(B27="","",IFERROR(VLOOKUP(B27, PLANTA_BASE!A:W, 8, FALSE), "DOCENTE / FACILITADOR"))</f>
        <v>DOC AUX/N/V/MT/CONTADURIA</v>
      </c>
      <c r="G27" s="7" t="str">
        <f>IF(B27="","",IFERROR(VLOOKUP(B27, PLANTA_BASE!A:W, 9, FALSE), "GENERAL"))</f>
        <v>CONTADURIA PUBLICA</v>
      </c>
      <c r="H27" s="5" t="str">
        <f>IF(B27="","",IFERROR(VLOOKUP(B27, PLANTA_BASE!A:W, 17, FALSE), "GENERAL"))</f>
        <v>CONTADURIA PUBLICA</v>
      </c>
    </row>
    <row r="28" spans="1:8" ht="20.100000000000001" customHeight="1" x14ac:dyDescent="0.25">
      <c r="A28" s="2" t="str">
        <f>IF(B28="","",IFERROR(VLOOKUP(B28, PLANTA_BASE!A:W, 2, FALSE), "NO ENCONTRADO EN PLANTA"))</f>
        <v>VIRTUAL</v>
      </c>
      <c r="B28" s="3" t="s">
        <v>202</v>
      </c>
      <c r="C28" s="4" t="s">
        <v>203</v>
      </c>
      <c r="D28" s="2" t="str">
        <f>IF(B28="","",IFERROR(VLOOKUP(B28, PLANTA_BASE!A:W, 5, FALSE), "NO ENCONTRADO EN PLANTA"))</f>
        <v>REGIONAL SANTANDER</v>
      </c>
      <c r="E28" s="2" t="str">
        <f>IF(B28="","",IFERROR(VLOOKUP(B28, PLANTA_BASE!A:W, 6, FALSE), "NO ENCONTRADO EN PLANTA"))</f>
        <v>BUCARAMANGA</v>
      </c>
      <c r="F28" s="4" t="str">
        <f>IF(B28="","",IFERROR(VLOOKUP(B28, PLANTA_BASE!A:W, 8, FALSE), "DOCENTE / FACILITADOR"))</f>
        <v>DOC TITULAR/N/V/TC/INVESTIGACIONES/INVESTI</v>
      </c>
      <c r="G28" s="4" t="str">
        <f>IF(B28="","",IFERROR(VLOOKUP(B28, PLANTA_BASE!A:W, 9, FALSE), "GENERAL"))</f>
        <v>INVESTIGACIONES</v>
      </c>
      <c r="H28" s="2" t="str">
        <f>IF(B28="","",IFERROR(VLOOKUP(B28, PLANTA_BASE!A:W, 17, FALSE), "GENERAL"))</f>
        <v>INVESTIGACIONES</v>
      </c>
    </row>
    <row r="29" spans="1:8" ht="20.100000000000001" customHeight="1" x14ac:dyDescent="0.25">
      <c r="A29" s="5" t="str">
        <f>IF(B29="","",IFERROR(VLOOKUP(B29, PLANTA_BASE!A:W, 2, FALSE), "NO ENCONTRADO EN PLANTA"))</f>
        <v>NO ENCONTRADO EN PLANTA</v>
      </c>
      <c r="B29" s="6" t="s">
        <v>1837</v>
      </c>
      <c r="C29" s="7" t="s">
        <v>285</v>
      </c>
      <c r="D29" s="5" t="str">
        <f>IF(B29="","",IFERROR(VLOOKUP(B29, PLANTA_BASE!A:W, 5, FALSE), "NO ENCONTRADO EN PLANTA"))</f>
        <v>NO ENCONTRADO EN PLANTA</v>
      </c>
      <c r="E29" s="5" t="str">
        <f>IF(B29="","",IFERROR(VLOOKUP(B29, PLANTA_BASE!A:W, 6, FALSE), "NO ENCONTRADO EN PLANTA"))</f>
        <v>NO ENCONTRADO EN PLANTA</v>
      </c>
      <c r="F29" s="7" t="str">
        <f>IF(B29="","",IFERROR(VLOOKUP(B29, PLANTA_BASE!A:W, 8, FALSE), "DOCENTE / FACILITADOR"))</f>
        <v>DOCENTE / FACILITADOR</v>
      </c>
      <c r="G29" s="7" t="str">
        <f>IF(B29="","",IFERROR(VLOOKUP(B29, PLANTA_BASE!A:W, 9, FALSE), "GENERAL"))</f>
        <v>GENERAL</v>
      </c>
      <c r="H29" s="5" t="str">
        <f>IF(B29="","",IFERROR(VLOOKUP(B29, PLANTA_BASE!A:W, 17, FALSE), "GENERAL"))</f>
        <v>GENERAL</v>
      </c>
    </row>
    <row r="30" spans="1:8" ht="20.100000000000001" customHeight="1" x14ac:dyDescent="0.25">
      <c r="A30" s="2" t="str">
        <f>IF(B30="","",IFERROR(VLOOKUP(B30, PLANTA_BASE!A:W, 2, FALSE), "NO ENCONTRADO EN PLANTA"))</f>
        <v>VIRTUAL</v>
      </c>
      <c r="B30" s="3" t="s">
        <v>230</v>
      </c>
      <c r="C30" s="4" t="s">
        <v>231</v>
      </c>
      <c r="D30" s="2" t="str">
        <f>IF(B30="","",IFERROR(VLOOKUP(B30, PLANTA_BASE!A:W, 5, FALSE), "NO ENCONTRADO EN PLANTA"))</f>
        <v>REGIONAL CORDOBA</v>
      </c>
      <c r="E30" s="2" t="str">
        <f>IF(B30="","",IFERROR(VLOOKUP(B30, PLANTA_BASE!A:W, 6, FALSE), "NO ENCONTRADO EN PLANTA"))</f>
        <v>MONTERIA</v>
      </c>
      <c r="F30" s="4" t="str">
        <f>IF(B30="","",IFERROR(VLOOKUP(B30, PLANTA_BASE!A:W, 8, FALSE), "DOCENTE / FACILITADOR"))</f>
        <v>DOC ASOC/N/V/TC/INVESTIGACIONES/INVESTIG</v>
      </c>
      <c r="G30" s="4" t="str">
        <f>IF(B30="","",IFERROR(VLOOKUP(B30, PLANTA_BASE!A:W, 9, FALSE), "GENERAL"))</f>
        <v>INVESTIGACIONES</v>
      </c>
      <c r="H30" s="2" t="str">
        <f>IF(B30="","",IFERROR(VLOOKUP(B30, PLANTA_BASE!A:W, 17, FALSE), "GENERAL"))</f>
        <v>INVESTIGACIONES</v>
      </c>
    </row>
    <row r="31" spans="1:8" ht="20.100000000000001" customHeight="1" x14ac:dyDescent="0.25">
      <c r="A31" s="5" t="str">
        <f>IF(B31="","",IFERROR(VLOOKUP(B31, PLANTA_BASE!A:W, 2, FALSE), "NO ENCONTRADO EN PLANTA"))</f>
        <v>VIRTUAL</v>
      </c>
      <c r="B31" s="6" t="s">
        <v>124</v>
      </c>
      <c r="C31" s="7" t="s">
        <v>125</v>
      </c>
      <c r="D31" s="5" t="str">
        <f>IF(B31="","",IFERROR(VLOOKUP(B31, PLANTA_BASE!A:W, 5, FALSE), "NO ENCONTRADO EN PLANTA"))</f>
        <v>REGIONAL ATLANTICO</v>
      </c>
      <c r="E31" s="5" t="str">
        <f>IF(B31="","",IFERROR(VLOOKUP(B31, PLANTA_BASE!A:W, 6, FALSE), "NO ENCONTRADO EN PLANTA"))</f>
        <v>BARRANQUILLA</v>
      </c>
      <c r="F31" s="7" t="str">
        <f>IF(B31="","",IFERROR(VLOOKUP(B31, PLANTA_BASE!A:W, 8, FALSE), "DOCENTE / FACILITADOR"))</f>
        <v>DOC AUX/N/V/TC/ADM DE EMPRE/FUN.ACADE-ADMIN</v>
      </c>
      <c r="G31" s="7" t="str">
        <f>IF(B31="","",IFERROR(VLOOKUP(B31, PLANTA_BASE!A:W, 9, FALSE), "GENERAL"))</f>
        <v>ADMINISTRACION DE EMPRESAS</v>
      </c>
      <c r="H31" s="5" t="str">
        <f>IF(B31="","",IFERROR(VLOOKUP(B31, PLANTA_BASE!A:W, 17, FALSE), "GENERAL"))</f>
        <v>ADMINISTRACION DE EMPRESAS</v>
      </c>
    </row>
    <row r="32" spans="1:8" ht="20.100000000000001" customHeight="1" x14ac:dyDescent="0.25">
      <c r="A32" s="2" t="str">
        <f>IF(B32="","",IFERROR(VLOOKUP(B32, PLANTA_BASE!A:W, 2, FALSE), "NO ENCONTRADO EN PLANTA"))</f>
        <v>VIRTUAL</v>
      </c>
      <c r="B32" s="3" t="s">
        <v>44</v>
      </c>
      <c r="C32" s="4" t="s">
        <v>45</v>
      </c>
      <c r="D32" s="2" t="str">
        <f>IF(B32="","",IFERROR(VLOOKUP(B32, PLANTA_BASE!A:W, 5, FALSE), "NO ENCONTRADO EN PLANTA"))</f>
        <v>REGIONAL SUCRE</v>
      </c>
      <c r="E32" s="2" t="str">
        <f>IF(B32="","",IFERROR(VLOOKUP(B32, PLANTA_BASE!A:W, 6, FALSE), "NO ENCONTRADO EN PLANTA"))</f>
        <v>SINCELEJO</v>
      </c>
      <c r="F32" s="4" t="str">
        <f>IF(B32="","",IFERROR(VLOOKUP(B32, PLANTA_BASE!A:W, 8, FALSE), "DOCENTE / FACILITADOR"))</f>
        <v>DOC AUX/N/V/TC/INVESTIGACIONES/INVESTIGACI</v>
      </c>
      <c r="G32" s="4" t="str">
        <f>IF(B32="","",IFERROR(VLOOKUP(B32, PLANTA_BASE!A:W, 9, FALSE), "GENERAL"))</f>
        <v>INVESTIGACIONES</v>
      </c>
      <c r="H32" s="2" t="str">
        <f>IF(B32="","",IFERROR(VLOOKUP(B32, PLANTA_BASE!A:W, 17, FALSE), "GENERAL"))</f>
        <v>INVESTIGACIONES</v>
      </c>
    </row>
    <row r="33" spans="1:8" ht="20.100000000000001" customHeight="1" x14ac:dyDescent="0.25">
      <c r="A33" s="5" t="str">
        <f>IF(B33="","",IFERROR(VLOOKUP(B33, PLANTA_BASE!A:W, 2, FALSE), "NO ENCONTRADO EN PLANTA"))</f>
        <v>PRESENCIAL</v>
      </c>
      <c r="B33" s="6" t="s">
        <v>110</v>
      </c>
      <c r="C33" s="7" t="s">
        <v>111</v>
      </c>
      <c r="D33" s="5" t="str">
        <f>IF(B33="","",IFERROR(VLOOKUP(B33, PLANTA_BASE!A:W, 5, FALSE), "NO ENCONTRADO EN PLANTA"))</f>
        <v>REGIONAL MAGDALENA</v>
      </c>
      <c r="E33" s="5" t="str">
        <f>IF(B33="","",IFERROR(VLOOKUP(B33, PLANTA_BASE!A:W, 6, FALSE), "NO ENCONTRADO EN PLANTA"))</f>
        <v>SANTA MARTA</v>
      </c>
      <c r="F33" s="7" t="str">
        <f>IF(B33="","",IFERROR(VLOOKUP(B33, PLANTA_BASE!A:W, 8, FALSE), "DOCENTE / FACILITADOR"))</f>
        <v>DOCENTE AUX/N/TC/DIS GRAFICO/FUN.ACADE-ADMIN</v>
      </c>
      <c r="G33" s="7" t="str">
        <f>IF(B33="","",IFERROR(VLOOKUP(B33, PLANTA_BASE!A:W, 9, FALSE), "GENERAL"))</f>
        <v>DISEÑO GRAFICO</v>
      </c>
      <c r="H33" s="5" t="str">
        <f>IF(B33="","",IFERROR(VLOOKUP(B33, PLANTA_BASE!A:W, 17, FALSE), "GENERAL"))</f>
        <v>DISEÑO GRAFICO</v>
      </c>
    </row>
    <row r="34" spans="1:8" ht="20.100000000000001" customHeight="1" x14ac:dyDescent="0.25">
      <c r="A34" s="2" t="str">
        <f>IF(B34="","",IFERROR(VLOOKUP(B34, PLANTA_BASE!A:W, 2, FALSE), "NO ENCONTRADO EN PLANTA"))</f>
        <v>VIRTUAL</v>
      </c>
      <c r="B34" s="3" t="s">
        <v>148</v>
      </c>
      <c r="C34" s="4" t="s">
        <v>149</v>
      </c>
      <c r="D34" s="2" t="str">
        <f>IF(B34="","",IFERROR(VLOOKUP(B34, PLANTA_BASE!A:W, 5, FALSE), "NO ENCONTRADO EN PLANTA"))</f>
        <v>REGIONAL BOGOTA</v>
      </c>
      <c r="E34" s="2" t="str">
        <f>IF(B34="","",IFERROR(VLOOKUP(B34, PLANTA_BASE!A:W, 6, FALSE), "NO ENCONTRADO EN PLANTA"))</f>
        <v>BOGOTA CENTRO</v>
      </c>
      <c r="F34" s="4" t="str">
        <f>IF(B34="","",IFERROR(VLOOKUP(B34, PLANTA_BASE!A:W, 8, FALSE), "DOCENTE / FACILITADOR"))</f>
        <v>DOC AUX/N/V/TC/ADM DE EMPRE/FUN.ACADE-ADMIN</v>
      </c>
      <c r="G34" s="4" t="str">
        <f>IF(B34="","",IFERROR(VLOOKUP(B34, PLANTA_BASE!A:W, 9, FALSE), "GENERAL"))</f>
        <v>ADMINISTRACION DE EMPRESAS</v>
      </c>
      <c r="H34" s="2" t="str">
        <f>IF(B34="","",IFERROR(VLOOKUP(B34, PLANTA_BASE!A:W, 17, FALSE), "GENERAL"))</f>
        <v>ADMINISTRACION DE EMPRESAS</v>
      </c>
    </row>
    <row r="35" spans="1:8" ht="20.100000000000001" customHeight="1" x14ac:dyDescent="0.25">
      <c r="A35" s="5" t="str">
        <f>IF(B35="","",IFERROR(VLOOKUP(B35, PLANTA_BASE!A:W, 2, FALSE), "NO ENCONTRADO EN PLANTA"))</f>
        <v>VIRTUAL</v>
      </c>
      <c r="B35" s="6" t="s">
        <v>186</v>
      </c>
      <c r="C35" s="7" t="s">
        <v>187</v>
      </c>
      <c r="D35" s="5" t="str">
        <f>IF(B35="","",IFERROR(VLOOKUP(B35, PLANTA_BASE!A:W, 5, FALSE), "NO ENCONTRADO EN PLANTA"))</f>
        <v>REGIONAL CORDOBA</v>
      </c>
      <c r="E35" s="5" t="str">
        <f>IF(B35="","",IFERROR(VLOOKUP(B35, PLANTA_BASE!A:W, 6, FALSE), "NO ENCONTRADO EN PLANTA"))</f>
        <v>MONTERIA</v>
      </c>
      <c r="F35" s="7" t="str">
        <f>IF(B35="","",IFERROR(VLOOKUP(B35, PLANTA_BASE!A:W, 8, FALSE), "DOCENTE / FACILITADOR"))</f>
        <v>DOC ASIS/N/V/TC/INVESTIGACIONES/INVESTIG</v>
      </c>
      <c r="G35" s="7" t="str">
        <f>IF(B35="","",IFERROR(VLOOKUP(B35, PLANTA_BASE!A:W, 9, FALSE), "GENERAL"))</f>
        <v>INVESTIGACIONES</v>
      </c>
      <c r="H35" s="5" t="str">
        <f>IF(B35="","",IFERROR(VLOOKUP(B35, PLANTA_BASE!A:W, 17, FALSE), "GENERAL"))</f>
        <v>INVESTIGACIONES</v>
      </c>
    </row>
    <row r="36" spans="1:8" ht="20.100000000000001" customHeight="1" x14ac:dyDescent="0.25">
      <c r="A36" s="2" t="str">
        <f>IF(B36="","",IFERROR(VLOOKUP(B36, PLANTA_BASE!A:W, 2, FALSE), "NO ENCONTRADO EN PLANTA"))</f>
        <v>VIRTUAL</v>
      </c>
      <c r="B36" s="3" t="s">
        <v>132</v>
      </c>
      <c r="C36" s="4" t="s">
        <v>1838</v>
      </c>
      <c r="D36" s="2" t="str">
        <f>IF(B36="","",IFERROR(VLOOKUP(B36, PLANTA_BASE!A:W, 5, FALSE), "NO ENCONTRADO EN PLANTA"))</f>
        <v>REGIONAL SANTANDER</v>
      </c>
      <c r="E36" s="2" t="str">
        <f>IF(B36="","",IFERROR(VLOOKUP(B36, PLANTA_BASE!A:W, 6, FALSE), "NO ENCONTRADO EN PLANTA"))</f>
        <v>BUCARAMANGA</v>
      </c>
      <c r="F36" s="4" t="str">
        <f>IF(B36="","",IFERROR(VLOOKUP(B36, PLANTA_BASE!A:W, 8, FALSE), "DOCENTE / FACILITADOR"))</f>
        <v>DOC ASIS/N/V/MT/CONTADURIA</v>
      </c>
      <c r="G36" s="4" t="str">
        <f>IF(B36="","",IFERROR(VLOOKUP(B36, PLANTA_BASE!A:W, 9, FALSE), "GENERAL"))</f>
        <v>CONTADURIA PUBLICA</v>
      </c>
      <c r="H36" s="2" t="str">
        <f>IF(B36="","",IFERROR(VLOOKUP(B36, PLANTA_BASE!A:W, 17, FALSE), "GENERAL"))</f>
        <v>CONTADURIA PUBLICA</v>
      </c>
    </row>
    <row r="37" spans="1:8" ht="20.100000000000001" customHeight="1" x14ac:dyDescent="0.25">
      <c r="A37" s="5" t="str">
        <f>IF(B37="","",IFERROR(VLOOKUP(B37, PLANTA_BASE!A:W, 2, FALSE), "NO ENCONTRADO EN PLANTA"))</f>
        <v>VIRTUAL</v>
      </c>
      <c r="B37" s="6" t="s">
        <v>80</v>
      </c>
      <c r="C37" s="7" t="s">
        <v>81</v>
      </c>
      <c r="D37" s="5" t="str">
        <f>IF(B37="","",IFERROR(VLOOKUP(B37, PLANTA_BASE!A:W, 5, FALSE), "NO ENCONTRADO EN PLANTA"))</f>
        <v>REGIONAL NARIñO</v>
      </c>
      <c r="E37" s="5" t="str">
        <f>IF(B37="","",IFERROR(VLOOKUP(B37, PLANTA_BASE!A:W, 6, FALSE), "NO ENCONTRADO EN PLANTA"))</f>
        <v>PASTO</v>
      </c>
      <c r="F37" s="7" t="str">
        <f>IF(B37="","",IFERROR(VLOOKUP(B37, PLANTA_BASE!A:W, 8, FALSE), "DOCENTE / FACILITADOR"))</f>
        <v>DOC AUX T&amp;T/N/V/TC/INVESTIGACIONES/INVESTI</v>
      </c>
      <c r="G37" s="7" t="str">
        <f>IF(B37="","",IFERROR(VLOOKUP(B37, PLANTA_BASE!A:W, 9, FALSE), "GENERAL"))</f>
        <v>INVESTIGACIONES</v>
      </c>
      <c r="H37" s="5" t="str">
        <f>IF(B37="","",IFERROR(VLOOKUP(B37, PLANTA_BASE!A:W, 17, FALSE), "GENERAL"))</f>
        <v>INVESTIGACIONES</v>
      </c>
    </row>
    <row r="38" spans="1:8" ht="20.100000000000001" customHeight="1" x14ac:dyDescent="0.25">
      <c r="A38" s="2" t="str">
        <f>IF(B38="","",IFERROR(VLOOKUP(B38, PLANTA_BASE!A:W, 2, FALSE), "NO ENCONTRADO EN PLANTA"))</f>
        <v>VIRTUAL</v>
      </c>
      <c r="B38" s="3" t="s">
        <v>274</v>
      </c>
      <c r="C38" s="4" t="s">
        <v>275</v>
      </c>
      <c r="D38" s="2" t="str">
        <f>IF(B38="","",IFERROR(VLOOKUP(B38, PLANTA_BASE!A:W, 5, FALSE), "NO ENCONTRADO EN PLANTA"))</f>
        <v>REGIONAL BOYACA</v>
      </c>
      <c r="E38" s="2" t="str">
        <f>IF(B38="","",IFERROR(VLOOKUP(B38, PLANTA_BASE!A:W, 6, FALSE), "NO ENCONTRADO EN PLANTA"))</f>
        <v>TUNJA</v>
      </c>
      <c r="F38" s="4" t="str">
        <f>IF(B38="","",IFERROR(VLOOKUP(B38, PLANTA_BASE!A:W, 8, FALSE), "DOCENTE / FACILITADOR"))</f>
        <v>DOC ASOC/N/V/TC/INVESTIGACIONES/INVESTIG</v>
      </c>
      <c r="G38" s="4" t="str">
        <f>IF(B38="","",IFERROR(VLOOKUP(B38, PLANTA_BASE!A:W, 9, FALSE), "GENERAL"))</f>
        <v>INVESTIGACIONES</v>
      </c>
      <c r="H38" s="2" t="str">
        <f>IF(B38="","",IFERROR(VLOOKUP(B38, PLANTA_BASE!A:W, 17, FALSE), "GENERAL"))</f>
        <v>INVESTIGACIONES</v>
      </c>
    </row>
    <row r="39" spans="1:8" ht="20.100000000000001" customHeight="1" x14ac:dyDescent="0.25">
      <c r="A39" s="5" t="str">
        <f>IF(B39="","",IFERROR(VLOOKUP(B39, PLANTA_BASE!A:W, 2, FALSE), "NO ENCONTRADO EN PLANTA"))</f>
        <v>NO ENCONTRADO EN PLANTA</v>
      </c>
      <c r="B39" s="6" t="s">
        <v>1839</v>
      </c>
      <c r="C39" s="7" t="s">
        <v>619</v>
      </c>
      <c r="D39" s="5" t="str">
        <f>IF(B39="","",IFERROR(VLOOKUP(B39, PLANTA_BASE!A:W, 5, FALSE), "NO ENCONTRADO EN PLANTA"))</f>
        <v>NO ENCONTRADO EN PLANTA</v>
      </c>
      <c r="E39" s="5" t="str">
        <f>IF(B39="","",IFERROR(VLOOKUP(B39, PLANTA_BASE!A:W, 6, FALSE), "NO ENCONTRADO EN PLANTA"))</f>
        <v>NO ENCONTRADO EN PLANTA</v>
      </c>
      <c r="F39" s="7" t="str">
        <f>IF(B39="","",IFERROR(VLOOKUP(B39, PLANTA_BASE!A:W, 8, FALSE), "DOCENTE / FACILITADOR"))</f>
        <v>DOCENTE / FACILITADOR</v>
      </c>
      <c r="G39" s="7" t="str">
        <f>IF(B39="","",IFERROR(VLOOKUP(B39, PLANTA_BASE!A:W, 9, FALSE), "GENERAL"))</f>
        <v>GENERAL</v>
      </c>
      <c r="H39" s="5" t="str">
        <f>IF(B39="","",IFERROR(VLOOKUP(B39, PLANTA_BASE!A:W, 17, FALSE), "GENERAL"))</f>
        <v>GENERAL</v>
      </c>
    </row>
    <row r="40" spans="1:8" ht="20.100000000000001" customHeight="1" x14ac:dyDescent="0.25">
      <c r="A40" s="2" t="str">
        <f>IF(B40="","",IFERROR(VLOOKUP(B40, PLANTA_BASE!A:W, 2, FALSE), "NO ENCONTRADO EN PLANTA"))</f>
        <v>VIRTUAL</v>
      </c>
      <c r="B40" s="3" t="s">
        <v>138</v>
      </c>
      <c r="C40" s="4" t="s">
        <v>139</v>
      </c>
      <c r="D40" s="2" t="str">
        <f>IF(B40="","",IFERROR(VLOOKUP(B40, PLANTA_BASE!A:W, 5, FALSE), "NO ENCONTRADO EN PLANTA"))</f>
        <v>REGIONAL SANTANDER</v>
      </c>
      <c r="E40" s="2" t="str">
        <f>IF(B40="","",IFERROR(VLOOKUP(B40, PLANTA_BASE!A:W, 6, FALSE), "NO ENCONTRADO EN PLANTA"))</f>
        <v>BUCARAMANGA</v>
      </c>
      <c r="F40" s="4" t="str">
        <f>IF(B40="","",IFERROR(VLOOKUP(B40, PLANTA_BASE!A:W, 8, FALSE), "DOCENTE / FACILITADOR"))</f>
        <v>DOC TIT/N/V/MT/ESP ALTA GEREN</v>
      </c>
      <c r="G40" s="4" t="str">
        <f>IF(B40="","",IFERROR(VLOOKUP(B40, PLANTA_BASE!A:W, 9, FALSE), "GENERAL"))</f>
        <v>ESPECIALIZACION EN ALTA GERENCIA</v>
      </c>
      <c r="H40" s="2" t="str">
        <f>IF(B40="","",IFERROR(VLOOKUP(B40, PLANTA_BASE!A:W, 17, FALSE), "GENERAL"))</f>
        <v>ESPECIALIZACION EN ALTA GERENCIA</v>
      </c>
    </row>
    <row r="41" spans="1:8" ht="20.100000000000001" customHeight="1" x14ac:dyDescent="0.25">
      <c r="A41" s="5" t="str">
        <f>IF(B41="","",IFERROR(VLOOKUP(B41, PLANTA_BASE!A:W, 2, FALSE), "NO ENCONTRADO EN PLANTA"))</f>
        <v>VIRTUAL</v>
      </c>
      <c r="B41" s="6" t="s">
        <v>306</v>
      </c>
      <c r="C41" s="7" t="s">
        <v>307</v>
      </c>
      <c r="D41" s="5" t="str">
        <f>IF(B41="","",IFERROR(VLOOKUP(B41, PLANTA_BASE!A:W, 5, FALSE), "NO ENCONTRADO EN PLANTA"))</f>
        <v>REGIONAL BOGOTA</v>
      </c>
      <c r="E41" s="5" t="str">
        <f>IF(B41="","",IFERROR(VLOOKUP(B41, PLANTA_BASE!A:W, 6, FALSE), "NO ENCONTRADO EN PLANTA"))</f>
        <v>BOGOTA CENTRO</v>
      </c>
      <c r="F41" s="7" t="str">
        <f>IF(B41="","",IFERROR(VLOOKUP(B41, PLANTA_BASE!A:W, 8, FALSE), "DOCENTE / FACILITADOR"))</f>
        <v>DOC AUX T&amp;T/N/V/TC/ING DE SISTEMAS/FUN.ACADE-ADMIN</v>
      </c>
      <c r="G41" s="7" t="str">
        <f>IF(B41="","",IFERROR(VLOOKUP(B41, PLANTA_BASE!A:W, 9, FALSE), "GENERAL"))</f>
        <v>INGENIERIA DE SISTEMAS</v>
      </c>
      <c r="H41" s="5" t="str">
        <f>IF(B41="","",IFERROR(VLOOKUP(B41, PLANTA_BASE!A:W, 17, FALSE), "GENERAL"))</f>
        <v>INGENIERIA DE SISTEMAS</v>
      </c>
    </row>
    <row r="42" spans="1:8" ht="20.100000000000001" customHeight="1" x14ac:dyDescent="0.25">
      <c r="A42" s="2" t="str">
        <f>IF(B42="","",IFERROR(VLOOKUP(B42, PLANTA_BASE!A:W, 2, FALSE), "NO ENCONTRADO EN PLANTA"))</f>
        <v>VIRTUAL</v>
      </c>
      <c r="B42" s="3" t="s">
        <v>116</v>
      </c>
      <c r="C42" s="4" t="s">
        <v>117</v>
      </c>
      <c r="D42" s="2" t="str">
        <f>IF(B42="","",IFERROR(VLOOKUP(B42, PLANTA_BASE!A:W, 5, FALSE), "NO ENCONTRADO EN PLANTA"))</f>
        <v>REGIONAL BOYACA</v>
      </c>
      <c r="E42" s="2" t="str">
        <f>IF(B42="","",IFERROR(VLOOKUP(B42, PLANTA_BASE!A:W, 6, FALSE), "NO ENCONTRADO EN PLANTA"))</f>
        <v>TUNJA</v>
      </c>
      <c r="F42" s="4" t="str">
        <f>IF(B42="","",IFERROR(VLOOKUP(B42, PLANTA_BASE!A:W, 8, FALSE), "DOCENTE / FACILITADOR"))</f>
        <v>DOC ASIS/N/V/MT/CONTADURIA</v>
      </c>
      <c r="G42" s="4" t="str">
        <f>IF(B42="","",IFERROR(VLOOKUP(B42, PLANTA_BASE!A:W, 9, FALSE), "GENERAL"))</f>
        <v>CONTADURIA PUBLICA</v>
      </c>
      <c r="H42" s="2" t="str">
        <f>IF(B42="","",IFERROR(VLOOKUP(B42, PLANTA_BASE!A:W, 17, FALSE), "GENERAL"))</f>
        <v>CONTADURIA PUBLICA</v>
      </c>
    </row>
    <row r="43" spans="1:8" ht="20.100000000000001" customHeight="1" x14ac:dyDescent="0.25">
      <c r="A43" s="5" t="str">
        <f>IF(B43="","",IFERROR(VLOOKUP(B43, PLANTA_BASE!A:W, 2, FALSE), "NO ENCONTRADO EN PLANTA"))</f>
        <v>VIRTUAL</v>
      </c>
      <c r="B43" s="6" t="s">
        <v>108</v>
      </c>
      <c r="C43" s="7" t="s">
        <v>109</v>
      </c>
      <c r="D43" s="5" t="str">
        <f>IF(B43="","",IFERROR(VLOOKUP(B43, PLANTA_BASE!A:W, 5, FALSE), "NO ENCONTRADO EN PLANTA"))</f>
        <v>REGIONAL BOGOTA</v>
      </c>
      <c r="E43" s="5" t="str">
        <f>IF(B43="","",IFERROR(VLOOKUP(B43, PLANTA_BASE!A:W, 6, FALSE), "NO ENCONTRADO EN PLANTA"))</f>
        <v>BOGOTA CENTRO</v>
      </c>
      <c r="F43" s="7" t="str">
        <f>IF(B43="","",IFERROR(VLOOKUP(B43, PLANTA_BASE!A:W, 8, FALSE), "DOCENTE / FACILITADOR"))</f>
        <v>DOC ASOC/N/V/TC/ADM EMP AGROIN/PROYECCIO</v>
      </c>
      <c r="G43" s="7" t="str">
        <f>IF(B43="","",IFERROR(VLOOKUP(B43, PLANTA_BASE!A:W, 9, FALSE), "GENERAL"))</f>
        <v>ADMINISTRACION DE EMPRESAS AGROINDUSTRIAL</v>
      </c>
      <c r="H43" s="5" t="str">
        <f>IF(B43="","",IFERROR(VLOOKUP(B43, PLANTA_BASE!A:W, 17, FALSE), "GENERAL"))</f>
        <v>ADMINISTRACION DE EMPRESAS AGROINDUSTRIAL</v>
      </c>
    </row>
    <row r="44" spans="1:8" ht="20.100000000000001" customHeight="1" x14ac:dyDescent="0.25">
      <c r="A44" s="2" t="str">
        <f>IF(B44="","",IFERROR(VLOOKUP(B44, PLANTA_BASE!A:W, 2, FALSE), "NO ENCONTRADO EN PLANTA"))</f>
        <v>VIRTUAL</v>
      </c>
      <c r="B44" s="3" t="s">
        <v>322</v>
      </c>
      <c r="C44" s="4" t="s">
        <v>323</v>
      </c>
      <c r="D44" s="2" t="str">
        <f>IF(B44="","",IFERROR(VLOOKUP(B44, PLANTA_BASE!A:W, 5, FALSE), "NO ENCONTRADO EN PLANTA"))</f>
        <v>REGIONAL SANTANDER</v>
      </c>
      <c r="E44" s="2" t="str">
        <f>IF(B44="","",IFERROR(VLOOKUP(B44, PLANTA_BASE!A:W, 6, FALSE), "NO ENCONTRADO EN PLANTA"))</f>
        <v>BUCARAMANGA</v>
      </c>
      <c r="F44" s="4" t="str">
        <f>IF(B44="","",IFERROR(VLOOKUP(B44, PLANTA_BASE!A:W, 8, FALSE), "DOCENTE / FACILITADOR"))</f>
        <v>DOC ASIS/N/V/TC/ING DE SISTEMAS/FUN.ACADE-ADMIN</v>
      </c>
      <c r="G44" s="4" t="str">
        <f>IF(B44="","",IFERROR(VLOOKUP(B44, PLANTA_BASE!A:W, 9, FALSE), "GENERAL"))</f>
        <v>INGENIERIA DE SISTEMAS</v>
      </c>
      <c r="H44" s="2" t="str">
        <f>IF(B44="","",IFERROR(VLOOKUP(B44, PLANTA_BASE!A:W, 17, FALSE), "GENERAL"))</f>
        <v>INGENIERIA DE SISTEMAS</v>
      </c>
    </row>
    <row r="45" spans="1:8" ht="20.100000000000001" customHeight="1" x14ac:dyDescent="0.25">
      <c r="A45" s="5" t="str">
        <f>IF(B45="","",IFERROR(VLOOKUP(B45, PLANTA_BASE!A:W, 2, FALSE), "NO ENCONTRADO EN PLANTA"))</f>
        <v>NO ENCONTRADO EN PLANTA</v>
      </c>
      <c r="B45" s="6" t="s">
        <v>1840</v>
      </c>
      <c r="C45" s="7" t="s">
        <v>1841</v>
      </c>
      <c r="D45" s="5" t="str">
        <f>IF(B45="","",IFERROR(VLOOKUP(B45, PLANTA_BASE!A:W, 5, FALSE), "NO ENCONTRADO EN PLANTA"))</f>
        <v>NO ENCONTRADO EN PLANTA</v>
      </c>
      <c r="E45" s="5" t="str">
        <f>IF(B45="","",IFERROR(VLOOKUP(B45, PLANTA_BASE!A:W, 6, FALSE), "NO ENCONTRADO EN PLANTA"))</f>
        <v>NO ENCONTRADO EN PLANTA</v>
      </c>
      <c r="F45" s="7" t="str">
        <f>IF(B45="","",IFERROR(VLOOKUP(B45, PLANTA_BASE!A:W, 8, FALSE), "DOCENTE / FACILITADOR"))</f>
        <v>DOCENTE / FACILITADOR</v>
      </c>
      <c r="G45" s="7" t="str">
        <f>IF(B45="","",IFERROR(VLOOKUP(B45, PLANTA_BASE!A:W, 9, FALSE), "GENERAL"))</f>
        <v>GENERAL</v>
      </c>
      <c r="H45" s="5" t="str">
        <f>IF(B45="","",IFERROR(VLOOKUP(B45, PLANTA_BASE!A:W, 17, FALSE), "GENERAL"))</f>
        <v>GENERAL</v>
      </c>
    </row>
    <row r="46" spans="1:8" ht="20.100000000000001" customHeight="1" x14ac:dyDescent="0.25">
      <c r="A46" s="2" t="str">
        <f>IF(B46="","",IFERROR(VLOOKUP(B46, PLANTA_BASE!A:W, 2, FALSE), "NO ENCONTRADO EN PLANTA"))</f>
        <v>VIRTUAL</v>
      </c>
      <c r="B46" s="3" t="s">
        <v>142</v>
      </c>
      <c r="C46" s="4" t="s">
        <v>143</v>
      </c>
      <c r="D46" s="2" t="str">
        <f>IF(B46="","",IFERROR(VLOOKUP(B46, PLANTA_BASE!A:W, 5, FALSE), "NO ENCONTRADO EN PLANTA"))</f>
        <v>REGIONAL ANTIOQUIA</v>
      </c>
      <c r="E46" s="2" t="str">
        <f>IF(B46="","",IFERROR(VLOOKUP(B46, PLANTA_BASE!A:W, 6, FALSE), "NO ENCONTRADO EN PLANTA"))</f>
        <v>MEDELLIN</v>
      </c>
      <c r="F46" s="4" t="str">
        <f>IF(B46="","",IFERROR(VLOOKUP(B46, PLANTA_BASE!A:W, 8, FALSE), "DOCENTE / FACILITADOR"))</f>
        <v>DOC AUX/N/V/TC/ESP. GERENCIA MARCA/FUN.ACADE-ADMIN</v>
      </c>
      <c r="G46" s="4" t="str">
        <f>IF(B46="","",IFERROR(VLOOKUP(B46, PLANTA_BASE!A:W, 9, FALSE), "GENERAL"))</f>
        <v>ESPECIALIZACION EN GERENCIA DE MARCA</v>
      </c>
      <c r="H46" s="2" t="str">
        <f>IF(B46="","",IFERROR(VLOOKUP(B46, PLANTA_BASE!A:W, 17, FALSE), "GENERAL"))</f>
        <v>ESPECIALIZACION EN GERENCIA DE MARCA</v>
      </c>
    </row>
    <row r="47" spans="1:8" ht="20.100000000000001" customHeight="1" x14ac:dyDescent="0.25">
      <c r="A47" s="5" t="str">
        <f>IF(B47="","",IFERROR(VLOOKUP(B47, PLANTA_BASE!A:W, 2, FALSE), "NO ENCONTRADO EN PLANTA"))</f>
        <v>VIRTUAL</v>
      </c>
      <c r="B47" s="6" t="s">
        <v>94</v>
      </c>
      <c r="C47" s="7" t="s">
        <v>95</v>
      </c>
      <c r="D47" s="5" t="str">
        <f>IF(B47="","",IFERROR(VLOOKUP(B47, PLANTA_BASE!A:W, 5, FALSE), "NO ENCONTRADO EN PLANTA"))</f>
        <v>REGIONAL VALLE DELCAUCA</v>
      </c>
      <c r="E47" s="5" t="str">
        <f>IF(B47="","",IFERROR(VLOOKUP(B47, PLANTA_BASE!A:W, 6, FALSE), "NO ENCONTRADO EN PLANTA"))</f>
        <v>BUENAVENTURA</v>
      </c>
      <c r="F47" s="7" t="str">
        <f>IF(B47="","",IFERROR(VLOOKUP(B47, PLANTA_BASE!A:W, 8, FALSE), "DOCENTE / FACILITADOR"))</f>
        <v>DOC ASOC/N/V/TC/INVESTIGACIONES/INVESTIG</v>
      </c>
      <c r="G47" s="7" t="str">
        <f>IF(B47="","",IFERROR(VLOOKUP(B47, PLANTA_BASE!A:W, 9, FALSE), "GENERAL"))</f>
        <v>INVESTIGACIONES</v>
      </c>
      <c r="H47" s="5" t="str">
        <f>IF(B47="","",IFERROR(VLOOKUP(B47, PLANTA_BASE!A:W, 17, FALSE), "GENERAL"))</f>
        <v>INVESTIGACIONES</v>
      </c>
    </row>
    <row r="48" spans="1:8" ht="20.100000000000001" customHeight="1" x14ac:dyDescent="0.25">
      <c r="A48" s="2" t="str">
        <f>IF(B48="","",IFERROR(VLOOKUP(B48, PLANTA_BASE!A:W, 2, FALSE), "NO ENCONTRADO EN PLANTA"))</f>
        <v>PRESENCIAL</v>
      </c>
      <c r="B48" s="3" t="s">
        <v>246</v>
      </c>
      <c r="C48" s="4" t="s">
        <v>247</v>
      </c>
      <c r="D48" s="2" t="str">
        <f>IF(B48="","",IFERROR(VLOOKUP(B48, PLANTA_BASE!A:W, 5, FALSE), "NO ENCONTRADO EN PLANTA"))</f>
        <v>REGIONAL NARIñO</v>
      </c>
      <c r="E48" s="2" t="str">
        <f>IF(B48="","",IFERROR(VLOOKUP(B48, PLANTA_BASE!A:W, 6, FALSE), "NO ENCONTRADO EN PLANTA"))</f>
        <v>IPIALES</v>
      </c>
      <c r="F48" s="4" t="str">
        <f>IF(B48="","",IFERROR(VLOOKUP(B48, PLANTA_BASE!A:W, 8, FALSE), "DOCENTE / FACILITADOR"))</f>
        <v>DOCENTE ASIS/N/TC/INVESTIGA/INVESTIGACIO</v>
      </c>
      <c r="G48" s="4" t="str">
        <f>IF(B48="","",IFERROR(VLOOKUP(B48, PLANTA_BASE!A:W, 9, FALSE), "GENERAL"))</f>
        <v>INVESTIGACIONES</v>
      </c>
      <c r="H48" s="2" t="str">
        <f>IF(B48="","",IFERROR(VLOOKUP(B48, PLANTA_BASE!A:W, 17, FALSE), "GENERAL"))</f>
        <v>INVESTIGACIONES</v>
      </c>
    </row>
    <row r="49" spans="1:8" ht="20.100000000000001" customHeight="1" x14ac:dyDescent="0.25">
      <c r="A49" s="5" t="str">
        <f>IF(B49="","",IFERROR(VLOOKUP(B49, PLANTA_BASE!A:W, 2, FALSE), "NO ENCONTRADO EN PLANTA"))</f>
        <v>VIRTUAL</v>
      </c>
      <c r="B49" s="6" t="s">
        <v>258</v>
      </c>
      <c r="C49" s="7" t="s">
        <v>259</v>
      </c>
      <c r="D49" s="5" t="str">
        <f>IF(B49="","",IFERROR(VLOOKUP(B49, PLANTA_BASE!A:W, 5, FALSE), "NO ENCONTRADO EN PLANTA"))</f>
        <v>REGIONAL TOLIMA</v>
      </c>
      <c r="E49" s="5" t="str">
        <f>IF(B49="","",IFERROR(VLOOKUP(B49, PLANTA_BASE!A:W, 6, FALSE), "NO ENCONTRADO EN PLANTA"))</f>
        <v>IBAGUÉ</v>
      </c>
      <c r="F49" s="7" t="str">
        <f>IF(B49="","",IFERROR(VLOOKUP(B49, PLANTA_BASE!A:W, 8, FALSE), "DOCENTE / FACILITADOR"))</f>
        <v>DOC ASIS/N/V/TC/ADM DE EMPRE/FUN.ACADE-ADMIN</v>
      </c>
      <c r="G49" s="7" t="str">
        <f>IF(B49="","",IFERROR(VLOOKUP(B49, PLANTA_BASE!A:W, 9, FALSE), "GENERAL"))</f>
        <v>ADMINISTRACION DE EMPRESAS</v>
      </c>
      <c r="H49" s="5" t="str">
        <f>IF(B49="","",IFERROR(VLOOKUP(B49, PLANTA_BASE!A:W, 17, FALSE), "GENERAL"))</f>
        <v>ADMINISTRACION DE EMPRESAS</v>
      </c>
    </row>
    <row r="50" spans="1:8" ht="20.100000000000001" customHeight="1" x14ac:dyDescent="0.25">
      <c r="A50" s="2" t="str">
        <f>IF(B50="","",IFERROR(VLOOKUP(B50, PLANTA_BASE!A:W, 2, FALSE), "NO ENCONTRADO EN PLANTA"))</f>
        <v>VIRTUAL</v>
      </c>
      <c r="B50" s="3" t="s">
        <v>82</v>
      </c>
      <c r="C50" s="4" t="s">
        <v>83</v>
      </c>
      <c r="D50" s="2" t="str">
        <f>IF(B50="","",IFERROR(VLOOKUP(B50, PLANTA_BASE!A:W, 5, FALSE), "NO ENCONTRADO EN PLANTA"))</f>
        <v>REGIONAL VALLE DELCAUCA</v>
      </c>
      <c r="E50" s="2" t="str">
        <f>IF(B50="","",IFERROR(VLOOKUP(B50, PLANTA_BASE!A:W, 6, FALSE), "NO ENCONTRADO EN PLANTA"))</f>
        <v>CALI</v>
      </c>
      <c r="F50" s="4" t="str">
        <f>IF(B50="","",IFERROR(VLOOKUP(B50, PLANTA_BASE!A:W, 8, FALSE), "DOCENTE / FACILITADOR"))</f>
        <v>DOC ASIS/N/V/TC/ESP GERE DE PROY/FUN.ACA</v>
      </c>
      <c r="G50" s="4" t="str">
        <f>IF(B50="","",IFERROR(VLOOKUP(B50, PLANTA_BASE!A:W, 9, FALSE), "GENERAL"))</f>
        <v>ESPECIALIZACION EN GERENCIA DE PROYECTOS</v>
      </c>
      <c r="H50" s="2" t="str">
        <f>IF(B50="","",IFERROR(VLOOKUP(B50, PLANTA_BASE!A:W, 17, FALSE), "GENERAL"))</f>
        <v>ESPECIALIZACION EN GERENCIA DE PROYECTOS</v>
      </c>
    </row>
    <row r="51" spans="1:8" ht="20.100000000000001" customHeight="1" x14ac:dyDescent="0.25">
      <c r="A51" s="5" t="str">
        <f>IF(B51="","",IFERROR(VLOOKUP(B51, PLANTA_BASE!A:W, 2, FALSE), "NO ENCONTRADO EN PLANTA"))</f>
        <v>VIRTUAL</v>
      </c>
      <c r="B51" s="6" t="s">
        <v>310</v>
      </c>
      <c r="C51" s="7" t="s">
        <v>311</v>
      </c>
      <c r="D51" s="5" t="str">
        <f>IF(B51="","",IFERROR(VLOOKUP(B51, PLANTA_BASE!A:W, 5, FALSE), "NO ENCONTRADO EN PLANTA"))</f>
        <v>REGIONAL BOYACA</v>
      </c>
      <c r="E51" s="5" t="str">
        <f>IF(B51="","",IFERROR(VLOOKUP(B51, PLANTA_BASE!A:W, 6, FALSE), "NO ENCONTRADO EN PLANTA"))</f>
        <v>TUNJA</v>
      </c>
      <c r="F51" s="7" t="str">
        <f>IF(B51="","",IFERROR(VLOOKUP(B51, PLANTA_BASE!A:W, 8, FALSE), "DOCENTE / FACILITADOR"))</f>
        <v>DOC ASOC/N/V/TC/INVESTIGACIONES/INVESTIGAC</v>
      </c>
      <c r="G51" s="7" t="str">
        <f>IF(B51="","",IFERROR(VLOOKUP(B51, PLANTA_BASE!A:W, 9, FALSE), "GENERAL"))</f>
        <v>INVESTIGACIONES</v>
      </c>
      <c r="H51" s="5" t="str">
        <f>IF(B51="","",IFERROR(VLOOKUP(B51, PLANTA_BASE!A:W, 17, FALSE), "GENERAL"))</f>
        <v>INVESTIGACIONES</v>
      </c>
    </row>
    <row r="52" spans="1:8" ht="20.100000000000001" customHeight="1" x14ac:dyDescent="0.25">
      <c r="A52" s="2" t="str">
        <f>IF(B52="","",IFERROR(VLOOKUP(B52, PLANTA_BASE!A:W, 2, FALSE), "NO ENCONTRADO EN PLANTA"))</f>
        <v>VIRTUAL</v>
      </c>
      <c r="B52" s="3" t="s">
        <v>328</v>
      </c>
      <c r="C52" s="4" t="s">
        <v>329</v>
      </c>
      <c r="D52" s="2" t="str">
        <f>IF(B52="","",IFERROR(VLOOKUP(B52, PLANTA_BASE!A:W, 5, FALSE), "NO ENCONTRADO EN PLANTA"))</f>
        <v>REGIONAL BOGOTA</v>
      </c>
      <c r="E52" s="2" t="str">
        <f>IF(B52="","",IFERROR(VLOOKUP(B52, PLANTA_BASE!A:W, 6, FALSE), "NO ENCONTRADO EN PLANTA"))</f>
        <v>BOGOTA CENTRO</v>
      </c>
      <c r="F52" s="4" t="str">
        <f>IF(B52="","",IFERROR(VLOOKUP(B52, PLANTA_BASE!A:W, 8, FALSE), "DOCENTE / FACILITADOR"))</f>
        <v>DOC ASIS/N/V/TC/ESP GER TRAN ENER/FUN.AC</v>
      </c>
      <c r="G52" s="4" t="str">
        <f>IF(B52="","",IFERROR(VLOOKUP(B52, PLANTA_BASE!A:W, 9, FALSE), "GENERAL"))</f>
        <v>ESPECIALIZACION EN GERENCIA PARA LA TRANSICION ENERGETICA</v>
      </c>
      <c r="H52" s="2" t="str">
        <f>IF(B52="","",IFERROR(VLOOKUP(B52, PLANTA_BASE!A:W, 17, FALSE), "GENERAL"))</f>
        <v>ESPECIALIZACION EN GERENCIA PARA LA TRANSICION ENERGETICA</v>
      </c>
    </row>
    <row r="53" spans="1:8" ht="20.100000000000001" customHeight="1" x14ac:dyDescent="0.25">
      <c r="A53" s="5" t="str">
        <f>IF(B53="","",IFERROR(VLOOKUP(B53, PLANTA_BASE!A:W, 2, FALSE), "NO ENCONTRADO EN PLANTA"))</f>
        <v>VIRTUAL</v>
      </c>
      <c r="B53" s="6" t="s">
        <v>100</v>
      </c>
      <c r="C53" s="7" t="s">
        <v>1842</v>
      </c>
      <c r="D53" s="5" t="str">
        <f>IF(B53="","",IFERROR(VLOOKUP(B53, PLANTA_BASE!A:W, 5, FALSE), "NO ENCONTRADO EN PLANTA"))</f>
        <v>REGIONAL CESAR</v>
      </c>
      <c r="E53" s="5" t="str">
        <f>IF(B53="","",IFERROR(VLOOKUP(B53, PLANTA_BASE!A:W, 6, FALSE), "NO ENCONTRADO EN PLANTA"))</f>
        <v>VALLEDUPAR</v>
      </c>
      <c r="F53" s="7" t="str">
        <f>IF(B53="","",IFERROR(VLOOKUP(B53, PLANTA_BASE!A:W, 8, FALSE), "DOCENTE / FACILITADOR"))</f>
        <v>DOC AUX/N/V/MT/CONTADURIA</v>
      </c>
      <c r="G53" s="7" t="str">
        <f>IF(B53="","",IFERROR(VLOOKUP(B53, PLANTA_BASE!A:W, 9, FALSE), "GENERAL"))</f>
        <v>CONTADURIA PUBLICA</v>
      </c>
      <c r="H53" s="5" t="str">
        <f>IF(B53="","",IFERROR(VLOOKUP(B53, PLANTA_BASE!A:W, 17, FALSE), "GENERAL"))</f>
        <v>CONTADURIA PUBLICA</v>
      </c>
    </row>
    <row r="54" spans="1:8" ht="20.100000000000001" customHeight="1" x14ac:dyDescent="0.25">
      <c r="A54" s="2" t="str">
        <f>IF(B54="","",IFERROR(VLOOKUP(B54, PLANTA_BASE!A:W, 2, FALSE), "NO ENCONTRADO EN PLANTA"))</f>
        <v>VIRTUAL</v>
      </c>
      <c r="B54" s="3" t="s">
        <v>130</v>
      </c>
      <c r="C54" s="4" t="s">
        <v>131</v>
      </c>
      <c r="D54" s="2" t="str">
        <f>IF(B54="","",IFERROR(VLOOKUP(B54, PLANTA_BASE!A:W, 5, FALSE), "NO ENCONTRADO EN PLANTA"))</f>
        <v>REGIONAL SANTANDER</v>
      </c>
      <c r="E54" s="2" t="str">
        <f>IF(B54="","",IFERROR(VLOOKUP(B54, PLANTA_BASE!A:W, 6, FALSE), "NO ENCONTRADO EN PLANTA"))</f>
        <v>BUCARAMANGA</v>
      </c>
      <c r="F54" s="4" t="str">
        <f>IF(B54="","",IFERROR(VLOOKUP(B54, PLANTA_BASE!A:W, 8, FALSE), "DOCENTE / FACILITADOR"))</f>
        <v>DOC AUX/N/V/TC/IDIOMAS/FUN.ACADE-ADMIN</v>
      </c>
      <c r="G54" s="4" t="str">
        <f>IF(B54="","",IFERROR(VLOOKUP(B54, PLANTA_BASE!A:W, 9, FALSE), "GENERAL"))</f>
        <v>IDIOMAS</v>
      </c>
      <c r="H54" s="2" t="str">
        <f>IF(B54="","",IFERROR(VLOOKUP(B54, PLANTA_BASE!A:W, 17, FALSE), "GENERAL"))</f>
        <v>IDIOMAS</v>
      </c>
    </row>
    <row r="55" spans="1:8" ht="20.100000000000001" customHeight="1" x14ac:dyDescent="0.25">
      <c r="A55" s="5" t="str">
        <f>IF(B55="","",IFERROR(VLOOKUP(B55, PLANTA_BASE!A:W, 2, FALSE), "NO ENCONTRADO EN PLANTA"))</f>
        <v>VIRTUAL</v>
      </c>
      <c r="B55" s="6" t="s">
        <v>40</v>
      </c>
      <c r="C55" s="7" t="s">
        <v>41</v>
      </c>
      <c r="D55" s="5" t="str">
        <f>IF(B55="","",IFERROR(VLOOKUP(B55, PLANTA_BASE!A:W, 5, FALSE), "NO ENCONTRADO EN PLANTA"))</f>
        <v>REGIONAL SANTANDER</v>
      </c>
      <c r="E55" s="5" t="str">
        <f>IF(B55="","",IFERROR(VLOOKUP(B55, PLANTA_BASE!A:W, 6, FALSE), "NO ENCONTRADO EN PLANTA"))</f>
        <v>BUCARAMANGA</v>
      </c>
      <c r="F55" s="7" t="str">
        <f>IF(B55="","",IFERROR(VLOOKUP(B55, PLANTA_BASE!A:W, 8, FALSE), "DOCENTE / FACILITADOR"))</f>
        <v>DOC ASOC/N/V/TC/INVESTIGACIONES/INVESTIG</v>
      </c>
      <c r="G55" s="7" t="str">
        <f>IF(B55="","",IFERROR(VLOOKUP(B55, PLANTA_BASE!A:W, 9, FALSE), "GENERAL"))</f>
        <v>INVESTIGACIONES</v>
      </c>
      <c r="H55" s="5" t="str">
        <f>IF(B55="","",IFERROR(VLOOKUP(B55, PLANTA_BASE!A:W, 17, FALSE), "GENERAL"))</f>
        <v>INVESTIGACIONES</v>
      </c>
    </row>
    <row r="56" spans="1:8" ht="20.100000000000001" customHeight="1" x14ac:dyDescent="0.25">
      <c r="A56" s="2" t="str">
        <f>IF(B56="","",IFERROR(VLOOKUP(B56, PLANTA_BASE!A:W, 2, FALSE), "NO ENCONTRADO EN PLANTA"))</f>
        <v>PRESENCIAL</v>
      </c>
      <c r="B56" s="3" t="s">
        <v>262</v>
      </c>
      <c r="C56" s="4" t="s">
        <v>263</v>
      </c>
      <c r="D56" s="2" t="str">
        <f>IF(B56="","",IFERROR(VLOOKUP(B56, PLANTA_BASE!A:W, 5, FALSE), "NO ENCONTRADO EN PLANTA"))</f>
        <v>REGIONAL MAGDALENA</v>
      </c>
      <c r="E56" s="2" t="str">
        <f>IF(B56="","",IFERROR(VLOOKUP(B56, PLANTA_BASE!A:W, 6, FALSE), "NO ENCONTRADO EN PLANTA"))</f>
        <v>SANTA MARTA</v>
      </c>
      <c r="F56" s="4" t="str">
        <f>IF(B56="","",IFERROR(VLOOKUP(B56, PLANTA_BASE!A:W, 8, FALSE), "DOCENTE / FACILITADOR"))</f>
        <v>DOCENTE AUX/N/TC/ADM EMP/FUN.ACADE-ADMIN</v>
      </c>
      <c r="G56" s="4" t="str">
        <f>IF(B56="","",IFERROR(VLOOKUP(B56, PLANTA_BASE!A:W, 9, FALSE), "GENERAL"))</f>
        <v>ADMINISTRACION DE EMPRESAS</v>
      </c>
      <c r="H56" s="2" t="str">
        <f>IF(B56="","",IFERROR(VLOOKUP(B56, PLANTA_BASE!A:W, 17, FALSE), "GENERAL"))</f>
        <v>ADMINISTRACION DE EMPRESAS</v>
      </c>
    </row>
    <row r="57" spans="1:8" ht="20.100000000000001" customHeight="1" x14ac:dyDescent="0.25">
      <c r="A57" s="5" t="str">
        <f>IF(B57="","",IFERROR(VLOOKUP(B57, PLANTA_BASE!A:W, 2, FALSE), "NO ENCONTRADO EN PLANTA"))</f>
        <v>PRESENCIAL</v>
      </c>
      <c r="B57" s="6" t="s">
        <v>298</v>
      </c>
      <c r="C57" s="7" t="s">
        <v>299</v>
      </c>
      <c r="D57" s="5" t="str">
        <f>IF(B57="","",IFERROR(VLOOKUP(B57, PLANTA_BASE!A:W, 5, FALSE), "NO ENCONTRADO EN PLANTA"))</f>
        <v>REGIONAL MAGDALENA</v>
      </c>
      <c r="E57" s="5" t="str">
        <f>IF(B57="","",IFERROR(VLOOKUP(B57, PLANTA_BASE!A:W, 6, FALSE), "NO ENCONTRADO EN PLANTA"))</f>
        <v>SANTA MARTA</v>
      </c>
      <c r="F57" s="7" t="str">
        <f>IF(B57="","",IFERROR(VLOOKUP(B57, PLANTA_BASE!A:W, 8, FALSE), "DOCENTE / FACILITADOR"))</f>
        <v>DOC AUX T&amp;T/N/TC/DIS GRAFICO/FUN.ACADE-ADMIN</v>
      </c>
      <c r="G57" s="7" t="str">
        <f>IF(B57="","",IFERROR(VLOOKUP(B57, PLANTA_BASE!A:W, 9, FALSE), "GENERAL"))</f>
        <v>DISEÑO GRAFICO</v>
      </c>
      <c r="H57" s="5" t="str">
        <f>IF(B57="","",IFERROR(VLOOKUP(B57, PLANTA_BASE!A:W, 17, FALSE), "GENERAL"))</f>
        <v>DISEÑO GRAFICO</v>
      </c>
    </row>
    <row r="58" spans="1:8" ht="20.100000000000001" customHeight="1" x14ac:dyDescent="0.25">
      <c r="A58" s="2" t="str">
        <f>IF(B58="","",IFERROR(VLOOKUP(B58, PLANTA_BASE!A:W, 2, FALSE), "NO ENCONTRADO EN PLANTA"))</f>
        <v>PRESENCIAL</v>
      </c>
      <c r="B58" s="3" t="s">
        <v>110</v>
      </c>
      <c r="C58" s="4" t="s">
        <v>111</v>
      </c>
      <c r="D58" s="2" t="str">
        <f>IF(B58="","",IFERROR(VLOOKUP(B58, PLANTA_BASE!A:W, 5, FALSE), "NO ENCONTRADO EN PLANTA"))</f>
        <v>REGIONAL MAGDALENA</v>
      </c>
      <c r="E58" s="2" t="str">
        <f>IF(B58="","",IFERROR(VLOOKUP(B58, PLANTA_BASE!A:W, 6, FALSE), "NO ENCONTRADO EN PLANTA"))</f>
        <v>SANTA MARTA</v>
      </c>
      <c r="F58" s="4" t="str">
        <f>IF(B58="","",IFERROR(VLOOKUP(B58, PLANTA_BASE!A:W, 8, FALSE), "DOCENTE / FACILITADOR"))</f>
        <v>DOCENTE AUX/N/TC/DIS GRAFICO/FUN.ACADE-ADMIN</v>
      </c>
      <c r="G58" s="4" t="str">
        <f>IF(B58="","",IFERROR(VLOOKUP(B58, PLANTA_BASE!A:W, 9, FALSE), "GENERAL"))</f>
        <v>DISEÑO GRAFICO</v>
      </c>
      <c r="H58" s="2" t="str">
        <f>IF(B58="","",IFERROR(VLOOKUP(B58, PLANTA_BASE!A:W, 17, FALSE), "GENERAL"))</f>
        <v>DISEÑO GRAFICO</v>
      </c>
    </row>
    <row r="59" spans="1:8" ht="20.100000000000001" customHeight="1" x14ac:dyDescent="0.25">
      <c r="A59" s="5" t="str">
        <f>IF(B59="","",IFERROR(VLOOKUP(B59, PLANTA_BASE!A:W, 2, FALSE), "NO ENCONTRADO EN PLANTA"))</f>
        <v>NO ENCONTRADO EN PLANTA</v>
      </c>
      <c r="B59" s="6" t="s">
        <v>1843</v>
      </c>
      <c r="C59" s="7" t="s">
        <v>1844</v>
      </c>
      <c r="D59" s="5" t="str">
        <f>IF(B59="","",IFERROR(VLOOKUP(B59, PLANTA_BASE!A:W, 5, FALSE), "NO ENCONTRADO EN PLANTA"))</f>
        <v>NO ENCONTRADO EN PLANTA</v>
      </c>
      <c r="E59" s="5" t="str">
        <f>IF(B59="","",IFERROR(VLOOKUP(B59, PLANTA_BASE!A:W, 6, FALSE), "NO ENCONTRADO EN PLANTA"))</f>
        <v>NO ENCONTRADO EN PLANTA</v>
      </c>
      <c r="F59" s="7" t="str">
        <f>IF(B59="","",IFERROR(VLOOKUP(B59, PLANTA_BASE!A:W, 8, FALSE), "DOCENTE / FACILITADOR"))</f>
        <v>DOCENTE / FACILITADOR</v>
      </c>
      <c r="G59" s="7" t="str">
        <f>IF(B59="","",IFERROR(VLOOKUP(B59, PLANTA_BASE!A:W, 9, FALSE), "GENERAL"))</f>
        <v>GENERAL</v>
      </c>
      <c r="H59" s="5" t="str">
        <f>IF(B59="","",IFERROR(VLOOKUP(B59, PLANTA_BASE!A:W, 17, FALSE), "GENERAL"))</f>
        <v>GENERAL</v>
      </c>
    </row>
    <row r="60" spans="1:8" ht="20.100000000000001" customHeight="1" x14ac:dyDescent="0.25">
      <c r="A60" s="2" t="str">
        <f>IF(B60="","",IFERROR(VLOOKUP(B60, PLANTA_BASE!A:W, 2, FALSE), "NO ENCONTRADO EN PLANTA"))</f>
        <v>VIRTUAL</v>
      </c>
      <c r="B60" s="3" t="s">
        <v>52</v>
      </c>
      <c r="C60" s="4" t="s">
        <v>1845</v>
      </c>
      <c r="D60" s="2" t="str">
        <f>IF(B60="","",IFERROR(VLOOKUP(B60, PLANTA_BASE!A:W, 5, FALSE), "NO ENCONTRADO EN PLANTA"))</f>
        <v>REGIONAL CUNDINAMARCA</v>
      </c>
      <c r="E60" s="2" t="str">
        <f>IF(B60="","",IFERROR(VLOOKUP(B60, PLANTA_BASE!A:W, 6, FALSE), "NO ENCONTRADO EN PLANTA"))</f>
        <v>CHÍA</v>
      </c>
      <c r="F60" s="4" t="str">
        <f>IF(B60="","",IFERROR(VLOOKUP(B60, PLANTA_BASE!A:W, 8, FALSE), "DOCENTE / FACILITADOR"))</f>
        <v>DOC ASOC/N/V/TC/INVESTIGACIONES/INVESTIG</v>
      </c>
      <c r="G60" s="4" t="str">
        <f>IF(B60="","",IFERROR(VLOOKUP(B60, PLANTA_BASE!A:W, 9, FALSE), "GENERAL"))</f>
        <v>INVESTIGACIONES</v>
      </c>
      <c r="H60" s="2" t="str">
        <f>IF(B60="","",IFERROR(VLOOKUP(B60, PLANTA_BASE!A:W, 17, FALSE), "GENERAL"))</f>
        <v>INVESTIGACIONES</v>
      </c>
    </row>
    <row r="61" spans="1:8" ht="20.100000000000001" customHeight="1" x14ac:dyDescent="0.25">
      <c r="A61" s="5" t="str">
        <f>IF(B61="","",IFERROR(VLOOKUP(B61, PLANTA_BASE!A:W, 2, FALSE), "NO ENCONTRADO EN PLANTA"))</f>
        <v>PRESENCIAL</v>
      </c>
      <c r="B61" s="6" t="s">
        <v>110</v>
      </c>
      <c r="C61" s="7" t="s">
        <v>1846</v>
      </c>
      <c r="D61" s="5" t="str">
        <f>IF(B61="","",IFERROR(VLOOKUP(B61, PLANTA_BASE!A:W, 5, FALSE), "NO ENCONTRADO EN PLANTA"))</f>
        <v>REGIONAL MAGDALENA</v>
      </c>
      <c r="E61" s="5" t="str">
        <f>IF(B61="","",IFERROR(VLOOKUP(B61, PLANTA_BASE!A:W, 6, FALSE), "NO ENCONTRADO EN PLANTA"))</f>
        <v>SANTA MARTA</v>
      </c>
      <c r="F61" s="7" t="str">
        <f>IF(B61="","",IFERROR(VLOOKUP(B61, PLANTA_BASE!A:W, 8, FALSE), "DOCENTE / FACILITADOR"))</f>
        <v>DOCENTE AUX/N/TC/DIS GRAFICO/FUN.ACADE-ADMIN</v>
      </c>
      <c r="G61" s="7" t="str">
        <f>IF(B61="","",IFERROR(VLOOKUP(B61, PLANTA_BASE!A:W, 9, FALSE), "GENERAL"))</f>
        <v>DISEÑO GRAFICO</v>
      </c>
      <c r="H61" s="5" t="str">
        <f>IF(B61="","",IFERROR(VLOOKUP(B61, PLANTA_BASE!A:W, 17, FALSE), "GENERAL"))</f>
        <v>DISEÑO GRAFICO</v>
      </c>
    </row>
    <row r="62" spans="1:8" ht="20.100000000000001" customHeight="1" x14ac:dyDescent="0.25">
      <c r="A62" s="2" t="str">
        <f>IF(B62="","",IFERROR(VLOOKUP(B62, PLANTA_BASE!A:W, 2, FALSE), "NO ENCONTRADO EN PLANTA"))</f>
        <v>PRESENCIAL</v>
      </c>
      <c r="B62" s="3" t="s">
        <v>176</v>
      </c>
      <c r="C62" s="4" t="s">
        <v>177</v>
      </c>
      <c r="D62" s="2" t="str">
        <f>IF(B62="","",IFERROR(VLOOKUP(B62, PLANTA_BASE!A:W, 5, FALSE), "NO ENCONTRADO EN PLANTA"))</f>
        <v>REGIONAL TOLIMA</v>
      </c>
      <c r="E62" s="2" t="str">
        <f>IF(B62="","",IFERROR(VLOOKUP(B62, PLANTA_BASE!A:W, 6, FALSE), "NO ENCONTRADO EN PLANTA"))</f>
        <v>IBAGUÉ</v>
      </c>
      <c r="F62" s="4" t="str">
        <f>IF(B62="","",IFERROR(VLOOKUP(B62, PLANTA_BASE!A:W, 8, FALSE), "DOCENTE / FACILITADOR"))</f>
        <v>DOCENTE ASOC/N/TC/INVESTIGA/INVESTIGACIO</v>
      </c>
      <c r="G62" s="4" t="str">
        <f>IF(B62="","",IFERROR(VLOOKUP(B62, PLANTA_BASE!A:W, 9, FALSE), "GENERAL"))</f>
        <v>INVESTIGACIONES</v>
      </c>
      <c r="H62" s="2" t="str">
        <f>IF(B62="","",IFERROR(VLOOKUP(B62, PLANTA_BASE!A:W, 17, FALSE), "GENERAL"))</f>
        <v>INVESTIGACIONES</v>
      </c>
    </row>
    <row r="63" spans="1:8" ht="20.100000000000001" customHeight="1" x14ac:dyDescent="0.25">
      <c r="A63" s="5" t="str">
        <f>IF(B63="","",IFERROR(VLOOKUP(B63, PLANTA_BASE!A:W, 2, FALSE), "NO ENCONTRADO EN PLANTA"))</f>
        <v>VIRTUAL</v>
      </c>
      <c r="B63" s="6" t="s">
        <v>86</v>
      </c>
      <c r="C63" s="7" t="s">
        <v>87</v>
      </c>
      <c r="D63" s="5" t="str">
        <f>IF(B63="","",IFERROR(VLOOKUP(B63, PLANTA_BASE!A:W, 5, FALSE), "NO ENCONTRADO EN PLANTA"))</f>
        <v>REGIONAL ATLANTICO</v>
      </c>
      <c r="E63" s="5" t="str">
        <f>IF(B63="","",IFERROR(VLOOKUP(B63, PLANTA_BASE!A:W, 6, FALSE), "NO ENCONTRADO EN PLANTA"))</f>
        <v>BARRANQUILLA</v>
      </c>
      <c r="F63" s="7" t="str">
        <f>IF(B63="","",IFERROR(VLOOKUP(B63, PLANTA_BASE!A:W, 8, FALSE), "DOCENTE / FACILITADOR"))</f>
        <v>DOC TITU/N/V/TC/INVESTIGACIONES/INVESTIG</v>
      </c>
      <c r="G63" s="7" t="str">
        <f>IF(B63="","",IFERROR(VLOOKUP(B63, PLANTA_BASE!A:W, 9, FALSE), "GENERAL"))</f>
        <v>INVESTIGACIONES</v>
      </c>
      <c r="H63" s="5" t="str">
        <f>IF(B63="","",IFERROR(VLOOKUP(B63, PLANTA_BASE!A:W, 17, FALSE), "GENERAL"))</f>
        <v>INVESTIGACIONES</v>
      </c>
    </row>
    <row r="64" spans="1:8" ht="20.100000000000001" customHeight="1" x14ac:dyDescent="0.25">
      <c r="A64" s="2" t="str">
        <f>IF(B64="","",IFERROR(VLOOKUP(B64, PLANTA_BASE!A:W, 2, FALSE), "NO ENCONTRADO EN PLANTA"))</f>
        <v>VIRTUAL</v>
      </c>
      <c r="B64" s="3" t="s">
        <v>144</v>
      </c>
      <c r="C64" s="4" t="s">
        <v>145</v>
      </c>
      <c r="D64" s="2" t="str">
        <f>IF(B64="","",IFERROR(VLOOKUP(B64, PLANTA_BASE!A:W, 5, FALSE), "NO ENCONTRADO EN PLANTA"))</f>
        <v>REGIONAL BOYACA</v>
      </c>
      <c r="E64" s="2" t="str">
        <f>IF(B64="","",IFERROR(VLOOKUP(B64, PLANTA_BASE!A:W, 6, FALSE), "NO ENCONTRADO EN PLANTA"))</f>
        <v>TUNJA</v>
      </c>
      <c r="F64" s="4" t="str">
        <f>IF(B64="","",IFERROR(VLOOKUP(B64, PLANTA_BASE!A:W, 8, FALSE), "DOCENTE / FACILITADOR"))</f>
        <v>DOC AUX/N/V/TC/INVESTIGACIONES/INVESTIGACI</v>
      </c>
      <c r="G64" s="4" t="str">
        <f>IF(B64="","",IFERROR(VLOOKUP(B64, PLANTA_BASE!A:W, 9, FALSE), "GENERAL"))</f>
        <v>INVESTIGACIONES</v>
      </c>
      <c r="H64" s="2" t="str">
        <f>IF(B64="","",IFERROR(VLOOKUP(B64, PLANTA_BASE!A:W, 17, FALSE), "GENERAL"))</f>
        <v>INVESTIGACIONES</v>
      </c>
    </row>
    <row r="65" spans="1:8" ht="20.100000000000001" customHeight="1" x14ac:dyDescent="0.25">
      <c r="A65" s="5" t="str">
        <f>IF(B65="","",IFERROR(VLOOKUP(B65, PLANTA_BASE!A:W, 2, FALSE), "NO ENCONTRADO EN PLANTA"))</f>
        <v>VIRTUAL</v>
      </c>
      <c r="B65" s="6" t="s">
        <v>238</v>
      </c>
      <c r="C65" s="7" t="s">
        <v>239</v>
      </c>
      <c r="D65" s="5" t="str">
        <f>IF(B65="","",IFERROR(VLOOKUP(B65, PLANTA_BASE!A:W, 5, FALSE), "NO ENCONTRADO EN PLANTA"))</f>
        <v>REGIONAL BOLIVAR</v>
      </c>
      <c r="E65" s="5" t="str">
        <f>IF(B65="","",IFERROR(VLOOKUP(B65, PLANTA_BASE!A:W, 6, FALSE), "NO ENCONTRADO EN PLANTA"))</f>
        <v>CARTAGENA</v>
      </c>
      <c r="F65" s="7" t="str">
        <f>IF(B65="","",IFERROR(VLOOKUP(B65, PLANTA_BASE!A:W, 8, FALSE), "DOCENTE / FACILITADOR"))</f>
        <v>DOC ASIS/N/V/TC/ING INDUS/FUN.ACADE-ADMIN</v>
      </c>
      <c r="G65" s="7" t="str">
        <f>IF(B65="","",IFERROR(VLOOKUP(B65, PLANTA_BASE!A:W, 9, FALSE), "GENERAL"))</f>
        <v>INGENIERIA INDUSTRIAL</v>
      </c>
      <c r="H65" s="5" t="str">
        <f>IF(B65="","",IFERROR(VLOOKUP(B65, PLANTA_BASE!A:W, 17, FALSE), "GENERAL"))</f>
        <v>INGENIERIA INDUSTRIAL</v>
      </c>
    </row>
    <row r="66" spans="1:8" ht="20.100000000000001" customHeight="1" x14ac:dyDescent="0.25">
      <c r="A66" s="2" t="str">
        <f>IF(B66="","",IFERROR(VLOOKUP(B66, PLANTA_BASE!A:W, 2, FALSE), "NO ENCONTRADO EN PLANTA"))</f>
        <v>VIRTUAL</v>
      </c>
      <c r="B66" s="3" t="s">
        <v>52</v>
      </c>
      <c r="C66" s="4" t="s">
        <v>53</v>
      </c>
      <c r="D66" s="2" t="str">
        <f>IF(B66="","",IFERROR(VLOOKUP(B66, PLANTA_BASE!A:W, 5, FALSE), "NO ENCONTRADO EN PLANTA"))</f>
        <v>REGIONAL CUNDINAMARCA</v>
      </c>
      <c r="E66" s="2" t="str">
        <f>IF(B66="","",IFERROR(VLOOKUP(B66, PLANTA_BASE!A:W, 6, FALSE), "NO ENCONTRADO EN PLANTA"))</f>
        <v>CHÍA</v>
      </c>
      <c r="F66" s="4" t="str">
        <f>IF(B66="","",IFERROR(VLOOKUP(B66, PLANTA_BASE!A:W, 8, FALSE), "DOCENTE / FACILITADOR"))</f>
        <v>DOC ASOC/N/V/TC/INVESTIGACIONES/INVESTIG</v>
      </c>
      <c r="G66" s="4" t="str">
        <f>IF(B66="","",IFERROR(VLOOKUP(B66, PLANTA_BASE!A:W, 9, FALSE), "GENERAL"))</f>
        <v>INVESTIGACIONES</v>
      </c>
      <c r="H66" s="2" t="str">
        <f>IF(B66="","",IFERROR(VLOOKUP(B66, PLANTA_BASE!A:W, 17, FALSE), "GENERAL"))</f>
        <v>INVESTIGACIONES</v>
      </c>
    </row>
    <row r="67" spans="1:8" ht="20.100000000000001" customHeight="1" x14ac:dyDescent="0.25">
      <c r="A67" s="5" t="str">
        <f>IF(B67="","",IFERROR(VLOOKUP(B67, PLANTA_BASE!A:W, 2, FALSE), "NO ENCONTRADO EN PLANTA"))</f>
        <v>VIRTUAL</v>
      </c>
      <c r="B67" s="6" t="s">
        <v>242</v>
      </c>
      <c r="C67" s="7" t="s">
        <v>243</v>
      </c>
      <c r="D67" s="5" t="str">
        <f>IF(B67="","",IFERROR(VLOOKUP(B67, PLANTA_BASE!A:W, 5, FALSE), "NO ENCONTRADO EN PLANTA"))</f>
        <v>REGIONAL TOLIMA</v>
      </c>
      <c r="E67" s="5" t="str">
        <f>IF(B67="","",IFERROR(VLOOKUP(B67, PLANTA_BASE!A:W, 6, FALSE), "NO ENCONTRADO EN PLANTA"))</f>
        <v>IBAGUÉ</v>
      </c>
      <c r="F67" s="7" t="str">
        <f>IF(B67="","",IFERROR(VLOOKUP(B67, PLANTA_BASE!A:W, 8, FALSE), "DOCENTE / FACILITADOR"))</f>
        <v>DOC AUX/N/V/TC/ING DE SISTEMAS/FUN.ACADE-ADMIN</v>
      </c>
      <c r="G67" s="7" t="str">
        <f>IF(B67="","",IFERROR(VLOOKUP(B67, PLANTA_BASE!A:W, 9, FALSE), "GENERAL"))</f>
        <v>INGENIERIA DE SISTEMAS</v>
      </c>
      <c r="H67" s="5" t="str">
        <f>IF(B67="","",IFERROR(VLOOKUP(B67, PLANTA_BASE!A:W, 17, FALSE), "GENERAL"))</f>
        <v>INGENIERIA DE SISTEMAS</v>
      </c>
    </row>
    <row r="68" spans="1:8" ht="20.100000000000001" customHeight="1" x14ac:dyDescent="0.25">
      <c r="A68" s="2" t="str">
        <f>IF(B68="","",IFERROR(VLOOKUP(B68, PLANTA_BASE!A:W, 2, FALSE), "NO ENCONTRADO EN PLANTA"))</f>
        <v>VIRTUAL</v>
      </c>
      <c r="B68" s="3" t="s">
        <v>268</v>
      </c>
      <c r="C68" s="4" t="s">
        <v>269</v>
      </c>
      <c r="D68" s="2" t="str">
        <f>IF(B68="","",IFERROR(VLOOKUP(B68, PLANTA_BASE!A:W, 5, FALSE), "NO ENCONTRADO EN PLANTA"))</f>
        <v>REGIONAL VALLE DELCAUCA</v>
      </c>
      <c r="E68" s="2" t="str">
        <f>IF(B68="","",IFERROR(VLOOKUP(B68, PLANTA_BASE!A:W, 6, FALSE), "NO ENCONTRADO EN PLANTA"))</f>
        <v>BUENAVENTURA</v>
      </c>
      <c r="F68" s="4" t="str">
        <f>IF(B68="","",IFERROR(VLOOKUP(B68, PLANTA_BASE!A:W, 8, FALSE), "DOCENTE / FACILITADOR"))</f>
        <v>DOC AUX T&amp;T/N/V/TC/EMPRENDIMIENTO/FUN.ACADE-ADMIN</v>
      </c>
      <c r="G68" s="4" t="str">
        <f>IF(B68="","",IFERROR(VLOOKUP(B68, PLANTA_BASE!A:W, 9, FALSE), "GENERAL"))</f>
        <v>EMPRENDIMIENTO</v>
      </c>
      <c r="H68" s="2" t="str">
        <f>IF(B68="","",IFERROR(VLOOKUP(B68, PLANTA_BASE!A:W, 17, FALSE), "GENERAL"))</f>
        <v>EMPRENDIMIENTO</v>
      </c>
    </row>
    <row r="69" spans="1:8" ht="20.100000000000001" customHeight="1" x14ac:dyDescent="0.25">
      <c r="A69" s="5" t="str">
        <f>IF(B69="","",IFERROR(VLOOKUP(B69, PLANTA_BASE!A:W, 2, FALSE), "NO ENCONTRADO EN PLANTA"))</f>
        <v>VIRTUAL</v>
      </c>
      <c r="B69" s="6" t="s">
        <v>200</v>
      </c>
      <c r="C69" s="7" t="s">
        <v>201</v>
      </c>
      <c r="D69" s="5" t="str">
        <f>IF(B69="","",IFERROR(VLOOKUP(B69, PLANTA_BASE!A:W, 5, FALSE), "NO ENCONTRADO EN PLANTA"))</f>
        <v>REGIONAL BOGOTA</v>
      </c>
      <c r="E69" s="5" t="str">
        <f>IF(B69="","",IFERROR(VLOOKUP(B69, PLANTA_BASE!A:W, 6, FALSE), "NO ENCONTRADO EN PLANTA"))</f>
        <v>BOGOTA CENTRO</v>
      </c>
      <c r="F69" s="7" t="str">
        <f>IF(B69="","",IFERROR(VLOOKUP(B69, PLANTA_BASE!A:W, 8, FALSE), "DOCENTE / FACILITADOR"))</f>
        <v>DOC AUX/N/V/TC/INVESTIGACIONES/INVESTIGACI</v>
      </c>
      <c r="G69" s="7" t="str">
        <f>IF(B69="","",IFERROR(VLOOKUP(B69, PLANTA_BASE!A:W, 9, FALSE), "GENERAL"))</f>
        <v>INVESTIGACIONES</v>
      </c>
      <c r="H69" s="5" t="str">
        <f>IF(B69="","",IFERROR(VLOOKUP(B69, PLANTA_BASE!A:W, 17, FALSE), "GENERAL"))</f>
        <v>INVESTIGACIONES</v>
      </c>
    </row>
    <row r="70" spans="1:8" ht="20.100000000000001" customHeight="1" x14ac:dyDescent="0.25">
      <c r="A70" s="2" t="str">
        <f>IF(B70="","",IFERROR(VLOOKUP(B70, PLANTA_BASE!A:W, 2, FALSE), "NO ENCONTRADO EN PLANTA"))</f>
        <v>VIRTUAL</v>
      </c>
      <c r="B70" s="3" t="s">
        <v>186</v>
      </c>
      <c r="C70" s="4" t="s">
        <v>187</v>
      </c>
      <c r="D70" s="2" t="str">
        <f>IF(B70="","",IFERROR(VLOOKUP(B70, PLANTA_BASE!A:W, 5, FALSE), "NO ENCONTRADO EN PLANTA"))</f>
        <v>REGIONAL CORDOBA</v>
      </c>
      <c r="E70" s="2" t="str">
        <f>IF(B70="","",IFERROR(VLOOKUP(B70, PLANTA_BASE!A:W, 6, FALSE), "NO ENCONTRADO EN PLANTA"))</f>
        <v>MONTERIA</v>
      </c>
      <c r="F70" s="4" t="str">
        <f>IF(B70="","",IFERROR(VLOOKUP(B70, PLANTA_BASE!A:W, 8, FALSE), "DOCENTE / FACILITADOR"))</f>
        <v>DOC ASIS/N/V/TC/INVESTIGACIONES/INVESTIG</v>
      </c>
      <c r="G70" s="4" t="str">
        <f>IF(B70="","",IFERROR(VLOOKUP(B70, PLANTA_BASE!A:W, 9, FALSE), "GENERAL"))</f>
        <v>INVESTIGACIONES</v>
      </c>
      <c r="H70" s="2" t="str">
        <f>IF(B70="","",IFERROR(VLOOKUP(B70, PLANTA_BASE!A:W, 17, FALSE), "GENERAL"))</f>
        <v>INVESTIGACIONES</v>
      </c>
    </row>
    <row r="71" spans="1:8" ht="20.100000000000001" customHeight="1" x14ac:dyDescent="0.25">
      <c r="A71" s="5" t="str">
        <f>IF(B71="","",IFERROR(VLOOKUP(B71, PLANTA_BASE!A:W, 2, FALSE), "NO ENCONTRADO EN PLANTA"))</f>
        <v>VIRTUAL</v>
      </c>
      <c r="B71" s="6" t="s">
        <v>90</v>
      </c>
      <c r="C71" s="7" t="s">
        <v>91</v>
      </c>
      <c r="D71" s="5" t="str">
        <f>IF(B71="","",IFERROR(VLOOKUP(B71, PLANTA_BASE!A:W, 5, FALSE), "NO ENCONTRADO EN PLANTA"))</f>
        <v>REGIONAL BOGOTA</v>
      </c>
      <c r="E71" s="5" t="str">
        <f>IF(B71="","",IFERROR(VLOOKUP(B71, PLANTA_BASE!A:W, 6, FALSE), "NO ENCONTRADO EN PLANTA"))</f>
        <v>BOGOTA CENTRO</v>
      </c>
      <c r="F71" s="7" t="str">
        <f>IF(B71="","",IFERROR(VLOOKUP(B71, PLANTA_BASE!A:W, 8, FALSE), "DOCENTE / FACILITADOR"))</f>
        <v>DOC ASOC/N/V/TC/INVESTIGACIONES/INVESTIG</v>
      </c>
      <c r="G71" s="7" t="str">
        <f>IF(B71="","",IFERROR(VLOOKUP(B71, PLANTA_BASE!A:W, 9, FALSE), "GENERAL"))</f>
        <v>INVESTIGACIONES</v>
      </c>
      <c r="H71" s="5" t="str">
        <f>IF(B71="","",IFERROR(VLOOKUP(B71, PLANTA_BASE!A:W, 17, FALSE), "GENERAL"))</f>
        <v>INVESTIGACIONES</v>
      </c>
    </row>
    <row r="72" spans="1:8" ht="20.100000000000001" customHeight="1" x14ac:dyDescent="0.25">
      <c r="A72" s="2" t="str">
        <f>IF(B72="","",IFERROR(VLOOKUP(B72, PLANTA_BASE!A:W, 2, FALSE), "NO ENCONTRADO EN PLANTA"))</f>
        <v>NO ENCONTRADO EN PLANTA</v>
      </c>
      <c r="B72" s="3" t="s">
        <v>1847</v>
      </c>
      <c r="C72" s="4" t="s">
        <v>1848</v>
      </c>
      <c r="D72" s="2" t="str">
        <f>IF(B72="","",IFERROR(VLOOKUP(B72, PLANTA_BASE!A:W, 5, FALSE), "NO ENCONTRADO EN PLANTA"))</f>
        <v>NO ENCONTRADO EN PLANTA</v>
      </c>
      <c r="E72" s="2" t="str">
        <f>IF(B72="","",IFERROR(VLOOKUP(B72, PLANTA_BASE!A:W, 6, FALSE), "NO ENCONTRADO EN PLANTA"))</f>
        <v>NO ENCONTRADO EN PLANTA</v>
      </c>
      <c r="F72" s="4" t="str">
        <f>IF(B72="","",IFERROR(VLOOKUP(B72, PLANTA_BASE!A:W, 8, FALSE), "DOCENTE / FACILITADOR"))</f>
        <v>DOCENTE / FACILITADOR</v>
      </c>
      <c r="G72" s="4" t="str">
        <f>IF(B72="","",IFERROR(VLOOKUP(B72, PLANTA_BASE!A:W, 9, FALSE), "GENERAL"))</f>
        <v>GENERAL</v>
      </c>
      <c r="H72" s="2" t="str">
        <f>IF(B72="","",IFERROR(VLOOKUP(B72, PLANTA_BASE!A:W, 17, FALSE), "GENERAL"))</f>
        <v>GENERAL</v>
      </c>
    </row>
    <row r="73" spans="1:8" ht="20.100000000000001" customHeight="1" x14ac:dyDescent="0.25">
      <c r="A73" s="5" t="str">
        <f>IF(B73="","",IFERROR(VLOOKUP(B73, PLANTA_BASE!A:W, 2, FALSE), "NO ENCONTRADO EN PLANTA"))</f>
        <v>VIRTUAL</v>
      </c>
      <c r="B73" s="6" t="s">
        <v>12</v>
      </c>
      <c r="C73" s="7" t="s">
        <v>1849</v>
      </c>
      <c r="D73" s="5" t="str">
        <f>IF(B73="","",IFERROR(VLOOKUP(B73, PLANTA_BASE!A:W, 5, FALSE), "NO ENCONTRADO EN PLANTA"))</f>
        <v>REGIONAL CORDOBA</v>
      </c>
      <c r="E73" s="5" t="str">
        <f>IF(B73="","",IFERROR(VLOOKUP(B73, PLANTA_BASE!A:W, 6, FALSE), "NO ENCONTRADO EN PLANTA"))</f>
        <v>MONTERIA</v>
      </c>
      <c r="F73" s="7" t="str">
        <f>IF(B73="","",IFERROR(VLOOKUP(B73, PLANTA_BASE!A:W, 8, FALSE), "DOCENTE / FACILITADOR"))</f>
        <v>DOC ASOC/N/V/TC/INVESTIGACIONES/INVESTIG</v>
      </c>
      <c r="G73" s="7" t="str">
        <f>IF(B73="","",IFERROR(VLOOKUP(B73, PLANTA_BASE!A:W, 9, FALSE), "GENERAL"))</f>
        <v>INVESTIGACIONES</v>
      </c>
      <c r="H73" s="5" t="str">
        <f>IF(B73="","",IFERROR(VLOOKUP(B73, PLANTA_BASE!A:W, 17, FALSE), "GENERAL"))</f>
        <v>INVESTIGACIONES</v>
      </c>
    </row>
    <row r="74" spans="1:8" ht="20.100000000000001" customHeight="1" x14ac:dyDescent="0.25">
      <c r="A74" s="2" t="str">
        <f>IF(B74="","",IFERROR(VLOOKUP(B74, PLANTA_BASE!A:W, 2, FALSE), "NO ENCONTRADO EN PLANTA"))</f>
        <v>VIRTUAL</v>
      </c>
      <c r="B74" s="3" t="s">
        <v>192</v>
      </c>
      <c r="C74" s="4" t="s">
        <v>193</v>
      </c>
      <c r="D74" s="2" t="str">
        <f>IF(B74="","",IFERROR(VLOOKUP(B74, PLANTA_BASE!A:W, 5, FALSE), "NO ENCONTRADO EN PLANTA"))</f>
        <v>REGIONAL HUILA</v>
      </c>
      <c r="E74" s="2" t="str">
        <f>IF(B74="","",IFERROR(VLOOKUP(B74, PLANTA_BASE!A:W, 6, FALSE), "NO ENCONTRADO EN PLANTA"))</f>
        <v>NEIVA</v>
      </c>
      <c r="F74" s="4" t="str">
        <f>IF(B74="","",IFERROR(VLOOKUP(B74, PLANTA_BASE!A:W, 8, FALSE), "DOCENTE / FACILITADOR"))</f>
        <v>DOC ASOC/N/V/TC/INVESTIGACIONES/INVESTIG</v>
      </c>
      <c r="G74" s="4" t="str">
        <f>IF(B74="","",IFERROR(VLOOKUP(B74, PLANTA_BASE!A:W, 9, FALSE), "GENERAL"))</f>
        <v>INVESTIGACIONES</v>
      </c>
      <c r="H74" s="2" t="str">
        <f>IF(B74="","",IFERROR(VLOOKUP(B74, PLANTA_BASE!A:W, 17, FALSE), "GENERAL"))</f>
        <v>INVESTIGACIONES</v>
      </c>
    </row>
    <row r="75" spans="1:8" ht="20.100000000000001" customHeight="1" x14ac:dyDescent="0.25">
      <c r="A75" s="5" t="str">
        <f>IF(B75="","",IFERROR(VLOOKUP(B75, PLANTA_BASE!A:W, 2, FALSE), "NO ENCONTRADO EN PLANTA"))</f>
        <v>PRESENCIAL</v>
      </c>
      <c r="B75" s="6" t="s">
        <v>316</v>
      </c>
      <c r="C75" s="7" t="s">
        <v>317</v>
      </c>
      <c r="D75" s="5" t="str">
        <f>IF(B75="","",IFERROR(VLOOKUP(B75, PLANTA_BASE!A:W, 5, FALSE), "NO ENCONTRADO EN PLANTA"))</f>
        <v>REGIONAL MAGDALENA</v>
      </c>
      <c r="E75" s="5" t="str">
        <f>IF(B75="","",IFERROR(VLOOKUP(B75, PLANTA_BASE!A:W, 6, FALSE), "NO ENCONTRADO EN PLANTA"))</f>
        <v>SANTA MARTA</v>
      </c>
      <c r="F75" s="7" t="str">
        <f>IF(B75="","",IFERROR(VLOOKUP(B75, PLANTA_BASE!A:W, 8, FALSE), "DOCENTE / FACILITADOR"))</f>
        <v>DOC AUX T&amp;T/N/TC/DIS GRAFICO/FUN.ACADE-ADMIN</v>
      </c>
      <c r="G75" s="7" t="str">
        <f>IF(B75="","",IFERROR(VLOOKUP(B75, PLANTA_BASE!A:W, 9, FALSE), "GENERAL"))</f>
        <v>DISEÑO GRAFICO</v>
      </c>
      <c r="H75" s="5" t="str">
        <f>IF(B75="","",IFERROR(VLOOKUP(B75, PLANTA_BASE!A:W, 17, FALSE), "GENERAL"))</f>
        <v>DISEÑO GRAFICO</v>
      </c>
    </row>
    <row r="76" spans="1:8" ht="20.100000000000001" customHeight="1" x14ac:dyDescent="0.25">
      <c r="A76" s="2" t="str">
        <f>IF(B76="","",IFERROR(VLOOKUP(B76, PLANTA_BASE!A:W, 2, FALSE), "NO ENCONTRADO EN PLANTA"))</f>
        <v>VIRTUAL</v>
      </c>
      <c r="B76" s="3" t="s">
        <v>196</v>
      </c>
      <c r="C76" s="4" t="s">
        <v>197</v>
      </c>
      <c r="D76" s="2" t="str">
        <f>IF(B76="","",IFERROR(VLOOKUP(B76, PLANTA_BASE!A:W, 5, FALSE), "NO ENCONTRADO EN PLANTA"))</f>
        <v>REGIONAL SANTANDER</v>
      </c>
      <c r="E76" s="2" t="str">
        <f>IF(B76="","",IFERROR(VLOOKUP(B76, PLANTA_BASE!A:W, 6, FALSE), "NO ENCONTRADO EN PLANTA"))</f>
        <v>BUCARAMANGA</v>
      </c>
      <c r="F76" s="4" t="str">
        <f>IF(B76="","",IFERROR(VLOOKUP(B76, PLANTA_BASE!A:W, 8, FALSE), "DOCENTE / FACILITADOR"))</f>
        <v>DOC AUX T&amp;T/N/V/TC/DIR PROD ME AUD/FUN.ACADE-ADMIN</v>
      </c>
      <c r="G76" s="4" t="str">
        <f>IF(B76="","",IFERROR(VLOOKUP(B76, PLANTA_BASE!A:W, 9, FALSE), "GENERAL"))</f>
        <v>DIRECCION Y PRODUCCION DE MEDIOS AUDIOVISUALES</v>
      </c>
      <c r="H76" s="2" t="str">
        <f>IF(B76="","",IFERROR(VLOOKUP(B76, PLANTA_BASE!A:W, 17, FALSE), "GENERAL"))</f>
        <v>DIRECCION Y PRODUCCION DE MEDIOS AUDIOVISUALES</v>
      </c>
    </row>
    <row r="77" spans="1:8" ht="20.100000000000001" customHeight="1" x14ac:dyDescent="0.25">
      <c r="A77" s="5" t="str">
        <f>IF(B77="","",IFERROR(VLOOKUP(B77, PLANTA_BASE!A:W, 2, FALSE), "NO ENCONTRADO EN PLANTA"))</f>
        <v>PRESENCIAL</v>
      </c>
      <c r="B77" s="6" t="s">
        <v>464</v>
      </c>
      <c r="C77" s="7" t="s">
        <v>1850</v>
      </c>
      <c r="D77" s="5" t="str">
        <f>IF(B77="","",IFERROR(VLOOKUP(B77, PLANTA_BASE!A:W, 5, FALSE), "NO ENCONTRADO EN PLANTA"))</f>
        <v>REGIONAL SUCRE</v>
      </c>
      <c r="E77" s="5" t="str">
        <f>IF(B77="","",IFERROR(VLOOKUP(B77, PLANTA_BASE!A:W, 6, FALSE), "NO ENCONTRADO EN PLANTA"))</f>
        <v>SINCELEJO</v>
      </c>
      <c r="F77" s="7" t="str">
        <f>IF(B77="","",IFERROR(VLOOKUP(B77, PLANTA_BASE!A:W, 8, FALSE), "DOCENTE / FACILITADOR"))</f>
        <v>DOC AUX T&amp;T/N/TC/ING SISTEM/PROYECCION</v>
      </c>
      <c r="G77" s="7" t="str">
        <f>IF(B77="","",IFERROR(VLOOKUP(B77, PLANTA_BASE!A:W, 9, FALSE), "GENERAL"))</f>
        <v>INGENIERIA DE SISTEMAS</v>
      </c>
      <c r="H77" s="5" t="str">
        <f>IF(B77="","",IFERROR(VLOOKUP(B77, PLANTA_BASE!A:W, 17, FALSE), "GENERAL"))</f>
        <v>INGENIERIA DE SISTEMAS</v>
      </c>
    </row>
    <row r="78" spans="1:8" ht="20.100000000000001" customHeight="1" x14ac:dyDescent="0.25">
      <c r="A78" s="2" t="str">
        <f>IF(B78="","",IFERROR(VLOOKUP(B78, PLANTA_BASE!A:W, 2, FALSE), "NO ENCONTRADO EN PLANTA"))</f>
        <v>VIRTUAL</v>
      </c>
      <c r="B78" s="3" t="s">
        <v>148</v>
      </c>
      <c r="C78" s="4" t="s">
        <v>149</v>
      </c>
      <c r="D78" s="2" t="str">
        <f>IF(B78="","",IFERROR(VLOOKUP(B78, PLANTA_BASE!A:W, 5, FALSE), "NO ENCONTRADO EN PLANTA"))</f>
        <v>REGIONAL BOGOTA</v>
      </c>
      <c r="E78" s="2" t="str">
        <f>IF(B78="","",IFERROR(VLOOKUP(B78, PLANTA_BASE!A:W, 6, FALSE), "NO ENCONTRADO EN PLANTA"))</f>
        <v>BOGOTA CENTRO</v>
      </c>
      <c r="F78" s="4" t="str">
        <f>IF(B78="","",IFERROR(VLOOKUP(B78, PLANTA_BASE!A:W, 8, FALSE), "DOCENTE / FACILITADOR"))</f>
        <v>DOC AUX/N/V/TC/ADM DE EMPRE/FUN.ACADE-ADMIN</v>
      </c>
      <c r="G78" s="4" t="str">
        <f>IF(B78="","",IFERROR(VLOOKUP(B78, PLANTA_BASE!A:W, 9, FALSE), "GENERAL"))</f>
        <v>ADMINISTRACION DE EMPRESAS</v>
      </c>
      <c r="H78" s="2" t="str">
        <f>IF(B78="","",IFERROR(VLOOKUP(B78, PLANTA_BASE!A:W, 17, FALSE), "GENERAL"))</f>
        <v>ADMINISTRACION DE EMPRESAS</v>
      </c>
    </row>
    <row r="79" spans="1:8" ht="20.100000000000001" customHeight="1" x14ac:dyDescent="0.25">
      <c r="A79" s="5" t="str">
        <f>IF(B79="","",IFERROR(VLOOKUP(B79, PLANTA_BASE!A:W, 2, FALSE), "NO ENCONTRADO EN PLANTA"))</f>
        <v>NO ENCONTRADO EN PLANTA</v>
      </c>
      <c r="B79" s="6" t="s">
        <v>1851</v>
      </c>
      <c r="C79" s="7" t="s">
        <v>1852</v>
      </c>
      <c r="D79" s="5" t="str">
        <f>IF(B79="","",IFERROR(VLOOKUP(B79, PLANTA_BASE!A:W, 5, FALSE), "NO ENCONTRADO EN PLANTA"))</f>
        <v>NO ENCONTRADO EN PLANTA</v>
      </c>
      <c r="E79" s="5" t="str">
        <f>IF(B79="","",IFERROR(VLOOKUP(B79, PLANTA_BASE!A:W, 6, FALSE), "NO ENCONTRADO EN PLANTA"))</f>
        <v>NO ENCONTRADO EN PLANTA</v>
      </c>
      <c r="F79" s="7" t="str">
        <f>IF(B79="","",IFERROR(VLOOKUP(B79, PLANTA_BASE!A:W, 8, FALSE), "DOCENTE / FACILITADOR"))</f>
        <v>DOCENTE / FACILITADOR</v>
      </c>
      <c r="G79" s="7" t="str">
        <f>IF(B79="","",IFERROR(VLOOKUP(B79, PLANTA_BASE!A:W, 9, FALSE), "GENERAL"))</f>
        <v>GENERAL</v>
      </c>
      <c r="H79" s="5" t="str">
        <f>IF(B79="","",IFERROR(VLOOKUP(B79, PLANTA_BASE!A:W, 17, FALSE), "GENERAL"))</f>
        <v>GENERAL</v>
      </c>
    </row>
    <row r="80" spans="1:8" ht="20.100000000000001" customHeight="1" x14ac:dyDescent="0.25">
      <c r="A80" s="2" t="str">
        <f>IF(B80="","",IFERROR(VLOOKUP(B80, PLANTA_BASE!A:W, 2, FALSE), "NO ENCONTRADO EN PLANTA"))</f>
        <v>VIRTUAL</v>
      </c>
      <c r="B80" s="3" t="s">
        <v>254</v>
      </c>
      <c r="C80" s="4" t="s">
        <v>255</v>
      </c>
      <c r="D80" s="2" t="str">
        <f>IF(B80="","",IFERROR(VLOOKUP(B80, PLANTA_BASE!A:W, 5, FALSE), "NO ENCONTRADO EN PLANTA"))</f>
        <v>REGIONAL BOGOTA</v>
      </c>
      <c r="E80" s="2" t="str">
        <f>IF(B80="","",IFERROR(VLOOKUP(B80, PLANTA_BASE!A:W, 6, FALSE), "NO ENCONTRADO EN PLANTA"))</f>
        <v>BOGOTA CENTRO</v>
      </c>
      <c r="F80" s="4" t="str">
        <f>IF(B80="","",IFERROR(VLOOKUP(B80, PLANTA_BASE!A:W, 8, FALSE), "DOCENTE / FACILITADOR"))</f>
        <v>DOC AUX T&amp;T/N/V/TC/DIS GRAFICO/FUN.ACADE</v>
      </c>
      <c r="G80" s="4" t="str">
        <f>IF(B80="","",IFERROR(VLOOKUP(B80, PLANTA_BASE!A:W, 9, FALSE), "GENERAL"))</f>
        <v>DISEÑO GRAFICO</v>
      </c>
      <c r="H80" s="2" t="str">
        <f>IF(B80="","",IFERROR(VLOOKUP(B80, PLANTA_BASE!A:W, 17, FALSE), "GENERAL"))</f>
        <v>DISEÑO GRAFICO</v>
      </c>
    </row>
    <row r="81" spans="1:8" ht="20.100000000000001" customHeight="1" x14ac:dyDescent="0.25">
      <c r="A81" s="5" t="str">
        <f>IF(B81="","",IFERROR(VLOOKUP(B81, PLANTA_BASE!A:W, 2, FALSE), "NO ENCONTRADO EN PLANTA"))</f>
        <v>NO ENCONTRADO EN PLANTA</v>
      </c>
      <c r="B81" s="6" t="s">
        <v>1853</v>
      </c>
      <c r="C81" s="7" t="s">
        <v>1854</v>
      </c>
      <c r="D81" s="5" t="str">
        <f>IF(B81="","",IFERROR(VLOOKUP(B81, PLANTA_BASE!A:W, 5, FALSE), "NO ENCONTRADO EN PLANTA"))</f>
        <v>NO ENCONTRADO EN PLANTA</v>
      </c>
      <c r="E81" s="5" t="str">
        <f>IF(B81="","",IFERROR(VLOOKUP(B81, PLANTA_BASE!A:W, 6, FALSE), "NO ENCONTRADO EN PLANTA"))</f>
        <v>NO ENCONTRADO EN PLANTA</v>
      </c>
      <c r="F81" s="7" t="str">
        <f>IF(B81="","",IFERROR(VLOOKUP(B81, PLANTA_BASE!A:W, 8, FALSE), "DOCENTE / FACILITADOR"))</f>
        <v>DOCENTE / FACILITADOR</v>
      </c>
      <c r="G81" s="7" t="str">
        <f>IF(B81="","",IFERROR(VLOOKUP(B81, PLANTA_BASE!A:W, 9, FALSE), "GENERAL"))</f>
        <v>GENERAL</v>
      </c>
      <c r="H81" s="5" t="str">
        <f>IF(B81="","",IFERROR(VLOOKUP(B81, PLANTA_BASE!A:W, 17, FALSE), "GENERAL"))</f>
        <v>GENERAL</v>
      </c>
    </row>
    <row r="82" spans="1:8" ht="20.100000000000001" customHeight="1" x14ac:dyDescent="0.25">
      <c r="A82" s="2" t="str">
        <f>IF(B82="","",IFERROR(VLOOKUP(B82, PLANTA_BASE!A:W, 2, FALSE), "NO ENCONTRADO EN PLANTA"))</f>
        <v>VIRTUAL</v>
      </c>
      <c r="B82" s="3" t="s">
        <v>378</v>
      </c>
      <c r="C82" s="4" t="s">
        <v>379</v>
      </c>
      <c r="D82" s="2" t="str">
        <f>IF(B82="","",IFERROR(VLOOKUP(B82, PLANTA_BASE!A:W, 5, FALSE), "NO ENCONTRADO EN PLANTA"))</f>
        <v>REGIONAL CUNDINAMARCA</v>
      </c>
      <c r="E82" s="2" t="str">
        <f>IF(B82="","",IFERROR(VLOOKUP(B82, PLANTA_BASE!A:W, 6, FALSE), "NO ENCONTRADO EN PLANTA"))</f>
        <v>CHÍA</v>
      </c>
      <c r="F82" s="4" t="str">
        <f>IF(B82="","",IFERROR(VLOOKUP(B82, PLANTA_BASE!A:W, 8, FALSE), "DOCENTE / FACILITADOR"))</f>
        <v>DOC AUX/N/V/MT/ADM DE EMPRE</v>
      </c>
      <c r="G82" s="4" t="str">
        <f>IF(B82="","",IFERROR(VLOOKUP(B82, PLANTA_BASE!A:W, 9, FALSE), "GENERAL"))</f>
        <v>ADMINISTRACION DE EMPRESAS</v>
      </c>
      <c r="H82" s="2" t="str">
        <f>IF(B82="","",IFERROR(VLOOKUP(B82, PLANTA_BASE!A:W, 17, FALSE), "GENERAL"))</f>
        <v>ADMINISTRACION DE EMPRESAS</v>
      </c>
    </row>
    <row r="83" spans="1:8" ht="20.100000000000001" customHeight="1" x14ac:dyDescent="0.25">
      <c r="A83" s="5" t="str">
        <f>IF(B83="","",IFERROR(VLOOKUP(B83, PLANTA_BASE!A:W, 2, FALSE), "NO ENCONTRADO EN PLANTA"))</f>
        <v>PRESENCIAL</v>
      </c>
      <c r="B83" s="6" t="s">
        <v>304</v>
      </c>
      <c r="C83" s="7" t="s">
        <v>305</v>
      </c>
      <c r="D83" s="5" t="str">
        <f>IF(B83="","",IFERROR(VLOOKUP(B83, PLANTA_BASE!A:W, 5, FALSE), "NO ENCONTRADO EN PLANTA"))</f>
        <v>REGIONAL BOGOTA</v>
      </c>
      <c r="E83" s="5" t="str">
        <f>IF(B83="","",IFERROR(VLOOKUP(B83, PLANTA_BASE!A:W, 6, FALSE), "NO ENCONTRADO EN PLANTA"))</f>
        <v>BOGOTA SUR</v>
      </c>
      <c r="F83" s="7" t="str">
        <f>IF(B83="","",IFERROR(VLOOKUP(B83, PLANTA_BASE!A:W, 8, FALSE), "DOCENTE / FACILITADOR"))</f>
        <v>DOCENTE AUX/N/TC/ING SISTEM/FUN.ACADE-ADMIN</v>
      </c>
      <c r="G83" s="7" t="str">
        <f>IF(B83="","",IFERROR(VLOOKUP(B83, PLANTA_BASE!A:W, 9, FALSE), "GENERAL"))</f>
        <v>INGENIERIA DE SISTEMAS</v>
      </c>
      <c r="H83" s="5" t="str">
        <f>IF(B83="","",IFERROR(VLOOKUP(B83, PLANTA_BASE!A:W, 17, FALSE), "GENERAL"))</f>
        <v>INGENIERIA DE SISTEMAS</v>
      </c>
    </row>
    <row r="84" spans="1:8" ht="20.100000000000001" customHeight="1" x14ac:dyDescent="0.25">
      <c r="A84" s="2" t="str">
        <f>IF(B84="","",IFERROR(VLOOKUP(B84, PLANTA_BASE!A:W, 2, FALSE), "NO ENCONTRADO EN PLANTA"))</f>
        <v>VIRTUAL</v>
      </c>
      <c r="B84" s="3" t="s">
        <v>40</v>
      </c>
      <c r="C84" s="4" t="s">
        <v>41</v>
      </c>
      <c r="D84" s="2" t="str">
        <f>IF(B84="","",IFERROR(VLOOKUP(B84, PLANTA_BASE!A:W, 5, FALSE), "NO ENCONTRADO EN PLANTA"))</f>
        <v>REGIONAL SANTANDER</v>
      </c>
      <c r="E84" s="2" t="str">
        <f>IF(B84="","",IFERROR(VLOOKUP(B84, PLANTA_BASE!A:W, 6, FALSE), "NO ENCONTRADO EN PLANTA"))</f>
        <v>BUCARAMANGA</v>
      </c>
      <c r="F84" s="4" t="str">
        <f>IF(B84="","",IFERROR(VLOOKUP(B84, PLANTA_BASE!A:W, 8, FALSE), "DOCENTE / FACILITADOR"))</f>
        <v>DOC ASOC/N/V/TC/INVESTIGACIONES/INVESTIG</v>
      </c>
      <c r="G84" s="4" t="str">
        <f>IF(B84="","",IFERROR(VLOOKUP(B84, PLANTA_BASE!A:W, 9, FALSE), "GENERAL"))</f>
        <v>INVESTIGACIONES</v>
      </c>
      <c r="H84" s="2" t="str">
        <f>IF(B84="","",IFERROR(VLOOKUP(B84, PLANTA_BASE!A:W, 17, FALSE), "GENERAL"))</f>
        <v>INVESTIGACIONES</v>
      </c>
    </row>
    <row r="85" spans="1:8" ht="20.100000000000001" customHeight="1" x14ac:dyDescent="0.25">
      <c r="A85" s="5" t="str">
        <f>IF(B85="","",IFERROR(VLOOKUP(B85, PLANTA_BASE!A:W, 2, FALSE), "NO ENCONTRADO EN PLANTA"))</f>
        <v>NO ENCONTRADO EN PLANTA</v>
      </c>
      <c r="B85" s="6" t="s">
        <v>1855</v>
      </c>
      <c r="C85" s="7" t="s">
        <v>1856</v>
      </c>
      <c r="D85" s="5" t="str">
        <f>IF(B85="","",IFERROR(VLOOKUP(B85, PLANTA_BASE!A:W, 5, FALSE), "NO ENCONTRADO EN PLANTA"))</f>
        <v>NO ENCONTRADO EN PLANTA</v>
      </c>
      <c r="E85" s="5" t="str">
        <f>IF(B85="","",IFERROR(VLOOKUP(B85, PLANTA_BASE!A:W, 6, FALSE), "NO ENCONTRADO EN PLANTA"))</f>
        <v>NO ENCONTRADO EN PLANTA</v>
      </c>
      <c r="F85" s="7" t="str">
        <f>IF(B85="","",IFERROR(VLOOKUP(B85, PLANTA_BASE!A:W, 8, FALSE), "DOCENTE / FACILITADOR"))</f>
        <v>DOCENTE / FACILITADOR</v>
      </c>
      <c r="G85" s="7" t="str">
        <f>IF(B85="","",IFERROR(VLOOKUP(B85, PLANTA_BASE!A:W, 9, FALSE), "GENERAL"))</f>
        <v>GENERAL</v>
      </c>
      <c r="H85" s="5" t="str">
        <f>IF(B85="","",IFERROR(VLOOKUP(B85, PLANTA_BASE!A:W, 17, FALSE), "GENERAL"))</f>
        <v>GENERAL</v>
      </c>
    </row>
    <row r="86" spans="1:8" ht="20.100000000000001" customHeight="1" x14ac:dyDescent="0.25">
      <c r="A86" s="2" t="str">
        <f>IF(B86="","",IFERROR(VLOOKUP(B86, PLANTA_BASE!A:W, 2, FALSE), "NO ENCONTRADO EN PLANTA"))</f>
        <v>VIRTUAL</v>
      </c>
      <c r="B86" s="3" t="s">
        <v>124</v>
      </c>
      <c r="C86" s="4" t="s">
        <v>1857</v>
      </c>
      <c r="D86" s="2" t="str">
        <f>IF(B86="","",IFERROR(VLOOKUP(B86, PLANTA_BASE!A:W, 5, FALSE), "NO ENCONTRADO EN PLANTA"))</f>
        <v>REGIONAL ATLANTICO</v>
      </c>
      <c r="E86" s="2" t="str">
        <f>IF(B86="","",IFERROR(VLOOKUP(B86, PLANTA_BASE!A:W, 6, FALSE), "NO ENCONTRADO EN PLANTA"))</f>
        <v>BARRANQUILLA</v>
      </c>
      <c r="F86" s="4" t="str">
        <f>IF(B86="","",IFERROR(VLOOKUP(B86, PLANTA_BASE!A:W, 8, FALSE), "DOCENTE / FACILITADOR"))</f>
        <v>DOC AUX/N/V/TC/ADM DE EMPRE/FUN.ACADE-ADMIN</v>
      </c>
      <c r="G86" s="4" t="str">
        <f>IF(B86="","",IFERROR(VLOOKUP(B86, PLANTA_BASE!A:W, 9, FALSE), "GENERAL"))</f>
        <v>ADMINISTRACION DE EMPRESAS</v>
      </c>
      <c r="H86" s="2" t="str">
        <f>IF(B86="","",IFERROR(VLOOKUP(B86, PLANTA_BASE!A:W, 17, FALSE), "GENERAL"))</f>
        <v>ADMINISTRACION DE EMPRESAS</v>
      </c>
    </row>
    <row r="87" spans="1:8" ht="20.100000000000001" customHeight="1" x14ac:dyDescent="0.25">
      <c r="A87" s="5" t="str">
        <f>IF(B87="","",IFERROR(VLOOKUP(B87, PLANTA_BASE!A:W, 2, FALSE), "NO ENCONTRADO EN PLANTA"))</f>
        <v>PRESENCIAL</v>
      </c>
      <c r="B87" s="6" t="s">
        <v>246</v>
      </c>
      <c r="C87" s="7" t="s">
        <v>247</v>
      </c>
      <c r="D87" s="5" t="str">
        <f>IF(B87="","",IFERROR(VLOOKUP(B87, PLANTA_BASE!A:W, 5, FALSE), "NO ENCONTRADO EN PLANTA"))</f>
        <v>REGIONAL NARIñO</v>
      </c>
      <c r="E87" s="5" t="str">
        <f>IF(B87="","",IFERROR(VLOOKUP(B87, PLANTA_BASE!A:W, 6, FALSE), "NO ENCONTRADO EN PLANTA"))</f>
        <v>IPIALES</v>
      </c>
      <c r="F87" s="7" t="str">
        <f>IF(B87="","",IFERROR(VLOOKUP(B87, PLANTA_BASE!A:W, 8, FALSE), "DOCENTE / FACILITADOR"))</f>
        <v>DOCENTE ASIS/N/TC/INVESTIGA/INVESTIGACIO</v>
      </c>
      <c r="G87" s="7" t="str">
        <f>IF(B87="","",IFERROR(VLOOKUP(B87, PLANTA_BASE!A:W, 9, FALSE), "GENERAL"))</f>
        <v>INVESTIGACIONES</v>
      </c>
      <c r="H87" s="5" t="str">
        <f>IF(B87="","",IFERROR(VLOOKUP(B87, PLANTA_BASE!A:W, 17, FALSE), "GENERAL"))</f>
        <v>INVESTIGACIONES</v>
      </c>
    </row>
    <row r="88" spans="1:8" ht="20.100000000000001" customHeight="1" x14ac:dyDescent="0.25">
      <c r="A88" s="2" t="str">
        <f>IF(B88="","",IFERROR(VLOOKUP(B88, PLANTA_BASE!A:W, 2, FALSE), "NO ENCONTRADO EN PLANTA"))</f>
        <v>VIRTUAL</v>
      </c>
      <c r="B88" s="3" t="s">
        <v>272</v>
      </c>
      <c r="C88" s="4" t="s">
        <v>273</v>
      </c>
      <c r="D88" s="2" t="str">
        <f>IF(B88="","",IFERROR(VLOOKUP(B88, PLANTA_BASE!A:W, 5, FALSE), "NO ENCONTRADO EN PLANTA"))</f>
        <v>REGIONAL NORTE DE SANTANDER</v>
      </c>
      <c r="E88" s="2" t="str">
        <f>IF(B88="","",IFERROR(VLOOKUP(B88, PLANTA_BASE!A:W, 6, FALSE), "NO ENCONTRADO EN PLANTA"))</f>
        <v>CUCUTÁ</v>
      </c>
      <c r="F88" s="4" t="str">
        <f>IF(B88="","",IFERROR(VLOOKUP(B88, PLANTA_BASE!A:W, 8, FALSE), "DOCENTE / FACILITADOR"))</f>
        <v>DOC ASIS/N/V/TC/INVESTIGACIONES/INVESTIGAC</v>
      </c>
      <c r="G88" s="4" t="str">
        <f>IF(B88="","",IFERROR(VLOOKUP(B88, PLANTA_BASE!A:W, 9, FALSE), "GENERAL"))</f>
        <v>INVESTIGACIONES</v>
      </c>
      <c r="H88" s="2" t="str">
        <f>IF(B88="","",IFERROR(VLOOKUP(B88, PLANTA_BASE!A:W, 17, FALSE), "GENERAL"))</f>
        <v>INVESTIGACIONES</v>
      </c>
    </row>
    <row r="89" spans="1:8" ht="20.100000000000001" customHeight="1" x14ac:dyDescent="0.25">
      <c r="A89" s="5" t="str">
        <f>IF(B89="","",IFERROR(VLOOKUP(B89, PLANTA_BASE!A:W, 2, FALSE), "NO ENCONTRADO EN PLANTA"))</f>
        <v>VIRTUAL</v>
      </c>
      <c r="B89" s="6" t="s">
        <v>248</v>
      </c>
      <c r="C89" s="7" t="s">
        <v>249</v>
      </c>
      <c r="D89" s="5" t="str">
        <f>IF(B89="","",IFERROR(VLOOKUP(B89, PLANTA_BASE!A:W, 5, FALSE), "NO ENCONTRADO EN PLANTA"))</f>
        <v>REGIONAL SUCRE</v>
      </c>
      <c r="E89" s="5" t="str">
        <f>IF(B89="","",IFERROR(VLOOKUP(B89, PLANTA_BASE!A:W, 6, FALSE), "NO ENCONTRADO EN PLANTA"))</f>
        <v>SINCELEJO</v>
      </c>
      <c r="F89" s="7" t="str">
        <f>IF(B89="","",IFERROR(VLOOKUP(B89, PLANTA_BASE!A:W, 8, FALSE), "DOCENTE / FACILITADOR"))</f>
        <v>DOC ASIS/N/V/TC/EMPRENDIMIENTO/PROYE. AC</v>
      </c>
      <c r="G89" s="7" t="str">
        <f>IF(B89="","",IFERROR(VLOOKUP(B89, PLANTA_BASE!A:W, 9, FALSE), "GENERAL"))</f>
        <v>EMPRENDIMIENTO</v>
      </c>
      <c r="H89" s="5" t="str">
        <f>IF(B89="","",IFERROR(VLOOKUP(B89, PLANTA_BASE!A:W, 17, FALSE), "GENERAL"))</f>
        <v>EMPRENDIMIENTO</v>
      </c>
    </row>
    <row r="90" spans="1:8" ht="20.100000000000001" customHeight="1" x14ac:dyDescent="0.25">
      <c r="A90" s="2" t="str">
        <f>IF(B90="","",IFERROR(VLOOKUP(B90, PLANTA_BASE!A:W, 2, FALSE), "NO ENCONTRADO EN PLANTA"))</f>
        <v>PRESENCIAL</v>
      </c>
      <c r="B90" s="3" t="s">
        <v>76</v>
      </c>
      <c r="C90" s="4" t="s">
        <v>77</v>
      </c>
      <c r="D90" s="2" t="str">
        <f>IF(B90="","",IFERROR(VLOOKUP(B90, PLANTA_BASE!A:W, 5, FALSE), "NO ENCONTRADO EN PLANTA"))</f>
        <v>REGIONAL BOGOTA</v>
      </c>
      <c r="E90" s="2" t="str">
        <f>IF(B90="","",IFERROR(VLOOKUP(B90, PLANTA_BASE!A:W, 6, FALSE), "NO ENCONTRADO EN PLANTA"))</f>
        <v>BOGOTA CENTRO</v>
      </c>
      <c r="F90" s="4" t="str">
        <f>IF(B90="","",IFERROR(VLOOKUP(B90, PLANTA_BASE!A:W, 8, FALSE), "DOCENTE / FACILITADOR"))</f>
        <v>DOCENTE ASOC/N/TC/INVESTIGA/INVESTIGACIO</v>
      </c>
      <c r="G90" s="4" t="str">
        <f>IF(B90="","",IFERROR(VLOOKUP(B90, PLANTA_BASE!A:W, 9, FALSE), "GENERAL"))</f>
        <v>INVESTIGACIONES</v>
      </c>
      <c r="H90" s="2" t="str">
        <f>IF(B90="","",IFERROR(VLOOKUP(B90, PLANTA_BASE!A:W, 17, FALSE), "GENERAL"))</f>
        <v>INVESTIGACIONES</v>
      </c>
    </row>
    <row r="91" spans="1:8" ht="20.100000000000001" customHeight="1" x14ac:dyDescent="0.25">
      <c r="A91" s="5" t="str">
        <f>IF(B91="","",IFERROR(VLOOKUP(B91, PLANTA_BASE!A:W, 2, FALSE), "NO ENCONTRADO EN PLANTA"))</f>
        <v>PRESENCIAL</v>
      </c>
      <c r="B91" s="6" t="s">
        <v>218</v>
      </c>
      <c r="C91" s="7" t="s">
        <v>219</v>
      </c>
      <c r="D91" s="5" t="str">
        <f>IF(B91="","",IFERROR(VLOOKUP(B91, PLANTA_BASE!A:W, 5, FALSE), "NO ENCONTRADO EN PLANTA"))</f>
        <v>REGIONAL BOGOTA</v>
      </c>
      <c r="E91" s="5" t="str">
        <f>IF(B91="","",IFERROR(VLOOKUP(B91, PLANTA_BASE!A:W, 6, FALSE), "NO ENCONTRADO EN PLANTA"))</f>
        <v>BOGOTA CENTRO</v>
      </c>
      <c r="F91" s="7" t="str">
        <f>IF(B91="","",IFERROR(VLOOKUP(B91, PLANTA_BASE!A:W, 8, FALSE), "DOCENTE / FACILITADOR"))</f>
        <v>DOCENTE AUX/N/TC/INVESTIGA/INVESTIGACION</v>
      </c>
      <c r="G91" s="7" t="str">
        <f>IF(B91="","",IFERROR(VLOOKUP(B91, PLANTA_BASE!A:W, 9, FALSE), "GENERAL"))</f>
        <v>INVESTIGACIONES</v>
      </c>
      <c r="H91" s="5" t="str">
        <f>IF(B91="","",IFERROR(VLOOKUP(B91, PLANTA_BASE!A:W, 17, FALSE), "GENERAL"))</f>
        <v>INVESTIGACIONES</v>
      </c>
    </row>
    <row r="92" spans="1:8" ht="20.100000000000001" customHeight="1" x14ac:dyDescent="0.25">
      <c r="A92" s="2" t="str">
        <f>IF(B92="","",IFERROR(VLOOKUP(B92, PLANTA_BASE!A:W, 2, FALSE), "NO ENCONTRADO EN PLANTA"))</f>
        <v>VIRTUAL</v>
      </c>
      <c r="B92" s="3" t="s">
        <v>242</v>
      </c>
      <c r="C92" s="4" t="s">
        <v>243</v>
      </c>
      <c r="D92" s="2" t="str">
        <f>IF(B92="","",IFERROR(VLOOKUP(B92, PLANTA_BASE!A:W, 5, FALSE), "NO ENCONTRADO EN PLANTA"))</f>
        <v>REGIONAL TOLIMA</v>
      </c>
      <c r="E92" s="2" t="str">
        <f>IF(B92="","",IFERROR(VLOOKUP(B92, PLANTA_BASE!A:W, 6, FALSE), "NO ENCONTRADO EN PLANTA"))</f>
        <v>IBAGUÉ</v>
      </c>
      <c r="F92" s="4" t="str">
        <f>IF(B92="","",IFERROR(VLOOKUP(B92, PLANTA_BASE!A:W, 8, FALSE), "DOCENTE / FACILITADOR"))</f>
        <v>DOC AUX/N/V/TC/ING DE SISTEMAS/FUN.ACADE-ADMIN</v>
      </c>
      <c r="G92" s="4" t="str">
        <f>IF(B92="","",IFERROR(VLOOKUP(B92, PLANTA_BASE!A:W, 9, FALSE), "GENERAL"))</f>
        <v>INGENIERIA DE SISTEMAS</v>
      </c>
      <c r="H92" s="2" t="str">
        <f>IF(B92="","",IFERROR(VLOOKUP(B92, PLANTA_BASE!A:W, 17, FALSE), "GENERAL"))</f>
        <v>INGENIERIA DE SISTEMAS</v>
      </c>
    </row>
    <row r="93" spans="1:8" ht="20.100000000000001" customHeight="1" x14ac:dyDescent="0.25">
      <c r="A93" s="5" t="str">
        <f>IF(B93="","",IFERROR(VLOOKUP(B93, PLANTA_BASE!A:W, 2, FALSE), "NO ENCONTRADO EN PLANTA"))</f>
        <v>VIRTUAL</v>
      </c>
      <c r="B93" s="6" t="s">
        <v>226</v>
      </c>
      <c r="C93" s="7" t="s">
        <v>227</v>
      </c>
      <c r="D93" s="5" t="str">
        <f>IF(B93="","",IFERROR(VLOOKUP(B93, PLANTA_BASE!A:W, 5, FALSE), "NO ENCONTRADO EN PLANTA"))</f>
        <v>REGIONAL SANTANDER</v>
      </c>
      <c r="E93" s="5" t="str">
        <f>IF(B93="","",IFERROR(VLOOKUP(B93, PLANTA_BASE!A:W, 6, FALSE), "NO ENCONTRADO EN PLANTA"))</f>
        <v>BUCARAMANGA</v>
      </c>
      <c r="F93" s="7" t="str">
        <f>IF(B93="","",IFERROR(VLOOKUP(B93, PLANTA_BASE!A:W, 8, FALSE), "DOCENTE / FACILITADOR"))</f>
        <v>DOC ASOC/N/V/TC/INVESTIGACIONES/INVESTIG</v>
      </c>
      <c r="G93" s="7" t="str">
        <f>IF(B93="","",IFERROR(VLOOKUP(B93, PLANTA_BASE!A:W, 9, FALSE), "GENERAL"))</f>
        <v>INVESTIGACIONES</v>
      </c>
      <c r="H93" s="5" t="str">
        <f>IF(B93="","",IFERROR(VLOOKUP(B93, PLANTA_BASE!A:W, 17, FALSE), "GENERAL"))</f>
        <v>INVESTIGACIONES</v>
      </c>
    </row>
    <row r="94" spans="1:8" ht="20.100000000000001" customHeight="1" x14ac:dyDescent="0.25">
      <c r="A94" s="2" t="str">
        <f>IF(B94="","",IFERROR(VLOOKUP(B94, PLANTA_BASE!A:W, 2, FALSE), "NO ENCONTRADO EN PLANTA"))</f>
        <v>VIRTUAL</v>
      </c>
      <c r="B94" s="3" t="s">
        <v>120</v>
      </c>
      <c r="C94" s="4" t="s">
        <v>121</v>
      </c>
      <c r="D94" s="2" t="str">
        <f>IF(B94="","",IFERROR(VLOOKUP(B94, PLANTA_BASE!A:W, 5, FALSE), "NO ENCONTRADO EN PLANTA"))</f>
        <v>REGIONAL BOGOTA</v>
      </c>
      <c r="E94" s="2" t="str">
        <f>IF(B94="","",IFERROR(VLOOKUP(B94, PLANTA_BASE!A:W, 6, FALSE), "NO ENCONTRADO EN PLANTA"))</f>
        <v>BOGOTA CENTRO</v>
      </c>
      <c r="F94" s="4" t="str">
        <f>IF(B94="","",IFERROR(VLOOKUP(B94, PLANTA_BASE!A:W, 8, FALSE), "DOCENTE / FACILITADOR"))</f>
        <v>DOC ASIS/N/V/TC/ESP DES ORG TH/FUN.ACADE</v>
      </c>
      <c r="G94" s="4" t="str">
        <f>IF(B94="","",IFERROR(VLOOKUP(B94, PLANTA_BASE!A:W, 9, FALSE), "GENERAL"))</f>
        <v>ESPECIALIZACION EN DESARROLLO ORGANIZACIONAL Y GESTION DEL TALENTO HUMANO</v>
      </c>
      <c r="H94" s="2" t="str">
        <f>IF(B94="","",IFERROR(VLOOKUP(B94, PLANTA_BASE!A:W, 17, FALSE), "GENERAL"))</f>
        <v>ESPECIALIZACION EN DESARROLLO ORGANIZACIONAL Y GESTION DEL TALENTO HUMANO</v>
      </c>
    </row>
    <row r="95" spans="1:8" ht="20.100000000000001" customHeight="1" x14ac:dyDescent="0.25">
      <c r="A95" s="5" t="str">
        <f>IF(B95="","",IFERROR(VLOOKUP(B95, PLANTA_BASE!A:W, 2, FALSE), "NO ENCONTRADO EN PLANTA"))</f>
        <v>VIRTUAL</v>
      </c>
      <c r="B95" s="6" t="s">
        <v>80</v>
      </c>
      <c r="C95" s="7" t="s">
        <v>81</v>
      </c>
      <c r="D95" s="5" t="str">
        <f>IF(B95="","",IFERROR(VLOOKUP(B95, PLANTA_BASE!A:W, 5, FALSE), "NO ENCONTRADO EN PLANTA"))</f>
        <v>REGIONAL NARIñO</v>
      </c>
      <c r="E95" s="5" t="str">
        <f>IF(B95="","",IFERROR(VLOOKUP(B95, PLANTA_BASE!A:W, 6, FALSE), "NO ENCONTRADO EN PLANTA"))</f>
        <v>PASTO</v>
      </c>
      <c r="F95" s="7" t="str">
        <f>IF(B95="","",IFERROR(VLOOKUP(B95, PLANTA_BASE!A:W, 8, FALSE), "DOCENTE / FACILITADOR"))</f>
        <v>DOC AUX T&amp;T/N/V/TC/INVESTIGACIONES/INVESTI</v>
      </c>
      <c r="G95" s="7" t="str">
        <f>IF(B95="","",IFERROR(VLOOKUP(B95, PLANTA_BASE!A:W, 9, FALSE), "GENERAL"))</f>
        <v>INVESTIGACIONES</v>
      </c>
      <c r="H95" s="5" t="str">
        <f>IF(B95="","",IFERROR(VLOOKUP(B95, PLANTA_BASE!A:W, 17, FALSE), "GENERAL"))</f>
        <v>INVESTIGACIONES</v>
      </c>
    </row>
    <row r="96" spans="1:8" ht="20.100000000000001" customHeight="1" x14ac:dyDescent="0.25">
      <c r="A96" s="2" t="str">
        <f>IF(B96="","",IFERROR(VLOOKUP(B96, PLANTA_BASE!A:W, 2, FALSE), "NO ENCONTRADO EN PLANTA"))</f>
        <v>PRESENCIAL</v>
      </c>
      <c r="B96" s="3" t="s">
        <v>208</v>
      </c>
      <c r="C96" s="4" t="s">
        <v>209</v>
      </c>
      <c r="D96" s="2" t="str">
        <f>IF(B96="","",IFERROR(VLOOKUP(B96, PLANTA_BASE!A:W, 5, FALSE), "NO ENCONTRADO EN PLANTA"))</f>
        <v>REGIONAL BOGOTA</v>
      </c>
      <c r="E96" s="2" t="str">
        <f>IF(B96="","",IFERROR(VLOOKUP(B96, PLANTA_BASE!A:W, 6, FALSE), "NO ENCONTRADO EN PLANTA"))</f>
        <v>BOGOTA CENTRO</v>
      </c>
      <c r="F96" s="4" t="str">
        <f>IF(B96="","",IFERROR(VLOOKUP(B96, PLANTA_BASE!A:W, 8, FALSE), "DOCENTE / FACILITADOR"))</f>
        <v>DOCENTE ASOC/N/TC/INVESTIGACIONES/INVEST</v>
      </c>
      <c r="G96" s="4" t="str">
        <f>IF(B96="","",IFERROR(VLOOKUP(B96, PLANTA_BASE!A:W, 9, FALSE), "GENERAL"))</f>
        <v>INVESTIGACIONES</v>
      </c>
      <c r="H96" s="2" t="str">
        <f>IF(B96="","",IFERROR(VLOOKUP(B96, PLANTA_BASE!A:W, 17, FALSE), "GENERAL"))</f>
        <v>INVESTIGACIONES</v>
      </c>
    </row>
    <row r="97" spans="1:8" ht="20.100000000000001" customHeight="1" x14ac:dyDescent="0.25">
      <c r="A97" s="5" t="str">
        <f>IF(B97="","",IFERROR(VLOOKUP(B97, PLANTA_BASE!A:W, 2, FALSE), "NO ENCONTRADO EN PLANTA"))</f>
        <v>VIRTUAL</v>
      </c>
      <c r="B97" s="6" t="s">
        <v>266</v>
      </c>
      <c r="C97" s="7" t="s">
        <v>267</v>
      </c>
      <c r="D97" s="5" t="str">
        <f>IF(B97="","",IFERROR(VLOOKUP(B97, PLANTA_BASE!A:W, 5, FALSE), "NO ENCONTRADO EN PLANTA"))</f>
        <v>REGIONAL SANTANDER</v>
      </c>
      <c r="E97" s="5" t="str">
        <f>IF(B97="","",IFERROR(VLOOKUP(B97, PLANTA_BASE!A:W, 6, FALSE), "NO ENCONTRADO EN PLANTA"))</f>
        <v>BUCARAMANGA</v>
      </c>
      <c r="F97" s="7" t="str">
        <f>IF(B97="","",IFERROR(VLOOKUP(B97, PLANTA_BASE!A:W, 8, FALSE), "DOCENTE / FACILITADOR"))</f>
        <v>DOC ASOC/N/V/TC/INVESTIGACIONES/INVESTIG</v>
      </c>
      <c r="G97" s="7" t="str">
        <f>IF(B97="","",IFERROR(VLOOKUP(B97, PLANTA_BASE!A:W, 9, FALSE), "GENERAL"))</f>
        <v>INVESTIGACIONES</v>
      </c>
      <c r="H97" s="5" t="str">
        <f>IF(B97="","",IFERROR(VLOOKUP(B97, PLANTA_BASE!A:W, 17, FALSE), "GENERAL"))</f>
        <v>INVESTIGACIONES</v>
      </c>
    </row>
    <row r="98" spans="1:8" ht="20.100000000000001" customHeight="1" x14ac:dyDescent="0.25">
      <c r="A98" s="2" t="str">
        <f>IF(B98="","",IFERROR(VLOOKUP(B98, PLANTA_BASE!A:W, 2, FALSE), "NO ENCONTRADO EN PLANTA"))</f>
        <v>NO ENCONTRADO EN PLANTA</v>
      </c>
      <c r="B98" s="3" t="s">
        <v>1858</v>
      </c>
      <c r="C98" s="4" t="s">
        <v>1859</v>
      </c>
      <c r="D98" s="2" t="str">
        <f>IF(B98="","",IFERROR(VLOOKUP(B98, PLANTA_BASE!A:W, 5, FALSE), "NO ENCONTRADO EN PLANTA"))</f>
        <v>NO ENCONTRADO EN PLANTA</v>
      </c>
      <c r="E98" s="2" t="str">
        <f>IF(B98="","",IFERROR(VLOOKUP(B98, PLANTA_BASE!A:W, 6, FALSE), "NO ENCONTRADO EN PLANTA"))</f>
        <v>NO ENCONTRADO EN PLANTA</v>
      </c>
      <c r="F98" s="4" t="str">
        <f>IF(B98="","",IFERROR(VLOOKUP(B98, PLANTA_BASE!A:W, 8, FALSE), "DOCENTE / FACILITADOR"))</f>
        <v>DOCENTE / FACILITADOR</v>
      </c>
      <c r="G98" s="4" t="str">
        <f>IF(B98="","",IFERROR(VLOOKUP(B98, PLANTA_BASE!A:W, 9, FALSE), "GENERAL"))</f>
        <v>GENERAL</v>
      </c>
      <c r="H98" s="2" t="str">
        <f>IF(B98="","",IFERROR(VLOOKUP(B98, PLANTA_BASE!A:W, 17, FALSE), "GENERAL"))</f>
        <v>GENERAL</v>
      </c>
    </row>
    <row r="99" spans="1:8" ht="20.100000000000001" customHeight="1" x14ac:dyDescent="0.25">
      <c r="A99" s="5" t="str">
        <f>IF(B99="","",IFERROR(VLOOKUP(B99, PLANTA_BASE!A:W, 2, FALSE), "NO ENCONTRADO EN PLANTA"))</f>
        <v>PRESENCIAL</v>
      </c>
      <c r="B99" s="6" t="s">
        <v>216</v>
      </c>
      <c r="C99" s="7" t="s">
        <v>1860</v>
      </c>
      <c r="D99" s="5" t="str">
        <f>IF(B99="","",IFERROR(VLOOKUP(B99, PLANTA_BASE!A:W, 5, FALSE), "NO ENCONTRADO EN PLANTA"))</f>
        <v>REGIONAL BOGOTA</v>
      </c>
      <c r="E99" s="5" t="str">
        <f>IF(B99="","",IFERROR(VLOOKUP(B99, PLANTA_BASE!A:W, 6, FALSE), "NO ENCONTRADO EN PLANTA"))</f>
        <v>BOGOTA CENTRO</v>
      </c>
      <c r="F99" s="7" t="str">
        <f>IF(B99="","",IFERROR(VLOOKUP(B99, PLANTA_BASE!A:W, 8, FALSE), "DOCENTE / FACILITADOR"))</f>
        <v>DOC AUX/N/MT/MAR DIG</v>
      </c>
      <c r="G99" s="7" t="str">
        <f>IF(B99="","",IFERROR(VLOOKUP(B99, PLANTA_BASE!A:W, 9, FALSE), "GENERAL"))</f>
        <v>MARKETING DIGITAL</v>
      </c>
      <c r="H99" s="5" t="str">
        <f>IF(B99="","",IFERROR(VLOOKUP(B99, PLANTA_BASE!A:W, 17, FALSE), "GENERAL"))</f>
        <v>MARKETING DIGITAL</v>
      </c>
    </row>
    <row r="100" spans="1:8" ht="20.100000000000001" customHeight="1" x14ac:dyDescent="0.25">
      <c r="A100" s="2" t="str">
        <f>IF(B100="","",IFERROR(VLOOKUP(B100, PLANTA_BASE!A:W, 2, FALSE), "NO ENCONTRADO EN PLANTA"))</f>
        <v>VIRTUAL</v>
      </c>
      <c r="B100" s="3" t="s">
        <v>114</v>
      </c>
      <c r="C100" s="4" t="s">
        <v>115</v>
      </c>
      <c r="D100" s="2" t="str">
        <f>IF(B100="","",IFERROR(VLOOKUP(B100, PLANTA_BASE!A:W, 5, FALSE), "NO ENCONTRADO EN PLANTA"))</f>
        <v>REGIONAL BOGOTA</v>
      </c>
      <c r="E100" s="2" t="str">
        <f>IF(B100="","",IFERROR(VLOOKUP(B100, PLANTA_BASE!A:W, 6, FALSE), "NO ENCONTRADO EN PLANTA"))</f>
        <v>BOGOTA CENTRO</v>
      </c>
      <c r="F100" s="4" t="str">
        <f>IF(B100="","",IFERROR(VLOOKUP(B100, PLANTA_BASE!A:W, 8, FALSE), "DOCENTE / FACILITADOR"))</f>
        <v>DOC ASIS/N/V/MT/ADMIN PUBLICA</v>
      </c>
      <c r="G100" s="4" t="str">
        <f>IF(B100="","",IFERROR(VLOOKUP(B100, PLANTA_BASE!A:W, 9, FALSE), "GENERAL"))</f>
        <v>ADMINISTRACION PUBLICA</v>
      </c>
      <c r="H100" s="2" t="str">
        <f>IF(B100="","",IFERROR(VLOOKUP(B100, PLANTA_BASE!A:W, 17, FALSE), "GENERAL"))</f>
        <v>ADMINISTRACION PUBLICA</v>
      </c>
    </row>
    <row r="101" spans="1:8" ht="20.100000000000001" customHeight="1" x14ac:dyDescent="0.25">
      <c r="A101" s="5" t="str">
        <f>IF(B101="","",IFERROR(VLOOKUP(B101, PLANTA_BASE!A:W, 2, FALSE), "NO ENCONTRADO EN PLANTA"))</f>
        <v>VIRTUAL</v>
      </c>
      <c r="B101" s="6" t="s">
        <v>200</v>
      </c>
      <c r="C101" s="7" t="s">
        <v>1861</v>
      </c>
      <c r="D101" s="5" t="str">
        <f>IF(B101="","",IFERROR(VLOOKUP(B101, PLANTA_BASE!A:W, 5, FALSE), "NO ENCONTRADO EN PLANTA"))</f>
        <v>REGIONAL BOGOTA</v>
      </c>
      <c r="E101" s="5" t="str">
        <f>IF(B101="","",IFERROR(VLOOKUP(B101, PLANTA_BASE!A:W, 6, FALSE), "NO ENCONTRADO EN PLANTA"))</f>
        <v>BOGOTA CENTRO</v>
      </c>
      <c r="F101" s="7" t="str">
        <f>IF(B101="","",IFERROR(VLOOKUP(B101, PLANTA_BASE!A:W, 8, FALSE), "DOCENTE / FACILITADOR"))</f>
        <v>DOC AUX/N/V/TC/INVESTIGACIONES/INVESTIGACI</v>
      </c>
      <c r="G101" s="7" t="str">
        <f>IF(B101="","",IFERROR(VLOOKUP(B101, PLANTA_BASE!A:W, 9, FALSE), "GENERAL"))</f>
        <v>INVESTIGACIONES</v>
      </c>
      <c r="H101" s="5" t="str">
        <f>IF(B101="","",IFERROR(VLOOKUP(B101, PLANTA_BASE!A:W, 17, FALSE), "GENERAL"))</f>
        <v>INVESTIGACIONES</v>
      </c>
    </row>
    <row r="102" spans="1:8" ht="20.100000000000001" customHeight="1" x14ac:dyDescent="0.25">
      <c r="A102" s="2" t="str">
        <f>IF(B102="","",IFERROR(VLOOKUP(B102, PLANTA_BASE!A:W, 2, FALSE), "NO ENCONTRADO EN PLANTA"))</f>
        <v>PRESENCIAL</v>
      </c>
      <c r="B102" s="3" t="s">
        <v>450</v>
      </c>
      <c r="C102" s="4" t="s">
        <v>1862</v>
      </c>
      <c r="D102" s="2" t="str">
        <f>IF(B102="","",IFERROR(VLOOKUP(B102, PLANTA_BASE!A:W, 5, FALSE), "NO ENCONTRADO EN PLANTA"))</f>
        <v>REGIONAL SUCRE</v>
      </c>
      <c r="E102" s="2" t="str">
        <f>IF(B102="","",IFERROR(VLOOKUP(B102, PLANTA_BASE!A:W, 6, FALSE), "NO ENCONTRADO EN PLANTA"))</f>
        <v>SINCELEJO</v>
      </c>
      <c r="F102" s="4" t="str">
        <f>IF(B102="","",IFERROR(VLOOKUP(B102, PLANTA_BASE!A:W, 8, FALSE), "DOCENTE / FACILITADOR"))</f>
        <v>DOCENTE ASIS/N/MT-ADM SER SALU</v>
      </c>
      <c r="G102" s="4" t="str">
        <f>IF(B102="","",IFERROR(VLOOKUP(B102, PLANTA_BASE!A:W, 9, FALSE), "GENERAL"))</f>
        <v>ADMINISTRACION DE LA SEGURIDAD SOCIAL</v>
      </c>
      <c r="H102" s="2" t="str">
        <f>IF(B102="","",IFERROR(VLOOKUP(B102, PLANTA_BASE!A:W, 17, FALSE), "GENERAL"))</f>
        <v>ADMINISTRACION DE LA SEGURIDAD SOCIAL</v>
      </c>
    </row>
    <row r="103" spans="1:8" ht="20.100000000000001" customHeight="1" x14ac:dyDescent="0.25">
      <c r="A103" s="5" t="str">
        <f>IF(B103="","",IFERROR(VLOOKUP(B103, PLANTA_BASE!A:W, 2, FALSE), "NO ENCONTRADO EN PLANTA"))</f>
        <v>VIRTUAL</v>
      </c>
      <c r="B103" s="6" t="s">
        <v>190</v>
      </c>
      <c r="C103" s="7" t="s">
        <v>191</v>
      </c>
      <c r="D103" s="5" t="str">
        <f>IF(B103="","",IFERROR(VLOOKUP(B103, PLANTA_BASE!A:W, 5, FALSE), "NO ENCONTRADO EN PLANTA"))</f>
        <v>REGIONAL HUILA</v>
      </c>
      <c r="E103" s="5" t="str">
        <f>IF(B103="","",IFERROR(VLOOKUP(B103, PLANTA_BASE!A:W, 6, FALSE), "NO ENCONTRADO EN PLANTA"))</f>
        <v>NEIVA</v>
      </c>
      <c r="F103" s="7" t="str">
        <f>IF(B103="","",IFERROR(VLOOKUP(B103, PLANTA_BASE!A:W, 8, FALSE), "DOCENTE / FACILITADOR"))</f>
        <v>DOC ASIS/N/V/TC/INVESTIGACIONES/INVESTIG</v>
      </c>
      <c r="G103" s="7" t="str">
        <f>IF(B103="","",IFERROR(VLOOKUP(B103, PLANTA_BASE!A:W, 9, FALSE), "GENERAL"))</f>
        <v>INVESTIGACIONES</v>
      </c>
      <c r="H103" s="5" t="str">
        <f>IF(B103="","",IFERROR(VLOOKUP(B103, PLANTA_BASE!A:W, 17, FALSE), "GENERAL"))</f>
        <v>INVESTIGACIONES</v>
      </c>
    </row>
    <row r="104" spans="1:8" ht="20.100000000000001" customHeight="1" x14ac:dyDescent="0.25">
      <c r="A104" s="2" t="str">
        <f>IF(B104="","",IFERROR(VLOOKUP(B104, PLANTA_BASE!A:W, 2, FALSE), "NO ENCONTRADO EN PLANTA"))</f>
        <v>VIRTUAL</v>
      </c>
      <c r="B104" s="3" t="s">
        <v>64</v>
      </c>
      <c r="C104" s="4" t="s">
        <v>65</v>
      </c>
      <c r="D104" s="2" t="str">
        <f>IF(B104="","",IFERROR(VLOOKUP(B104, PLANTA_BASE!A:W, 5, FALSE), "NO ENCONTRADO EN PLANTA"))</f>
        <v>REGIONAL SANTANDER</v>
      </c>
      <c r="E104" s="2" t="str">
        <f>IF(B104="","",IFERROR(VLOOKUP(B104, PLANTA_BASE!A:W, 6, FALSE), "NO ENCONTRADO EN PLANTA"))</f>
        <v>BUCARAMANGA</v>
      </c>
      <c r="F104" s="4" t="str">
        <f>IF(B104="","",IFERROR(VLOOKUP(B104, PLANTA_BASE!A:W, 8, FALSE), "DOCENTE / FACILITADOR"))</f>
        <v>DOC ASIS/N/V/MT/PUB Y MERC</v>
      </c>
      <c r="G104" s="4" t="str">
        <f>IF(B104="","",IFERROR(VLOOKUP(B104, PLANTA_BASE!A:W, 9, FALSE), "GENERAL"))</f>
        <v>PUBLICIDAD Y MERCADEO</v>
      </c>
      <c r="H104" s="2" t="str">
        <f>IF(B104="","",IFERROR(VLOOKUP(B104, PLANTA_BASE!A:W, 17, FALSE), "GENERAL"))</f>
        <v>PUBLICIDAD Y MERCADEO</v>
      </c>
    </row>
    <row r="105" spans="1:8" ht="20.100000000000001" customHeight="1" x14ac:dyDescent="0.25">
      <c r="A105" s="5" t="str">
        <f>IF(B105="","",IFERROR(VLOOKUP(B105, PLANTA_BASE!A:W, 2, FALSE), "NO ENCONTRADO EN PLANTA"))</f>
        <v>VIRTUAL</v>
      </c>
      <c r="B105" s="6" t="s">
        <v>300</v>
      </c>
      <c r="C105" s="7" t="s">
        <v>301</v>
      </c>
      <c r="D105" s="5" t="str">
        <f>IF(B105="","",IFERROR(VLOOKUP(B105, PLANTA_BASE!A:W, 5, FALSE), "NO ENCONTRADO EN PLANTA"))</f>
        <v>REGIONAL BOGOTA</v>
      </c>
      <c r="E105" s="5" t="str">
        <f>IF(B105="","",IFERROR(VLOOKUP(B105, PLANTA_BASE!A:W, 6, FALSE), "NO ENCONTRADO EN PLANTA"))</f>
        <v>BOGOTA CENTRO</v>
      </c>
      <c r="F105" s="7" t="str">
        <f>IF(B105="","",IFERROR(VLOOKUP(B105, PLANTA_BASE!A:W, 8, FALSE), "DOCENTE / FACILITADOR"))</f>
        <v>DOC ASIS/N/V/MT/CONTADURIA</v>
      </c>
      <c r="G105" s="7" t="str">
        <f>IF(B105="","",IFERROR(VLOOKUP(B105, PLANTA_BASE!A:W, 9, FALSE), "GENERAL"))</f>
        <v>CONTADURIA PUBLICA</v>
      </c>
      <c r="H105" s="5" t="str">
        <f>IF(B105="","",IFERROR(VLOOKUP(B105, PLANTA_BASE!A:W, 17, FALSE), "GENERAL"))</f>
        <v>CONTADURIA PUBLICA</v>
      </c>
    </row>
    <row r="106" spans="1:8" ht="20.100000000000001" customHeight="1" x14ac:dyDescent="0.25">
      <c r="A106" s="2" t="str">
        <f>IF(B106="","",IFERROR(VLOOKUP(B106, PLANTA_BASE!A:W, 2, FALSE), "NO ENCONTRADO EN PLANTA"))</f>
        <v>VIRTUAL</v>
      </c>
      <c r="B106" s="3" t="s">
        <v>498</v>
      </c>
      <c r="C106" s="4" t="s">
        <v>499</v>
      </c>
      <c r="D106" s="2" t="str">
        <f>IF(B106="","",IFERROR(VLOOKUP(B106, PLANTA_BASE!A:W, 5, FALSE), "NO ENCONTRADO EN PLANTA"))</f>
        <v>REGIONAL SANTANDER</v>
      </c>
      <c r="E106" s="2" t="str">
        <f>IF(B106="","",IFERROR(VLOOKUP(B106, PLANTA_BASE!A:W, 6, FALSE), "NO ENCONTRADO EN PLANTA"))</f>
        <v>BUCARAMANGA</v>
      </c>
      <c r="F106" s="4" t="str">
        <f>IF(B106="","",IFERROR(VLOOKUP(B106, PLANTA_BASE!A:W, 8, FALSE), "DOCENTE / FACILITADOR"))</f>
        <v>DOC ASIS/N/V/TC/INVESTIGACIONES/INVESTIG</v>
      </c>
      <c r="G106" s="4" t="str">
        <f>IF(B106="","",IFERROR(VLOOKUP(B106, PLANTA_BASE!A:W, 9, FALSE), "GENERAL"))</f>
        <v>INVESTIGACIONES</v>
      </c>
      <c r="H106" s="2" t="str">
        <f>IF(B106="","",IFERROR(VLOOKUP(B106, PLANTA_BASE!A:W, 17, FALSE), "GENERAL"))</f>
        <v>INVESTIGACIONES</v>
      </c>
    </row>
    <row r="107" spans="1:8" ht="20.100000000000001" customHeight="1" x14ac:dyDescent="0.25">
      <c r="A107" s="5" t="str">
        <f>IF(B107="","",IFERROR(VLOOKUP(B107, PLANTA_BASE!A:W, 2, FALSE), "NO ENCONTRADO EN PLANTA"))</f>
        <v>PRESENCIAL</v>
      </c>
      <c r="B107" s="6" t="s">
        <v>290</v>
      </c>
      <c r="C107" s="7" t="s">
        <v>291</v>
      </c>
      <c r="D107" s="5" t="str">
        <f>IF(B107="","",IFERROR(VLOOKUP(B107, PLANTA_BASE!A:W, 5, FALSE), "NO ENCONTRADO EN PLANTA"))</f>
        <v>REGIONAL SUCRE</v>
      </c>
      <c r="E107" s="5" t="str">
        <f>IF(B107="","",IFERROR(VLOOKUP(B107, PLANTA_BASE!A:W, 6, FALSE), "NO ENCONTRADO EN PLANTA"))</f>
        <v>SINCELEJO</v>
      </c>
      <c r="F107" s="7" t="str">
        <f>IF(B107="","",IFERROR(VLOOKUP(B107, PLANTA_BASE!A:W, 8, FALSE), "DOCENTE / FACILITADOR"))</f>
        <v>DOCENTE ASOC/N/TC/INVESTIGA/INVESTIGACIO</v>
      </c>
      <c r="G107" s="7" t="str">
        <f>IF(B107="","",IFERROR(VLOOKUP(B107, PLANTA_BASE!A:W, 9, FALSE), "GENERAL"))</f>
        <v>INVESTIGACIONES</v>
      </c>
      <c r="H107" s="5" t="str">
        <f>IF(B107="","",IFERROR(VLOOKUP(B107, PLANTA_BASE!A:W, 17, FALSE), "GENERAL"))</f>
        <v>INVESTIGACIONES</v>
      </c>
    </row>
    <row r="108" spans="1:8" ht="20.100000000000001" customHeight="1" x14ac:dyDescent="0.25">
      <c r="A108" s="2" t="str">
        <f>IF(B108="","",IFERROR(VLOOKUP(B108, PLANTA_BASE!A:W, 2, FALSE), "NO ENCONTRADO EN PLANTA"))</f>
        <v>VIRTUAL</v>
      </c>
      <c r="B108" s="3" t="s">
        <v>84</v>
      </c>
      <c r="C108" s="4" t="s">
        <v>85</v>
      </c>
      <c r="D108" s="2" t="str">
        <f>IF(B108="","",IFERROR(VLOOKUP(B108, PLANTA_BASE!A:W, 5, FALSE), "NO ENCONTRADO EN PLANTA"))</f>
        <v>REGIONAL CESAR</v>
      </c>
      <c r="E108" s="2" t="str">
        <f>IF(B108="","",IFERROR(VLOOKUP(B108, PLANTA_BASE!A:W, 6, FALSE), "NO ENCONTRADO EN PLANTA"))</f>
        <v>VALLEDUPAR</v>
      </c>
      <c r="F108" s="4" t="str">
        <f>IF(B108="","",IFERROR(VLOOKUP(B108, PLANTA_BASE!A:W, 8, FALSE), "DOCENTE / FACILITADOR"))</f>
        <v>DOC AUX T&amp;T/N/V/TC/COMU SOC Y PERI/FUN.ACADE-ADMIN</v>
      </c>
      <c r="G108" s="4" t="str">
        <f>IF(B108="","",IFERROR(VLOOKUP(B108, PLANTA_BASE!A:W, 9, FALSE), "GENERAL"))</f>
        <v>COMUNICACION SOCIAL Y PERIODISMO</v>
      </c>
      <c r="H108" s="2" t="str">
        <f>IF(B108="","",IFERROR(VLOOKUP(B108, PLANTA_BASE!A:W, 17, FALSE), "GENERAL"))</f>
        <v>COMUNICACION SOCIAL Y PERIODISMO</v>
      </c>
    </row>
    <row r="109" spans="1:8" ht="20.100000000000001" customHeight="1" x14ac:dyDescent="0.25">
      <c r="A109" s="5" t="str">
        <f>IF(B109="","",IFERROR(VLOOKUP(B109, PLANTA_BASE!A:W, 2, FALSE), "NO ENCONTRADO EN PLANTA"))</f>
        <v>VIRTUAL</v>
      </c>
      <c r="B109" s="6" t="s">
        <v>204</v>
      </c>
      <c r="C109" s="7" t="s">
        <v>205</v>
      </c>
      <c r="D109" s="5" t="str">
        <f>IF(B109="","",IFERROR(VLOOKUP(B109, PLANTA_BASE!A:W, 5, FALSE), "NO ENCONTRADO EN PLANTA"))</f>
        <v>REGIONAL META</v>
      </c>
      <c r="E109" s="5" t="str">
        <f>IF(B109="","",IFERROR(VLOOKUP(B109, PLANTA_BASE!A:W, 6, FALSE), "NO ENCONTRADO EN PLANTA"))</f>
        <v>VILLAVICENCIO</v>
      </c>
      <c r="F109" s="7" t="str">
        <f>IF(B109="","",IFERROR(VLOOKUP(B109, PLANTA_BASE!A:W, 8, FALSE), "DOCENTE / FACILITADOR"))</f>
        <v>DOC ASIS/N/V/TC/INVESTIGACIONES/INVESTIG</v>
      </c>
      <c r="G109" s="7" t="str">
        <f>IF(B109="","",IFERROR(VLOOKUP(B109, PLANTA_BASE!A:W, 9, FALSE), "GENERAL"))</f>
        <v>INVESTIGACIONES</v>
      </c>
      <c r="H109" s="5" t="str">
        <f>IF(B109="","",IFERROR(VLOOKUP(B109, PLANTA_BASE!A:W, 17, FALSE), "GENERAL"))</f>
        <v>INVESTIGACIONES</v>
      </c>
    </row>
    <row r="110" spans="1:8" ht="20.100000000000001" customHeight="1" x14ac:dyDescent="0.25">
      <c r="A110" s="2" t="str">
        <f>IF(B110="","",IFERROR(VLOOKUP(B110, PLANTA_BASE!A:W, 2, FALSE), "NO ENCONTRADO EN PLANTA"))</f>
        <v>NO ENCONTRADO EN PLANTA</v>
      </c>
      <c r="B110" s="3" t="s">
        <v>1863</v>
      </c>
      <c r="C110" s="4" t="s">
        <v>53</v>
      </c>
      <c r="D110" s="2" t="str">
        <f>IF(B110="","",IFERROR(VLOOKUP(B110, PLANTA_BASE!A:W, 5, FALSE), "NO ENCONTRADO EN PLANTA"))</f>
        <v>NO ENCONTRADO EN PLANTA</v>
      </c>
      <c r="E110" s="2" t="str">
        <f>IF(B110="","",IFERROR(VLOOKUP(B110, PLANTA_BASE!A:W, 6, FALSE), "NO ENCONTRADO EN PLANTA"))</f>
        <v>NO ENCONTRADO EN PLANTA</v>
      </c>
      <c r="F110" s="4" t="str">
        <f>IF(B110="","",IFERROR(VLOOKUP(B110, PLANTA_BASE!A:W, 8, FALSE), "DOCENTE / FACILITADOR"))</f>
        <v>DOCENTE / FACILITADOR</v>
      </c>
      <c r="G110" s="4" t="str">
        <f>IF(B110="","",IFERROR(VLOOKUP(B110, PLANTA_BASE!A:W, 9, FALSE), "GENERAL"))</f>
        <v>GENERAL</v>
      </c>
      <c r="H110" s="2" t="str">
        <f>IF(B110="","",IFERROR(VLOOKUP(B110, PLANTA_BASE!A:W, 17, FALSE), "GENERAL"))</f>
        <v>GENERAL</v>
      </c>
    </row>
    <row r="111" spans="1:8" ht="20.100000000000001" customHeight="1" x14ac:dyDescent="0.25">
      <c r="A111" s="5" t="str">
        <f>IF(B111="","",IFERROR(VLOOKUP(B111, PLANTA_BASE!A:W, 2, FALSE), "NO ENCONTRADO EN PLANTA"))</f>
        <v>PRESENCIAL</v>
      </c>
      <c r="B111" s="6" t="s">
        <v>102</v>
      </c>
      <c r="C111" s="7" t="s">
        <v>103</v>
      </c>
      <c r="D111" s="5" t="str">
        <f>IF(B111="","",IFERROR(VLOOKUP(B111, PLANTA_BASE!A:W, 5, FALSE), "NO ENCONTRADO EN PLANTA"))</f>
        <v>REGIONAL MAGDALENA</v>
      </c>
      <c r="E111" s="5" t="str">
        <f>IF(B111="","",IFERROR(VLOOKUP(B111, PLANTA_BASE!A:W, 6, FALSE), "NO ENCONTRADO EN PLANTA"))</f>
        <v>SANTA MARTA</v>
      </c>
      <c r="F111" s="7" t="str">
        <f>IF(B111="","",IFERROR(VLOOKUP(B111, PLANTA_BASE!A:W, 8, FALSE), "DOCENTE / FACILITADOR"))</f>
        <v>DOCENTE AUX/N/TC/DIS PROD MOD/FUN.ACADE-ADMIN</v>
      </c>
      <c r="G111" s="7" t="str">
        <f>IF(B111="","",IFERROR(VLOOKUP(B111, PLANTA_BASE!A:W, 9, FALSE), "GENERAL"))</f>
        <v>DISEÑO Y PRODUCCION DE MODAS</v>
      </c>
      <c r="H111" s="5" t="str">
        <f>IF(B111="","",IFERROR(VLOOKUP(B111, PLANTA_BASE!A:W, 17, FALSE), "GENERAL"))</f>
        <v>DISEÑO Y PRODUCCION DE MODAS</v>
      </c>
    </row>
    <row r="112" spans="1:8" ht="20.100000000000001" customHeight="1" x14ac:dyDescent="0.25">
      <c r="A112" s="2" t="str">
        <f>IF(B112="","",IFERROR(VLOOKUP(B112, PLANTA_BASE!A:W, 2, FALSE), "NO ENCONTRADO EN PLANTA"))</f>
        <v>VIRTUAL</v>
      </c>
      <c r="B112" s="3" t="s">
        <v>142</v>
      </c>
      <c r="C112" s="4" t="s">
        <v>143</v>
      </c>
      <c r="D112" s="2" t="str">
        <f>IF(B112="","",IFERROR(VLOOKUP(B112, PLANTA_BASE!A:W, 5, FALSE), "NO ENCONTRADO EN PLANTA"))</f>
        <v>REGIONAL ANTIOQUIA</v>
      </c>
      <c r="E112" s="2" t="str">
        <f>IF(B112="","",IFERROR(VLOOKUP(B112, PLANTA_BASE!A:W, 6, FALSE), "NO ENCONTRADO EN PLANTA"))</f>
        <v>MEDELLIN</v>
      </c>
      <c r="F112" s="4" t="str">
        <f>IF(B112="","",IFERROR(VLOOKUP(B112, PLANTA_BASE!A:W, 8, FALSE), "DOCENTE / FACILITADOR"))</f>
        <v>DOC AUX/N/V/TC/ESP. GERENCIA MARCA/FUN.ACADE-ADMIN</v>
      </c>
      <c r="G112" s="4" t="str">
        <f>IF(B112="","",IFERROR(VLOOKUP(B112, PLANTA_BASE!A:W, 9, FALSE), "GENERAL"))</f>
        <v>ESPECIALIZACION EN GERENCIA DE MARCA</v>
      </c>
      <c r="H112" s="2" t="str">
        <f>IF(B112="","",IFERROR(VLOOKUP(B112, PLANTA_BASE!A:W, 17, FALSE), "GENERAL"))</f>
        <v>ESPECIALIZACION EN GERENCIA DE MARCA</v>
      </c>
    </row>
    <row r="113" spans="1:8" ht="20.100000000000001" customHeight="1" x14ac:dyDescent="0.25">
      <c r="A113" s="5" t="str">
        <f>IF(B113="","",IFERROR(VLOOKUP(B113, PLANTA_BASE!A:W, 2, FALSE), "NO ENCONTRADO EN PLANTA"))</f>
        <v>VIRTUAL</v>
      </c>
      <c r="B113" s="6" t="s">
        <v>62</v>
      </c>
      <c r="C113" s="7" t="s">
        <v>1864</v>
      </c>
      <c r="D113" s="5" t="str">
        <f>IF(B113="","",IFERROR(VLOOKUP(B113, PLANTA_BASE!A:W, 5, FALSE), "NO ENCONTRADO EN PLANTA"))</f>
        <v>REGIONAL SANTANDER</v>
      </c>
      <c r="E113" s="5" t="str">
        <f>IF(B113="","",IFERROR(VLOOKUP(B113, PLANTA_BASE!A:W, 6, FALSE), "NO ENCONTRADO EN PLANTA"))</f>
        <v>BUCARAMANGA</v>
      </c>
      <c r="F113" s="7" t="str">
        <f>IF(B113="","",IFERROR(VLOOKUP(B113, PLANTA_BASE!A:W, 8, FALSE), "DOCENTE / FACILITADOR"))</f>
        <v>DOC ASIS/N/V/TC/PUB Y MERC/FUN.ACADE-ADMIN</v>
      </c>
      <c r="G113" s="7" t="str">
        <f>IF(B113="","",IFERROR(VLOOKUP(B113, PLANTA_BASE!A:W, 9, FALSE), "GENERAL"))</f>
        <v>PUBLICIDAD Y MERCADEO</v>
      </c>
      <c r="H113" s="5" t="str">
        <f>IF(B113="","",IFERROR(VLOOKUP(B113, PLANTA_BASE!A:W, 17, FALSE), "GENERAL"))</f>
        <v>PUBLICIDAD Y MERCADEO</v>
      </c>
    </row>
    <row r="114" spans="1:8" ht="20.100000000000001" customHeight="1" x14ac:dyDescent="0.25">
      <c r="A114" s="2" t="str">
        <f>IF(B114="","",IFERROR(VLOOKUP(B114, PLANTA_BASE!A:W, 2, FALSE), "NO ENCONTRADO EN PLANTA"))</f>
        <v>VIRTUAL</v>
      </c>
      <c r="B114" s="3" t="s">
        <v>330</v>
      </c>
      <c r="C114" s="4" t="s">
        <v>331</v>
      </c>
      <c r="D114" s="2" t="str">
        <f>IF(B114="","",IFERROR(VLOOKUP(B114, PLANTA_BASE!A:W, 5, FALSE), "NO ENCONTRADO EN PLANTA"))</f>
        <v>REGIONAL META</v>
      </c>
      <c r="E114" s="2" t="str">
        <f>IF(B114="","",IFERROR(VLOOKUP(B114, PLANTA_BASE!A:W, 6, FALSE), "NO ENCONTRADO EN PLANTA"))</f>
        <v>VILLAVICENCIO</v>
      </c>
      <c r="F114" s="4" t="str">
        <f>IF(B114="","",IFERROR(VLOOKUP(B114, PLANTA_BASE!A:W, 8, FALSE), "DOCENTE / FACILITADOR"))</f>
        <v>DOC AUX/N/V/TC/ESP GER FINAN/FUN ACADE A</v>
      </c>
      <c r="G114" s="4" t="str">
        <f>IF(B114="","",IFERROR(VLOOKUP(B114, PLANTA_BASE!A:W, 9, FALSE), "GENERAL"))</f>
        <v>ESPECIALIZACION EN GERENCIA FINANCIERA</v>
      </c>
      <c r="H114" s="2" t="str">
        <f>IF(B114="","",IFERROR(VLOOKUP(B114, PLANTA_BASE!A:W, 17, FALSE), "GENERAL"))</f>
        <v>ESPECIALIZACION EN GERENCIA FINANCIERA</v>
      </c>
    </row>
    <row r="115" spans="1:8" ht="20.100000000000001" customHeight="1" x14ac:dyDescent="0.25">
      <c r="A115" s="5" t="str">
        <f>IF(B115="","",IFERROR(VLOOKUP(B115, PLANTA_BASE!A:W, 2, FALSE), "NO ENCONTRADO EN PLANTA"))</f>
        <v>VIRTUAL</v>
      </c>
      <c r="B115" s="6" t="s">
        <v>350</v>
      </c>
      <c r="C115" s="7" t="s">
        <v>351</v>
      </c>
      <c r="D115" s="5" t="str">
        <f>IF(B115="","",IFERROR(VLOOKUP(B115, PLANTA_BASE!A:W, 5, FALSE), "NO ENCONTRADO EN PLANTA"))</f>
        <v>REGIONAL BOYACA</v>
      </c>
      <c r="E115" s="5" t="str">
        <f>IF(B115="","",IFERROR(VLOOKUP(B115, PLANTA_BASE!A:W, 6, FALSE), "NO ENCONTRADO EN PLANTA"))</f>
        <v>TUNJA</v>
      </c>
      <c r="F115" s="7" t="str">
        <f>IF(B115="","",IFERROR(VLOOKUP(B115, PLANTA_BASE!A:W, 8, FALSE), "DOCENTE / FACILITADOR"))</f>
        <v>DOC TITULAR/N/V/MT/CONTADURIA</v>
      </c>
      <c r="G115" s="7" t="str">
        <f>IF(B115="","",IFERROR(VLOOKUP(B115, PLANTA_BASE!A:W, 9, FALSE), "GENERAL"))</f>
        <v>CONTADURIA PUBLICA</v>
      </c>
      <c r="H115" s="5" t="str">
        <f>IF(B115="","",IFERROR(VLOOKUP(B115, PLANTA_BASE!A:W, 17, FALSE), "GENERAL"))</f>
        <v>CONTADURIA PUBLICA</v>
      </c>
    </row>
    <row r="116" spans="1:8" ht="20.100000000000001" customHeight="1" x14ac:dyDescent="0.25">
      <c r="A116" s="2" t="str">
        <f>IF(B116="","",IFERROR(VLOOKUP(B116, PLANTA_BASE!A:W, 2, FALSE), "NO ENCONTRADO EN PLANTA"))</f>
        <v>VIRTUAL</v>
      </c>
      <c r="B116" s="3" t="s">
        <v>116</v>
      </c>
      <c r="C116" s="4" t="s">
        <v>117</v>
      </c>
      <c r="D116" s="2" t="str">
        <f>IF(B116="","",IFERROR(VLOOKUP(B116, PLANTA_BASE!A:W, 5, FALSE), "NO ENCONTRADO EN PLANTA"))</f>
        <v>REGIONAL BOYACA</v>
      </c>
      <c r="E116" s="2" t="str">
        <f>IF(B116="","",IFERROR(VLOOKUP(B116, PLANTA_BASE!A:W, 6, FALSE), "NO ENCONTRADO EN PLANTA"))</f>
        <v>TUNJA</v>
      </c>
      <c r="F116" s="4" t="str">
        <f>IF(B116="","",IFERROR(VLOOKUP(B116, PLANTA_BASE!A:W, 8, FALSE), "DOCENTE / FACILITADOR"))</f>
        <v>DOC ASIS/N/V/MT/CONTADURIA</v>
      </c>
      <c r="G116" s="4" t="str">
        <f>IF(B116="","",IFERROR(VLOOKUP(B116, PLANTA_BASE!A:W, 9, FALSE), "GENERAL"))</f>
        <v>CONTADURIA PUBLICA</v>
      </c>
      <c r="H116" s="2" t="str">
        <f>IF(B116="","",IFERROR(VLOOKUP(B116, PLANTA_BASE!A:W, 17, FALSE), "GENERAL"))</f>
        <v>CONTADURIA PUBLICA</v>
      </c>
    </row>
    <row r="117" spans="1:8" ht="20.100000000000001" customHeight="1" x14ac:dyDescent="0.25">
      <c r="A117" s="5" t="str">
        <f>IF(B117="","",IFERROR(VLOOKUP(B117, PLANTA_BASE!A:W, 2, FALSE), "NO ENCONTRADO EN PLANTA"))</f>
        <v>VIRTUAL</v>
      </c>
      <c r="B117" s="6" t="s">
        <v>230</v>
      </c>
      <c r="C117" s="7" t="s">
        <v>231</v>
      </c>
      <c r="D117" s="5" t="str">
        <f>IF(B117="","",IFERROR(VLOOKUP(B117, PLANTA_BASE!A:W, 5, FALSE), "NO ENCONTRADO EN PLANTA"))</f>
        <v>REGIONAL CORDOBA</v>
      </c>
      <c r="E117" s="5" t="str">
        <f>IF(B117="","",IFERROR(VLOOKUP(B117, PLANTA_BASE!A:W, 6, FALSE), "NO ENCONTRADO EN PLANTA"))</f>
        <v>MONTERIA</v>
      </c>
      <c r="F117" s="7" t="str">
        <f>IF(B117="","",IFERROR(VLOOKUP(B117, PLANTA_BASE!A:W, 8, FALSE), "DOCENTE / FACILITADOR"))</f>
        <v>DOC ASOC/N/V/TC/INVESTIGACIONES/INVESTIG</v>
      </c>
      <c r="G117" s="7" t="str">
        <f>IF(B117="","",IFERROR(VLOOKUP(B117, PLANTA_BASE!A:W, 9, FALSE), "GENERAL"))</f>
        <v>INVESTIGACIONES</v>
      </c>
      <c r="H117" s="5" t="str">
        <f>IF(B117="","",IFERROR(VLOOKUP(B117, PLANTA_BASE!A:W, 17, FALSE), "GENERAL"))</f>
        <v>INVESTIGACIONES</v>
      </c>
    </row>
    <row r="118" spans="1:8" ht="20.100000000000001" customHeight="1" x14ac:dyDescent="0.25">
      <c r="A118" s="2" t="str">
        <f>IF(B118="","",IFERROR(VLOOKUP(B118, PLANTA_BASE!A:W, 2, FALSE), "NO ENCONTRADO EN PLANTA"))</f>
        <v>PRESENCIAL</v>
      </c>
      <c r="B118" s="3" t="s">
        <v>492</v>
      </c>
      <c r="C118" s="4" t="s">
        <v>493</v>
      </c>
      <c r="D118" s="2" t="str">
        <f>IF(B118="","",IFERROR(VLOOKUP(B118, PLANTA_BASE!A:W, 5, FALSE), "NO ENCONTRADO EN PLANTA"))</f>
        <v>REGIONAL CALDAS</v>
      </c>
      <c r="E118" s="2" t="str">
        <f>IF(B118="","",IFERROR(VLOOKUP(B118, PLANTA_BASE!A:W, 6, FALSE), "NO ENCONTRADO EN PLANTA"))</f>
        <v>MANIZALES</v>
      </c>
      <c r="F118" s="4" t="str">
        <f>IF(B118="","",IFERROR(VLOOKUP(B118, PLANTA_BASE!A:W, 8, FALSE), "DOCENTE / FACILITADOR"))</f>
        <v>DOC AUX T&amp;T/N/TC/EMPRENDIMIE/FUN.ACADE-ADMIN</v>
      </c>
      <c r="G118" s="4" t="str">
        <f>IF(B118="","",IFERROR(VLOOKUP(B118, PLANTA_BASE!A:W, 9, FALSE), "GENERAL"))</f>
        <v>EMPRENDIMIENTO</v>
      </c>
      <c r="H118" s="2" t="str">
        <f>IF(B118="","",IFERROR(VLOOKUP(B118, PLANTA_BASE!A:W, 17, FALSE), "GENERAL"))</f>
        <v>EMPRENDIMIENTO</v>
      </c>
    </row>
    <row r="119" spans="1:8" ht="20.100000000000001" customHeight="1" x14ac:dyDescent="0.25">
      <c r="A119" s="5" t="str">
        <f>IF(B119="","",IFERROR(VLOOKUP(B119, PLANTA_BASE!A:W, 2, FALSE), "NO ENCONTRADO EN PLANTA"))</f>
        <v>VIRTUAL</v>
      </c>
      <c r="B119" s="6" t="s">
        <v>312</v>
      </c>
      <c r="C119" s="7" t="s">
        <v>313</v>
      </c>
      <c r="D119" s="5" t="str">
        <f>IF(B119="","",IFERROR(VLOOKUP(B119, PLANTA_BASE!A:W, 5, FALSE), "NO ENCONTRADO EN PLANTA"))</f>
        <v>REGIONAL CUNDINAMARCA</v>
      </c>
      <c r="E119" s="5" t="str">
        <f>IF(B119="","",IFERROR(VLOOKUP(B119, PLANTA_BASE!A:W, 6, FALSE), "NO ENCONTRADO EN PLANTA"))</f>
        <v>CHÍA</v>
      </c>
      <c r="F119" s="7" t="str">
        <f>IF(B119="","",IFERROR(VLOOKUP(B119, PLANTA_BASE!A:W, 8, FALSE), "DOCENTE / FACILITADOR"))</f>
        <v>DOC AUX/N/V/MT/ADM DE EMPRE</v>
      </c>
      <c r="G119" s="7" t="str">
        <f>IF(B119="","",IFERROR(VLOOKUP(B119, PLANTA_BASE!A:W, 9, FALSE), "GENERAL"))</f>
        <v>ADMINISTRACION DE EMPRESAS</v>
      </c>
      <c r="H119" s="5" t="str">
        <f>IF(B119="","",IFERROR(VLOOKUP(B119, PLANTA_BASE!A:W, 17, FALSE), "GENERAL"))</f>
        <v>ADMINISTRACION DE EMPRESAS</v>
      </c>
    </row>
    <row r="120" spans="1:8" ht="20.100000000000001" customHeight="1" x14ac:dyDescent="0.25">
      <c r="A120" s="2" t="str">
        <f>IF(B120="","",IFERROR(VLOOKUP(B120, PLANTA_BASE!A:W, 2, FALSE), "NO ENCONTRADO EN PLANTA"))</f>
        <v>VIRTUAL</v>
      </c>
      <c r="B120" s="3" t="s">
        <v>106</v>
      </c>
      <c r="C120" s="4" t="s">
        <v>1865</v>
      </c>
      <c r="D120" s="2" t="str">
        <f>IF(B120="","",IFERROR(VLOOKUP(B120, PLANTA_BASE!A:W, 5, FALSE), "NO ENCONTRADO EN PLANTA"))</f>
        <v>REGIONAL BOGOTA</v>
      </c>
      <c r="E120" s="2" t="str">
        <f>IF(B120="","",IFERROR(VLOOKUP(B120, PLANTA_BASE!A:W, 6, FALSE), "NO ENCONTRADO EN PLANTA"))</f>
        <v>BOGOTA CENTRO</v>
      </c>
      <c r="F120" s="4" t="str">
        <f>IF(B120="","",IFERROR(VLOOKUP(B120, PLANTA_BASE!A:W, 8, FALSE), "DOCENTE / FACILITADOR"))</f>
        <v>DOC AUX/N/V/TC/ADM DE EMPRE/FUN.ACADE-ADMIN</v>
      </c>
      <c r="G120" s="4" t="str">
        <f>IF(B120="","",IFERROR(VLOOKUP(B120, PLANTA_BASE!A:W, 9, FALSE), "GENERAL"))</f>
        <v>ADMINISTRACION DE EMPRESAS</v>
      </c>
      <c r="H120" s="2" t="str">
        <f>IF(B120="","",IFERROR(VLOOKUP(B120, PLANTA_BASE!A:W, 17, FALSE), "GENERAL"))</f>
        <v>ADMINISTRACION DE EMPRESAS</v>
      </c>
    </row>
    <row r="121" spans="1:8" ht="20.100000000000001" customHeight="1" x14ac:dyDescent="0.25">
      <c r="A121" s="5" t="str">
        <f>IF(B121="","",IFERROR(VLOOKUP(B121, PLANTA_BASE!A:W, 2, FALSE), "NO ENCONTRADO EN PLANTA"))</f>
        <v>VIRTUAL</v>
      </c>
      <c r="B121" s="6" t="s">
        <v>338</v>
      </c>
      <c r="C121" s="7" t="s">
        <v>339</v>
      </c>
      <c r="D121" s="5" t="str">
        <f>IF(B121="","",IFERROR(VLOOKUP(B121, PLANTA_BASE!A:W, 5, FALSE), "NO ENCONTRADO EN PLANTA"))</f>
        <v>REGIONAL META</v>
      </c>
      <c r="E121" s="5" t="str">
        <f>IF(B121="","",IFERROR(VLOOKUP(B121, PLANTA_BASE!A:W, 6, FALSE), "NO ENCONTRADO EN PLANTA"))</f>
        <v>VILLAVICENCIO</v>
      </c>
      <c r="F121" s="7" t="str">
        <f>IF(B121="","",IFERROR(VLOOKUP(B121, PLANTA_BASE!A:W, 8, FALSE), "DOCENTE / FACILITADOR"))</f>
        <v>DOC ASIS/N/V/MT/CONTADURIA</v>
      </c>
      <c r="G121" s="7" t="str">
        <f>IF(B121="","",IFERROR(VLOOKUP(B121, PLANTA_BASE!A:W, 9, FALSE), "GENERAL"))</f>
        <v>CONTADURIA PUBLICA</v>
      </c>
      <c r="H121" s="5" t="str">
        <f>IF(B121="","",IFERROR(VLOOKUP(B121, PLANTA_BASE!A:W, 17, FALSE), "GENERAL"))</f>
        <v>CONTADURIA PUBLICA</v>
      </c>
    </row>
    <row r="122" spans="1:8" ht="20.100000000000001" customHeight="1" x14ac:dyDescent="0.25">
      <c r="A122" s="2" t="str">
        <f>IF(B122="","",IFERROR(VLOOKUP(B122, PLANTA_BASE!A:W, 2, FALSE), "NO ENCONTRADO EN PLANTA"))</f>
        <v>VIRTUAL</v>
      </c>
      <c r="B122" s="3" t="s">
        <v>236</v>
      </c>
      <c r="C122" s="4" t="s">
        <v>1866</v>
      </c>
      <c r="D122" s="2" t="str">
        <f>IF(B122="","",IFERROR(VLOOKUP(B122, PLANTA_BASE!A:W, 5, FALSE), "NO ENCONTRADO EN PLANTA"))</f>
        <v>REGIONAL VALLE DELCAUCA</v>
      </c>
      <c r="E122" s="2" t="str">
        <f>IF(B122="","",IFERROR(VLOOKUP(B122, PLANTA_BASE!A:W, 6, FALSE), "NO ENCONTRADO EN PLANTA"))</f>
        <v>CALI</v>
      </c>
      <c r="F122" s="4" t="str">
        <f>IF(B122="","",IFERROR(VLOOKUP(B122, PLANTA_BASE!A:W, 8, FALSE), "DOCENTE / FACILITADOR"))</f>
        <v>DOC TIT/N/V/TC/ESP EN IA/FUN.ACAD</v>
      </c>
      <c r="G122" s="4" t="str">
        <f>IF(B122="","",IFERROR(VLOOKUP(B122, PLANTA_BASE!A:W, 9, FALSE), "GENERAL"))</f>
        <v>ESPECIALIZACION EN IA</v>
      </c>
      <c r="H122" s="2" t="str">
        <f>IF(B122="","",IFERROR(VLOOKUP(B122, PLANTA_BASE!A:W, 17, FALSE), "GENERAL"))</f>
        <v>ESPECIALIZACION EN IA</v>
      </c>
    </row>
    <row r="123" spans="1:8" ht="20.100000000000001" customHeight="1" x14ac:dyDescent="0.25">
      <c r="A123" s="5" t="str">
        <f>IF(B123="","",IFERROR(VLOOKUP(B123, PLANTA_BASE!A:W, 2, FALSE), "NO ENCONTRADO EN PLANTA"))</f>
        <v>VIRTUAL</v>
      </c>
      <c r="B123" s="6" t="s">
        <v>178</v>
      </c>
      <c r="C123" s="7" t="s">
        <v>179</v>
      </c>
      <c r="D123" s="5" t="str">
        <f>IF(B123="","",IFERROR(VLOOKUP(B123, PLANTA_BASE!A:W, 5, FALSE), "NO ENCONTRADO EN PLANTA"))</f>
        <v>REGIONAL BOLIVAR</v>
      </c>
      <c r="E123" s="5" t="str">
        <f>IF(B123="","",IFERROR(VLOOKUP(B123, PLANTA_BASE!A:W, 6, FALSE), "NO ENCONTRADO EN PLANTA"))</f>
        <v>CARTAGENA</v>
      </c>
      <c r="F123" s="7" t="str">
        <f>IF(B123="","",IFERROR(VLOOKUP(B123, PLANTA_BASE!A:W, 8, FALSE), "DOCENTE / FACILITADOR"))</f>
        <v>DOC TITU/N/V/TC/INVESTIGACIONES/INVESTIG</v>
      </c>
      <c r="G123" s="7" t="str">
        <f>IF(B123="","",IFERROR(VLOOKUP(B123, PLANTA_BASE!A:W, 9, FALSE), "GENERAL"))</f>
        <v>INVESTIGACIONES</v>
      </c>
      <c r="H123" s="5" t="str">
        <f>IF(B123="","",IFERROR(VLOOKUP(B123, PLANTA_BASE!A:W, 17, FALSE), "GENERAL"))</f>
        <v>INVESTIGACIONES</v>
      </c>
    </row>
    <row r="124" spans="1:8" ht="20.100000000000001" customHeight="1" x14ac:dyDescent="0.25">
      <c r="A124" s="2" t="str">
        <f>IF(B124="","",IFERROR(VLOOKUP(B124, PLANTA_BASE!A:W, 2, FALSE), "NO ENCONTRADO EN PLANTA"))</f>
        <v>VIRTUAL</v>
      </c>
      <c r="B124" s="3" t="s">
        <v>322</v>
      </c>
      <c r="C124" s="4" t="s">
        <v>323</v>
      </c>
      <c r="D124" s="2" t="str">
        <f>IF(B124="","",IFERROR(VLOOKUP(B124, PLANTA_BASE!A:W, 5, FALSE), "NO ENCONTRADO EN PLANTA"))</f>
        <v>REGIONAL SANTANDER</v>
      </c>
      <c r="E124" s="2" t="str">
        <f>IF(B124="","",IFERROR(VLOOKUP(B124, PLANTA_BASE!A:W, 6, FALSE), "NO ENCONTRADO EN PLANTA"))</f>
        <v>BUCARAMANGA</v>
      </c>
      <c r="F124" s="4" t="str">
        <f>IF(B124="","",IFERROR(VLOOKUP(B124, PLANTA_BASE!A:W, 8, FALSE), "DOCENTE / FACILITADOR"))</f>
        <v>DOC ASIS/N/V/TC/ING DE SISTEMAS/FUN.ACADE-ADMIN</v>
      </c>
      <c r="G124" s="4" t="str">
        <f>IF(B124="","",IFERROR(VLOOKUP(B124, PLANTA_BASE!A:W, 9, FALSE), "GENERAL"))</f>
        <v>INGENIERIA DE SISTEMAS</v>
      </c>
      <c r="H124" s="2" t="str">
        <f>IF(B124="","",IFERROR(VLOOKUP(B124, PLANTA_BASE!A:W, 17, FALSE), "GENERAL"))</f>
        <v>INGENIERIA DE SISTEMAS</v>
      </c>
    </row>
    <row r="125" spans="1:8" ht="20.100000000000001" customHeight="1" x14ac:dyDescent="0.25">
      <c r="A125" s="5" t="str">
        <f>IF(B125="","",IFERROR(VLOOKUP(B125, PLANTA_BASE!A:W, 2, FALSE), "NO ENCONTRADO EN PLANTA"))</f>
        <v>VIRTUAL</v>
      </c>
      <c r="B125" s="6" t="s">
        <v>144</v>
      </c>
      <c r="C125" s="7" t="s">
        <v>145</v>
      </c>
      <c r="D125" s="5" t="str">
        <f>IF(B125="","",IFERROR(VLOOKUP(B125, PLANTA_BASE!A:W, 5, FALSE), "NO ENCONTRADO EN PLANTA"))</f>
        <v>REGIONAL BOYACA</v>
      </c>
      <c r="E125" s="5" t="str">
        <f>IF(B125="","",IFERROR(VLOOKUP(B125, PLANTA_BASE!A:W, 6, FALSE), "NO ENCONTRADO EN PLANTA"))</f>
        <v>TUNJA</v>
      </c>
      <c r="F125" s="7" t="str">
        <f>IF(B125="","",IFERROR(VLOOKUP(B125, PLANTA_BASE!A:W, 8, FALSE), "DOCENTE / FACILITADOR"))</f>
        <v>DOC AUX/N/V/TC/INVESTIGACIONES/INVESTIGACI</v>
      </c>
      <c r="G125" s="7" t="str">
        <f>IF(B125="","",IFERROR(VLOOKUP(B125, PLANTA_BASE!A:W, 9, FALSE), "GENERAL"))</f>
        <v>INVESTIGACIONES</v>
      </c>
      <c r="H125" s="5" t="str">
        <f>IF(B125="","",IFERROR(VLOOKUP(B125, PLANTA_BASE!A:W, 17, FALSE), "GENERAL"))</f>
        <v>INVESTIGACIONES</v>
      </c>
    </row>
    <row r="126" spans="1:8" ht="20.100000000000001" customHeight="1" x14ac:dyDescent="0.25">
      <c r="A126" s="2" t="str">
        <f>IF(B126="","",IFERROR(VLOOKUP(B126, PLANTA_BASE!A:W, 2, FALSE), "NO ENCONTRADO EN PLANTA"))</f>
        <v>VIRTUAL</v>
      </c>
      <c r="B126" s="3" t="s">
        <v>452</v>
      </c>
      <c r="C126" s="4" t="s">
        <v>1867</v>
      </c>
      <c r="D126" s="2" t="str">
        <f>IF(B126="","",IFERROR(VLOOKUP(B126, PLANTA_BASE!A:W, 5, FALSE), "NO ENCONTRADO EN PLANTA"))</f>
        <v>REGIONAL NORTE DE SANTANDER</v>
      </c>
      <c r="E126" s="2" t="str">
        <f>IF(B126="","",IFERROR(VLOOKUP(B126, PLANTA_BASE!A:W, 6, FALSE), "NO ENCONTRADO EN PLANTA"))</f>
        <v>CUCUTÁ</v>
      </c>
      <c r="F126" s="4" t="str">
        <f>IF(B126="","",IFERROR(VLOOKUP(B126, PLANTA_BASE!A:W, 8, FALSE), "DOCENTE / FACILITADOR"))</f>
        <v>DOC ASIS/N/V/TC/ING INDUS/PROYECCION SO</v>
      </c>
      <c r="G126" s="4" t="str">
        <f>IF(B126="","",IFERROR(VLOOKUP(B126, PLANTA_BASE!A:W, 9, FALSE), "GENERAL"))</f>
        <v>INGENIERIA INDUSTRIAL</v>
      </c>
      <c r="H126" s="2" t="str">
        <f>IF(B126="","",IFERROR(VLOOKUP(B126, PLANTA_BASE!A:W, 17, FALSE), "GENERAL"))</f>
        <v>INGENIERIA INDUSTRIAL</v>
      </c>
    </row>
    <row r="127" spans="1:8" ht="20.100000000000001" customHeight="1" x14ac:dyDescent="0.25">
      <c r="A127" s="5" t="str">
        <f>IF(B127="","",IFERROR(VLOOKUP(B127, PLANTA_BASE!A:W, 2, FALSE), "NO ENCONTRADO EN PLANTA"))</f>
        <v>VIRTUAL</v>
      </c>
      <c r="B127" s="6" t="s">
        <v>434</v>
      </c>
      <c r="C127" s="7" t="s">
        <v>1868</v>
      </c>
      <c r="D127" s="5" t="str">
        <f>IF(B127="","",IFERROR(VLOOKUP(B127, PLANTA_BASE!A:W, 5, FALSE), "NO ENCONTRADO EN PLANTA"))</f>
        <v>REGIONAL NARIñO</v>
      </c>
      <c r="E127" s="5" t="str">
        <f>IF(B127="","",IFERROR(VLOOKUP(B127, PLANTA_BASE!A:W, 6, FALSE), "NO ENCONTRADO EN PLANTA"))</f>
        <v>IPIALES</v>
      </c>
      <c r="F127" s="7" t="str">
        <f>IF(B127="","",IFERROR(VLOOKUP(B127, PLANTA_BASE!A:W, 8, FALSE), "DOCENTE / FACILITADOR"))</f>
        <v>DOC AUX/N/V/MT/CONTADURIA</v>
      </c>
      <c r="G127" s="7" t="str">
        <f>IF(B127="","",IFERROR(VLOOKUP(B127, PLANTA_BASE!A:W, 9, FALSE), "GENERAL"))</f>
        <v>CONTADURIA PUBLICA</v>
      </c>
      <c r="H127" s="5" t="str">
        <f>IF(B127="","",IFERROR(VLOOKUP(B127, PLANTA_BASE!A:W, 17, FALSE), "GENERAL"))</f>
        <v>CONTADURIA PUBLICA</v>
      </c>
    </row>
    <row r="128" spans="1:8" ht="20.100000000000001" customHeight="1" x14ac:dyDescent="0.25">
      <c r="A128" s="2" t="str">
        <f>IF(B128="","",IFERROR(VLOOKUP(B128, PLANTA_BASE!A:W, 2, FALSE), "NO ENCONTRADO EN PLANTA"))</f>
        <v>NO ENCONTRADO EN PLANTA</v>
      </c>
      <c r="B128" s="3" t="s">
        <v>1851</v>
      </c>
      <c r="C128" s="4" t="s">
        <v>1852</v>
      </c>
      <c r="D128" s="2" t="str">
        <f>IF(B128="","",IFERROR(VLOOKUP(B128, PLANTA_BASE!A:W, 5, FALSE), "NO ENCONTRADO EN PLANTA"))</f>
        <v>NO ENCONTRADO EN PLANTA</v>
      </c>
      <c r="E128" s="2" t="str">
        <f>IF(B128="","",IFERROR(VLOOKUP(B128, PLANTA_BASE!A:W, 6, FALSE), "NO ENCONTRADO EN PLANTA"))</f>
        <v>NO ENCONTRADO EN PLANTA</v>
      </c>
      <c r="F128" s="4" t="str">
        <f>IF(B128="","",IFERROR(VLOOKUP(B128, PLANTA_BASE!A:W, 8, FALSE), "DOCENTE / FACILITADOR"))</f>
        <v>DOCENTE / FACILITADOR</v>
      </c>
      <c r="G128" s="4" t="str">
        <f>IF(B128="","",IFERROR(VLOOKUP(B128, PLANTA_BASE!A:W, 9, FALSE), "GENERAL"))</f>
        <v>GENERAL</v>
      </c>
      <c r="H128" s="2" t="str">
        <f>IF(B128="","",IFERROR(VLOOKUP(B128, PLANTA_BASE!A:W, 17, FALSE), "GENERAL"))</f>
        <v>GENERAL</v>
      </c>
    </row>
    <row r="129" spans="1:8" ht="20.100000000000001" customHeight="1" x14ac:dyDescent="0.25">
      <c r="A129" s="5" t="str">
        <f>IF(B129="","",IFERROR(VLOOKUP(B129, PLANTA_BASE!A:W, 2, FALSE), "NO ENCONTRADO EN PLANTA"))</f>
        <v>VIRTUAL</v>
      </c>
      <c r="B129" s="6" t="s">
        <v>516</v>
      </c>
      <c r="C129" s="7" t="s">
        <v>517</v>
      </c>
      <c r="D129" s="5" t="str">
        <f>IF(B129="","",IFERROR(VLOOKUP(B129, PLANTA_BASE!A:W, 5, FALSE), "NO ENCONTRADO EN PLANTA"))</f>
        <v>REGIONAL VALLE DELCAUCA</v>
      </c>
      <c r="E129" s="5" t="str">
        <f>IF(B129="","",IFERROR(VLOOKUP(B129, PLANTA_BASE!A:W, 6, FALSE), "NO ENCONTRADO EN PLANTA"))</f>
        <v>CALI</v>
      </c>
      <c r="F129" s="7" t="str">
        <f>IF(B129="","",IFERROR(VLOOKUP(B129, PLANTA_BASE!A:W, 8, FALSE), "DOCENTE / FACILITADOR"))</f>
        <v>DOC AUX T&amp;T/N/V/TC/COMU SOC Y PERI/FUN.ACADE-ADMIN</v>
      </c>
      <c r="G129" s="7" t="str">
        <f>IF(B129="","",IFERROR(VLOOKUP(B129, PLANTA_BASE!A:W, 9, FALSE), "GENERAL"))</f>
        <v>COMUNICACION SOCIAL Y PERIODISMO</v>
      </c>
      <c r="H129" s="5" t="str">
        <f>IF(B129="","",IFERROR(VLOOKUP(B129, PLANTA_BASE!A:W, 17, FALSE), "GENERAL"))</f>
        <v>COMUNICACION SOCIAL Y PERIODISMO</v>
      </c>
    </row>
    <row r="130" spans="1:8" ht="20.100000000000001" customHeight="1" x14ac:dyDescent="0.25">
      <c r="A130" s="2" t="str">
        <f>IF(B130="","",IFERROR(VLOOKUP(B130, PLANTA_BASE!A:W, 2, FALSE), "NO ENCONTRADO EN PLANTA"))</f>
        <v>VIRTUAL</v>
      </c>
      <c r="B130" s="3" t="s">
        <v>296</v>
      </c>
      <c r="C130" s="4" t="s">
        <v>297</v>
      </c>
      <c r="D130" s="2" t="str">
        <f>IF(B130="","",IFERROR(VLOOKUP(B130, PLANTA_BASE!A:W, 5, FALSE), "NO ENCONTRADO EN PLANTA"))</f>
        <v>REGIONAL BOYACA</v>
      </c>
      <c r="E130" s="2" t="str">
        <f>IF(B130="","",IFERROR(VLOOKUP(B130, PLANTA_BASE!A:W, 6, FALSE), "NO ENCONTRADO EN PLANTA"))</f>
        <v>TUNJA</v>
      </c>
      <c r="F130" s="4" t="str">
        <f>IF(B130="","",IFERROR(VLOOKUP(B130, PLANTA_BASE!A:W, 8, FALSE), "DOCENTE / FACILITADOR"))</f>
        <v>DOC ASIS/N/V/TC/CIENCIAS BASI/FUN.ACADE-ADMIN</v>
      </c>
      <c r="G130" s="4" t="str">
        <f>IF(B130="","",IFERROR(VLOOKUP(B130, PLANTA_BASE!A:W, 9, FALSE), "GENERAL"))</f>
        <v>CIENCIAS BASICAS</v>
      </c>
      <c r="H130" s="2" t="str">
        <f>IF(B130="","",IFERROR(VLOOKUP(B130, PLANTA_BASE!A:W, 17, FALSE), "GENERAL"))</f>
        <v>CIENCIAS BASICAS</v>
      </c>
    </row>
    <row r="131" spans="1:8" ht="20.100000000000001" customHeight="1" x14ac:dyDescent="0.25">
      <c r="A131" s="5" t="str">
        <f>IF(B131="","",IFERROR(VLOOKUP(B131, PLANTA_BASE!A:W, 2, FALSE), "NO ENCONTRADO EN PLANTA"))</f>
        <v>VIRTUAL</v>
      </c>
      <c r="B131" s="6" t="s">
        <v>40</v>
      </c>
      <c r="C131" s="7" t="s">
        <v>41</v>
      </c>
      <c r="D131" s="5" t="str">
        <f>IF(B131="","",IFERROR(VLOOKUP(B131, PLANTA_BASE!A:W, 5, FALSE), "NO ENCONTRADO EN PLANTA"))</f>
        <v>REGIONAL SANTANDER</v>
      </c>
      <c r="E131" s="5" t="str">
        <f>IF(B131="","",IFERROR(VLOOKUP(B131, PLANTA_BASE!A:W, 6, FALSE), "NO ENCONTRADO EN PLANTA"))</f>
        <v>BUCARAMANGA</v>
      </c>
      <c r="F131" s="7" t="str">
        <f>IF(B131="","",IFERROR(VLOOKUP(B131, PLANTA_BASE!A:W, 8, FALSE), "DOCENTE / FACILITADOR"))</f>
        <v>DOC ASOC/N/V/TC/INVESTIGACIONES/INVESTIG</v>
      </c>
      <c r="G131" s="7" t="str">
        <f>IF(B131="","",IFERROR(VLOOKUP(B131, PLANTA_BASE!A:W, 9, FALSE), "GENERAL"))</f>
        <v>INVESTIGACIONES</v>
      </c>
      <c r="H131" s="5" t="str">
        <f>IF(B131="","",IFERROR(VLOOKUP(B131, PLANTA_BASE!A:W, 17, FALSE), "GENERAL"))</f>
        <v>INVESTIGACIONES</v>
      </c>
    </row>
    <row r="132" spans="1:8" ht="20.100000000000001" customHeight="1" x14ac:dyDescent="0.25">
      <c r="A132" s="2" t="str">
        <f>IF(B132="","",IFERROR(VLOOKUP(B132, PLANTA_BASE!A:W, 2, FALSE), "NO ENCONTRADO EN PLANTA"))</f>
        <v>VIRTUAL</v>
      </c>
      <c r="B132" s="3" t="s">
        <v>276</v>
      </c>
      <c r="C132" s="4" t="s">
        <v>277</v>
      </c>
      <c r="D132" s="2" t="str">
        <f>IF(B132="","",IFERROR(VLOOKUP(B132, PLANTA_BASE!A:W, 5, FALSE), "NO ENCONTRADO EN PLANTA"))</f>
        <v>REGIONAL BOLIVAR</v>
      </c>
      <c r="E132" s="2" t="str">
        <f>IF(B132="","",IFERROR(VLOOKUP(B132, PLANTA_BASE!A:W, 6, FALSE), "NO ENCONTRADO EN PLANTA"))</f>
        <v>CARTAGENA</v>
      </c>
      <c r="F132" s="4" t="str">
        <f>IF(B132="","",IFERROR(VLOOKUP(B132, PLANTA_BASE!A:W, 8, FALSE), "DOCENTE / FACILITADOR"))</f>
        <v>DOC ASIS/N/V/TC/ESP CONTRA ESTATAL/FUN.A</v>
      </c>
      <c r="G132" s="4" t="str">
        <f>IF(B132="","",IFERROR(VLOOKUP(B132, PLANTA_BASE!A:W, 9, FALSE), "GENERAL"))</f>
        <v>ESPECIALIZACION DE CONTRATACION ESTATAL</v>
      </c>
      <c r="H132" s="2" t="str">
        <f>IF(B132="","",IFERROR(VLOOKUP(B132, PLANTA_BASE!A:W, 17, FALSE), "GENERAL"))</f>
        <v>ESPECIALIZACION DE CONTRATACION ESTATAL</v>
      </c>
    </row>
    <row r="133" spans="1:8" ht="20.100000000000001" customHeight="1" x14ac:dyDescent="0.25">
      <c r="A133" s="5" t="str">
        <f>IF(B133="","",IFERROR(VLOOKUP(B133, PLANTA_BASE!A:W, 2, FALSE), "NO ENCONTRADO EN PLANTA"))</f>
        <v>VIRTUAL</v>
      </c>
      <c r="B133" s="6" t="s">
        <v>132</v>
      </c>
      <c r="C133" s="7" t="s">
        <v>1838</v>
      </c>
      <c r="D133" s="5" t="str">
        <f>IF(B133="","",IFERROR(VLOOKUP(B133, PLANTA_BASE!A:W, 5, FALSE), "NO ENCONTRADO EN PLANTA"))</f>
        <v>REGIONAL SANTANDER</v>
      </c>
      <c r="E133" s="5" t="str">
        <f>IF(B133="","",IFERROR(VLOOKUP(B133, PLANTA_BASE!A:W, 6, FALSE), "NO ENCONTRADO EN PLANTA"))</f>
        <v>BUCARAMANGA</v>
      </c>
      <c r="F133" s="7" t="str">
        <f>IF(B133="","",IFERROR(VLOOKUP(B133, PLANTA_BASE!A:W, 8, FALSE), "DOCENTE / FACILITADOR"))</f>
        <v>DOC ASIS/N/V/MT/CONTADURIA</v>
      </c>
      <c r="G133" s="7" t="str">
        <f>IF(B133="","",IFERROR(VLOOKUP(B133, PLANTA_BASE!A:W, 9, FALSE), "GENERAL"))</f>
        <v>CONTADURIA PUBLICA</v>
      </c>
      <c r="H133" s="5" t="str">
        <f>IF(B133="","",IFERROR(VLOOKUP(B133, PLANTA_BASE!A:W, 17, FALSE), "GENERAL"))</f>
        <v>CONTADURIA PUBLICA</v>
      </c>
    </row>
    <row r="134" spans="1:8" ht="20.100000000000001" customHeight="1" x14ac:dyDescent="0.25">
      <c r="A134" s="2" t="str">
        <f>IF(B134="","",IFERROR(VLOOKUP(B134, PLANTA_BASE!A:W, 2, FALSE), "NO ENCONTRADO EN PLANTA"))</f>
        <v>VIRTUAL</v>
      </c>
      <c r="B134" s="3" t="s">
        <v>264</v>
      </c>
      <c r="C134" s="4" t="s">
        <v>265</v>
      </c>
      <c r="D134" s="2" t="str">
        <f>IF(B134="","",IFERROR(VLOOKUP(B134, PLANTA_BASE!A:W, 5, FALSE), "NO ENCONTRADO EN PLANTA"))</f>
        <v>REGIONAL SANTANDER</v>
      </c>
      <c r="E134" s="2" t="str">
        <f>IF(B134="","",IFERROR(VLOOKUP(B134, PLANTA_BASE!A:W, 6, FALSE), "NO ENCONTRADO EN PLANTA"))</f>
        <v>BUCARAMANGA</v>
      </c>
      <c r="F134" s="4" t="str">
        <f>IF(B134="","",IFERROR(VLOOKUP(B134, PLANTA_BASE!A:W, 8, FALSE), "DOCENTE / FACILITADOR"))</f>
        <v>DOC AUX/N/V/TC/ESP DES Y GEST TAL HUM/PR</v>
      </c>
      <c r="G134" s="4" t="str">
        <f>IF(B134="","",IFERROR(VLOOKUP(B134, PLANTA_BASE!A:W, 9, FALSE), "GENERAL"))</f>
        <v>ESPECIALIZACION EN DESARROLLO ORGANIZACIONAL Y GESTION DEL TALENTO HUMANO</v>
      </c>
      <c r="H134" s="2" t="str">
        <f>IF(B134="","",IFERROR(VLOOKUP(B134, PLANTA_BASE!A:W, 17, FALSE), "GENERAL"))</f>
        <v>ESPECIALIZACION EN DESARROLLO ORGANIZACIONAL Y GESTION DEL TALENTO HUMANO</v>
      </c>
    </row>
    <row r="135" spans="1:8" ht="20.100000000000001" customHeight="1" x14ac:dyDescent="0.25">
      <c r="A135" s="5" t="str">
        <f>IF(B135="","",IFERROR(VLOOKUP(B135, PLANTA_BASE!A:W, 2, FALSE), "NO ENCONTRADO EN PLANTA"))</f>
        <v>VIRTUAL</v>
      </c>
      <c r="B135" s="6" t="s">
        <v>60</v>
      </c>
      <c r="C135" s="7" t="s">
        <v>61</v>
      </c>
      <c r="D135" s="5" t="str">
        <f>IF(B135="","",IFERROR(VLOOKUP(B135, PLANTA_BASE!A:W, 5, FALSE), "NO ENCONTRADO EN PLANTA"))</f>
        <v>REGIONAL VALLE DELCAUCA</v>
      </c>
      <c r="E135" s="5" t="str">
        <f>IF(B135="","",IFERROR(VLOOKUP(B135, PLANTA_BASE!A:W, 6, FALSE), "NO ENCONTRADO EN PLANTA"))</f>
        <v>CALI</v>
      </c>
      <c r="F135" s="7" t="str">
        <f>IF(B135="","",IFERROR(VLOOKUP(B135, PLANTA_BASE!A:W, 8, FALSE), "DOCENTE / FACILITADOR"))</f>
        <v>DOC AUX/N/V/TC/INVESTIGACIONES/INVESTIGACI</v>
      </c>
      <c r="G135" s="7" t="str">
        <f>IF(B135="","",IFERROR(VLOOKUP(B135, PLANTA_BASE!A:W, 9, FALSE), "GENERAL"))</f>
        <v>INVESTIGACIONES</v>
      </c>
      <c r="H135" s="5" t="str">
        <f>IF(B135="","",IFERROR(VLOOKUP(B135, PLANTA_BASE!A:W, 17, FALSE), "GENERAL"))</f>
        <v>INVESTIGACIONES</v>
      </c>
    </row>
    <row r="136" spans="1:8" ht="20.100000000000001" customHeight="1" x14ac:dyDescent="0.25">
      <c r="A136" s="2" t="str">
        <f>IF(B136="","",IFERROR(VLOOKUP(B136, PLANTA_BASE!A:W, 2, FALSE), "NO ENCONTRADO EN PLANTA"))</f>
        <v>VIRTUAL</v>
      </c>
      <c r="B136" s="3" t="s">
        <v>44</v>
      </c>
      <c r="C136" s="4" t="s">
        <v>45</v>
      </c>
      <c r="D136" s="2" t="str">
        <f>IF(B136="","",IFERROR(VLOOKUP(B136, PLANTA_BASE!A:W, 5, FALSE), "NO ENCONTRADO EN PLANTA"))</f>
        <v>REGIONAL SUCRE</v>
      </c>
      <c r="E136" s="2" t="str">
        <f>IF(B136="","",IFERROR(VLOOKUP(B136, PLANTA_BASE!A:W, 6, FALSE), "NO ENCONTRADO EN PLANTA"))</f>
        <v>SINCELEJO</v>
      </c>
      <c r="F136" s="4" t="str">
        <f>IF(B136="","",IFERROR(VLOOKUP(B136, PLANTA_BASE!A:W, 8, FALSE), "DOCENTE / FACILITADOR"))</f>
        <v>DOC AUX/N/V/TC/INVESTIGACIONES/INVESTIGACI</v>
      </c>
      <c r="G136" s="4" t="str">
        <f>IF(B136="","",IFERROR(VLOOKUP(B136, PLANTA_BASE!A:W, 9, FALSE), "GENERAL"))</f>
        <v>INVESTIGACIONES</v>
      </c>
      <c r="H136" s="2" t="str">
        <f>IF(B136="","",IFERROR(VLOOKUP(B136, PLANTA_BASE!A:W, 17, FALSE), "GENERAL"))</f>
        <v>INVESTIGACIONES</v>
      </c>
    </row>
    <row r="137" spans="1:8" ht="20.100000000000001" customHeight="1" x14ac:dyDescent="0.25">
      <c r="A137" s="5" t="str">
        <f>IF(B137="","",IFERROR(VLOOKUP(B137, PLANTA_BASE!A:W, 2, FALSE), "NO ENCONTRADO EN PLANTA"))</f>
        <v>VIRTUAL</v>
      </c>
      <c r="B137" s="6" t="s">
        <v>138</v>
      </c>
      <c r="C137" s="7" t="s">
        <v>139</v>
      </c>
      <c r="D137" s="5" t="str">
        <f>IF(B137="","",IFERROR(VLOOKUP(B137, PLANTA_BASE!A:W, 5, FALSE), "NO ENCONTRADO EN PLANTA"))</f>
        <v>REGIONAL SANTANDER</v>
      </c>
      <c r="E137" s="5" t="str">
        <f>IF(B137="","",IFERROR(VLOOKUP(B137, PLANTA_BASE!A:W, 6, FALSE), "NO ENCONTRADO EN PLANTA"))</f>
        <v>BUCARAMANGA</v>
      </c>
      <c r="F137" s="7" t="str">
        <f>IF(B137="","",IFERROR(VLOOKUP(B137, PLANTA_BASE!A:W, 8, FALSE), "DOCENTE / FACILITADOR"))</f>
        <v>DOC TIT/N/V/MT/ESP ALTA GEREN</v>
      </c>
      <c r="G137" s="7" t="str">
        <f>IF(B137="","",IFERROR(VLOOKUP(B137, PLANTA_BASE!A:W, 9, FALSE), "GENERAL"))</f>
        <v>ESPECIALIZACION EN ALTA GERENCIA</v>
      </c>
      <c r="H137" s="5" t="str">
        <f>IF(B137="","",IFERROR(VLOOKUP(B137, PLANTA_BASE!A:W, 17, FALSE), "GENERAL"))</f>
        <v>ESPECIALIZACION EN ALTA GERENCIA</v>
      </c>
    </row>
    <row r="138" spans="1:8" ht="20.100000000000001" customHeight="1" x14ac:dyDescent="0.25">
      <c r="A138" s="2" t="str">
        <f>IF(B138="","",IFERROR(VLOOKUP(B138, PLANTA_BASE!A:W, 2, FALSE), "NO ENCONTRADO EN PLANTA"))</f>
        <v>VIRTUAL</v>
      </c>
      <c r="B138" s="3" t="s">
        <v>58</v>
      </c>
      <c r="C138" s="4" t="s">
        <v>59</v>
      </c>
      <c r="D138" s="2" t="str">
        <f>IF(B138="","",IFERROR(VLOOKUP(B138, PLANTA_BASE!A:W, 5, FALSE), "NO ENCONTRADO EN PLANTA"))</f>
        <v>REGIONAL VALLE DELCAUCA</v>
      </c>
      <c r="E138" s="2" t="str">
        <f>IF(B138="","",IFERROR(VLOOKUP(B138, PLANTA_BASE!A:W, 6, FALSE), "NO ENCONTRADO EN PLANTA"))</f>
        <v>CALI</v>
      </c>
      <c r="F138" s="4" t="str">
        <f>IF(B138="","",IFERROR(VLOOKUP(B138, PLANTA_BASE!A:W, 8, FALSE), "DOCENTE / FACILITADOR"))</f>
        <v>DOC ASOC/N/V/TC/INVESTIGACIONES/INVESTIGAC</v>
      </c>
      <c r="G138" s="4" t="str">
        <f>IF(B138="","",IFERROR(VLOOKUP(B138, PLANTA_BASE!A:W, 9, FALSE), "GENERAL"))</f>
        <v>INVESTIGACIONES</v>
      </c>
      <c r="H138" s="2" t="str">
        <f>IF(B138="","",IFERROR(VLOOKUP(B138, PLANTA_BASE!A:W, 17, FALSE), "GENERAL"))</f>
        <v>INVESTIGACIONES</v>
      </c>
    </row>
    <row r="139" spans="1:8" ht="20.100000000000001" customHeight="1" x14ac:dyDescent="0.25">
      <c r="A139" s="5" t="str">
        <f>IF(B139="","",IFERROR(VLOOKUP(B139, PLANTA_BASE!A:W, 2, FALSE), "NO ENCONTRADO EN PLANTA"))</f>
        <v>PRESENCIAL</v>
      </c>
      <c r="B139" s="6" t="s">
        <v>252</v>
      </c>
      <c r="C139" s="7" t="s">
        <v>253</v>
      </c>
      <c r="D139" s="5" t="str">
        <f>IF(B139="","",IFERROR(VLOOKUP(B139, PLANTA_BASE!A:W, 5, FALSE), "NO ENCONTRADO EN PLANTA"))</f>
        <v>REGIONAL MAGDALENA</v>
      </c>
      <c r="E139" s="5" t="str">
        <f>IF(B139="","",IFERROR(VLOOKUP(B139, PLANTA_BASE!A:W, 6, FALSE), "NO ENCONTRADO EN PLANTA"))</f>
        <v>SANTA MARTA</v>
      </c>
      <c r="F139" s="7" t="str">
        <f>IF(B139="","",IFERROR(VLOOKUP(B139, PLANTA_BASE!A:W, 8, FALSE), "DOCENTE / FACILITADOR"))</f>
        <v>DOCENTE AUX/N/MT/ADM EM</v>
      </c>
      <c r="G139" s="7" t="str">
        <f>IF(B139="","",IFERROR(VLOOKUP(B139, PLANTA_BASE!A:W, 9, FALSE), "GENERAL"))</f>
        <v>ADMINISTRACION DE EMPRESAS</v>
      </c>
      <c r="H139" s="5" t="str">
        <f>IF(B139="","",IFERROR(VLOOKUP(B139, PLANTA_BASE!A:W, 17, FALSE), "GENERAL"))</f>
        <v>ADMINISTRACION DE EMPRESAS</v>
      </c>
    </row>
    <row r="140" spans="1:8" ht="20.100000000000001" customHeight="1" x14ac:dyDescent="0.25">
      <c r="A140" s="2" t="str">
        <f>IF(B140="","",IFERROR(VLOOKUP(B140, PLANTA_BASE!A:W, 2, FALSE), "NO ENCONTRADO EN PLANTA"))</f>
        <v>PRESENCIAL</v>
      </c>
      <c r="B140" s="3" t="s">
        <v>154</v>
      </c>
      <c r="C140" s="4" t="s">
        <v>155</v>
      </c>
      <c r="D140" s="2" t="str">
        <f>IF(B140="","",IFERROR(VLOOKUP(B140, PLANTA_BASE!A:W, 5, FALSE), "NO ENCONTRADO EN PLANTA"))</f>
        <v>REGIONAL MAGDALENA</v>
      </c>
      <c r="E140" s="2" t="str">
        <f>IF(B140="","",IFERROR(VLOOKUP(B140, PLANTA_BASE!A:W, 6, FALSE), "NO ENCONTRADO EN PLANTA"))</f>
        <v>SANTA MARTA</v>
      </c>
      <c r="F140" s="4" t="str">
        <f>IF(B140="","",IFERROR(VLOOKUP(B140, PLANTA_BASE!A:W, 8, FALSE), "DOCENTE / FACILITADOR"))</f>
        <v>DOCENTE ASOC/N/TC/INVESTIGA/INVESTIGACIO</v>
      </c>
      <c r="G140" s="4" t="str">
        <f>IF(B140="","",IFERROR(VLOOKUP(B140, PLANTA_BASE!A:W, 9, FALSE), "GENERAL"))</f>
        <v>INVESTIGACIONES</v>
      </c>
      <c r="H140" s="2" t="str">
        <f>IF(B140="","",IFERROR(VLOOKUP(B140, PLANTA_BASE!A:W, 17, FALSE), "GENERAL"))</f>
        <v>INVESTIGACIONES</v>
      </c>
    </row>
    <row r="141" spans="1:8" ht="20.100000000000001" customHeight="1" x14ac:dyDescent="0.25">
      <c r="A141" s="5" t="str">
        <f>IF(B141="","",IFERROR(VLOOKUP(B141, PLANTA_BASE!A:W, 2, FALSE), "NO ENCONTRADO EN PLANTA"))</f>
        <v>NO ENCONTRADO EN PLANTA</v>
      </c>
      <c r="B141" s="6" t="s">
        <v>1869</v>
      </c>
      <c r="C141" s="7" t="s">
        <v>1870</v>
      </c>
      <c r="D141" s="5" t="str">
        <f>IF(B141="","",IFERROR(VLOOKUP(B141, PLANTA_BASE!A:W, 5, FALSE), "NO ENCONTRADO EN PLANTA"))</f>
        <v>NO ENCONTRADO EN PLANTA</v>
      </c>
      <c r="E141" s="5" t="str">
        <f>IF(B141="","",IFERROR(VLOOKUP(B141, PLANTA_BASE!A:W, 6, FALSE), "NO ENCONTRADO EN PLANTA"))</f>
        <v>NO ENCONTRADO EN PLANTA</v>
      </c>
      <c r="F141" s="7" t="str">
        <f>IF(B141="","",IFERROR(VLOOKUP(B141, PLANTA_BASE!A:W, 8, FALSE), "DOCENTE / FACILITADOR"))</f>
        <v>DOCENTE / FACILITADOR</v>
      </c>
      <c r="G141" s="7" t="str">
        <f>IF(B141="","",IFERROR(VLOOKUP(B141, PLANTA_BASE!A:W, 9, FALSE), "GENERAL"))</f>
        <v>GENERAL</v>
      </c>
      <c r="H141" s="5" t="str">
        <f>IF(B141="","",IFERROR(VLOOKUP(B141, PLANTA_BASE!A:W, 17, FALSE), "GENERAL"))</f>
        <v>GENERAL</v>
      </c>
    </row>
    <row r="142" spans="1:8" ht="20.100000000000001" customHeight="1" x14ac:dyDescent="0.25">
      <c r="A142" s="2" t="str">
        <f>IF(B142="","",IFERROR(VLOOKUP(B142, PLANTA_BASE!A:W, 2, FALSE), "NO ENCONTRADO EN PLANTA"))</f>
        <v>PRESENCIAL</v>
      </c>
      <c r="B142" s="3" t="s">
        <v>302</v>
      </c>
      <c r="C142" s="4" t="s">
        <v>303</v>
      </c>
      <c r="D142" s="2" t="str">
        <f>IF(B142="","",IFERROR(VLOOKUP(B142, PLANTA_BASE!A:W, 5, FALSE), "NO ENCONTRADO EN PLANTA"))</f>
        <v>REGIONAL MAGDALENA</v>
      </c>
      <c r="E142" s="2" t="str">
        <f>IF(B142="","",IFERROR(VLOOKUP(B142, PLANTA_BASE!A:W, 6, FALSE), "NO ENCONTRADO EN PLANTA"))</f>
        <v>SANTA MARTA</v>
      </c>
      <c r="F142" s="4" t="str">
        <f>IF(B142="","",IFERROR(VLOOKUP(B142, PLANTA_BASE!A:W, 8, FALSE), "DOCENTE / FACILITADOR"))</f>
        <v>DOCENTE AUX/N/TC/DIS GRAFICO/FUN.ACADE-ADMIN</v>
      </c>
      <c r="G142" s="4" t="str">
        <f>IF(B142="","",IFERROR(VLOOKUP(B142, PLANTA_BASE!A:W, 9, FALSE), "GENERAL"))</f>
        <v>DISEÑO GRAFICO</v>
      </c>
      <c r="H142" s="2" t="str">
        <f>IF(B142="","",IFERROR(VLOOKUP(B142, PLANTA_BASE!A:W, 17, FALSE), "GENERAL"))</f>
        <v>DISEÑO GRAFICO</v>
      </c>
    </row>
    <row r="143" spans="1:8" ht="20.100000000000001" customHeight="1" x14ac:dyDescent="0.25">
      <c r="A143" s="5" t="str">
        <f>IF(B143="","",IFERROR(VLOOKUP(B143, PLANTA_BASE!A:W, 2, FALSE), "NO ENCONTRADO EN PLANTA"))</f>
        <v>VIRTUAL</v>
      </c>
      <c r="B143" s="6" t="s">
        <v>178</v>
      </c>
      <c r="C143" s="7" t="s">
        <v>179</v>
      </c>
      <c r="D143" s="5" t="str">
        <f>IF(B143="","",IFERROR(VLOOKUP(B143, PLANTA_BASE!A:W, 5, FALSE), "NO ENCONTRADO EN PLANTA"))</f>
        <v>REGIONAL BOLIVAR</v>
      </c>
      <c r="E143" s="5" t="str">
        <f>IF(B143="","",IFERROR(VLOOKUP(B143, PLANTA_BASE!A:W, 6, FALSE), "NO ENCONTRADO EN PLANTA"))</f>
        <v>CARTAGENA</v>
      </c>
      <c r="F143" s="7" t="str">
        <f>IF(B143="","",IFERROR(VLOOKUP(B143, PLANTA_BASE!A:W, 8, FALSE), "DOCENTE / FACILITADOR"))</f>
        <v>DOC TITU/N/V/TC/INVESTIGACIONES/INVESTIG</v>
      </c>
      <c r="G143" s="7" t="str">
        <f>IF(B143="","",IFERROR(VLOOKUP(B143, PLANTA_BASE!A:W, 9, FALSE), "GENERAL"))</f>
        <v>INVESTIGACIONES</v>
      </c>
      <c r="H143" s="5" t="str">
        <f>IF(B143="","",IFERROR(VLOOKUP(B143, PLANTA_BASE!A:W, 17, FALSE), "GENERAL"))</f>
        <v>INVESTIGACIONES</v>
      </c>
    </row>
    <row r="144" spans="1:8" ht="20.100000000000001" customHeight="1" x14ac:dyDescent="0.25">
      <c r="A144" s="2" t="str">
        <f>IF(B144="","",IFERROR(VLOOKUP(B144, PLANTA_BASE!A:W, 2, FALSE), "NO ENCONTRADO EN PLANTA"))</f>
        <v>VIRTUAL</v>
      </c>
      <c r="B144" s="3" t="s">
        <v>358</v>
      </c>
      <c r="C144" s="4" t="s">
        <v>359</v>
      </c>
      <c r="D144" s="2" t="str">
        <f>IF(B144="","",IFERROR(VLOOKUP(B144, PLANTA_BASE!A:W, 5, FALSE), "NO ENCONTRADO EN PLANTA"))</f>
        <v>REGIONAL NARIñO</v>
      </c>
      <c r="E144" s="2" t="str">
        <f>IF(B144="","",IFERROR(VLOOKUP(B144, PLANTA_BASE!A:W, 6, FALSE), "NO ENCONTRADO EN PLANTA"))</f>
        <v>IPIALES</v>
      </c>
      <c r="F144" s="4" t="str">
        <f>IF(B144="","",IFERROR(VLOOKUP(B144, PLANTA_BASE!A:W, 8, FALSE), "DOCENTE / FACILITADOR"))</f>
        <v>DOC AUX T&amp;T/N/V/TC/CIENCIAS BASI/FUN.ACADE-ADMIN</v>
      </c>
      <c r="G144" s="4" t="str">
        <f>IF(B144="","",IFERROR(VLOOKUP(B144, PLANTA_BASE!A:W, 9, FALSE), "GENERAL"))</f>
        <v>CIENCIAS BASICAS</v>
      </c>
      <c r="H144" s="2" t="str">
        <f>IF(B144="","",IFERROR(VLOOKUP(B144, PLANTA_BASE!A:W, 17, FALSE), "GENERAL"))</f>
        <v>CIENCIAS BASICAS</v>
      </c>
    </row>
    <row r="145" spans="1:8" ht="20.100000000000001" customHeight="1" x14ac:dyDescent="0.25">
      <c r="A145" s="5" t="str">
        <f>IF(B145="","",IFERROR(VLOOKUP(B145, PLANTA_BASE!A:W, 2, FALSE), "NO ENCONTRADO EN PLANTA"))</f>
        <v>PRESENCIAL</v>
      </c>
      <c r="B145" s="6" t="s">
        <v>88</v>
      </c>
      <c r="C145" s="7" t="s">
        <v>89</v>
      </c>
      <c r="D145" s="5" t="str">
        <f>IF(B145="","",IFERROR(VLOOKUP(B145, PLANTA_BASE!A:W, 5, FALSE), "NO ENCONTRADO EN PLANTA"))</f>
        <v>REGIONAL BOGOTA</v>
      </c>
      <c r="E145" s="5" t="str">
        <f>IF(B145="","",IFERROR(VLOOKUP(B145, PLANTA_BASE!A:W, 6, FALSE), "NO ENCONTRADO EN PLANTA"))</f>
        <v>BOGOTA CENTRO</v>
      </c>
      <c r="F145" s="7" t="str">
        <f>IF(B145="","",IFERROR(VLOOKUP(B145, PLANTA_BASE!A:W, 8, FALSE), "DOCENTE / FACILITADOR"))</f>
        <v>DOCENTE ASIS/N/TC/INVESTIGA/INVESTIGACIO</v>
      </c>
      <c r="G145" s="7" t="str">
        <f>IF(B145="","",IFERROR(VLOOKUP(B145, PLANTA_BASE!A:W, 9, FALSE), "GENERAL"))</f>
        <v>INVESTIGACIONES</v>
      </c>
      <c r="H145" s="5" t="str">
        <f>IF(B145="","",IFERROR(VLOOKUP(B145, PLANTA_BASE!A:W, 17, FALSE), "GENERAL"))</f>
        <v>INVESTIGACIONES</v>
      </c>
    </row>
    <row r="146" spans="1:8" ht="20.100000000000001" customHeight="1" x14ac:dyDescent="0.25">
      <c r="A146" s="2" t="str">
        <f>IF(B146="","",IFERROR(VLOOKUP(B146, PLANTA_BASE!A:W, 2, FALSE), "NO ENCONTRADO EN PLANTA"))</f>
        <v>VIRTUAL</v>
      </c>
      <c r="B146" s="3" t="s">
        <v>258</v>
      </c>
      <c r="C146" s="4" t="s">
        <v>259</v>
      </c>
      <c r="D146" s="2" t="str">
        <f>IF(B146="","",IFERROR(VLOOKUP(B146, PLANTA_BASE!A:W, 5, FALSE), "NO ENCONTRADO EN PLANTA"))</f>
        <v>REGIONAL TOLIMA</v>
      </c>
      <c r="E146" s="2" t="str">
        <f>IF(B146="","",IFERROR(VLOOKUP(B146, PLANTA_BASE!A:W, 6, FALSE), "NO ENCONTRADO EN PLANTA"))</f>
        <v>IBAGUÉ</v>
      </c>
      <c r="F146" s="4" t="str">
        <f>IF(B146="","",IFERROR(VLOOKUP(B146, PLANTA_BASE!A:W, 8, FALSE), "DOCENTE / FACILITADOR"))</f>
        <v>DOC ASIS/N/V/TC/ADM DE EMPRE/FUN.ACADE-ADMIN</v>
      </c>
      <c r="G146" s="4" t="str">
        <f>IF(B146="","",IFERROR(VLOOKUP(B146, PLANTA_BASE!A:W, 9, FALSE), "GENERAL"))</f>
        <v>ADMINISTRACION DE EMPRESAS</v>
      </c>
      <c r="H146" s="2" t="str">
        <f>IF(B146="","",IFERROR(VLOOKUP(B146, PLANTA_BASE!A:W, 17, FALSE), "GENERAL"))</f>
        <v>ADMINISTRACION DE EMPRESAS</v>
      </c>
    </row>
    <row r="147" spans="1:8" ht="20.100000000000001" customHeight="1" x14ac:dyDescent="0.25">
      <c r="A147" s="5" t="str">
        <f>IF(B147="","",IFERROR(VLOOKUP(B147, PLANTA_BASE!A:W, 2, FALSE), "NO ENCONTRADO EN PLANTA"))</f>
        <v>PRESENCIAL</v>
      </c>
      <c r="B147" s="6" t="s">
        <v>118</v>
      </c>
      <c r="C147" s="7" t="s">
        <v>119</v>
      </c>
      <c r="D147" s="5" t="str">
        <f>IF(B147="","",IFERROR(VLOOKUP(B147, PLANTA_BASE!A:W, 5, FALSE), "NO ENCONTRADO EN PLANTA"))</f>
        <v>REGIONAL MAGDALENA</v>
      </c>
      <c r="E147" s="5" t="str">
        <f>IF(B147="","",IFERROR(VLOOKUP(B147, PLANTA_BASE!A:W, 6, FALSE), "NO ENCONTRADO EN PLANTA"))</f>
        <v>SANTA MARTA</v>
      </c>
      <c r="F147" s="7" t="str">
        <f>IF(B147="","",IFERROR(VLOOKUP(B147, PLANTA_BASE!A:W, 8, FALSE), "DOCENTE / FACILITADOR"))</f>
        <v>DOC AUX T&amp;T/N/MT/DIS PROD MOD</v>
      </c>
      <c r="G147" s="7" t="str">
        <f>IF(B147="","",IFERROR(VLOOKUP(B147, PLANTA_BASE!A:W, 9, FALSE), "GENERAL"))</f>
        <v>DISEÑO Y PRODUCCION DE MODAS</v>
      </c>
      <c r="H147" s="5" t="str">
        <f>IF(B147="","",IFERROR(VLOOKUP(B147, PLANTA_BASE!A:W, 17, FALSE), "GENERAL"))</f>
        <v>DISEÑO Y PRODUCCION DE MODAS</v>
      </c>
    </row>
    <row r="148" spans="1:8" ht="20.100000000000001" customHeight="1" x14ac:dyDescent="0.25">
      <c r="A148" s="2" t="str">
        <f>IF(B148="","",IFERROR(VLOOKUP(B148, PLANTA_BASE!A:W, 2, FALSE), "NO ENCONTRADO EN PLANTA"))</f>
        <v>VIRTUAL</v>
      </c>
      <c r="B148" s="3" t="s">
        <v>256</v>
      </c>
      <c r="C148" s="4" t="s">
        <v>257</v>
      </c>
      <c r="D148" s="2" t="str">
        <f>IF(B148="","",IFERROR(VLOOKUP(B148, PLANTA_BASE!A:W, 5, FALSE), "NO ENCONTRADO EN PLANTA"))</f>
        <v>REGIONAL NORTE DE SANTANDER</v>
      </c>
      <c r="E148" s="2" t="str">
        <f>IF(B148="","",IFERROR(VLOOKUP(B148, PLANTA_BASE!A:W, 6, FALSE), "NO ENCONTRADO EN PLANTA"))</f>
        <v>CUCUTÁ</v>
      </c>
      <c r="F148" s="4" t="str">
        <f>IF(B148="","",IFERROR(VLOOKUP(B148, PLANTA_BASE!A:W, 8, FALSE), "DOCENTE / FACILITADOR"))</f>
        <v>DOC AUX/N/V/TC/ING INDUS/FUN.ACADE-ADMIN</v>
      </c>
      <c r="G148" s="4" t="str">
        <f>IF(B148="","",IFERROR(VLOOKUP(B148, PLANTA_BASE!A:W, 9, FALSE), "GENERAL"))</f>
        <v>INGENIERIA INDUSTRIAL</v>
      </c>
      <c r="H148" s="2" t="str">
        <f>IF(B148="","",IFERROR(VLOOKUP(B148, PLANTA_BASE!A:W, 17, FALSE), "GENERAL"))</f>
        <v>INGENIERIA INDUSTRIAL</v>
      </c>
    </row>
    <row r="149" spans="1:8" ht="20.100000000000001" customHeight="1" x14ac:dyDescent="0.25">
      <c r="A149" s="5" t="str">
        <f>IF(B149="","",IFERROR(VLOOKUP(B149, PLANTA_BASE!A:W, 2, FALSE), "NO ENCONTRADO EN PLANTA"))</f>
        <v>VIRTUAL</v>
      </c>
      <c r="B149" s="6" t="s">
        <v>96</v>
      </c>
      <c r="C149" s="7" t="s">
        <v>97</v>
      </c>
      <c r="D149" s="5" t="str">
        <f>IF(B149="","",IFERROR(VLOOKUP(B149, PLANTA_BASE!A:W, 5, FALSE), "NO ENCONTRADO EN PLANTA"))</f>
        <v>REGIONAL NORTE DE SANTANDER</v>
      </c>
      <c r="E149" s="5" t="str">
        <f>IF(B149="","",IFERROR(VLOOKUP(B149, PLANTA_BASE!A:W, 6, FALSE), "NO ENCONTRADO EN PLANTA"))</f>
        <v>CUCUTÁ</v>
      </c>
      <c r="F149" s="7" t="str">
        <f>IF(B149="","",IFERROR(VLOOKUP(B149, PLANTA_BASE!A:W, 8, FALSE), "DOCENTE / FACILITADOR"))</f>
        <v>DOC AUX/N/V/TC/ESP EN IA/FUN.ACAD</v>
      </c>
      <c r="G149" s="7" t="str">
        <f>IF(B149="","",IFERROR(VLOOKUP(B149, PLANTA_BASE!A:W, 9, FALSE), "GENERAL"))</f>
        <v>ESPECIALIZACION EN IA</v>
      </c>
      <c r="H149" s="5" t="str">
        <f>IF(B149="","",IFERROR(VLOOKUP(B149, PLANTA_BASE!A:W, 17, FALSE), "GENERAL"))</f>
        <v>ESPECIALIZACION EN IA</v>
      </c>
    </row>
    <row r="150" spans="1:8" ht="20.100000000000001" customHeight="1" x14ac:dyDescent="0.25">
      <c r="A150" s="2" t="str">
        <f>IF(B150="","",IFERROR(VLOOKUP(B150, PLANTA_BASE!A:W, 2, FALSE), "NO ENCONTRADO EN PLANTA"))</f>
        <v>PRESENCIAL</v>
      </c>
      <c r="B150" s="3" t="s">
        <v>188</v>
      </c>
      <c r="C150" s="4" t="s">
        <v>189</v>
      </c>
      <c r="D150" s="2" t="str">
        <f>IF(B150="","",IFERROR(VLOOKUP(B150, PLANTA_BASE!A:W, 5, FALSE), "NO ENCONTRADO EN PLANTA"))</f>
        <v>REGIONAL HUILA</v>
      </c>
      <c r="E150" s="2" t="str">
        <f>IF(B150="","",IFERROR(VLOOKUP(B150, PLANTA_BASE!A:W, 6, FALSE), "NO ENCONTRADO EN PLANTA"))</f>
        <v>NEIVA</v>
      </c>
      <c r="F150" s="4" t="str">
        <f>IF(B150="","",IFERROR(VLOOKUP(B150, PLANTA_BASE!A:W, 8, FALSE), "DOCENTE / FACILITADOR"))</f>
        <v>DOC AUX T&amp;T/N/TC/INVESTIGACIONES/INVESTI</v>
      </c>
      <c r="G150" s="4" t="str">
        <f>IF(B150="","",IFERROR(VLOOKUP(B150, PLANTA_BASE!A:W, 9, FALSE), "GENERAL"))</f>
        <v>INVESTIGACIONES</v>
      </c>
      <c r="H150" s="2" t="str">
        <f>IF(B150="","",IFERROR(VLOOKUP(B150, PLANTA_BASE!A:W, 17, FALSE), "GENERAL"))</f>
        <v>INVESTIGACIONES</v>
      </c>
    </row>
    <row r="151" spans="1:8" ht="20.100000000000001" customHeight="1" x14ac:dyDescent="0.25">
      <c r="A151" s="5" t="str">
        <f>IF(B151="","",IFERROR(VLOOKUP(B151, PLANTA_BASE!A:W, 2, FALSE), "NO ENCONTRADO EN PLANTA"))</f>
        <v>PRESENCIAL</v>
      </c>
      <c r="B151" s="6" t="s">
        <v>50</v>
      </c>
      <c r="C151" s="7" t="s">
        <v>1871</v>
      </c>
      <c r="D151" s="5" t="str">
        <f>IF(B151="","",IFERROR(VLOOKUP(B151, PLANTA_BASE!A:W, 5, FALSE), "NO ENCONTRADO EN PLANTA"))</f>
        <v>REGIONAL SUCRE</v>
      </c>
      <c r="E151" s="5" t="str">
        <f>IF(B151="","",IFERROR(VLOOKUP(B151, PLANTA_BASE!A:W, 6, FALSE), "NO ENCONTRADO EN PLANTA"))</f>
        <v>SINCELEJO</v>
      </c>
      <c r="F151" s="7" t="str">
        <f>IF(B151="","",IFERROR(VLOOKUP(B151, PLANTA_BASE!A:W, 8, FALSE), "DOCENTE / FACILITADOR"))</f>
        <v>DOCENTE ASOC/N/TC/INVESTIGA/INVESTIGACIO</v>
      </c>
      <c r="G151" s="7" t="str">
        <f>IF(B151="","",IFERROR(VLOOKUP(B151, PLANTA_BASE!A:W, 9, FALSE), "GENERAL"))</f>
        <v>INVESTIGACIONES</v>
      </c>
      <c r="H151" s="5" t="str">
        <f>IF(B151="","",IFERROR(VLOOKUP(B151, PLANTA_BASE!A:W, 17, FALSE), "GENERAL"))</f>
        <v>INVESTIGACIONES</v>
      </c>
    </row>
    <row r="152" spans="1:8" ht="20.100000000000001" customHeight="1" x14ac:dyDescent="0.25">
      <c r="A152" s="2" t="str">
        <f>IF(B152="","",IFERROR(VLOOKUP(B152, PLANTA_BASE!A:W, 2, FALSE), "NO ENCONTRADO EN PLANTA"))</f>
        <v>PRESENCIAL</v>
      </c>
      <c r="B152" s="3" t="s">
        <v>166</v>
      </c>
      <c r="C152" s="4" t="s">
        <v>167</v>
      </c>
      <c r="D152" s="2" t="str">
        <f>IF(B152="","",IFERROR(VLOOKUP(B152, PLANTA_BASE!A:W, 5, FALSE), "NO ENCONTRADO EN PLANTA"))</f>
        <v>REGIONAL MAGDALENA</v>
      </c>
      <c r="E152" s="2" t="str">
        <f>IF(B152="","",IFERROR(VLOOKUP(B152, PLANTA_BASE!A:W, 6, FALSE), "NO ENCONTRADO EN PLANTA"))</f>
        <v>SANTA MARTA</v>
      </c>
      <c r="F152" s="4" t="str">
        <f>IF(B152="","",IFERROR(VLOOKUP(B152, PLANTA_BASE!A:W, 8, FALSE), "DOCENTE / FACILITADOR"))</f>
        <v>DOCENTE AUX/N/TC/COM SOC Y PER/FUN.ACADE-ADMIN</v>
      </c>
      <c r="G152" s="4" t="str">
        <f>IF(B152="","",IFERROR(VLOOKUP(B152, PLANTA_BASE!A:W, 9, FALSE), "GENERAL"))</f>
        <v>COMUNICACION SOCIAL Y PERIODISMO</v>
      </c>
      <c r="H152" s="2" t="str">
        <f>IF(B152="","",IFERROR(VLOOKUP(B152, PLANTA_BASE!A:W, 17, FALSE), "GENERAL"))</f>
        <v>COMUNICACION SOCIAL Y PERIODISMO</v>
      </c>
    </row>
    <row r="153" spans="1:8" ht="20.100000000000001" customHeight="1" x14ac:dyDescent="0.25">
      <c r="A153" s="5" t="str">
        <f>IF(B153="","",IFERROR(VLOOKUP(B153, PLANTA_BASE!A:W, 2, FALSE), "NO ENCONTRADO EN PLANTA"))</f>
        <v>VIRTUAL</v>
      </c>
      <c r="B153" s="6" t="s">
        <v>104</v>
      </c>
      <c r="C153" s="7" t="s">
        <v>105</v>
      </c>
      <c r="D153" s="5" t="str">
        <f>IF(B153="","",IFERROR(VLOOKUP(B153, PLANTA_BASE!A:W, 5, FALSE), "NO ENCONTRADO EN PLANTA"))</f>
        <v>REGIONAL BOYACA</v>
      </c>
      <c r="E153" s="5" t="str">
        <f>IF(B153="","",IFERROR(VLOOKUP(B153, PLANTA_BASE!A:W, 6, FALSE), "NO ENCONTRADO EN PLANTA"))</f>
        <v>TUNJA</v>
      </c>
      <c r="F153" s="7" t="str">
        <f>IF(B153="","",IFERROR(VLOOKUP(B153, PLANTA_BASE!A:W, 8, FALSE), "DOCENTE / FACILITADOR"))</f>
        <v>DOC AUX/N/V/TC/ESP CONTRA ESTATAL/FUN.AC</v>
      </c>
      <c r="G153" s="7" t="str">
        <f>IF(B153="","",IFERROR(VLOOKUP(B153, PLANTA_BASE!A:W, 9, FALSE), "GENERAL"))</f>
        <v>ESPECIALIZACION DE CONTRATACION ESTATAL</v>
      </c>
      <c r="H153" s="5" t="str">
        <f>IF(B153="","",IFERROR(VLOOKUP(B153, PLANTA_BASE!A:W, 17, FALSE), "GENERAL"))</f>
        <v>ESPECIALIZACION DE CONTRATACION ESTATAL</v>
      </c>
    </row>
    <row r="154" spans="1:8" ht="20.100000000000001" customHeight="1" x14ac:dyDescent="0.25">
      <c r="A154" s="2" t="str">
        <f>IF(B154="","",IFERROR(VLOOKUP(B154, PLANTA_BASE!A:W, 2, FALSE), "NO ENCONTRADO EN PLANTA"))</f>
        <v>VIRTUAL</v>
      </c>
      <c r="B154" s="3" t="s">
        <v>308</v>
      </c>
      <c r="C154" s="4" t="s">
        <v>309</v>
      </c>
      <c r="D154" s="2" t="str">
        <f>IF(B154="","",IFERROR(VLOOKUP(B154, PLANTA_BASE!A:W, 5, FALSE), "NO ENCONTRADO EN PLANTA"))</f>
        <v>REGIONAL BOYACA</v>
      </c>
      <c r="E154" s="2" t="str">
        <f>IF(B154="","",IFERROR(VLOOKUP(B154, PLANTA_BASE!A:W, 6, FALSE), "NO ENCONTRADO EN PLANTA"))</f>
        <v>TUNJA</v>
      </c>
      <c r="F154" s="4" t="str">
        <f>IF(B154="","",IFERROR(VLOOKUP(B154, PLANTA_BASE!A:W, 8, FALSE), "DOCENTE / FACILITADOR"))</f>
        <v>DOC ASIS/N/V/TC/ESP CONTRA ESTATAL/FUN.A</v>
      </c>
      <c r="G154" s="4" t="str">
        <f>IF(B154="","",IFERROR(VLOOKUP(B154, PLANTA_BASE!A:W, 9, FALSE), "GENERAL"))</f>
        <v>ESPECIALIZACION DE CONTRATACION ESTATAL</v>
      </c>
      <c r="H154" s="2" t="str">
        <f>IF(B154="","",IFERROR(VLOOKUP(B154, PLANTA_BASE!A:W, 17, FALSE), "GENERAL"))</f>
        <v>ESPECIALIZACION DE CONTRATACION ESTATAL</v>
      </c>
    </row>
    <row r="155" spans="1:8" ht="20.100000000000001" customHeight="1" x14ac:dyDescent="0.25">
      <c r="A155" s="5" t="str">
        <f>IF(B155="","",IFERROR(VLOOKUP(B155, PLANTA_BASE!A:W, 2, FALSE), "NO ENCONTRADO EN PLANTA"))</f>
        <v>VIRTUAL</v>
      </c>
      <c r="B155" s="6" t="s">
        <v>498</v>
      </c>
      <c r="C155" s="7" t="s">
        <v>499</v>
      </c>
      <c r="D155" s="5" t="str">
        <f>IF(B155="","",IFERROR(VLOOKUP(B155, PLANTA_BASE!A:W, 5, FALSE), "NO ENCONTRADO EN PLANTA"))</f>
        <v>REGIONAL SANTANDER</v>
      </c>
      <c r="E155" s="5" t="str">
        <f>IF(B155="","",IFERROR(VLOOKUP(B155, PLANTA_BASE!A:W, 6, FALSE), "NO ENCONTRADO EN PLANTA"))</f>
        <v>BUCARAMANGA</v>
      </c>
      <c r="F155" s="7" t="str">
        <f>IF(B155="","",IFERROR(VLOOKUP(B155, PLANTA_BASE!A:W, 8, FALSE), "DOCENTE / FACILITADOR"))</f>
        <v>DOC ASIS/N/V/TC/INVESTIGACIONES/INVESTIG</v>
      </c>
      <c r="G155" s="7" t="str">
        <f>IF(B155="","",IFERROR(VLOOKUP(B155, PLANTA_BASE!A:W, 9, FALSE), "GENERAL"))</f>
        <v>INVESTIGACIONES</v>
      </c>
      <c r="H155" s="5" t="str">
        <f>IF(B155="","",IFERROR(VLOOKUP(B155, PLANTA_BASE!A:W, 17, FALSE), "GENERAL"))</f>
        <v>INVESTIGACIONES</v>
      </c>
    </row>
    <row r="156" spans="1:8" ht="20.100000000000001" customHeight="1" x14ac:dyDescent="0.25">
      <c r="A156" s="2" t="str">
        <f>IF(B156="","",IFERROR(VLOOKUP(B156, PLANTA_BASE!A:W, 2, FALSE), "NO ENCONTRADO EN PLANTA"))</f>
        <v>PRESENCIAL</v>
      </c>
      <c r="B156" s="3" t="s">
        <v>318</v>
      </c>
      <c r="C156" s="4" t="s">
        <v>319</v>
      </c>
      <c r="D156" s="2" t="str">
        <f>IF(B156="","",IFERROR(VLOOKUP(B156, PLANTA_BASE!A:W, 5, FALSE), "NO ENCONTRADO EN PLANTA"))</f>
        <v>REGIONAL MAGDALENA</v>
      </c>
      <c r="E156" s="2" t="str">
        <f>IF(B156="","",IFERROR(VLOOKUP(B156, PLANTA_BASE!A:W, 6, FALSE), "NO ENCONTRADO EN PLANTA"))</f>
        <v>SANTA MARTA</v>
      </c>
      <c r="F156" s="4" t="str">
        <f>IF(B156="","",IFERROR(VLOOKUP(B156, PLANTA_BASE!A:W, 8, FALSE), "DOCENTE / FACILITADOR"))</f>
        <v>DOC AUX T&amp;T/N/MT/ING SOFTWARE</v>
      </c>
      <c r="G156" s="4" t="str">
        <f>IF(B156="","",IFERROR(VLOOKUP(B156, PLANTA_BASE!A:W, 9, FALSE), "GENERAL"))</f>
        <v>INGENIERIA DE SOFTWARE</v>
      </c>
      <c r="H156" s="2" t="str">
        <f>IF(B156="","",IFERROR(VLOOKUP(B156, PLANTA_BASE!A:W, 17, FALSE), "GENERAL"))</f>
        <v>INGENIERIA DE SOFTWARE</v>
      </c>
    </row>
    <row r="157" spans="1:8" ht="20.100000000000001" customHeight="1" x14ac:dyDescent="0.25">
      <c r="A157" s="5" t="str">
        <f>IF(B157="","",IFERROR(VLOOKUP(B157, PLANTA_BASE!A:W, 2, FALSE), "NO ENCONTRADO EN PLANTA"))</f>
        <v>VIRTUAL</v>
      </c>
      <c r="B157" s="6" t="s">
        <v>224</v>
      </c>
      <c r="C157" s="7" t="s">
        <v>1872</v>
      </c>
      <c r="D157" s="5" t="str">
        <f>IF(B157="","",IFERROR(VLOOKUP(B157, PLANTA_BASE!A:W, 5, FALSE), "NO ENCONTRADO EN PLANTA"))</f>
        <v>REGIONAL SANTANDER</v>
      </c>
      <c r="E157" s="5" t="str">
        <f>IF(B157="","",IFERROR(VLOOKUP(B157, PLANTA_BASE!A:W, 6, FALSE), "NO ENCONTRADO EN PLANTA"))</f>
        <v>BUCARAMANGA</v>
      </c>
      <c r="F157" s="7" t="str">
        <f>IF(B157="","",IFERROR(VLOOKUP(B157, PLANTA_BASE!A:W, 8, FALSE), "DOCENTE / FACILITADOR"))</f>
        <v>DOC TITULAR/N/V/TC/INVESTIGACIONES/INVESTI</v>
      </c>
      <c r="G157" s="7" t="str">
        <f>IF(B157="","",IFERROR(VLOOKUP(B157, PLANTA_BASE!A:W, 9, FALSE), "GENERAL"))</f>
        <v>INVESTIGACIONES</v>
      </c>
      <c r="H157" s="5" t="str">
        <f>IF(B157="","",IFERROR(VLOOKUP(B157, PLANTA_BASE!A:W, 17, FALSE), "GENERAL"))</f>
        <v>INVESTIGACIONES</v>
      </c>
    </row>
    <row r="158" spans="1:8" ht="20.100000000000001" customHeight="1" x14ac:dyDescent="0.25">
      <c r="A158" s="2" t="str">
        <f>IF(B158="","",IFERROR(VLOOKUP(B158, PLANTA_BASE!A:W, 2, FALSE), "NO ENCONTRADO EN PLANTA"))</f>
        <v>VIRTUAL</v>
      </c>
      <c r="B158" s="3" t="s">
        <v>322</v>
      </c>
      <c r="C158" s="4" t="s">
        <v>323</v>
      </c>
      <c r="D158" s="2" t="str">
        <f>IF(B158="","",IFERROR(VLOOKUP(B158, PLANTA_BASE!A:W, 5, FALSE), "NO ENCONTRADO EN PLANTA"))</f>
        <v>REGIONAL SANTANDER</v>
      </c>
      <c r="E158" s="2" t="str">
        <f>IF(B158="","",IFERROR(VLOOKUP(B158, PLANTA_BASE!A:W, 6, FALSE), "NO ENCONTRADO EN PLANTA"))</f>
        <v>BUCARAMANGA</v>
      </c>
      <c r="F158" s="4" t="str">
        <f>IF(B158="","",IFERROR(VLOOKUP(B158, PLANTA_BASE!A:W, 8, FALSE), "DOCENTE / FACILITADOR"))</f>
        <v>DOC ASIS/N/V/TC/ING DE SISTEMAS/FUN.ACADE-ADMIN</v>
      </c>
      <c r="G158" s="4" t="str">
        <f>IF(B158="","",IFERROR(VLOOKUP(B158, PLANTA_BASE!A:W, 9, FALSE), "GENERAL"))</f>
        <v>INGENIERIA DE SISTEMAS</v>
      </c>
      <c r="H158" s="2" t="str">
        <f>IF(B158="","",IFERROR(VLOOKUP(B158, PLANTA_BASE!A:W, 17, FALSE), "GENERAL"))</f>
        <v>INGENIERIA DE SISTEMAS</v>
      </c>
    </row>
    <row r="159" spans="1:8" ht="20.100000000000001" customHeight="1" x14ac:dyDescent="0.25">
      <c r="A159" s="5" t="str">
        <f>IF(B159="","",IFERROR(VLOOKUP(B159, PLANTA_BASE!A:W, 2, FALSE), "NO ENCONTRADO EN PLANTA"))</f>
        <v>VIRTUAL</v>
      </c>
      <c r="B159" s="6" t="s">
        <v>194</v>
      </c>
      <c r="C159" s="7" t="s">
        <v>195</v>
      </c>
      <c r="D159" s="5" t="str">
        <f>IF(B159="","",IFERROR(VLOOKUP(B159, PLANTA_BASE!A:W, 5, FALSE), "NO ENCONTRADO EN PLANTA"))</f>
        <v>REGIONAL SUCRE</v>
      </c>
      <c r="E159" s="5" t="str">
        <f>IF(B159="","",IFERROR(VLOOKUP(B159, PLANTA_BASE!A:W, 6, FALSE), "NO ENCONTRADO EN PLANTA"))</f>
        <v>SINCELEJO</v>
      </c>
      <c r="F159" s="7" t="str">
        <f>IF(B159="","",IFERROR(VLOOKUP(B159, PLANTA_BASE!A:W, 8, FALSE), "DOCENTE / FACILITADOR"))</f>
        <v>DOC ASIS/N/V/TC/INVESTIGACIONES/INVESTIG</v>
      </c>
      <c r="G159" s="7" t="str">
        <f>IF(B159="","",IFERROR(VLOOKUP(B159, PLANTA_BASE!A:W, 9, FALSE), "GENERAL"))</f>
        <v>INVESTIGACIONES</v>
      </c>
      <c r="H159" s="5" t="str">
        <f>IF(B159="","",IFERROR(VLOOKUP(B159, PLANTA_BASE!A:W, 17, FALSE), "GENERAL"))</f>
        <v>INVESTIGACIONES</v>
      </c>
    </row>
    <row r="160" spans="1:8" ht="20.100000000000001" customHeight="1" x14ac:dyDescent="0.25">
      <c r="A160" s="2" t="str">
        <f>IF(B160="","",IFERROR(VLOOKUP(B160, PLANTA_BASE!A:W, 2, FALSE), "NO ENCONTRADO EN PLANTA"))</f>
        <v>PRESENCIAL</v>
      </c>
      <c r="B160" s="3" t="s">
        <v>588</v>
      </c>
      <c r="C160" s="4" t="s">
        <v>1873</v>
      </c>
      <c r="D160" s="2" t="str">
        <f>IF(B160="","",IFERROR(VLOOKUP(B160, PLANTA_BASE!A:W, 5, FALSE), "NO ENCONTRADO EN PLANTA"))</f>
        <v>REGIONAL BOGOTA</v>
      </c>
      <c r="E160" s="2" t="str">
        <f>IF(B160="","",IFERROR(VLOOKUP(B160, PLANTA_BASE!A:W, 6, FALSE), "NO ENCONTRADO EN PLANTA"))</f>
        <v>BOGOTA CENTRO</v>
      </c>
      <c r="F160" s="4" t="str">
        <f>IF(B160="","",IFERROR(VLOOKUP(B160, PLANTA_BASE!A:W, 8, FALSE), "DOCENTE / FACILITADOR"))</f>
        <v>DOCENTE AUX/N/TC/INVESTIGA/INVESTIGACION</v>
      </c>
      <c r="G160" s="4" t="str">
        <f>IF(B160="","",IFERROR(VLOOKUP(B160, PLANTA_BASE!A:W, 9, FALSE), "GENERAL"))</f>
        <v>INVESTIGACIONES</v>
      </c>
      <c r="H160" s="2" t="str">
        <f>IF(B160="","",IFERROR(VLOOKUP(B160, PLANTA_BASE!A:W, 17, FALSE), "GENERAL"))</f>
        <v>INVESTIGACIONES</v>
      </c>
    </row>
    <row r="161" spans="1:8" ht="20.100000000000001" customHeight="1" x14ac:dyDescent="0.25">
      <c r="A161" s="5" t="str">
        <f>IF(B161="","",IFERROR(VLOOKUP(B161, PLANTA_BASE!A:W, 2, FALSE), "NO ENCONTRADO EN PLANTA"))</f>
        <v>PRESENCIAL</v>
      </c>
      <c r="B161" s="6" t="s">
        <v>74</v>
      </c>
      <c r="C161" s="7" t="s">
        <v>75</v>
      </c>
      <c r="D161" s="5" t="str">
        <f>IF(B161="","",IFERROR(VLOOKUP(B161, PLANTA_BASE!A:W, 5, FALSE), "NO ENCONTRADO EN PLANTA"))</f>
        <v>REGIONAL MAGDALENA</v>
      </c>
      <c r="E161" s="5" t="str">
        <f>IF(B161="","",IFERROR(VLOOKUP(B161, PLANTA_BASE!A:W, 6, FALSE), "NO ENCONTRADO EN PLANTA"))</f>
        <v>SANTA MARTA</v>
      </c>
      <c r="F161" s="7" t="str">
        <f>IF(B161="","",IFERROR(VLOOKUP(B161, PLANTA_BASE!A:W, 8, FALSE), "DOCENTE / FACILITADOR"))</f>
        <v>DOCENTE TITU/N/TC/INVESTIGA/INVESTIGACIO</v>
      </c>
      <c r="G161" s="7" t="str">
        <f>IF(B161="","",IFERROR(VLOOKUP(B161, PLANTA_BASE!A:W, 9, FALSE), "GENERAL"))</f>
        <v>INVESTIGACIONES</v>
      </c>
      <c r="H161" s="5" t="str">
        <f>IF(B161="","",IFERROR(VLOOKUP(B161, PLANTA_BASE!A:W, 17, FALSE), "GENERAL"))</f>
        <v>INVESTIGACIONES</v>
      </c>
    </row>
    <row r="162" spans="1:8" ht="20.100000000000001" customHeight="1" x14ac:dyDescent="0.25">
      <c r="A162" s="2" t="str">
        <f>IF(B162="","",IFERROR(VLOOKUP(B162, PLANTA_BASE!A:W, 2, FALSE), "NO ENCONTRADO EN PLANTA"))</f>
        <v>NO ENCONTRADO EN PLANTA</v>
      </c>
      <c r="B162" s="3" t="s">
        <v>1874</v>
      </c>
      <c r="C162" s="4" t="s">
        <v>1875</v>
      </c>
      <c r="D162" s="2" t="str">
        <f>IF(B162="","",IFERROR(VLOOKUP(B162, PLANTA_BASE!A:W, 5, FALSE), "NO ENCONTRADO EN PLANTA"))</f>
        <v>NO ENCONTRADO EN PLANTA</v>
      </c>
      <c r="E162" s="2" t="str">
        <f>IF(B162="","",IFERROR(VLOOKUP(B162, PLANTA_BASE!A:W, 6, FALSE), "NO ENCONTRADO EN PLANTA"))</f>
        <v>NO ENCONTRADO EN PLANTA</v>
      </c>
      <c r="F162" s="4" t="str">
        <f>IF(B162="","",IFERROR(VLOOKUP(B162, PLANTA_BASE!A:W, 8, FALSE), "DOCENTE / FACILITADOR"))</f>
        <v>DOCENTE / FACILITADOR</v>
      </c>
      <c r="G162" s="4" t="str">
        <f>IF(B162="","",IFERROR(VLOOKUP(B162, PLANTA_BASE!A:W, 9, FALSE), "GENERAL"))</f>
        <v>GENERAL</v>
      </c>
      <c r="H162" s="2" t="str">
        <f>IF(B162="","",IFERROR(VLOOKUP(B162, PLANTA_BASE!A:W, 17, FALSE), "GENERAL"))</f>
        <v>GENERAL</v>
      </c>
    </row>
    <row r="163" spans="1:8" ht="20.100000000000001" customHeight="1" x14ac:dyDescent="0.25">
      <c r="A163" s="5" t="str">
        <f>IF(B163="","",IFERROR(VLOOKUP(B163, PLANTA_BASE!A:W, 2, FALSE), "NO ENCONTRADO EN PLANTA"))</f>
        <v>VIRTUAL</v>
      </c>
      <c r="B163" s="6" t="s">
        <v>12</v>
      </c>
      <c r="C163" s="7" t="s">
        <v>1849</v>
      </c>
      <c r="D163" s="5" t="str">
        <f>IF(B163="","",IFERROR(VLOOKUP(B163, PLANTA_BASE!A:W, 5, FALSE), "NO ENCONTRADO EN PLANTA"))</f>
        <v>REGIONAL CORDOBA</v>
      </c>
      <c r="E163" s="5" t="str">
        <f>IF(B163="","",IFERROR(VLOOKUP(B163, PLANTA_BASE!A:W, 6, FALSE), "NO ENCONTRADO EN PLANTA"))</f>
        <v>MONTERIA</v>
      </c>
      <c r="F163" s="7" t="str">
        <f>IF(B163="","",IFERROR(VLOOKUP(B163, PLANTA_BASE!A:W, 8, FALSE), "DOCENTE / FACILITADOR"))</f>
        <v>DOC ASOC/N/V/TC/INVESTIGACIONES/INVESTIG</v>
      </c>
      <c r="G163" s="7" t="str">
        <f>IF(B163="","",IFERROR(VLOOKUP(B163, PLANTA_BASE!A:W, 9, FALSE), "GENERAL"))</f>
        <v>INVESTIGACIONES</v>
      </c>
      <c r="H163" s="5" t="str">
        <f>IF(B163="","",IFERROR(VLOOKUP(B163, PLANTA_BASE!A:W, 17, FALSE), "GENERAL"))</f>
        <v>INVESTIGACIONES</v>
      </c>
    </row>
    <row r="164" spans="1:8" ht="20.100000000000001" customHeight="1" x14ac:dyDescent="0.25">
      <c r="A164" s="2" t="str">
        <f>IF(B164="","",IFERROR(VLOOKUP(B164, PLANTA_BASE!A:W, 2, FALSE), "NO ENCONTRADO EN PLANTA"))</f>
        <v>VIRTUAL</v>
      </c>
      <c r="B164" s="3" t="s">
        <v>228</v>
      </c>
      <c r="C164" s="4" t="s">
        <v>229</v>
      </c>
      <c r="D164" s="2" t="str">
        <f>IF(B164="","",IFERROR(VLOOKUP(B164, PLANTA_BASE!A:W, 5, FALSE), "NO ENCONTRADO EN PLANTA"))</f>
        <v>REGIONAL CUNDINAMARCA</v>
      </c>
      <c r="E164" s="2" t="str">
        <f>IF(B164="","",IFERROR(VLOOKUP(B164, PLANTA_BASE!A:W, 6, FALSE), "NO ENCONTRADO EN PLANTA"))</f>
        <v>CHÍA</v>
      </c>
      <c r="F164" s="4" t="str">
        <f>IF(B164="","",IFERROR(VLOOKUP(B164, PLANTA_BASE!A:W, 8, FALSE), "DOCENTE / FACILITADOR"))</f>
        <v>DOC AUX/N/V/TC/ING DE SISTEMAS/FUN.ACADE-ADMIN</v>
      </c>
      <c r="G164" s="4" t="str">
        <f>IF(B164="","",IFERROR(VLOOKUP(B164, PLANTA_BASE!A:W, 9, FALSE), "GENERAL"))</f>
        <v>INGENIERIA DE SISTEMAS</v>
      </c>
      <c r="H164" s="2" t="str">
        <f>IF(B164="","",IFERROR(VLOOKUP(B164, PLANTA_BASE!A:W, 17, FALSE), "GENERAL"))</f>
        <v>INGENIERIA DE SISTEMAS</v>
      </c>
    </row>
    <row r="165" spans="1:8" ht="20.100000000000001" customHeight="1" x14ac:dyDescent="0.25">
      <c r="A165" s="5" t="str">
        <f>IF(B165="","",IFERROR(VLOOKUP(B165, PLANTA_BASE!A:W, 2, FALSE), "NO ENCONTRADO EN PLANTA"))</f>
        <v>PRESENCIAL</v>
      </c>
      <c r="B165" s="6" t="s">
        <v>314</v>
      </c>
      <c r="C165" s="7" t="s">
        <v>315</v>
      </c>
      <c r="D165" s="5" t="str">
        <f>IF(B165="","",IFERROR(VLOOKUP(B165, PLANTA_BASE!A:W, 5, FALSE), "NO ENCONTRADO EN PLANTA"))</f>
        <v>REGIONAL QUINDIO</v>
      </c>
      <c r="E165" s="5" t="str">
        <f>IF(B165="","",IFERROR(VLOOKUP(B165, PLANTA_BASE!A:W, 6, FALSE), "NO ENCONTRADO EN PLANTA"))</f>
        <v>ARMENIA</v>
      </c>
      <c r="F165" s="7" t="str">
        <f>IF(B165="","",IFERROR(VLOOKUP(B165, PLANTA_BASE!A:W, 8, FALSE), "DOCENTE / FACILITADOR"))</f>
        <v>DOCENTE AUX/N/TC/EMPRENDIMIE/PROYECCION</v>
      </c>
      <c r="G165" s="7" t="str">
        <f>IF(B165="","",IFERROR(VLOOKUP(B165, PLANTA_BASE!A:W, 9, FALSE), "GENERAL"))</f>
        <v>EMPRENDIMIENTO</v>
      </c>
      <c r="H165" s="5" t="str">
        <f>IF(B165="","",IFERROR(VLOOKUP(B165, PLANTA_BASE!A:W, 17, FALSE), "GENERAL"))</f>
        <v>EMPRENDIMIENTO</v>
      </c>
    </row>
    <row r="166" spans="1:8" ht="20.100000000000001" customHeight="1" x14ac:dyDescent="0.25">
      <c r="A166" s="2" t="str">
        <f>IF(B166="","",IFERROR(VLOOKUP(B166, PLANTA_BASE!A:W, 2, FALSE), "NO ENCONTRADO EN PLANTA"))</f>
        <v>VIRTUAL</v>
      </c>
      <c r="B166" s="3" t="s">
        <v>294</v>
      </c>
      <c r="C166" s="4" t="s">
        <v>295</v>
      </c>
      <c r="D166" s="2" t="str">
        <f>IF(B166="","",IFERROR(VLOOKUP(B166, PLANTA_BASE!A:W, 5, FALSE), "NO ENCONTRADO EN PLANTA"))</f>
        <v>REGIONAL BOGOTA</v>
      </c>
      <c r="E166" s="2" t="str">
        <f>IF(B166="","",IFERROR(VLOOKUP(B166, PLANTA_BASE!A:W, 6, FALSE), "NO ENCONTRADO EN PLANTA"))</f>
        <v>BOGOTA CENTRO</v>
      </c>
      <c r="F166" s="4" t="str">
        <f>IF(B166="","",IFERROR(VLOOKUP(B166, PLANTA_BASE!A:W, 8, FALSE), "DOCENTE / FACILITADOR"))</f>
        <v>DOC ASIS/N/V/TC/ING INDUS/FUN.ACADE-ADMIN</v>
      </c>
      <c r="G166" s="4" t="str">
        <f>IF(B166="","",IFERROR(VLOOKUP(B166, PLANTA_BASE!A:W, 9, FALSE), "GENERAL"))</f>
        <v>INGENIERIA INDUSTRIAL</v>
      </c>
      <c r="H166" s="2" t="str">
        <f>IF(B166="","",IFERROR(VLOOKUP(B166, PLANTA_BASE!A:W, 17, FALSE), "GENERAL"))</f>
        <v>INGENIERIA INDUSTRIAL</v>
      </c>
    </row>
    <row r="167" spans="1:8" ht="20.100000000000001" customHeight="1" x14ac:dyDescent="0.25">
      <c r="A167" s="5" t="str">
        <f>IF(B167="","",IFERROR(VLOOKUP(B167, PLANTA_BASE!A:W, 2, FALSE), "NO ENCONTRADO EN PLANTA"))</f>
        <v>VIRTUAL</v>
      </c>
      <c r="B167" s="6" t="s">
        <v>122</v>
      </c>
      <c r="C167" s="7" t="s">
        <v>123</v>
      </c>
      <c r="D167" s="5" t="str">
        <f>IF(B167="","",IFERROR(VLOOKUP(B167, PLANTA_BASE!A:W, 5, FALSE), "NO ENCONTRADO EN PLANTA"))</f>
        <v>REGIONAL SANTANDER</v>
      </c>
      <c r="E167" s="5" t="str">
        <f>IF(B167="","",IFERROR(VLOOKUP(B167, PLANTA_BASE!A:W, 6, FALSE), "NO ENCONTRADO EN PLANTA"))</f>
        <v>BUCARAMANGA</v>
      </c>
      <c r="F167" s="7" t="str">
        <f>IF(B167="","",IFERROR(VLOOKUP(B167, PLANTA_BASE!A:W, 8, FALSE), "DOCENTE / FACILITADOR"))</f>
        <v>DOC AUX/N/V/TC/NEG INTER/FUN.ACADE-ADMIN</v>
      </c>
      <c r="G167" s="7" t="str">
        <f>IF(B167="","",IFERROR(VLOOKUP(B167, PLANTA_BASE!A:W, 9, FALSE), "GENERAL"))</f>
        <v>NEGOCIOS INTERNACIONALES</v>
      </c>
      <c r="H167" s="5" t="str">
        <f>IF(B167="","",IFERROR(VLOOKUP(B167, PLANTA_BASE!A:W, 17, FALSE), "GENERAL"))</f>
        <v>NEGOCIOS INTERNACIONALES</v>
      </c>
    </row>
    <row r="168" spans="1:8" ht="20.100000000000001" customHeight="1" x14ac:dyDescent="0.25">
      <c r="A168" s="2" t="str">
        <f>IF(B168="","",IFERROR(VLOOKUP(B168, PLANTA_BASE!A:W, 2, FALSE), "NO ENCONTRADO EN PLANTA"))</f>
        <v>PRESENCIAL</v>
      </c>
      <c r="B168" s="3" t="s">
        <v>320</v>
      </c>
      <c r="C168" s="4" t="s">
        <v>321</v>
      </c>
      <c r="D168" s="2" t="str">
        <f>IF(B168="","",IFERROR(VLOOKUP(B168, PLANTA_BASE!A:W, 5, FALSE), "NO ENCONTRADO EN PLANTA"))</f>
        <v>REGIONAL MAGDALENA</v>
      </c>
      <c r="E168" s="2" t="str">
        <f>IF(B168="","",IFERROR(VLOOKUP(B168, PLANTA_BASE!A:W, 6, FALSE), "NO ENCONTRADO EN PLANTA"))</f>
        <v>SANTA MARTA</v>
      </c>
      <c r="F168" s="4" t="str">
        <f>IF(B168="","",IFERROR(VLOOKUP(B168, PLANTA_BASE!A:W, 8, FALSE), "DOCENTE / FACILITADOR"))</f>
        <v>DOC AUX T&amp;T/N/TC/DIS GRAFICO/FUN.ACADE-ADMIN</v>
      </c>
      <c r="G168" s="4" t="str">
        <f>IF(B168="","",IFERROR(VLOOKUP(B168, PLANTA_BASE!A:W, 9, FALSE), "GENERAL"))</f>
        <v>DISEÑO GRAFICO</v>
      </c>
      <c r="H168" s="2" t="str">
        <f>IF(B168="","",IFERROR(VLOOKUP(B168, PLANTA_BASE!A:W, 17, FALSE), "GENERAL"))</f>
        <v>DISEÑO GRAFICO</v>
      </c>
    </row>
    <row r="169" spans="1:8" ht="20.100000000000001" customHeight="1" x14ac:dyDescent="0.25">
      <c r="A169" s="5" t="str">
        <f>IF(B169="","",IFERROR(VLOOKUP(B169, PLANTA_BASE!A:W, 2, FALSE), "NO ENCONTRADO EN PLANTA"))</f>
        <v>VIRTUAL</v>
      </c>
      <c r="B169" s="6" t="s">
        <v>306</v>
      </c>
      <c r="C169" s="7" t="s">
        <v>307</v>
      </c>
      <c r="D169" s="5" t="str">
        <f>IF(B169="","",IFERROR(VLOOKUP(B169, PLANTA_BASE!A:W, 5, FALSE), "NO ENCONTRADO EN PLANTA"))</f>
        <v>REGIONAL BOGOTA</v>
      </c>
      <c r="E169" s="5" t="str">
        <f>IF(B169="","",IFERROR(VLOOKUP(B169, PLANTA_BASE!A:W, 6, FALSE), "NO ENCONTRADO EN PLANTA"))</f>
        <v>BOGOTA CENTRO</v>
      </c>
      <c r="F169" s="7" t="str">
        <f>IF(B169="","",IFERROR(VLOOKUP(B169, PLANTA_BASE!A:W, 8, FALSE), "DOCENTE / FACILITADOR"))</f>
        <v>DOC AUX T&amp;T/N/V/TC/ING DE SISTEMAS/FUN.ACADE-ADMIN</v>
      </c>
      <c r="G169" s="7" t="str">
        <f>IF(B169="","",IFERROR(VLOOKUP(B169, PLANTA_BASE!A:W, 9, FALSE), "GENERAL"))</f>
        <v>INGENIERIA DE SISTEMAS</v>
      </c>
      <c r="H169" s="5" t="str">
        <f>IF(B169="","",IFERROR(VLOOKUP(B169, PLANTA_BASE!A:W, 17, FALSE), "GENERAL"))</f>
        <v>INGENIERIA DE SISTEMAS</v>
      </c>
    </row>
    <row r="170" spans="1:8" ht="20.100000000000001" customHeight="1" x14ac:dyDescent="0.25">
      <c r="A170" s="2" t="str">
        <f>IF(B170="","",IFERROR(VLOOKUP(B170, PLANTA_BASE!A:W, 2, FALSE), "NO ENCONTRADO EN PLANTA"))</f>
        <v>VIRTUAL</v>
      </c>
      <c r="B170" s="3" t="s">
        <v>244</v>
      </c>
      <c r="C170" s="4" t="s">
        <v>1876</v>
      </c>
      <c r="D170" s="2" t="str">
        <f>IF(B170="","",IFERROR(VLOOKUP(B170, PLANTA_BASE!A:W, 5, FALSE), "NO ENCONTRADO EN PLANTA"))</f>
        <v>REGIONAL SANTANDER</v>
      </c>
      <c r="E170" s="2" t="str">
        <f>IF(B170="","",IFERROR(VLOOKUP(B170, PLANTA_BASE!A:W, 6, FALSE), "NO ENCONTRADO EN PLANTA"))</f>
        <v>BUCARAMANGA</v>
      </c>
      <c r="F170" s="4" t="str">
        <f>IF(B170="","",IFERROR(VLOOKUP(B170, PLANTA_BASE!A:W, 8, FALSE), "DOCENTE / FACILITADOR"))</f>
        <v>DOC ASIS/N/V/TC/IDIOMAS/FUN.ACADE-ADMIN</v>
      </c>
      <c r="G170" s="4" t="str">
        <f>IF(B170="","",IFERROR(VLOOKUP(B170, PLANTA_BASE!A:W, 9, FALSE), "GENERAL"))</f>
        <v>IDIOMAS</v>
      </c>
      <c r="H170" s="2" t="str">
        <f>IF(B170="","",IFERROR(VLOOKUP(B170, PLANTA_BASE!A:W, 17, FALSE), "GENERAL"))</f>
        <v>IDIOMAS</v>
      </c>
    </row>
    <row r="171" spans="1:8" ht="20.100000000000001" customHeight="1" x14ac:dyDescent="0.25">
      <c r="A171" s="5" t="str">
        <f>IF(B171="","",IFERROR(VLOOKUP(B171, PLANTA_BASE!A:W, 2, FALSE), "NO ENCONTRADO EN PLANTA"))</f>
        <v>PRESENCIAL</v>
      </c>
      <c r="B171" s="6" t="s">
        <v>284</v>
      </c>
      <c r="C171" s="7" t="s">
        <v>285</v>
      </c>
      <c r="D171" s="5" t="str">
        <f>IF(B171="","",IFERROR(VLOOKUP(B171, PLANTA_BASE!A:W, 5, FALSE), "NO ENCONTRADO EN PLANTA"))</f>
        <v>REGIONAL MAGDALENA</v>
      </c>
      <c r="E171" s="5" t="str">
        <f>IF(B171="","",IFERROR(VLOOKUP(B171, PLANTA_BASE!A:W, 6, FALSE), "NO ENCONTRADO EN PLANTA"))</f>
        <v>SANTA MARTA</v>
      </c>
      <c r="F171" s="7" t="str">
        <f>IF(B171="","",IFERROR(VLOOKUP(B171, PLANTA_BASE!A:W, 8, FALSE), "DOCENTE / FACILITADOR"))</f>
        <v>DOC AUX T&amp;T/N/TC/DIS GRAFICO/FUN.ACADE-ADMIN</v>
      </c>
      <c r="G171" s="7" t="str">
        <f>IF(B171="","",IFERROR(VLOOKUP(B171, PLANTA_BASE!A:W, 9, FALSE), "GENERAL"))</f>
        <v>DISEÑO GRAFICO</v>
      </c>
      <c r="H171" s="5" t="str">
        <f>IF(B171="","",IFERROR(VLOOKUP(B171, PLANTA_BASE!A:W, 17, FALSE), "GENERAL"))</f>
        <v>DISEÑO GRAFICO</v>
      </c>
    </row>
    <row r="172" spans="1:8" ht="20.100000000000001" customHeight="1" x14ac:dyDescent="0.25">
      <c r="A172" s="2" t="str">
        <f>IF(B172="","",IFERROR(VLOOKUP(B172, PLANTA_BASE!A:W, 2, FALSE), "NO ENCONTRADO EN PLANTA"))</f>
        <v>PRESENCIAL</v>
      </c>
      <c r="B172" s="3" t="s">
        <v>316</v>
      </c>
      <c r="C172" s="4" t="s">
        <v>317</v>
      </c>
      <c r="D172" s="2" t="str">
        <f>IF(B172="","",IFERROR(VLOOKUP(B172, PLANTA_BASE!A:W, 5, FALSE), "NO ENCONTRADO EN PLANTA"))</f>
        <v>REGIONAL MAGDALENA</v>
      </c>
      <c r="E172" s="2" t="str">
        <f>IF(B172="","",IFERROR(VLOOKUP(B172, PLANTA_BASE!A:W, 6, FALSE), "NO ENCONTRADO EN PLANTA"))</f>
        <v>SANTA MARTA</v>
      </c>
      <c r="F172" s="4" t="str">
        <f>IF(B172="","",IFERROR(VLOOKUP(B172, PLANTA_BASE!A:W, 8, FALSE), "DOCENTE / FACILITADOR"))</f>
        <v>DOC AUX T&amp;T/N/TC/DIS GRAFICO/FUN.ACADE-ADMIN</v>
      </c>
      <c r="G172" s="4" t="str">
        <f>IF(B172="","",IFERROR(VLOOKUP(B172, PLANTA_BASE!A:W, 9, FALSE), "GENERAL"))</f>
        <v>DISEÑO GRAFICO</v>
      </c>
      <c r="H172" s="2" t="str">
        <f>IF(B172="","",IFERROR(VLOOKUP(B172, PLANTA_BASE!A:W, 17, FALSE), "GENERAL"))</f>
        <v>DISEÑO GRAFICO</v>
      </c>
    </row>
    <row r="173" spans="1:8" ht="20.100000000000001" customHeight="1" x14ac:dyDescent="0.25">
      <c r="A173" s="5" t="str">
        <f>IF(B173="","",IFERROR(VLOOKUP(B173, PLANTA_BASE!A:W, 2, FALSE), "NO ENCONTRADO EN PLANTA"))</f>
        <v>NO ENCONTRADO EN PLANTA</v>
      </c>
      <c r="B173" s="6" t="s">
        <v>1877</v>
      </c>
      <c r="C173" s="7" t="s">
        <v>1878</v>
      </c>
      <c r="D173" s="5" t="str">
        <f>IF(B173="","",IFERROR(VLOOKUP(B173, PLANTA_BASE!A:W, 5, FALSE), "NO ENCONTRADO EN PLANTA"))</f>
        <v>NO ENCONTRADO EN PLANTA</v>
      </c>
      <c r="E173" s="5" t="str">
        <f>IF(B173="","",IFERROR(VLOOKUP(B173, PLANTA_BASE!A:W, 6, FALSE), "NO ENCONTRADO EN PLANTA"))</f>
        <v>NO ENCONTRADO EN PLANTA</v>
      </c>
      <c r="F173" s="7" t="str">
        <f>IF(B173="","",IFERROR(VLOOKUP(B173, PLANTA_BASE!A:W, 8, FALSE), "DOCENTE / FACILITADOR"))</f>
        <v>DOCENTE / FACILITADOR</v>
      </c>
      <c r="G173" s="7" t="str">
        <f>IF(B173="","",IFERROR(VLOOKUP(B173, PLANTA_BASE!A:W, 9, FALSE), "GENERAL"))</f>
        <v>GENERAL</v>
      </c>
      <c r="H173" s="5" t="str">
        <f>IF(B173="","",IFERROR(VLOOKUP(B173, PLANTA_BASE!A:W, 17, FALSE), "GENERAL"))</f>
        <v>GENERAL</v>
      </c>
    </row>
    <row r="174" spans="1:8" ht="20.100000000000001" customHeight="1" x14ac:dyDescent="0.25">
      <c r="A174" s="2" t="str">
        <f>IF(B174="","",IFERROR(VLOOKUP(B174, PLANTA_BASE!A:W, 2, FALSE), "NO ENCONTRADO EN PLANTA"))</f>
        <v>PRESENCIAL</v>
      </c>
      <c r="B174" s="3" t="s">
        <v>326</v>
      </c>
      <c r="C174" s="4" t="s">
        <v>327</v>
      </c>
      <c r="D174" s="2" t="str">
        <f>IF(B174="","",IFERROR(VLOOKUP(B174, PLANTA_BASE!A:W, 5, FALSE), "NO ENCONTRADO EN PLANTA"))</f>
        <v>REGIONAL MAGDALENA</v>
      </c>
      <c r="E174" s="2" t="str">
        <f>IF(B174="","",IFERROR(VLOOKUP(B174, PLANTA_BASE!A:W, 6, FALSE), "NO ENCONTRADO EN PLANTA"))</f>
        <v>SANTA MARTA</v>
      </c>
      <c r="F174" s="4" t="str">
        <f>IF(B174="","",IFERROR(VLOOKUP(B174, PLANTA_BASE!A:W, 8, FALSE), "DOCENTE / FACILITADOR"))</f>
        <v>DOC AUX T&amp;T/N/TC/DIS GRAFICO/FUN.ACADE-ADMIN</v>
      </c>
      <c r="G174" s="4" t="str">
        <f>IF(B174="","",IFERROR(VLOOKUP(B174, PLANTA_BASE!A:W, 9, FALSE), "GENERAL"))</f>
        <v>DISEÑO GRAFICO</v>
      </c>
      <c r="H174" s="2" t="str">
        <f>IF(B174="","",IFERROR(VLOOKUP(B174, PLANTA_BASE!A:W, 17, FALSE), "GENERAL"))</f>
        <v>DISEÑO GRAFICO</v>
      </c>
    </row>
    <row r="175" spans="1:8" ht="20.100000000000001" customHeight="1" x14ac:dyDescent="0.25">
      <c r="A175" s="5" t="str">
        <f>IF(B175="","",IFERROR(VLOOKUP(B175, PLANTA_BASE!A:W, 2, FALSE), "NO ENCONTRADO EN PLANTA"))</f>
        <v>PRESENCIAL</v>
      </c>
      <c r="B175" s="6" t="s">
        <v>220</v>
      </c>
      <c r="C175" s="7" t="s">
        <v>221</v>
      </c>
      <c r="D175" s="5" t="str">
        <f>IF(B175="","",IFERROR(VLOOKUP(B175, PLANTA_BASE!A:W, 5, FALSE), "NO ENCONTRADO EN PLANTA"))</f>
        <v>REGIONAL BOGOTA</v>
      </c>
      <c r="E175" s="5" t="str">
        <f>IF(B175="","",IFERROR(VLOOKUP(B175, PLANTA_BASE!A:W, 6, FALSE), "NO ENCONTRADO EN PLANTA"))</f>
        <v>BOGOTA CENTRO</v>
      </c>
      <c r="F175" s="7" t="str">
        <f>IF(B175="","",IFERROR(VLOOKUP(B175, PLANTA_BASE!A:W, 8, FALSE), "DOCENTE / FACILITADOR"))</f>
        <v>DOCENTE ASOC/N/TC/INVESTIGA/INVESTIGACIO</v>
      </c>
      <c r="G175" s="7" t="str">
        <f>IF(B175="","",IFERROR(VLOOKUP(B175, PLANTA_BASE!A:W, 9, FALSE), "GENERAL"))</f>
        <v>INVESTIGACIONES</v>
      </c>
      <c r="H175" s="5" t="str">
        <f>IF(B175="","",IFERROR(VLOOKUP(B175, PLANTA_BASE!A:W, 17, FALSE), "GENERAL"))</f>
        <v>INVESTIGACIONES</v>
      </c>
    </row>
    <row r="176" spans="1:8" ht="20.100000000000001" customHeight="1" x14ac:dyDescent="0.25">
      <c r="A176" s="2" t="str">
        <f>IF(B176="","",IFERROR(VLOOKUP(B176, PLANTA_BASE!A:W, 2, FALSE), "NO ENCONTRADO EN PLANTA"))</f>
        <v>VIRTUAL</v>
      </c>
      <c r="B176" s="3" t="s">
        <v>198</v>
      </c>
      <c r="C176" s="4" t="s">
        <v>199</v>
      </c>
      <c r="D176" s="2" t="str">
        <f>IF(B176="","",IFERROR(VLOOKUP(B176, PLANTA_BASE!A:W, 5, FALSE), "NO ENCONTRADO EN PLANTA"))</f>
        <v>REGIONAL BOGOTA</v>
      </c>
      <c r="E176" s="2" t="str">
        <f>IF(B176="","",IFERROR(VLOOKUP(B176, PLANTA_BASE!A:W, 6, FALSE), "NO ENCONTRADO EN PLANTA"))</f>
        <v>BOGOTA CENTRO</v>
      </c>
      <c r="F176" s="4" t="str">
        <f>IF(B176="","",IFERROR(VLOOKUP(B176, PLANTA_BASE!A:W, 8, FALSE), "DOCENTE / FACILITADOR"))</f>
        <v>DOC ASOC/N/V/TC/INVESTIGACIONES/INVESTIG</v>
      </c>
      <c r="G176" s="4" t="str">
        <f>IF(B176="","",IFERROR(VLOOKUP(B176, PLANTA_BASE!A:W, 9, FALSE), "GENERAL"))</f>
        <v>INVESTIGACIONES</v>
      </c>
      <c r="H176" s="2" t="str">
        <f>IF(B176="","",IFERROR(VLOOKUP(B176, PLANTA_BASE!A:W, 17, FALSE), "GENERAL"))</f>
        <v>INVESTIGACIONES</v>
      </c>
    </row>
    <row r="177" spans="1:8" ht="20.100000000000001" customHeight="1" x14ac:dyDescent="0.25">
      <c r="A177" s="5" t="str">
        <f>IF(B177="","",IFERROR(VLOOKUP(B177, PLANTA_BASE!A:W, 2, FALSE), "NO ENCONTRADO EN PLANTA"))</f>
        <v>VIRTUAL</v>
      </c>
      <c r="B177" s="6" t="s">
        <v>286</v>
      </c>
      <c r="C177" s="7" t="s">
        <v>287</v>
      </c>
      <c r="D177" s="5" t="str">
        <f>IF(B177="","",IFERROR(VLOOKUP(B177, PLANTA_BASE!A:W, 5, FALSE), "NO ENCONTRADO EN PLANTA"))</f>
        <v>REGIONAL CUNDINAMARCA</v>
      </c>
      <c r="E177" s="5" t="str">
        <f>IF(B177="","",IFERROR(VLOOKUP(B177, PLANTA_BASE!A:W, 6, FALSE), "NO ENCONTRADO EN PLANTA"))</f>
        <v>MOSQUERA</v>
      </c>
      <c r="F177" s="7" t="str">
        <f>IF(B177="","",IFERROR(VLOOKUP(B177, PLANTA_BASE!A:W, 8, FALSE), "DOCENTE / FACILITADOR"))</f>
        <v>DOC ASOC/N/V/TC/INVESTIGACIONES/INVESTIG</v>
      </c>
      <c r="G177" s="7" t="str">
        <f>IF(B177="","",IFERROR(VLOOKUP(B177, PLANTA_BASE!A:W, 9, FALSE), "GENERAL"))</f>
        <v>INVESTIGACIONES</v>
      </c>
      <c r="H177" s="5" t="str">
        <f>IF(B177="","",IFERROR(VLOOKUP(B177, PLANTA_BASE!A:W, 17, FALSE), "GENERAL"))</f>
        <v>INVESTIGACIONES</v>
      </c>
    </row>
    <row r="178" spans="1:8" ht="20.100000000000001" customHeight="1" x14ac:dyDescent="0.25">
      <c r="A178" s="2" t="str">
        <f>IF(B178="","",IFERROR(VLOOKUP(B178, PLANTA_BASE!A:W, 2, FALSE), "NO ENCONTRADO EN PLANTA"))</f>
        <v>VIRTUAL</v>
      </c>
      <c r="B178" s="3" t="s">
        <v>136</v>
      </c>
      <c r="C178" s="4" t="s">
        <v>137</v>
      </c>
      <c r="D178" s="2" t="str">
        <f>IF(B178="","",IFERROR(VLOOKUP(B178, PLANTA_BASE!A:W, 5, FALSE), "NO ENCONTRADO EN PLANTA"))</f>
        <v>REGIONAL SANTANDER</v>
      </c>
      <c r="E178" s="2" t="str">
        <f>IF(B178="","",IFERROR(VLOOKUP(B178, PLANTA_BASE!A:W, 6, FALSE), "NO ENCONTRADO EN PLANTA"))</f>
        <v>BUCARAMANGA</v>
      </c>
      <c r="F178" s="4" t="str">
        <f>IF(B178="","",IFERROR(VLOOKUP(B178, PLANTA_BASE!A:W, 8, FALSE), "DOCENTE / FACILITADOR"))</f>
        <v>DOC ASIS/N/V/TC/ESP ALTA GEREN/PROYECCIO</v>
      </c>
      <c r="G178" s="4" t="str">
        <f>IF(B178="","",IFERROR(VLOOKUP(B178, PLANTA_BASE!A:W, 9, FALSE), "GENERAL"))</f>
        <v>ESPECIALIZACION EN ALTA GERENCIA</v>
      </c>
      <c r="H178" s="2" t="str">
        <f>IF(B178="","",IFERROR(VLOOKUP(B178, PLANTA_BASE!A:W, 17, FALSE), "GENERAL"))</f>
        <v>ESPECIALIZACION EN ALTA GERENCIA</v>
      </c>
    </row>
    <row r="179" spans="1:8" ht="20.100000000000001" customHeight="1" x14ac:dyDescent="0.25">
      <c r="A179" s="5" t="str">
        <f>IF(B179="","",IFERROR(VLOOKUP(B179, PLANTA_BASE!A:W, 2, FALSE), "NO ENCONTRADO EN PLANTA"))</f>
        <v>VIRTUAL</v>
      </c>
      <c r="B179" s="6" t="s">
        <v>138</v>
      </c>
      <c r="C179" s="7" t="s">
        <v>139</v>
      </c>
      <c r="D179" s="5" t="str">
        <f>IF(B179="","",IFERROR(VLOOKUP(B179, PLANTA_BASE!A:W, 5, FALSE), "NO ENCONTRADO EN PLANTA"))</f>
        <v>REGIONAL SANTANDER</v>
      </c>
      <c r="E179" s="5" t="str">
        <f>IF(B179="","",IFERROR(VLOOKUP(B179, PLANTA_BASE!A:W, 6, FALSE), "NO ENCONTRADO EN PLANTA"))</f>
        <v>BUCARAMANGA</v>
      </c>
      <c r="F179" s="7" t="str">
        <f>IF(B179="","",IFERROR(VLOOKUP(B179, PLANTA_BASE!A:W, 8, FALSE), "DOCENTE / FACILITADOR"))</f>
        <v>DOC TIT/N/V/MT/ESP ALTA GEREN</v>
      </c>
      <c r="G179" s="7" t="str">
        <f>IF(B179="","",IFERROR(VLOOKUP(B179, PLANTA_BASE!A:W, 9, FALSE), "GENERAL"))</f>
        <v>ESPECIALIZACION EN ALTA GERENCIA</v>
      </c>
      <c r="H179" s="5" t="str">
        <f>IF(B179="","",IFERROR(VLOOKUP(B179, PLANTA_BASE!A:W, 17, FALSE), "GENERAL"))</f>
        <v>ESPECIALIZACION EN ALTA GERENCIA</v>
      </c>
    </row>
    <row r="180" spans="1:8" ht="20.100000000000001" customHeight="1" x14ac:dyDescent="0.25">
      <c r="A180" s="2" t="str">
        <f>IF(B180="","",IFERROR(VLOOKUP(B180, PLANTA_BASE!A:W, 2, FALSE), "NO ENCONTRADO EN PLANTA"))</f>
        <v>VIRTUAL</v>
      </c>
      <c r="B180" s="3" t="s">
        <v>276</v>
      </c>
      <c r="C180" s="4" t="s">
        <v>277</v>
      </c>
      <c r="D180" s="2" t="str">
        <f>IF(B180="","",IFERROR(VLOOKUP(B180, PLANTA_BASE!A:W, 5, FALSE), "NO ENCONTRADO EN PLANTA"))</f>
        <v>REGIONAL BOLIVAR</v>
      </c>
      <c r="E180" s="2" t="str">
        <f>IF(B180="","",IFERROR(VLOOKUP(B180, PLANTA_BASE!A:W, 6, FALSE), "NO ENCONTRADO EN PLANTA"))</f>
        <v>CARTAGENA</v>
      </c>
      <c r="F180" s="4" t="str">
        <f>IF(B180="","",IFERROR(VLOOKUP(B180, PLANTA_BASE!A:W, 8, FALSE), "DOCENTE / FACILITADOR"))</f>
        <v>DOC ASIS/N/V/TC/ESP CONTRA ESTATAL/FUN.A</v>
      </c>
      <c r="G180" s="4" t="str">
        <f>IF(B180="","",IFERROR(VLOOKUP(B180, PLANTA_BASE!A:W, 9, FALSE), "GENERAL"))</f>
        <v>ESPECIALIZACION DE CONTRATACION ESTATAL</v>
      </c>
      <c r="H180" s="2" t="str">
        <f>IF(B180="","",IFERROR(VLOOKUP(B180, PLANTA_BASE!A:W, 17, FALSE), "GENERAL"))</f>
        <v>ESPECIALIZACION DE CONTRATACION ESTATAL</v>
      </c>
    </row>
    <row r="181" spans="1:8" ht="20.100000000000001" customHeight="1" x14ac:dyDescent="0.25">
      <c r="A181" s="5" t="str">
        <f>IF(B181="","",IFERROR(VLOOKUP(B181, PLANTA_BASE!A:W, 2, FALSE), "NO ENCONTRADO EN PLANTA"))</f>
        <v>VIRTUAL</v>
      </c>
      <c r="B181" s="6" t="s">
        <v>202</v>
      </c>
      <c r="C181" s="7" t="s">
        <v>203</v>
      </c>
      <c r="D181" s="5" t="str">
        <f>IF(B181="","",IFERROR(VLOOKUP(B181, PLANTA_BASE!A:W, 5, FALSE), "NO ENCONTRADO EN PLANTA"))</f>
        <v>REGIONAL SANTANDER</v>
      </c>
      <c r="E181" s="5" t="str">
        <f>IF(B181="","",IFERROR(VLOOKUP(B181, PLANTA_BASE!A:W, 6, FALSE), "NO ENCONTRADO EN PLANTA"))</f>
        <v>BUCARAMANGA</v>
      </c>
      <c r="F181" s="7" t="str">
        <f>IF(B181="","",IFERROR(VLOOKUP(B181, PLANTA_BASE!A:W, 8, FALSE), "DOCENTE / FACILITADOR"))</f>
        <v>DOC TITULAR/N/V/TC/INVESTIGACIONES/INVESTI</v>
      </c>
      <c r="G181" s="7" t="str">
        <f>IF(B181="","",IFERROR(VLOOKUP(B181, PLANTA_BASE!A:W, 9, FALSE), "GENERAL"))</f>
        <v>INVESTIGACIONES</v>
      </c>
      <c r="H181" s="5" t="str">
        <f>IF(B181="","",IFERROR(VLOOKUP(B181, PLANTA_BASE!A:W, 17, FALSE), "GENERAL"))</f>
        <v>INVESTIGACIONES</v>
      </c>
    </row>
    <row r="182" spans="1:8" ht="20.100000000000001" customHeight="1" x14ac:dyDescent="0.25">
      <c r="A182" s="2" t="str">
        <f>IF(B182="","",IFERROR(VLOOKUP(B182, PLANTA_BASE!A:W, 2, FALSE), "NO ENCONTRADO EN PLANTA"))</f>
        <v>PRESENCIAL</v>
      </c>
      <c r="B182" s="3" t="s">
        <v>324</v>
      </c>
      <c r="C182" s="4" t="s">
        <v>325</v>
      </c>
      <c r="D182" s="2" t="str">
        <f>IF(B182="","",IFERROR(VLOOKUP(B182, PLANTA_BASE!A:W, 5, FALSE), "NO ENCONTRADO EN PLANTA"))</f>
        <v>REGIONAL MAGDALENA</v>
      </c>
      <c r="E182" s="2" t="str">
        <f>IF(B182="","",IFERROR(VLOOKUP(B182, PLANTA_BASE!A:W, 6, FALSE), "NO ENCONTRADO EN PLANTA"))</f>
        <v>SANTA MARTA</v>
      </c>
      <c r="F182" s="4" t="str">
        <f>IF(B182="","",IFERROR(VLOOKUP(B182, PLANTA_BASE!A:W, 8, FALSE), "DOCENTE / FACILITADOR"))</f>
        <v>DOCENTE AUX/N/TC/EMPRENDIMIE/FUN.ACADE-ADMIN</v>
      </c>
      <c r="G182" s="4" t="str">
        <f>IF(B182="","",IFERROR(VLOOKUP(B182, PLANTA_BASE!A:W, 9, FALSE), "GENERAL"))</f>
        <v>EMPRENDIMIENTO</v>
      </c>
      <c r="H182" s="2" t="str">
        <f>IF(B182="","",IFERROR(VLOOKUP(B182, PLANTA_BASE!A:W, 17, FALSE), "GENERAL"))</f>
        <v>EMPRENDIMIENTO</v>
      </c>
    </row>
    <row r="183" spans="1:8" ht="20.100000000000001" customHeight="1" x14ac:dyDescent="0.25">
      <c r="A183" s="5" t="str">
        <f>IF(B183="","",IFERROR(VLOOKUP(B183, PLANTA_BASE!A:W, 2, FALSE), "NO ENCONTRADO EN PLANTA"))</f>
        <v>PRESENCIAL</v>
      </c>
      <c r="B183" s="6" t="s">
        <v>232</v>
      </c>
      <c r="C183" s="7" t="s">
        <v>233</v>
      </c>
      <c r="D183" s="5" t="str">
        <f>IF(B183="","",IFERROR(VLOOKUP(B183, PLANTA_BASE!A:W, 5, FALSE), "NO ENCONTRADO EN PLANTA"))</f>
        <v>REGIONAL ANTIOQUIA</v>
      </c>
      <c r="E183" s="5" t="str">
        <f>IF(B183="","",IFERROR(VLOOKUP(B183, PLANTA_BASE!A:W, 6, FALSE), "NO ENCONTRADO EN PLANTA"))</f>
        <v>MEDELLIN</v>
      </c>
      <c r="F183" s="7" t="str">
        <f>IF(B183="","",IFERROR(VLOOKUP(B183, PLANTA_BASE!A:W, 8, FALSE), "DOCENTE / FACILITADOR"))</f>
        <v>DOCENTE ASOC/N/TC/INVESTIGA/INVESTIGACIO</v>
      </c>
      <c r="G183" s="7" t="str">
        <f>IF(B183="","",IFERROR(VLOOKUP(B183, PLANTA_BASE!A:W, 9, FALSE), "GENERAL"))</f>
        <v>INVESTIGACIONES</v>
      </c>
      <c r="H183" s="5" t="str">
        <f>IF(B183="","",IFERROR(VLOOKUP(B183, PLANTA_BASE!A:W, 17, FALSE), "GENERAL"))</f>
        <v>INVESTIGACIONES</v>
      </c>
    </row>
    <row r="184" spans="1:8" ht="20.100000000000001" customHeight="1" x14ac:dyDescent="0.25">
      <c r="A184" s="2" t="str">
        <f>IF(B184="","",IFERROR(VLOOKUP(B184, PLANTA_BASE!A:W, 2, FALSE), "NO ENCONTRADO EN PLANTA"))</f>
        <v>VIRTUAL</v>
      </c>
      <c r="B184" s="3" t="s">
        <v>16</v>
      </c>
      <c r="C184" s="4" t="s">
        <v>17</v>
      </c>
      <c r="D184" s="2" t="str">
        <f>IF(B184="","",IFERROR(VLOOKUP(B184, PLANTA_BASE!A:W, 5, FALSE), "NO ENCONTRADO EN PLANTA"))</f>
        <v>REGIONAL ANTIOQUIA</v>
      </c>
      <c r="E184" s="2" t="str">
        <f>IF(B184="","",IFERROR(VLOOKUP(B184, PLANTA_BASE!A:W, 6, FALSE), "NO ENCONTRADO EN PLANTA"))</f>
        <v>MEDELLIN</v>
      </c>
      <c r="F184" s="4" t="str">
        <f>IF(B184="","",IFERROR(VLOOKUP(B184, PLANTA_BASE!A:W, 8, FALSE), "DOCENTE / FACILITADOR"))</f>
        <v>DOC AUX T&amp;T/N/V/MT/ESP ANALIT DATOS</v>
      </c>
      <c r="G184" s="4" t="str">
        <f>IF(B184="","",IFERROR(VLOOKUP(B184, PLANTA_BASE!A:W, 9, FALSE), "GENERAL"))</f>
        <v>ESPECIALIZACION DE ANALITICA DE DATOS</v>
      </c>
      <c r="H184" s="2" t="str">
        <f>IF(B184="","",IFERROR(VLOOKUP(B184, PLANTA_BASE!A:W, 17, FALSE), "GENERAL"))</f>
        <v>ESPECIALIZACION DE ANALITICA DE DATOS</v>
      </c>
    </row>
    <row r="185" spans="1:8" ht="20.100000000000001" customHeight="1" x14ac:dyDescent="0.25">
      <c r="A185" s="5" t="str">
        <f>IF(B185="","",IFERROR(VLOOKUP(B185, PLANTA_BASE!A:W, 2, FALSE), "NO ENCONTRADO EN PLANTA"))</f>
        <v>VIRTUAL</v>
      </c>
      <c r="B185" s="6" t="s">
        <v>250</v>
      </c>
      <c r="C185" s="7" t="s">
        <v>251</v>
      </c>
      <c r="D185" s="5" t="str">
        <f>IF(B185="","",IFERROR(VLOOKUP(B185, PLANTA_BASE!A:W, 5, FALSE), "NO ENCONTRADO EN PLANTA"))</f>
        <v>REGIONAL VALLE DELCAUCA</v>
      </c>
      <c r="E185" s="5" t="str">
        <f>IF(B185="","",IFERROR(VLOOKUP(B185, PLANTA_BASE!A:W, 6, FALSE), "NO ENCONTRADO EN PLANTA"))</f>
        <v>BUENAVENTURA</v>
      </c>
      <c r="F185" s="7" t="str">
        <f>IF(B185="","",IFERROR(VLOOKUP(B185, PLANTA_BASE!A:W, 8, FALSE), "DOCENTE / FACILITADOR"))</f>
        <v>DOC ASIS/N/V/TC/EMPRENDIMIENTO/PROYE. AC</v>
      </c>
      <c r="G185" s="7" t="str">
        <f>IF(B185="","",IFERROR(VLOOKUP(B185, PLANTA_BASE!A:W, 9, FALSE), "GENERAL"))</f>
        <v>EMPRENDIMIENTO</v>
      </c>
      <c r="H185" s="5" t="str">
        <f>IF(B185="","",IFERROR(VLOOKUP(B185, PLANTA_BASE!A:W, 17, FALSE), "GENERAL"))</f>
        <v>EMPRENDIMIENTO</v>
      </c>
    </row>
    <row r="186" spans="1:8" ht="20.100000000000001" customHeight="1" x14ac:dyDescent="0.25">
      <c r="A186" s="2" t="str">
        <f>IF(B186="","",IFERROR(VLOOKUP(B186, PLANTA_BASE!A:W, 2, FALSE), "NO ENCONTRADO EN PLANTA"))</f>
        <v>VIRTUAL</v>
      </c>
      <c r="B186" s="3" t="s">
        <v>274</v>
      </c>
      <c r="C186" s="4" t="s">
        <v>275</v>
      </c>
      <c r="D186" s="2" t="str">
        <f>IF(B186="","",IFERROR(VLOOKUP(B186, PLANTA_BASE!A:W, 5, FALSE), "NO ENCONTRADO EN PLANTA"))</f>
        <v>REGIONAL BOYACA</v>
      </c>
      <c r="E186" s="2" t="str">
        <f>IF(B186="","",IFERROR(VLOOKUP(B186, PLANTA_BASE!A:W, 6, FALSE), "NO ENCONTRADO EN PLANTA"))</f>
        <v>TUNJA</v>
      </c>
      <c r="F186" s="4" t="str">
        <f>IF(B186="","",IFERROR(VLOOKUP(B186, PLANTA_BASE!A:W, 8, FALSE), "DOCENTE / FACILITADOR"))</f>
        <v>DOC ASOC/N/V/TC/INVESTIGACIONES/INVESTIG</v>
      </c>
      <c r="G186" s="4" t="str">
        <f>IF(B186="","",IFERROR(VLOOKUP(B186, PLANTA_BASE!A:W, 9, FALSE), "GENERAL"))</f>
        <v>INVESTIGACIONES</v>
      </c>
      <c r="H186" s="2" t="str">
        <f>IF(B186="","",IFERROR(VLOOKUP(B186, PLANTA_BASE!A:W, 17, FALSE), "GENERAL"))</f>
        <v>INVESTIGACIONES</v>
      </c>
    </row>
    <row r="187" spans="1:8" ht="20.100000000000001" customHeight="1" x14ac:dyDescent="0.25">
      <c r="A187" s="5" t="str">
        <f>IF(B187="","",IFERROR(VLOOKUP(B187, PLANTA_BASE!A:W, 2, FALSE), "NO ENCONTRADO EN PLANTA"))</f>
        <v>VIRTUAL</v>
      </c>
      <c r="B187" s="6" t="s">
        <v>112</v>
      </c>
      <c r="C187" s="7" t="s">
        <v>113</v>
      </c>
      <c r="D187" s="5" t="str">
        <f>IF(B187="","",IFERROR(VLOOKUP(B187, PLANTA_BASE!A:W, 5, FALSE), "NO ENCONTRADO EN PLANTA"))</f>
        <v>REGIONAL BOGOTA</v>
      </c>
      <c r="E187" s="5" t="str">
        <f>IF(B187="","",IFERROR(VLOOKUP(B187, PLANTA_BASE!A:W, 6, FALSE), "NO ENCONTRADO EN PLANTA"))</f>
        <v>BOGOTA CENTRO</v>
      </c>
      <c r="F187" s="7" t="str">
        <f>IF(B187="","",IFERROR(VLOOKUP(B187, PLANTA_BASE!A:W, 8, FALSE), "DOCENTE / FACILITADOR"))</f>
        <v>DOC AUX T&amp;T/N/V/MT/DIS GRAFICO</v>
      </c>
      <c r="G187" s="7" t="str">
        <f>IF(B187="","",IFERROR(VLOOKUP(B187, PLANTA_BASE!A:W, 9, FALSE), "GENERAL"))</f>
        <v>DISEÑO GRAFICO</v>
      </c>
      <c r="H187" s="5" t="str">
        <f>IF(B187="","",IFERROR(VLOOKUP(B187, PLANTA_BASE!A:W, 17, FALSE), "GENERAL"))</f>
        <v>DISEÑO GRAFICO</v>
      </c>
    </row>
    <row r="188" spans="1:8" ht="20.100000000000001" customHeight="1" x14ac:dyDescent="0.25">
      <c r="A188" s="2" t="str">
        <f>IF(B188="","",IFERROR(VLOOKUP(B188, PLANTA_BASE!A:W, 2, FALSE), "NO ENCONTRADO EN PLANTA"))</f>
        <v>PRESENCIAL</v>
      </c>
      <c r="B188" s="3" t="s">
        <v>758</v>
      </c>
      <c r="C188" s="4" t="s">
        <v>759</v>
      </c>
      <c r="D188" s="2" t="str">
        <f>IF(B188="","",IFERROR(VLOOKUP(B188, PLANTA_BASE!A:W, 5, FALSE), "NO ENCONTRADO EN PLANTA"))</f>
        <v>REGIONAL BOGOTA</v>
      </c>
      <c r="E188" s="2" t="str">
        <f>IF(B188="","",IFERROR(VLOOKUP(B188, PLANTA_BASE!A:W, 6, FALSE), "NO ENCONTRADO EN PLANTA"))</f>
        <v>BOGOTA CENTRO</v>
      </c>
      <c r="F188" s="4" t="str">
        <f>IF(B188="","",IFERROR(VLOOKUP(B188, PLANTA_BASE!A:W, 8, FALSE), "DOCENTE / FACILITADOR"))</f>
        <v>DOC AUX T&amp;T/N/MT/ADM TUR Y HOT</v>
      </c>
      <c r="G188" s="4" t="str">
        <f>IF(B188="","",IFERROR(VLOOKUP(B188, PLANTA_BASE!A:W, 9, FALSE), "GENERAL"))</f>
        <v>ADMINISTRACION TURISTICA Y HOTELERA</v>
      </c>
      <c r="H188" s="2" t="str">
        <f>IF(B188="","",IFERROR(VLOOKUP(B188, PLANTA_BASE!A:W, 17, FALSE), "GENERAL"))</f>
        <v>ADMINISTRACION TURISTICA Y HOTELERA</v>
      </c>
    </row>
    <row r="189" spans="1:8" ht="20.100000000000001" customHeight="1" x14ac:dyDescent="0.25">
      <c r="A189" s="5" t="str">
        <f>IF(B189="","",IFERROR(VLOOKUP(B189, PLANTA_BASE!A:W, 2, FALSE), "NO ENCONTRADO EN PLANTA"))</f>
        <v>NO ENCONTRADO EN PLANTA</v>
      </c>
      <c r="B189" s="6" t="s">
        <v>1879</v>
      </c>
      <c r="C189" s="7" t="s">
        <v>1880</v>
      </c>
      <c r="D189" s="5" t="str">
        <f>IF(B189="","",IFERROR(VLOOKUP(B189, PLANTA_BASE!A:W, 5, FALSE), "NO ENCONTRADO EN PLANTA"))</f>
        <v>NO ENCONTRADO EN PLANTA</v>
      </c>
      <c r="E189" s="5" t="str">
        <f>IF(B189="","",IFERROR(VLOOKUP(B189, PLANTA_BASE!A:W, 6, FALSE), "NO ENCONTRADO EN PLANTA"))</f>
        <v>NO ENCONTRADO EN PLANTA</v>
      </c>
      <c r="F189" s="7" t="str">
        <f>IF(B189="","",IFERROR(VLOOKUP(B189, PLANTA_BASE!A:W, 8, FALSE), "DOCENTE / FACILITADOR"))</f>
        <v>DOCENTE / FACILITADOR</v>
      </c>
      <c r="G189" s="7" t="str">
        <f>IF(B189="","",IFERROR(VLOOKUP(B189, PLANTA_BASE!A:W, 9, FALSE), "GENERAL"))</f>
        <v>GENERAL</v>
      </c>
      <c r="H189" s="5" t="str">
        <f>IF(B189="","",IFERROR(VLOOKUP(B189, PLANTA_BASE!A:W, 17, FALSE), "GENERAL"))</f>
        <v>GENERAL</v>
      </c>
    </row>
    <row r="190" spans="1:8" ht="20.100000000000001" customHeight="1" x14ac:dyDescent="0.25">
      <c r="A190" s="2" t="str">
        <f>IF(B190="","",IFERROR(VLOOKUP(B190, PLANTA_BASE!A:W, 2, FALSE), "NO ENCONTRADO EN PLANTA"))</f>
        <v>NO ENCONTRADO EN PLANTA</v>
      </c>
      <c r="B190" s="3" t="s">
        <v>1881</v>
      </c>
      <c r="C190" s="4" t="s">
        <v>1882</v>
      </c>
      <c r="D190" s="2" t="str">
        <f>IF(B190="","",IFERROR(VLOOKUP(B190, PLANTA_BASE!A:W, 5, FALSE), "NO ENCONTRADO EN PLANTA"))</f>
        <v>NO ENCONTRADO EN PLANTA</v>
      </c>
      <c r="E190" s="2" t="str">
        <f>IF(B190="","",IFERROR(VLOOKUP(B190, PLANTA_BASE!A:W, 6, FALSE), "NO ENCONTRADO EN PLANTA"))</f>
        <v>NO ENCONTRADO EN PLANTA</v>
      </c>
      <c r="F190" s="4" t="str">
        <f>IF(B190="","",IFERROR(VLOOKUP(B190, PLANTA_BASE!A:W, 8, FALSE), "DOCENTE / FACILITADOR"))</f>
        <v>DOCENTE / FACILITADOR</v>
      </c>
      <c r="G190" s="4" t="str">
        <f>IF(B190="","",IFERROR(VLOOKUP(B190, PLANTA_BASE!A:W, 9, FALSE), "GENERAL"))</f>
        <v>GENERAL</v>
      </c>
      <c r="H190" s="2" t="str">
        <f>IF(B190="","",IFERROR(VLOOKUP(B190, PLANTA_BASE!A:W, 17, FALSE), "GENERAL"))</f>
        <v>GENERAL</v>
      </c>
    </row>
    <row r="191" spans="1:8" ht="20.100000000000001" customHeight="1" x14ac:dyDescent="0.25">
      <c r="A191" s="5" t="str">
        <f>IF(B191="","",IFERROR(VLOOKUP(B191, PLANTA_BASE!A:W, 2, FALSE), "NO ENCONTRADO EN PLANTA"))</f>
        <v>NO ENCONTRADO EN PLANTA</v>
      </c>
      <c r="B191" s="6" t="s">
        <v>1883</v>
      </c>
      <c r="C191" s="7" t="s">
        <v>1884</v>
      </c>
      <c r="D191" s="5" t="str">
        <f>IF(B191="","",IFERROR(VLOOKUP(B191, PLANTA_BASE!A:W, 5, FALSE), "NO ENCONTRADO EN PLANTA"))</f>
        <v>NO ENCONTRADO EN PLANTA</v>
      </c>
      <c r="E191" s="5" t="str">
        <f>IF(B191="","",IFERROR(VLOOKUP(B191, PLANTA_BASE!A:W, 6, FALSE), "NO ENCONTRADO EN PLANTA"))</f>
        <v>NO ENCONTRADO EN PLANTA</v>
      </c>
      <c r="F191" s="7" t="str">
        <f>IF(B191="","",IFERROR(VLOOKUP(B191, PLANTA_BASE!A:W, 8, FALSE), "DOCENTE / FACILITADOR"))</f>
        <v>DOCENTE / FACILITADOR</v>
      </c>
      <c r="G191" s="7" t="str">
        <f>IF(B191="","",IFERROR(VLOOKUP(B191, PLANTA_BASE!A:W, 9, FALSE), "GENERAL"))</f>
        <v>GENERAL</v>
      </c>
      <c r="H191" s="5" t="str">
        <f>IF(B191="","",IFERROR(VLOOKUP(B191, PLANTA_BASE!A:W, 17, FALSE), "GENERAL"))</f>
        <v>GENERAL</v>
      </c>
    </row>
    <row r="192" spans="1:8" ht="20.100000000000001" customHeight="1" x14ac:dyDescent="0.25">
      <c r="A192" s="2" t="str">
        <f>IF(B192="","",IFERROR(VLOOKUP(B192, PLANTA_BASE!A:W, 2, FALSE), "NO ENCONTRADO EN PLANTA"))</f>
        <v>PRESENCIAL</v>
      </c>
      <c r="B192" s="3" t="s">
        <v>164</v>
      </c>
      <c r="C192" s="4" t="s">
        <v>165</v>
      </c>
      <c r="D192" s="2" t="str">
        <f>IF(B192="","",IFERROR(VLOOKUP(B192, PLANTA_BASE!A:W, 5, FALSE), "NO ENCONTRADO EN PLANTA"))</f>
        <v>REGIONAL CUNDINAMARCA</v>
      </c>
      <c r="E192" s="2" t="str">
        <f>IF(B192="","",IFERROR(VLOOKUP(B192, PLANTA_BASE!A:W, 6, FALSE), "NO ENCONTRADO EN PLANTA"))</f>
        <v>MOSQUERA</v>
      </c>
      <c r="F192" s="4" t="str">
        <f>IF(B192="","",IFERROR(VLOOKUP(B192, PLANTA_BASE!A:W, 8, FALSE), "DOCENTE / FACILITADOR"))</f>
        <v>DOC AUX T&amp;T/N/TC/EMPRENDIMIE/FUN.ACADE-ADMIN</v>
      </c>
      <c r="G192" s="4" t="str">
        <f>IF(B192="","",IFERROR(VLOOKUP(B192, PLANTA_BASE!A:W, 9, FALSE), "GENERAL"))</f>
        <v>EMPRENDIMIENTO</v>
      </c>
      <c r="H192" s="2" t="str">
        <f>IF(B192="","",IFERROR(VLOOKUP(B192, PLANTA_BASE!A:W, 17, FALSE), "GENERAL"))</f>
        <v>EMPRENDIMIENTO</v>
      </c>
    </row>
    <row r="193" spans="1:8" ht="20.100000000000001" customHeight="1" x14ac:dyDescent="0.25">
      <c r="A193" s="5" t="str">
        <f>IF(B193="","",IFERROR(VLOOKUP(B193, PLANTA_BASE!A:W, 2, FALSE), "NO ENCONTRADO EN PLANTA"))</f>
        <v>VIRTUAL</v>
      </c>
      <c r="B193" s="6" t="s">
        <v>134</v>
      </c>
      <c r="C193" s="7" t="s">
        <v>135</v>
      </c>
      <c r="D193" s="5" t="str">
        <f>IF(B193="","",IFERROR(VLOOKUP(B193, PLANTA_BASE!A:W, 5, FALSE), "NO ENCONTRADO EN PLANTA"))</f>
        <v>REGIONAL BOGOTA</v>
      </c>
      <c r="E193" s="5" t="str">
        <f>IF(B193="","",IFERROR(VLOOKUP(B193, PLANTA_BASE!A:W, 6, FALSE), "NO ENCONTRADO EN PLANTA"))</f>
        <v>BOGOTA CENTRO</v>
      </c>
      <c r="F193" s="7" t="str">
        <f>IF(B193="","",IFERROR(VLOOKUP(B193, PLANTA_BASE!A:W, 8, FALSE), "DOCENTE / FACILITADOR"))</f>
        <v>DOC AUX T&amp;T/N/V/TC/ING DE SISTEMAS/FUN.ACADE-ADMIN</v>
      </c>
      <c r="G193" s="7" t="str">
        <f>IF(B193="","",IFERROR(VLOOKUP(B193, PLANTA_BASE!A:W, 9, FALSE), "GENERAL"))</f>
        <v>INGENIERIA DE SISTEMAS</v>
      </c>
      <c r="H193" s="5" t="str">
        <f>IF(B193="","",IFERROR(VLOOKUP(B193, PLANTA_BASE!A:W, 17, FALSE), "GENERAL"))</f>
        <v>INGENIERIA DE SISTEMAS</v>
      </c>
    </row>
    <row r="194" spans="1:8" ht="20.100000000000001" customHeight="1" x14ac:dyDescent="0.25">
      <c r="A194" s="2" t="str">
        <f>IF(B194="","",IFERROR(VLOOKUP(B194, PLANTA_BASE!A:W, 2, FALSE), "NO ENCONTRADO EN PLANTA"))</f>
        <v>VIRTUAL</v>
      </c>
      <c r="B194" s="3" t="s">
        <v>366</v>
      </c>
      <c r="C194" s="4" t="s">
        <v>367</v>
      </c>
      <c r="D194" s="2" t="str">
        <f>IF(B194="","",IFERROR(VLOOKUP(B194, PLANTA_BASE!A:W, 5, FALSE), "NO ENCONTRADO EN PLANTA"))</f>
        <v>REGIONAL BOGOTA</v>
      </c>
      <c r="E194" s="2" t="str">
        <f>IF(B194="","",IFERROR(VLOOKUP(B194, PLANTA_BASE!A:W, 6, FALSE), "NO ENCONTRADO EN PLANTA"))</f>
        <v>BOGOTA CENTRO</v>
      </c>
      <c r="F194" s="4" t="str">
        <f>IF(B194="","",IFERROR(VLOOKUP(B194, PLANTA_BASE!A:W, 8, FALSE), "DOCENTE / FACILITADOR"))</f>
        <v>DOC ASIS/N/V/TC/ING INDUS/FUN.ACADE-ADMIN</v>
      </c>
      <c r="G194" s="4" t="str">
        <f>IF(B194="","",IFERROR(VLOOKUP(B194, PLANTA_BASE!A:W, 9, FALSE), "GENERAL"))</f>
        <v>INGENIERIA INDUSTRIAL</v>
      </c>
      <c r="H194" s="2" t="str">
        <f>IF(B194="","",IFERROR(VLOOKUP(B194, PLANTA_BASE!A:W, 17, FALSE), "GENERAL"))</f>
        <v>INGENIERIA INDUSTRIAL</v>
      </c>
    </row>
    <row r="195" spans="1:8" ht="20.100000000000001" customHeight="1" x14ac:dyDescent="0.25">
      <c r="A195" s="5" t="str">
        <f>IF(B195="","",IFERROR(VLOOKUP(B195, PLANTA_BASE!A:W, 2, FALSE), "NO ENCONTRADO EN PLANTA"))</f>
        <v>VIRTUAL</v>
      </c>
      <c r="B195" s="6" t="s">
        <v>858</v>
      </c>
      <c r="C195" s="7" t="s">
        <v>1885</v>
      </c>
      <c r="D195" s="5" t="str">
        <f>IF(B195="","",IFERROR(VLOOKUP(B195, PLANTA_BASE!A:W, 5, FALSE), "NO ENCONTRADO EN PLANTA"))</f>
        <v>REGIONAL BOGOTA</v>
      </c>
      <c r="E195" s="5" t="str">
        <f>IF(B195="","",IFERROR(VLOOKUP(B195, PLANTA_BASE!A:W, 6, FALSE), "NO ENCONTRADO EN PLANTA"))</f>
        <v>BOGOTA CENTRO</v>
      </c>
      <c r="F195" s="7" t="str">
        <f>IF(B195="","",IFERROR(VLOOKUP(B195, PLANTA_BASE!A:W, 8, FALSE), "DOCENTE / FACILITADOR"))</f>
        <v>DOC ASIS/N/V/TC/INVESTIGACIONES/INVESTIG</v>
      </c>
      <c r="G195" s="7" t="str">
        <f>IF(B195="","",IFERROR(VLOOKUP(B195, PLANTA_BASE!A:W, 9, FALSE), "GENERAL"))</f>
        <v>INVESTIGACIONES</v>
      </c>
      <c r="H195" s="5" t="str">
        <f>IF(B195="","",IFERROR(VLOOKUP(B195, PLANTA_BASE!A:W, 17, FALSE), "GENERAL"))</f>
        <v>INVESTIGACIONES</v>
      </c>
    </row>
    <row r="196" spans="1:8" ht="20.100000000000001" customHeight="1" x14ac:dyDescent="0.25">
      <c r="A196" s="2" t="str">
        <f>IF(B196="","",IFERROR(VLOOKUP(B196, PLANTA_BASE!A:W, 2, FALSE), "NO ENCONTRADO EN PLANTA"))</f>
        <v>PRESENCIAL</v>
      </c>
      <c r="B196" s="3" t="s">
        <v>874</v>
      </c>
      <c r="C196" s="4" t="s">
        <v>875</v>
      </c>
      <c r="D196" s="2" t="str">
        <f>IF(B196="","",IFERROR(VLOOKUP(B196, PLANTA_BASE!A:W, 5, FALSE), "NO ENCONTRADO EN PLANTA"))</f>
        <v>REGIONAL BOGOTA</v>
      </c>
      <c r="E196" s="2" t="str">
        <f>IF(B196="","",IFERROR(VLOOKUP(B196, PLANTA_BASE!A:W, 6, FALSE), "NO ENCONTRADO EN PLANTA"))</f>
        <v>BOGOTA CENTRO</v>
      </c>
      <c r="F196" s="4" t="str">
        <f>IF(B196="","",IFERROR(VLOOKUP(B196, PLANTA_BASE!A:W, 8, FALSE), "DOCENTE / FACILITADOR"))</f>
        <v>DOC AUX T&amp;T/N/TC/EMPRENDIMIE/FUN.ACADE-ADMIN</v>
      </c>
      <c r="G196" s="4" t="str">
        <f>IF(B196="","",IFERROR(VLOOKUP(B196, PLANTA_BASE!A:W, 9, FALSE), "GENERAL"))</f>
        <v>EMPRENDIMIENTO</v>
      </c>
      <c r="H196" s="2" t="str">
        <f>IF(B196="","",IFERROR(VLOOKUP(B196, PLANTA_BASE!A:W, 17, FALSE), "GENERAL"))</f>
        <v>EMPRENDIMIENTO</v>
      </c>
    </row>
    <row r="197" spans="1:8" ht="20.100000000000001" customHeight="1" x14ac:dyDescent="0.25">
      <c r="A197" s="5" t="str">
        <f>IF(B197="","",IFERROR(VLOOKUP(B197, PLANTA_BASE!A:W, 2, FALSE), "NO ENCONTRADO EN PLANTA"))</f>
        <v>NO ENCONTRADO EN PLANTA</v>
      </c>
      <c r="B197" s="6" t="s">
        <v>1886</v>
      </c>
      <c r="C197" s="7" t="s">
        <v>1887</v>
      </c>
      <c r="D197" s="5" t="str">
        <f>IF(B197="","",IFERROR(VLOOKUP(B197, PLANTA_BASE!A:W, 5, FALSE), "NO ENCONTRADO EN PLANTA"))</f>
        <v>NO ENCONTRADO EN PLANTA</v>
      </c>
      <c r="E197" s="5" t="str">
        <f>IF(B197="","",IFERROR(VLOOKUP(B197, PLANTA_BASE!A:W, 6, FALSE), "NO ENCONTRADO EN PLANTA"))</f>
        <v>NO ENCONTRADO EN PLANTA</v>
      </c>
      <c r="F197" s="7" t="str">
        <f>IF(B197="","",IFERROR(VLOOKUP(B197, PLANTA_BASE!A:W, 8, FALSE), "DOCENTE / FACILITADOR"))</f>
        <v>DOCENTE / FACILITADOR</v>
      </c>
      <c r="G197" s="7" t="str">
        <f>IF(B197="","",IFERROR(VLOOKUP(B197, PLANTA_BASE!A:W, 9, FALSE), "GENERAL"))</f>
        <v>GENERAL</v>
      </c>
      <c r="H197" s="5" t="str">
        <f>IF(B197="","",IFERROR(VLOOKUP(B197, PLANTA_BASE!A:W, 17, FALSE), "GENERAL"))</f>
        <v>GENERAL</v>
      </c>
    </row>
    <row r="198" spans="1:8" ht="20.100000000000001" customHeight="1" x14ac:dyDescent="0.25">
      <c r="A198" s="2" t="str">
        <f>IF(B198="","",IFERROR(VLOOKUP(B198, PLANTA_BASE!A:W, 2, FALSE), "NO ENCONTRADO EN PLANTA"))</f>
        <v>NO ENCONTRADO EN PLANTA</v>
      </c>
      <c r="B198" s="3" t="s">
        <v>1888</v>
      </c>
      <c r="C198" s="4" t="s">
        <v>1889</v>
      </c>
      <c r="D198" s="2" t="str">
        <f>IF(B198="","",IFERROR(VLOOKUP(B198, PLANTA_BASE!A:W, 5, FALSE), "NO ENCONTRADO EN PLANTA"))</f>
        <v>NO ENCONTRADO EN PLANTA</v>
      </c>
      <c r="E198" s="2" t="str">
        <f>IF(B198="","",IFERROR(VLOOKUP(B198, PLANTA_BASE!A:W, 6, FALSE), "NO ENCONTRADO EN PLANTA"))</f>
        <v>NO ENCONTRADO EN PLANTA</v>
      </c>
      <c r="F198" s="4" t="str">
        <f>IF(B198="","",IFERROR(VLOOKUP(B198, PLANTA_BASE!A:W, 8, FALSE), "DOCENTE / FACILITADOR"))</f>
        <v>DOCENTE / FACILITADOR</v>
      </c>
      <c r="G198" s="4" t="str">
        <f>IF(B198="","",IFERROR(VLOOKUP(B198, PLANTA_BASE!A:W, 9, FALSE), "GENERAL"))</f>
        <v>GENERAL</v>
      </c>
      <c r="H198" s="2" t="str">
        <f>IF(B198="","",IFERROR(VLOOKUP(B198, PLANTA_BASE!A:W, 17, FALSE), "GENERAL"))</f>
        <v>GENERAL</v>
      </c>
    </row>
    <row r="199" spans="1:8" ht="20.100000000000001" customHeight="1" x14ac:dyDescent="0.25">
      <c r="A199" s="5" t="str">
        <f>IF(B199="","",IFERROR(VLOOKUP(B199, PLANTA_BASE!A:W, 2, FALSE), "NO ENCONTRADO EN PLANTA"))</f>
        <v>NO ENCONTRADO EN PLANTA</v>
      </c>
      <c r="B199" s="6" t="s">
        <v>1890</v>
      </c>
      <c r="C199" s="7" t="s">
        <v>1891</v>
      </c>
      <c r="D199" s="5" t="str">
        <f>IF(B199="","",IFERROR(VLOOKUP(B199, PLANTA_BASE!A:W, 5, FALSE), "NO ENCONTRADO EN PLANTA"))</f>
        <v>NO ENCONTRADO EN PLANTA</v>
      </c>
      <c r="E199" s="5" t="str">
        <f>IF(B199="","",IFERROR(VLOOKUP(B199, PLANTA_BASE!A:W, 6, FALSE), "NO ENCONTRADO EN PLANTA"))</f>
        <v>NO ENCONTRADO EN PLANTA</v>
      </c>
      <c r="F199" s="7" t="str">
        <f>IF(B199="","",IFERROR(VLOOKUP(B199, PLANTA_BASE!A:W, 8, FALSE), "DOCENTE / FACILITADOR"))</f>
        <v>DOCENTE / FACILITADOR</v>
      </c>
      <c r="G199" s="7" t="str">
        <f>IF(B199="","",IFERROR(VLOOKUP(B199, PLANTA_BASE!A:W, 9, FALSE), "GENERAL"))</f>
        <v>GENERAL</v>
      </c>
      <c r="H199" s="5" t="str">
        <f>IF(B199="","",IFERROR(VLOOKUP(B199, PLANTA_BASE!A:W, 17, FALSE), "GENERAL"))</f>
        <v>GENERAL</v>
      </c>
    </row>
    <row r="200" spans="1:8" ht="20.100000000000001" customHeight="1" x14ac:dyDescent="0.25">
      <c r="A200" s="2" t="str">
        <f>IF(B200="","",IFERROR(VLOOKUP(B200, PLANTA_BASE!A:W, 2, FALSE), "NO ENCONTRADO EN PLANTA"))</f>
        <v>PRESENCIAL</v>
      </c>
      <c r="B200" s="3" t="s">
        <v>68</v>
      </c>
      <c r="C200" s="4" t="s">
        <v>69</v>
      </c>
      <c r="D200" s="2" t="str">
        <f>IF(B200="","",IFERROR(VLOOKUP(B200, PLANTA_BASE!A:W, 5, FALSE), "NO ENCONTRADO EN PLANTA"))</f>
        <v>REGIONAL BOGOTA</v>
      </c>
      <c r="E200" s="2" t="str">
        <f>IF(B200="","",IFERROR(VLOOKUP(B200, PLANTA_BASE!A:W, 6, FALSE), "NO ENCONTRADO EN PLANTA"))</f>
        <v>BOGOTA CENTRO</v>
      </c>
      <c r="F200" s="4" t="str">
        <f>IF(B200="","",IFERROR(VLOOKUP(B200, PLANTA_BASE!A:W, 8, FALSE), "DOCENTE / FACILITADOR"))</f>
        <v>DOC AUX T&amp;T/N/TC/DIS GRAFICO/FUN.ACADE-ADMIN</v>
      </c>
      <c r="G200" s="4" t="str">
        <f>IF(B200="","",IFERROR(VLOOKUP(B200, PLANTA_BASE!A:W, 9, FALSE), "GENERAL"))</f>
        <v>DISEÑO GRAFICO</v>
      </c>
      <c r="H200" s="2" t="str">
        <f>IF(B200="","",IFERROR(VLOOKUP(B200, PLANTA_BASE!A:W, 17, FALSE), "GENERAL"))</f>
        <v>DISEÑO GRAFICO</v>
      </c>
    </row>
    <row r="201" spans="1:8" ht="20.100000000000001" customHeight="1" x14ac:dyDescent="0.25">
      <c r="A201" s="5" t="str">
        <f>IF(B201="","",IFERROR(VLOOKUP(B201, PLANTA_BASE!A:W, 2, FALSE), "NO ENCONTRADO EN PLANTA"))</f>
        <v>PRESENCIAL</v>
      </c>
      <c r="B201" s="6" t="s">
        <v>1050</v>
      </c>
      <c r="C201" s="7" t="s">
        <v>1051</v>
      </c>
      <c r="D201" s="5" t="str">
        <f>IF(B201="","",IFERROR(VLOOKUP(B201, PLANTA_BASE!A:W, 5, FALSE), "NO ENCONTRADO EN PLANTA"))</f>
        <v>REGIONAL BOGOTA</v>
      </c>
      <c r="E201" s="5" t="str">
        <f>IF(B201="","",IFERROR(VLOOKUP(B201, PLANTA_BASE!A:W, 6, FALSE), "NO ENCONTRADO EN PLANTA"))</f>
        <v>BOGOTA CENTRO</v>
      </c>
      <c r="F201" s="7" t="str">
        <f>IF(B201="","",IFERROR(VLOOKUP(B201, PLANTA_BASE!A:W, 8, FALSE), "DOCENTE / FACILITADOR"))</f>
        <v>DOCENTE ASIS/N/TC/DIR PROD ME AUD/FUN.ACADE-ADMIN</v>
      </c>
      <c r="G201" s="7" t="str">
        <f>IF(B201="","",IFERROR(VLOOKUP(B201, PLANTA_BASE!A:W, 9, FALSE), "GENERAL"))</f>
        <v>DIRECCION Y PRODUCCION DE MEDIOS AUDIOVISUALES</v>
      </c>
      <c r="H201" s="5" t="str">
        <f>IF(B201="","",IFERROR(VLOOKUP(B201, PLANTA_BASE!A:W, 17, FALSE), "GENERAL"))</f>
        <v>DIRECCION Y PRODUCCION DE MEDIOS AUDIOVISUALES</v>
      </c>
    </row>
    <row r="202" spans="1:8" ht="20.100000000000001" customHeight="1" x14ac:dyDescent="0.25">
      <c r="A202" s="2" t="str">
        <f>IF(B202="","",IFERROR(VLOOKUP(B202, PLANTA_BASE!A:W, 2, FALSE), "NO ENCONTRADO EN PLANTA"))</f>
        <v>NO ENCONTRADO EN PLANTA</v>
      </c>
      <c r="B202" s="3" t="s">
        <v>1892</v>
      </c>
      <c r="C202" s="4" t="s">
        <v>1893</v>
      </c>
      <c r="D202" s="2" t="str">
        <f>IF(B202="","",IFERROR(VLOOKUP(B202, PLANTA_BASE!A:W, 5, FALSE), "NO ENCONTRADO EN PLANTA"))</f>
        <v>NO ENCONTRADO EN PLANTA</v>
      </c>
      <c r="E202" s="2" t="str">
        <f>IF(B202="","",IFERROR(VLOOKUP(B202, PLANTA_BASE!A:W, 6, FALSE), "NO ENCONTRADO EN PLANTA"))</f>
        <v>NO ENCONTRADO EN PLANTA</v>
      </c>
      <c r="F202" s="4" t="str">
        <f>IF(B202="","",IFERROR(VLOOKUP(B202, PLANTA_BASE!A:W, 8, FALSE), "DOCENTE / FACILITADOR"))</f>
        <v>DOCENTE / FACILITADOR</v>
      </c>
      <c r="G202" s="4" t="str">
        <f>IF(B202="","",IFERROR(VLOOKUP(B202, PLANTA_BASE!A:W, 9, FALSE), "GENERAL"))</f>
        <v>GENERAL</v>
      </c>
      <c r="H202" s="2" t="str">
        <f>IF(B202="","",IFERROR(VLOOKUP(B202, PLANTA_BASE!A:W, 17, FALSE), "GENERAL"))</f>
        <v>GENERAL</v>
      </c>
    </row>
    <row r="203" spans="1:8" ht="20.100000000000001" customHeight="1" x14ac:dyDescent="0.25">
      <c r="A203" s="5" t="str">
        <f>IF(B203="","",IFERROR(VLOOKUP(B203, PLANTA_BASE!A:W, 2, FALSE), "NO ENCONTRADO EN PLANTA"))</f>
        <v>NO ENCONTRADO EN PLANTA</v>
      </c>
      <c r="B203" s="6" t="s">
        <v>1894</v>
      </c>
      <c r="C203" s="7" t="s">
        <v>1895</v>
      </c>
      <c r="D203" s="5" t="str">
        <f>IF(B203="","",IFERROR(VLOOKUP(B203, PLANTA_BASE!A:W, 5, FALSE), "NO ENCONTRADO EN PLANTA"))</f>
        <v>NO ENCONTRADO EN PLANTA</v>
      </c>
      <c r="E203" s="5" t="str">
        <f>IF(B203="","",IFERROR(VLOOKUP(B203, PLANTA_BASE!A:W, 6, FALSE), "NO ENCONTRADO EN PLANTA"))</f>
        <v>NO ENCONTRADO EN PLANTA</v>
      </c>
      <c r="F203" s="7" t="str">
        <f>IF(B203="","",IFERROR(VLOOKUP(B203, PLANTA_BASE!A:W, 8, FALSE), "DOCENTE / FACILITADOR"))</f>
        <v>DOCENTE / FACILITADOR</v>
      </c>
      <c r="G203" s="7" t="str">
        <f>IF(B203="","",IFERROR(VLOOKUP(B203, PLANTA_BASE!A:W, 9, FALSE), "GENERAL"))</f>
        <v>GENERAL</v>
      </c>
      <c r="H203" s="5" t="str">
        <f>IF(B203="","",IFERROR(VLOOKUP(B203, PLANTA_BASE!A:W, 17, FALSE), "GENERAL"))</f>
        <v>GENERAL</v>
      </c>
    </row>
    <row r="204" spans="1:8" ht="20.100000000000001" customHeight="1" x14ac:dyDescent="0.25">
      <c r="A204" s="2" t="str">
        <f>IF(B204="","",IFERROR(VLOOKUP(B204, PLANTA_BASE!A:W, 2, FALSE), "NO ENCONTRADO EN PLANTA"))</f>
        <v>PRESENCIAL</v>
      </c>
      <c r="B204" s="3" t="s">
        <v>24</v>
      </c>
      <c r="C204" s="4" t="s">
        <v>25</v>
      </c>
      <c r="D204" s="2" t="str">
        <f>IF(B204="","",IFERROR(VLOOKUP(B204, PLANTA_BASE!A:W, 5, FALSE), "NO ENCONTRADO EN PLANTA"))</f>
        <v>REGIONAL BOGOTA</v>
      </c>
      <c r="E204" s="2" t="str">
        <f>IF(B204="","",IFERROR(VLOOKUP(B204, PLANTA_BASE!A:W, 6, FALSE), "NO ENCONTRADO EN PLANTA"))</f>
        <v>BOGOTA CENTRO</v>
      </c>
      <c r="F204" s="4" t="str">
        <f>IF(B204="","",IFERROR(VLOOKUP(B204, PLANTA_BASE!A:W, 8, FALSE), "DOCENTE / FACILITADOR"))</f>
        <v>DOCENTE AUX/N/TC/DIS GRAFICO/FUN.ACADE-ADMIN</v>
      </c>
      <c r="G204" s="4" t="str">
        <f>IF(B204="","",IFERROR(VLOOKUP(B204, PLANTA_BASE!A:W, 9, FALSE), "GENERAL"))</f>
        <v>DISEÑO GRAFICO</v>
      </c>
      <c r="H204" s="2" t="str">
        <f>IF(B204="","",IFERROR(VLOOKUP(B204, PLANTA_BASE!A:W, 17, FALSE), "GENERAL"))</f>
        <v>DISEÑO GRAFICO</v>
      </c>
    </row>
    <row r="205" spans="1:8" ht="20.100000000000001" customHeight="1" x14ac:dyDescent="0.25">
      <c r="A205" s="5" t="str">
        <f>IF(B205="","",IFERROR(VLOOKUP(B205, PLANTA_BASE!A:W, 2, FALSE), "NO ENCONTRADO EN PLANTA"))</f>
        <v>PRESENCIAL</v>
      </c>
      <c r="B205" s="6" t="s">
        <v>170</v>
      </c>
      <c r="C205" s="7" t="s">
        <v>1896</v>
      </c>
      <c r="D205" s="5" t="str">
        <f>IF(B205="","",IFERROR(VLOOKUP(B205, PLANTA_BASE!A:W, 5, FALSE), "NO ENCONTRADO EN PLANTA"))</f>
        <v>REGIONAL BOGOTA</v>
      </c>
      <c r="E205" s="5" t="str">
        <f>IF(B205="","",IFERROR(VLOOKUP(B205, PLANTA_BASE!A:W, 6, FALSE), "NO ENCONTRADO EN PLANTA"))</f>
        <v>BOGOTA CENTRO</v>
      </c>
      <c r="F205" s="7" t="str">
        <f>IF(B205="","",IFERROR(VLOOKUP(B205, PLANTA_BASE!A:W, 8, FALSE), "DOCENTE / FACILITADOR"))</f>
        <v>DOC AUX T&amp;T/N/TC/EMPRENDIMIE/FUN.ACADE-ADMIN</v>
      </c>
      <c r="G205" s="7" t="str">
        <f>IF(B205="","",IFERROR(VLOOKUP(B205, PLANTA_BASE!A:W, 9, FALSE), "GENERAL"))</f>
        <v>EMPRENDIMIENTO</v>
      </c>
      <c r="H205" s="5" t="str">
        <f>IF(B205="","",IFERROR(VLOOKUP(B205, PLANTA_BASE!A:W, 17, FALSE), "GENERAL"))</f>
        <v>EMPRENDIMIENTO</v>
      </c>
    </row>
    <row r="206" spans="1:8" ht="20.100000000000001" customHeight="1" x14ac:dyDescent="0.25">
      <c r="A206" s="2" t="str">
        <f>IF(B206="","",IFERROR(VLOOKUP(B206, PLANTA_BASE!A:W, 2, FALSE), "NO ENCONTRADO EN PLANTA"))</f>
        <v>PRESENCIAL</v>
      </c>
      <c r="B206" s="3" t="s">
        <v>1246</v>
      </c>
      <c r="C206" s="4" t="s">
        <v>1247</v>
      </c>
      <c r="D206" s="2" t="str">
        <f>IF(B206="","",IFERROR(VLOOKUP(B206, PLANTA_BASE!A:W, 5, FALSE), "NO ENCONTRADO EN PLANTA"))</f>
        <v>REGIONAL BOGOTA</v>
      </c>
      <c r="E206" s="2" t="str">
        <f>IF(B206="","",IFERROR(VLOOKUP(B206, PLANTA_BASE!A:W, 6, FALSE), "NO ENCONTRADO EN PLANTA"))</f>
        <v>BOGOTA CENTRO</v>
      </c>
      <c r="F206" s="4" t="str">
        <f>IF(B206="","",IFERROR(VLOOKUP(B206, PLANTA_BASE!A:W, 8, FALSE), "DOCENTE / FACILITADOR"))</f>
        <v>DOCENTE ASIS/N/TC/ADM SER SALU/FUN.ACADE-ADMIN</v>
      </c>
      <c r="G206" s="4" t="str">
        <f>IF(B206="","",IFERROR(VLOOKUP(B206, PLANTA_BASE!A:W, 9, FALSE), "GENERAL"))</f>
        <v>ADMINISTRACION EN SERVICIOS DE SALUD</v>
      </c>
      <c r="H206" s="2" t="str">
        <f>IF(B206="","",IFERROR(VLOOKUP(B206, PLANTA_BASE!A:W, 17, FALSE), "GENERAL"))</f>
        <v>ADMINISTRACION EN SERVICIOS DE SALUD</v>
      </c>
    </row>
    <row r="207" spans="1:8" ht="20.100000000000001" customHeight="1" x14ac:dyDescent="0.25">
      <c r="A207" s="5" t="str">
        <f>IF(B207="","",IFERROR(VLOOKUP(B207, PLANTA_BASE!A:W, 2, FALSE), "NO ENCONTRADO EN PLANTA"))</f>
        <v>PRESENCIAL</v>
      </c>
      <c r="B207" s="6" t="s">
        <v>1260</v>
      </c>
      <c r="C207" s="7" t="s">
        <v>1897</v>
      </c>
      <c r="D207" s="5" t="str">
        <f>IF(B207="","",IFERROR(VLOOKUP(B207, PLANTA_BASE!A:W, 5, FALSE), "NO ENCONTRADO EN PLANTA"))</f>
        <v>REGIONAL BOGOTA</v>
      </c>
      <c r="E207" s="5" t="str">
        <f>IF(B207="","",IFERROR(VLOOKUP(B207, PLANTA_BASE!A:W, 6, FALSE), "NO ENCONTRADO EN PLANTA"))</f>
        <v>BOGOTA CENTRO</v>
      </c>
      <c r="F207" s="7" t="str">
        <f>IF(B207="","",IFERROR(VLOOKUP(B207, PLANTA_BASE!A:W, 8, FALSE), "DOCENTE / FACILITADOR"))</f>
        <v>DOC AUX T&amp;T/N/TC/DIS GRAFICO/FUN.ACADE-ADMIN</v>
      </c>
      <c r="G207" s="7" t="str">
        <f>IF(B207="","",IFERROR(VLOOKUP(B207, PLANTA_BASE!A:W, 9, FALSE), "GENERAL"))</f>
        <v>DISEÑO GRAFICO</v>
      </c>
      <c r="H207" s="5" t="str">
        <f>IF(B207="","",IFERROR(VLOOKUP(B207, PLANTA_BASE!A:W, 17, FALSE), "GENERAL"))</f>
        <v>DISEÑO GRAFICO</v>
      </c>
    </row>
    <row r="208" spans="1:8" ht="20.100000000000001" customHeight="1" x14ac:dyDescent="0.25">
      <c r="A208" s="2" t="str">
        <f>IF(B208="","",IFERROR(VLOOKUP(B208, PLANTA_BASE!A:W, 2, FALSE), "NO ENCONTRADO EN PLANTA"))</f>
        <v>VIRTUAL</v>
      </c>
      <c r="B208" s="3" t="s">
        <v>72</v>
      </c>
      <c r="C208" s="4" t="s">
        <v>73</v>
      </c>
      <c r="D208" s="2" t="str">
        <f>IF(B208="","",IFERROR(VLOOKUP(B208, PLANTA_BASE!A:W, 5, FALSE), "NO ENCONTRADO EN PLANTA"))</f>
        <v>REGIONAL BOGOTA</v>
      </c>
      <c r="E208" s="2" t="str">
        <f>IF(B208="","",IFERROR(VLOOKUP(B208, PLANTA_BASE!A:W, 6, FALSE), "NO ENCONTRADO EN PLANTA"))</f>
        <v>BOGOTA CENTRO</v>
      </c>
      <c r="F208" s="4" t="str">
        <f>IF(B208="","",IFERROR(VLOOKUP(B208, PLANTA_BASE!A:W, 8, FALSE), "DOCENTE / FACILITADOR"))</f>
        <v>DOC AUX/N/V/MT/DIS GRAFICO</v>
      </c>
      <c r="G208" s="4" t="str">
        <f>IF(B208="","",IFERROR(VLOOKUP(B208, PLANTA_BASE!A:W, 9, FALSE), "GENERAL"))</f>
        <v>DISEÑO GRAFICO</v>
      </c>
      <c r="H208" s="2" t="str">
        <f>IF(B208="","",IFERROR(VLOOKUP(B208, PLANTA_BASE!A:W, 17, FALSE), "GENERAL"))</f>
        <v>DISEÑO GRAFICO</v>
      </c>
    </row>
    <row r="209" spans="1:8" ht="20.100000000000001" customHeight="1" x14ac:dyDescent="0.25">
      <c r="A209" s="5" t="str">
        <f>IF(B209="","",IFERROR(VLOOKUP(B209, PLANTA_BASE!A:W, 2, FALSE), "NO ENCONTRADO EN PLANTA"))</f>
        <v>NO ENCONTRADO EN PLANTA</v>
      </c>
      <c r="B209" s="6" t="s">
        <v>1898</v>
      </c>
      <c r="C209" s="7" t="s">
        <v>1617</v>
      </c>
      <c r="D209" s="5" t="str">
        <f>IF(B209="","",IFERROR(VLOOKUP(B209, PLANTA_BASE!A:W, 5, FALSE), "NO ENCONTRADO EN PLANTA"))</f>
        <v>NO ENCONTRADO EN PLANTA</v>
      </c>
      <c r="E209" s="5" t="str">
        <f>IF(B209="","",IFERROR(VLOOKUP(B209, PLANTA_BASE!A:W, 6, FALSE), "NO ENCONTRADO EN PLANTA"))</f>
        <v>NO ENCONTRADO EN PLANTA</v>
      </c>
      <c r="F209" s="7" t="str">
        <f>IF(B209="","",IFERROR(VLOOKUP(B209, PLANTA_BASE!A:W, 8, FALSE), "DOCENTE / FACILITADOR"))</f>
        <v>DOCENTE / FACILITADOR</v>
      </c>
      <c r="G209" s="7" t="str">
        <f>IF(B209="","",IFERROR(VLOOKUP(B209, PLANTA_BASE!A:W, 9, FALSE), "GENERAL"))</f>
        <v>GENERAL</v>
      </c>
      <c r="H209" s="5" t="str">
        <f>IF(B209="","",IFERROR(VLOOKUP(B209, PLANTA_BASE!A:W, 17, FALSE), "GENERAL"))</f>
        <v>GENERAL</v>
      </c>
    </row>
    <row r="210" spans="1:8" ht="20.100000000000001" customHeight="1" x14ac:dyDescent="0.25">
      <c r="A210" s="2" t="str">
        <f>IF(B210="","",IFERROR(VLOOKUP(B210, PLANTA_BASE!A:W, 2, FALSE), "NO ENCONTRADO EN PLANTA"))</f>
        <v>VIRTUAL</v>
      </c>
      <c r="B210" s="3" t="s">
        <v>1290</v>
      </c>
      <c r="C210" s="4" t="s">
        <v>1291</v>
      </c>
      <c r="D210" s="2" t="str">
        <f>IF(B210="","",IFERROR(VLOOKUP(B210, PLANTA_BASE!A:W, 5, FALSE), "NO ENCONTRADO EN PLANTA"))</f>
        <v>REGIONAL BOGOTA</v>
      </c>
      <c r="E210" s="2" t="str">
        <f>IF(B210="","",IFERROR(VLOOKUP(B210, PLANTA_BASE!A:W, 6, FALSE), "NO ENCONTRADO EN PLANTA"))</f>
        <v>BOGOTA CENTRO</v>
      </c>
      <c r="F210" s="4" t="str">
        <f>IF(B210="","",IFERROR(VLOOKUP(B210, PLANTA_BASE!A:W, 8, FALSE), "DOCENTE / FACILITADOR"))</f>
        <v>DOC ASIS/N/V/TC/IDIOMAS/FUN.ACADE-ADMIN</v>
      </c>
      <c r="G210" s="4" t="str">
        <f>IF(B210="","",IFERROR(VLOOKUP(B210, PLANTA_BASE!A:W, 9, FALSE), "GENERAL"))</f>
        <v>IDIOMAS</v>
      </c>
      <c r="H210" s="2" t="str">
        <f>IF(B210="","",IFERROR(VLOOKUP(B210, PLANTA_BASE!A:W, 17, FALSE), "GENERAL"))</f>
        <v>IDIOMAS</v>
      </c>
    </row>
    <row r="211" spans="1:8" ht="20.100000000000001" customHeight="1" x14ac:dyDescent="0.25">
      <c r="A211" s="5" t="str">
        <f>IF(B211="","",IFERROR(VLOOKUP(B211, PLANTA_BASE!A:W, 2, FALSE), "NO ENCONTRADO EN PLANTA"))</f>
        <v>PRESENCIAL</v>
      </c>
      <c r="B211" s="6" t="s">
        <v>160</v>
      </c>
      <c r="C211" s="7" t="s">
        <v>1899</v>
      </c>
      <c r="D211" s="5" t="str">
        <f>IF(B211="","",IFERROR(VLOOKUP(B211, PLANTA_BASE!A:W, 5, FALSE), "NO ENCONTRADO EN PLANTA"))</f>
        <v>REGIONAL BOGOTA</v>
      </c>
      <c r="E211" s="5" t="str">
        <f>IF(B211="","",IFERROR(VLOOKUP(B211, PLANTA_BASE!A:W, 6, FALSE), "NO ENCONTRADO EN PLANTA"))</f>
        <v>BOGOTA CENTRO</v>
      </c>
      <c r="F211" s="7" t="str">
        <f>IF(B211="","",IFERROR(VLOOKUP(B211, PLANTA_BASE!A:W, 8, FALSE), "DOCENTE / FACILITADOR"))</f>
        <v>DOCENTE AUX/N/TC/EMPRENDIMIE/FUN.ACADE-ADMIN</v>
      </c>
      <c r="G211" s="7" t="str">
        <f>IF(B211="","",IFERROR(VLOOKUP(B211, PLANTA_BASE!A:W, 9, FALSE), "GENERAL"))</f>
        <v>EMPRENDIMIENTO</v>
      </c>
      <c r="H211" s="5" t="str">
        <f>IF(B211="","",IFERROR(VLOOKUP(B211, PLANTA_BASE!A:W, 17, FALSE), "GENERAL"))</f>
        <v>EMPRENDIMIENTO</v>
      </c>
    </row>
    <row r="212" spans="1:8" ht="20.100000000000001" customHeight="1" x14ac:dyDescent="0.25">
      <c r="A212" s="2" t="str">
        <f>IF(B212="","",IFERROR(VLOOKUP(B212, PLANTA_BASE!A:W, 2, FALSE), "NO ENCONTRADO EN PLANTA"))</f>
        <v>PRESENCIAL</v>
      </c>
      <c r="B212" s="3" t="s">
        <v>162</v>
      </c>
      <c r="C212" s="4" t="s">
        <v>163</v>
      </c>
      <c r="D212" s="2" t="str">
        <f>IF(B212="","",IFERROR(VLOOKUP(B212, PLANTA_BASE!A:W, 5, FALSE), "NO ENCONTRADO EN PLANTA"))</f>
        <v>REGIONAL BOGOTA</v>
      </c>
      <c r="E212" s="2" t="str">
        <f>IF(B212="","",IFERROR(VLOOKUP(B212, PLANTA_BASE!A:W, 6, FALSE), "NO ENCONTRADO EN PLANTA"))</f>
        <v>BOGOTA CENTRO</v>
      </c>
      <c r="F212" s="4" t="str">
        <f>IF(B212="","",IFERROR(VLOOKUP(B212, PLANTA_BASE!A:W, 8, FALSE), "DOCENTE / FACILITADOR"))</f>
        <v>DOCENTE AUX/N/TC/EMPRENDIMIE/FUN.ACADE-ADMIN</v>
      </c>
      <c r="G212" s="4" t="str">
        <f>IF(B212="","",IFERROR(VLOOKUP(B212, PLANTA_BASE!A:W, 9, FALSE), "GENERAL"))</f>
        <v>EMPRENDIMIENTO</v>
      </c>
      <c r="H212" s="2" t="str">
        <f>IF(B212="","",IFERROR(VLOOKUP(B212, PLANTA_BASE!A:W, 17, FALSE), "GENERAL"))</f>
        <v>EMPRENDIMIENTO</v>
      </c>
    </row>
    <row r="213" spans="1:8" ht="20.100000000000001" customHeight="1" x14ac:dyDescent="0.25">
      <c r="A213" s="5" t="str">
        <f>IF(B213="","",IFERROR(VLOOKUP(B213, PLANTA_BASE!A:W, 2, FALSE), "NO ENCONTRADO EN PLANTA"))</f>
        <v>PRESENCIAL</v>
      </c>
      <c r="B213" s="6" t="s">
        <v>568</v>
      </c>
      <c r="C213" s="7" t="s">
        <v>1900</v>
      </c>
      <c r="D213" s="5" t="str">
        <f>IF(B213="","",IFERROR(VLOOKUP(B213, PLANTA_BASE!A:W, 5, FALSE), "NO ENCONTRADO EN PLANTA"))</f>
        <v>REGIONAL BOGOTA</v>
      </c>
      <c r="E213" s="5" t="str">
        <f>IF(B213="","",IFERROR(VLOOKUP(B213, PLANTA_BASE!A:W, 6, FALSE), "NO ENCONTRADO EN PLANTA"))</f>
        <v>BOGOTA CENTRO</v>
      </c>
      <c r="F213" s="7" t="str">
        <f>IF(B213="","",IFERROR(VLOOKUP(B213, PLANTA_BASE!A:W, 8, FALSE), "DOCENTE / FACILITADOR"))</f>
        <v>DOCENTE AUX/N/TC/DIR PROD ME AUD/FUN.ACADE-ADMIN</v>
      </c>
      <c r="G213" s="7" t="str">
        <f>IF(B213="","",IFERROR(VLOOKUP(B213, PLANTA_BASE!A:W, 9, FALSE), "GENERAL"))</f>
        <v>DIRECCION Y PRODUCCION DE MEDIOS AUDIOVISUALES</v>
      </c>
      <c r="H213" s="5" t="str">
        <f>IF(B213="","",IFERROR(VLOOKUP(B213, PLANTA_BASE!A:W, 17, FALSE), "GENERAL"))</f>
        <v>DIRECCION Y PRODUCCION DE MEDIOS AUDIOVISUALES</v>
      </c>
    </row>
    <row r="214" spans="1:8" ht="20.100000000000001" customHeight="1" x14ac:dyDescent="0.25">
      <c r="A214" s="2" t="str">
        <f>IF(B214="","",IFERROR(VLOOKUP(B214, PLANTA_BASE!A:W, 2, FALSE), "NO ENCONTRADO EN PLANTA"))</f>
        <v>VIRTUAL</v>
      </c>
      <c r="B214" s="3" t="s">
        <v>798</v>
      </c>
      <c r="C214" s="4" t="s">
        <v>799</v>
      </c>
      <c r="D214" s="2" t="str">
        <f>IF(B214="","",IFERROR(VLOOKUP(B214, PLANTA_BASE!A:W, 5, FALSE), "NO ENCONTRADO EN PLANTA"))</f>
        <v>REGIONAL BOGOTA</v>
      </c>
      <c r="E214" s="2" t="str">
        <f>IF(B214="","",IFERROR(VLOOKUP(B214, PLANTA_BASE!A:W, 6, FALSE), "NO ENCONTRADO EN PLANTA"))</f>
        <v>BOGOTA CENTRO</v>
      </c>
      <c r="F214" s="4" t="str">
        <f>IF(B214="","",IFERROR(VLOOKUP(B214, PLANTA_BASE!A:W, 8, FALSE), "DOCENTE / FACILITADOR"))</f>
        <v>DOC AUX/N/V/MT/DIS GRAFICO</v>
      </c>
      <c r="G214" s="4" t="str">
        <f>IF(B214="","",IFERROR(VLOOKUP(B214, PLANTA_BASE!A:W, 9, FALSE), "GENERAL"))</f>
        <v>DISEÑO GRAFICO</v>
      </c>
      <c r="H214" s="2" t="str">
        <f>IF(B214="","",IFERROR(VLOOKUP(B214, PLANTA_BASE!A:W, 17, FALSE), "GENERAL"))</f>
        <v>DISEÑO GRAFICO</v>
      </c>
    </row>
    <row r="215" spans="1:8" ht="20.100000000000001" customHeight="1" x14ac:dyDescent="0.25">
      <c r="A215" s="5" t="str">
        <f>IF(B215="","",IFERROR(VLOOKUP(B215, PLANTA_BASE!A:W, 2, FALSE), "NO ENCONTRADO EN PLANTA"))</f>
        <v>NO ENCONTRADO EN PLANTA</v>
      </c>
      <c r="B215" s="6" t="s">
        <v>1901</v>
      </c>
      <c r="C215" s="7" t="s">
        <v>1902</v>
      </c>
      <c r="D215" s="5" t="str">
        <f>IF(B215="","",IFERROR(VLOOKUP(B215, PLANTA_BASE!A:W, 5, FALSE), "NO ENCONTRADO EN PLANTA"))</f>
        <v>NO ENCONTRADO EN PLANTA</v>
      </c>
      <c r="E215" s="5" t="str">
        <f>IF(B215="","",IFERROR(VLOOKUP(B215, PLANTA_BASE!A:W, 6, FALSE), "NO ENCONTRADO EN PLANTA"))</f>
        <v>NO ENCONTRADO EN PLANTA</v>
      </c>
      <c r="F215" s="7" t="str">
        <f>IF(B215="","",IFERROR(VLOOKUP(B215, PLANTA_BASE!A:W, 8, FALSE), "DOCENTE / FACILITADOR"))</f>
        <v>DOCENTE / FACILITADOR</v>
      </c>
      <c r="G215" s="7" t="str">
        <f>IF(B215="","",IFERROR(VLOOKUP(B215, PLANTA_BASE!A:W, 9, FALSE), "GENERAL"))</f>
        <v>GENERAL</v>
      </c>
      <c r="H215" s="5" t="str">
        <f>IF(B215="","",IFERROR(VLOOKUP(B215, PLANTA_BASE!A:W, 17, FALSE), "GENERAL"))</f>
        <v>GENERAL</v>
      </c>
    </row>
    <row r="216" spans="1:8" ht="20.100000000000001" customHeight="1" x14ac:dyDescent="0.25">
      <c r="A216" s="2" t="str">
        <f>IF(B216="","",IFERROR(VLOOKUP(B216, PLANTA_BASE!A:W, 2, FALSE), "NO ENCONTRADO EN PLANTA"))</f>
        <v>VIRTUAL</v>
      </c>
      <c r="B216" s="3" t="s">
        <v>384</v>
      </c>
      <c r="C216" s="4" t="s">
        <v>385</v>
      </c>
      <c r="D216" s="2" t="str">
        <f>IF(B216="","",IFERROR(VLOOKUP(B216, PLANTA_BASE!A:W, 5, FALSE), "NO ENCONTRADO EN PLANTA"))</f>
        <v>REGIONAL BOGOTA</v>
      </c>
      <c r="E216" s="2" t="str">
        <f>IF(B216="","",IFERROR(VLOOKUP(B216, PLANTA_BASE!A:W, 6, FALSE), "NO ENCONTRADO EN PLANTA"))</f>
        <v>BOGOTA CENTRO</v>
      </c>
      <c r="F216" s="4" t="str">
        <f>IF(B216="","",IFERROR(VLOOKUP(B216, PLANTA_BASE!A:W, 8, FALSE), "DOCENTE / FACILITADOR"))</f>
        <v>DOC ASIS/N/V/TC/ADM EMP AGROIN/FUN.ACADE-ADMIN</v>
      </c>
      <c r="G216" s="4" t="str">
        <f>IF(B216="","",IFERROR(VLOOKUP(B216, PLANTA_BASE!A:W, 9, FALSE), "GENERAL"))</f>
        <v>ADMINISTRACION DE EMPRESAS AGROINDUSTRIAL</v>
      </c>
      <c r="H216" s="2" t="str">
        <f>IF(B216="","",IFERROR(VLOOKUP(B216, PLANTA_BASE!A:W, 17, FALSE), "GENERAL"))</f>
        <v>ADMINISTRACION DE EMPRESAS AGROINDUSTRIAL</v>
      </c>
    </row>
    <row r="217" spans="1:8" ht="20.100000000000001" customHeight="1" x14ac:dyDescent="0.25">
      <c r="A217" s="5" t="str">
        <f>IF(B217="","",IFERROR(VLOOKUP(B217, PLANTA_BASE!A:W, 2, FALSE), "NO ENCONTRADO EN PLANTA"))</f>
        <v>NO ENCONTRADO EN PLANTA</v>
      </c>
      <c r="B217" s="6" t="s">
        <v>1903</v>
      </c>
      <c r="C217" s="7" t="s">
        <v>1902</v>
      </c>
      <c r="D217" s="5" t="str">
        <f>IF(B217="","",IFERROR(VLOOKUP(B217, PLANTA_BASE!A:W, 5, FALSE), "NO ENCONTRADO EN PLANTA"))</f>
        <v>NO ENCONTRADO EN PLANTA</v>
      </c>
      <c r="E217" s="5" t="str">
        <f>IF(B217="","",IFERROR(VLOOKUP(B217, PLANTA_BASE!A:W, 6, FALSE), "NO ENCONTRADO EN PLANTA"))</f>
        <v>NO ENCONTRADO EN PLANTA</v>
      </c>
      <c r="F217" s="7" t="str">
        <f>IF(B217="","",IFERROR(VLOOKUP(B217, PLANTA_BASE!A:W, 8, FALSE), "DOCENTE / FACILITADOR"))</f>
        <v>DOCENTE / FACILITADOR</v>
      </c>
      <c r="G217" s="7" t="str">
        <f>IF(B217="","",IFERROR(VLOOKUP(B217, PLANTA_BASE!A:W, 9, FALSE), "GENERAL"))</f>
        <v>GENERAL</v>
      </c>
      <c r="H217" s="5" t="str">
        <f>IF(B217="","",IFERROR(VLOOKUP(B217, PLANTA_BASE!A:W, 17, FALSE), "GENERAL"))</f>
        <v>GENERAL</v>
      </c>
    </row>
    <row r="218" spans="1:8" ht="20.100000000000001" customHeight="1" x14ac:dyDescent="0.25">
      <c r="A218" s="2" t="str">
        <f>IF(B218="","",IFERROR(VLOOKUP(B218, PLANTA_BASE!A:W, 2, FALSE), "NO ENCONTRADO EN PLANTA"))</f>
        <v>NO ENCONTRADO EN PLANTA</v>
      </c>
      <c r="B218" s="3" t="s">
        <v>1904</v>
      </c>
      <c r="C218" s="4" t="s">
        <v>1905</v>
      </c>
      <c r="D218" s="2" t="str">
        <f>IF(B218="","",IFERROR(VLOOKUP(B218, PLANTA_BASE!A:W, 5, FALSE), "NO ENCONTRADO EN PLANTA"))</f>
        <v>NO ENCONTRADO EN PLANTA</v>
      </c>
      <c r="E218" s="2" t="str">
        <f>IF(B218="","",IFERROR(VLOOKUP(B218, PLANTA_BASE!A:W, 6, FALSE), "NO ENCONTRADO EN PLANTA"))</f>
        <v>NO ENCONTRADO EN PLANTA</v>
      </c>
      <c r="F218" s="4" t="str">
        <f>IF(B218="","",IFERROR(VLOOKUP(B218, PLANTA_BASE!A:W, 8, FALSE), "DOCENTE / FACILITADOR"))</f>
        <v>DOCENTE / FACILITADOR</v>
      </c>
      <c r="G218" s="4" t="str">
        <f>IF(B218="","",IFERROR(VLOOKUP(B218, PLANTA_BASE!A:W, 9, FALSE), "GENERAL"))</f>
        <v>GENERAL</v>
      </c>
      <c r="H218" s="2" t="str">
        <f>IF(B218="","",IFERROR(VLOOKUP(B218, PLANTA_BASE!A:W, 17, FALSE), "GENERAL"))</f>
        <v>GENERAL</v>
      </c>
    </row>
    <row r="219" spans="1:8" ht="20.100000000000001" customHeight="1" x14ac:dyDescent="0.25">
      <c r="A219" s="5" t="str">
        <f>IF(B219="","",IFERROR(VLOOKUP(B219, PLANTA_BASE!A:W, 2, FALSE), "NO ENCONTRADO EN PLANTA"))</f>
        <v>NO ENCONTRADO EN PLANTA</v>
      </c>
      <c r="B219" s="6" t="s">
        <v>1906</v>
      </c>
      <c r="C219" s="7" t="s">
        <v>1907</v>
      </c>
      <c r="D219" s="5" t="str">
        <f>IF(B219="","",IFERROR(VLOOKUP(B219, PLANTA_BASE!A:W, 5, FALSE), "NO ENCONTRADO EN PLANTA"))</f>
        <v>NO ENCONTRADO EN PLANTA</v>
      </c>
      <c r="E219" s="5" t="str">
        <f>IF(B219="","",IFERROR(VLOOKUP(B219, PLANTA_BASE!A:W, 6, FALSE), "NO ENCONTRADO EN PLANTA"))</f>
        <v>NO ENCONTRADO EN PLANTA</v>
      </c>
      <c r="F219" s="7" t="str">
        <f>IF(B219="","",IFERROR(VLOOKUP(B219, PLANTA_BASE!A:W, 8, FALSE), "DOCENTE / FACILITADOR"))</f>
        <v>DOCENTE / FACILITADOR</v>
      </c>
      <c r="G219" s="7" t="str">
        <f>IF(B219="","",IFERROR(VLOOKUP(B219, PLANTA_BASE!A:W, 9, FALSE), "GENERAL"))</f>
        <v>GENERAL</v>
      </c>
      <c r="H219" s="5" t="str">
        <f>IF(B219="","",IFERROR(VLOOKUP(B219, PLANTA_BASE!A:W, 17, FALSE), "GENERAL"))</f>
        <v>GENERAL</v>
      </c>
    </row>
    <row r="220" spans="1:8" ht="20.100000000000001" customHeight="1" x14ac:dyDescent="0.25">
      <c r="A220" s="2" t="str">
        <f>IF(B220="","",IFERROR(VLOOKUP(B220, PLANTA_BASE!A:W, 2, FALSE), "NO ENCONTRADO EN PLANTA"))</f>
        <v>PRESENCIAL</v>
      </c>
      <c r="B220" s="3" t="s">
        <v>26</v>
      </c>
      <c r="C220" s="4" t="s">
        <v>27</v>
      </c>
      <c r="D220" s="2" t="str">
        <f>IF(B220="","",IFERROR(VLOOKUP(B220, PLANTA_BASE!A:W, 5, FALSE), "NO ENCONTRADO EN PLANTA"))</f>
        <v>REGIONAL BOGOTA</v>
      </c>
      <c r="E220" s="2" t="str">
        <f>IF(B220="","",IFERROR(VLOOKUP(B220, PLANTA_BASE!A:W, 6, FALSE), "NO ENCONTRADO EN PLANTA"))</f>
        <v>BOGOTA CENTRO</v>
      </c>
      <c r="F220" s="4" t="str">
        <f>IF(B220="","",IFERROR(VLOOKUP(B220, PLANTA_BASE!A:W, 8, FALSE), "DOCENTE / FACILITADOR"))</f>
        <v>DOCENTE ASIS/N/TC/DIS GRAFICO/FUN.ACADE-ADMIN</v>
      </c>
      <c r="G220" s="4" t="str">
        <f>IF(B220="","",IFERROR(VLOOKUP(B220, PLANTA_BASE!A:W, 9, FALSE), "GENERAL"))</f>
        <v>DISEÑO GRAFICO</v>
      </c>
      <c r="H220" s="2" t="str">
        <f>IF(B220="","",IFERROR(VLOOKUP(B220, PLANTA_BASE!A:W, 17, FALSE), "GENERAL"))</f>
        <v>DISEÑO GRAFICO</v>
      </c>
    </row>
    <row r="221" spans="1:8" ht="20.100000000000001" customHeight="1" x14ac:dyDescent="0.25">
      <c r="A221" s="5" t="str">
        <f>IF(B221="","",IFERROR(VLOOKUP(B221, PLANTA_BASE!A:W, 2, FALSE), "NO ENCONTRADO EN PLANTA"))</f>
        <v>PRESENCIAL</v>
      </c>
      <c r="B221" s="6" t="s">
        <v>1458</v>
      </c>
      <c r="C221" s="7" t="s">
        <v>1459</v>
      </c>
      <c r="D221" s="5" t="str">
        <f>IF(B221="","",IFERROR(VLOOKUP(B221, PLANTA_BASE!A:W, 5, FALSE), "NO ENCONTRADO EN PLANTA"))</f>
        <v>REGIONAL BOGOTA</v>
      </c>
      <c r="E221" s="5" t="str">
        <f>IF(B221="","",IFERROR(VLOOKUP(B221, PLANTA_BASE!A:W, 6, FALSE), "NO ENCONTRADO EN PLANTA"))</f>
        <v>BOGOTA CENTRO</v>
      </c>
      <c r="F221" s="7" t="str">
        <f>IF(B221="","",IFERROR(VLOOKUP(B221, PLANTA_BASE!A:W, 8, FALSE), "DOCENTE / FACILITADOR"))</f>
        <v>DOC AUX T&amp;T/N/MT/DIS EXP INT</v>
      </c>
      <c r="G221" s="7" t="str">
        <f>IF(B221="","",IFERROR(VLOOKUP(B221, PLANTA_BASE!A:W, 9, FALSE), "GENERAL"))</f>
        <v>DISEÑO EXPERIENCIAS INTERACTIVAS</v>
      </c>
      <c r="H221" s="5" t="str">
        <f>IF(B221="","",IFERROR(VLOOKUP(B221, PLANTA_BASE!A:W, 17, FALSE), "GENERAL"))</f>
        <v>DISEÑO EXPERIENCIAS INTERACTIVAS</v>
      </c>
    </row>
    <row r="222" spans="1:8" ht="20.100000000000001" customHeight="1" x14ac:dyDescent="0.25">
      <c r="A222" s="2" t="str">
        <f>IF(B222="","",IFERROR(VLOOKUP(B222, PLANTA_BASE!A:W, 2, FALSE), "NO ENCONTRADO EN PLANTA"))</f>
        <v>PRESENCIAL</v>
      </c>
      <c r="B222" s="3" t="s">
        <v>1466</v>
      </c>
      <c r="C222" s="4" t="s">
        <v>1908</v>
      </c>
      <c r="D222" s="2" t="str">
        <f>IF(B222="","",IFERROR(VLOOKUP(B222, PLANTA_BASE!A:W, 5, FALSE), "NO ENCONTRADO EN PLANTA"))</f>
        <v>REGIONAL BOGOTA</v>
      </c>
      <c r="E222" s="2" t="str">
        <f>IF(B222="","",IFERROR(VLOOKUP(B222, PLANTA_BASE!A:W, 6, FALSE), "NO ENCONTRADO EN PLANTA"))</f>
        <v>BOGOTA CENTRO</v>
      </c>
      <c r="F222" s="4" t="str">
        <f>IF(B222="","",IFERROR(VLOOKUP(B222, PLANTA_BASE!A:W, 8, FALSE), "DOCENTE / FACILITADOR"))</f>
        <v>DOCENTE AUX/N/TC/ADM TUR Y HOT/FUN.ACADE-ADMIN</v>
      </c>
      <c r="G222" s="4" t="str">
        <f>IF(B222="","",IFERROR(VLOOKUP(B222, PLANTA_BASE!A:W, 9, FALSE), "GENERAL"))</f>
        <v>ADMINISTRACION TURISTICA Y HOTELERA</v>
      </c>
      <c r="H222" s="2" t="str">
        <f>IF(B222="","",IFERROR(VLOOKUP(B222, PLANTA_BASE!A:W, 17, FALSE), "GENERAL"))</f>
        <v>ADMINISTRACION TURISTICA Y HOTELERA</v>
      </c>
    </row>
    <row r="223" spans="1:8" ht="20.100000000000001" customHeight="1" x14ac:dyDescent="0.25">
      <c r="A223" s="5" t="str">
        <f>IF(B223="","",IFERROR(VLOOKUP(B223, PLANTA_BASE!A:W, 2, FALSE), "NO ENCONTRADO EN PLANTA"))</f>
        <v>VIRTUAL</v>
      </c>
      <c r="B223" s="6" t="s">
        <v>328</v>
      </c>
      <c r="C223" s="7" t="s">
        <v>329</v>
      </c>
      <c r="D223" s="5" t="str">
        <f>IF(B223="","",IFERROR(VLOOKUP(B223, PLANTA_BASE!A:W, 5, FALSE), "NO ENCONTRADO EN PLANTA"))</f>
        <v>REGIONAL BOGOTA</v>
      </c>
      <c r="E223" s="5" t="str">
        <f>IF(B223="","",IFERROR(VLOOKUP(B223, PLANTA_BASE!A:W, 6, FALSE), "NO ENCONTRADO EN PLANTA"))</f>
        <v>BOGOTA CENTRO</v>
      </c>
      <c r="F223" s="7" t="str">
        <f>IF(B223="","",IFERROR(VLOOKUP(B223, PLANTA_BASE!A:W, 8, FALSE), "DOCENTE / FACILITADOR"))</f>
        <v>DOC ASIS/N/V/TC/ESP GER TRAN ENER/FUN.AC</v>
      </c>
      <c r="G223" s="7" t="str">
        <f>IF(B223="","",IFERROR(VLOOKUP(B223, PLANTA_BASE!A:W, 9, FALSE), "GENERAL"))</f>
        <v>ESPECIALIZACION EN GERENCIA PARA LA TRANSICION ENERGETICA</v>
      </c>
      <c r="H223" s="5" t="str">
        <f>IF(B223="","",IFERROR(VLOOKUP(B223, PLANTA_BASE!A:W, 17, FALSE), "GENERAL"))</f>
        <v>ESPECIALIZACION EN GERENCIA PARA LA TRANSICION ENERGETICA</v>
      </c>
    </row>
    <row r="224" spans="1:8" ht="20.100000000000001" customHeight="1" x14ac:dyDescent="0.25">
      <c r="A224" s="2" t="str">
        <f>IF(B224="","",IFERROR(VLOOKUP(B224, PLANTA_BASE!A:W, 2, FALSE), "NO ENCONTRADO EN PLANTA"))</f>
        <v>PRESENCIAL</v>
      </c>
      <c r="B224" s="3" t="s">
        <v>32</v>
      </c>
      <c r="C224" s="4" t="s">
        <v>1909</v>
      </c>
      <c r="D224" s="2" t="str">
        <f>IF(B224="","",IFERROR(VLOOKUP(B224, PLANTA_BASE!A:W, 5, FALSE), "NO ENCONTRADO EN PLANTA"))</f>
        <v>REGIONAL BOGOTA</v>
      </c>
      <c r="E224" s="2" t="str">
        <f>IF(B224="","",IFERROR(VLOOKUP(B224, PLANTA_BASE!A:W, 6, FALSE), "NO ENCONTRADO EN PLANTA"))</f>
        <v>BOGOTA CENTRO</v>
      </c>
      <c r="F224" s="4" t="str">
        <f>IF(B224="","",IFERROR(VLOOKUP(B224, PLANTA_BASE!A:W, 8, FALSE), "DOCENTE / FACILITADOR"))</f>
        <v>DOC AUX T&amp;T/N/MT/ING ELECTRO</v>
      </c>
      <c r="G224" s="4" t="str">
        <f>IF(B224="","",IFERROR(VLOOKUP(B224, PLANTA_BASE!A:W, 9, FALSE), "GENERAL"))</f>
        <v>INGENIERIA ELECTRONICA</v>
      </c>
      <c r="H224" s="2" t="str">
        <f>IF(B224="","",IFERROR(VLOOKUP(B224, PLANTA_BASE!A:W, 17, FALSE), "GENERAL"))</f>
        <v>INGENIERIA ELECTRONICA</v>
      </c>
    </row>
    <row r="225" spans="1:8" ht="20.100000000000001" customHeight="1" x14ac:dyDescent="0.25">
      <c r="A225" s="5" t="str">
        <f>IF(B225="","",IFERROR(VLOOKUP(B225, PLANTA_BASE!A:W, 2, FALSE), "NO ENCONTRADO EN PLANTA"))</f>
        <v>PRESENCIAL</v>
      </c>
      <c r="B225" s="6" t="s">
        <v>1320</v>
      </c>
      <c r="C225" s="7" t="s">
        <v>1910</v>
      </c>
      <c r="D225" s="5" t="str">
        <f>IF(B225="","",IFERROR(VLOOKUP(B225, PLANTA_BASE!A:W, 5, FALSE), "NO ENCONTRADO EN PLANTA"))</f>
        <v>REGIONAL BOGOTA</v>
      </c>
      <c r="E225" s="5" t="str">
        <f>IF(B225="","",IFERROR(VLOOKUP(B225, PLANTA_BASE!A:W, 6, FALSE), "NO ENCONTRADO EN PLANTA"))</f>
        <v>BOGOTA CENTRO</v>
      </c>
      <c r="F225" s="7" t="str">
        <f>IF(B225="","",IFERROR(VLOOKUP(B225, PLANTA_BASE!A:W, 8, FALSE), "DOCENTE / FACILITADOR"))</f>
        <v>DOCENTE AUX/N/TC/EMPRENDIMIE/FUN.ACADE-ADMIN</v>
      </c>
      <c r="G225" s="7" t="str">
        <f>IF(B225="","",IFERROR(VLOOKUP(B225, PLANTA_BASE!A:W, 9, FALSE), "GENERAL"))</f>
        <v>EMPRENDIMIENTO</v>
      </c>
      <c r="H225" s="5" t="str">
        <f>IF(B225="","",IFERROR(VLOOKUP(B225, PLANTA_BASE!A:W, 17, FALSE), "GENERAL"))</f>
        <v>EMPRENDIMIENTO</v>
      </c>
    </row>
    <row r="226" spans="1:8" ht="20.100000000000001" customHeight="1" x14ac:dyDescent="0.25">
      <c r="A226" s="2" t="str">
        <f>IF(B226="","",IFERROR(VLOOKUP(B226, PLANTA_BASE!A:W, 2, FALSE), "NO ENCONTRADO EN PLANTA"))</f>
        <v>PRESENCIAL</v>
      </c>
      <c r="B226" s="3" t="s">
        <v>1586</v>
      </c>
      <c r="C226" s="4" t="s">
        <v>1587</v>
      </c>
      <c r="D226" s="2" t="str">
        <f>IF(B226="","",IFERROR(VLOOKUP(B226, PLANTA_BASE!A:W, 5, FALSE), "NO ENCONTRADO EN PLANTA"))</f>
        <v>REGIONAL BOGOTA</v>
      </c>
      <c r="E226" s="2" t="str">
        <f>IF(B226="","",IFERROR(VLOOKUP(B226, PLANTA_BASE!A:W, 6, FALSE), "NO ENCONTRADO EN PLANTA"))</f>
        <v>BOGOTA NORTE</v>
      </c>
      <c r="F226" s="4" t="str">
        <f>IF(B226="","",IFERROR(VLOOKUP(B226, PLANTA_BASE!A:W, 8, FALSE), "DOCENTE / FACILITADOR"))</f>
        <v>DOCENTE AUX/N/TC/INVESTIGA/INVESTIGACION</v>
      </c>
      <c r="G226" s="4" t="str">
        <f>IF(B226="","",IFERROR(VLOOKUP(B226, PLANTA_BASE!A:W, 9, FALSE), "GENERAL"))</f>
        <v>INVESTIGACIONES</v>
      </c>
      <c r="H226" s="2" t="str">
        <f>IF(B226="","",IFERROR(VLOOKUP(B226, PLANTA_BASE!A:W, 17, FALSE), "GENERAL"))</f>
        <v>INVESTIGACIONES</v>
      </c>
    </row>
    <row r="227" spans="1:8" ht="20.100000000000001" customHeight="1" x14ac:dyDescent="0.25">
      <c r="A227" s="5" t="str">
        <f>IF(B227="","",IFERROR(VLOOKUP(B227, PLANTA_BASE!A:W, 2, FALSE), "NO ENCONTRADO EN PLANTA"))</f>
        <v>PRESENCIAL</v>
      </c>
      <c r="B227" s="6" t="s">
        <v>1288</v>
      </c>
      <c r="C227" s="7" t="s">
        <v>1289</v>
      </c>
      <c r="D227" s="5" t="str">
        <f>IF(B227="","",IFERROR(VLOOKUP(B227, PLANTA_BASE!A:W, 5, FALSE), "NO ENCONTRADO EN PLANTA"))</f>
        <v>REGIONAL BOGOTA</v>
      </c>
      <c r="E227" s="5" t="str">
        <f>IF(B227="","",IFERROR(VLOOKUP(B227, PLANTA_BASE!A:W, 6, FALSE), "NO ENCONTRADO EN PLANTA"))</f>
        <v>BOGOTA CENTRO</v>
      </c>
      <c r="F227" s="7" t="str">
        <f>IF(B227="","",IFERROR(VLOOKUP(B227, PLANTA_BASE!A:W, 8, FALSE), "DOCENTE / FACILITADOR"))</f>
        <v>DOC AUX T&amp;T/N/TC/DIR PROD ME AUD/FUN.ACADE-ADMIN</v>
      </c>
      <c r="G227" s="7" t="str">
        <f>IF(B227="","",IFERROR(VLOOKUP(B227, PLANTA_BASE!A:W, 9, FALSE), "GENERAL"))</f>
        <v>DIRECCION Y PRODUCCION DE MEDIOS AUDIOVISUALES</v>
      </c>
      <c r="H227" s="5" t="str">
        <f>IF(B227="","",IFERROR(VLOOKUP(B227, PLANTA_BASE!A:W, 17, FALSE), "GENERAL"))</f>
        <v>DIRECCION Y PRODUCCION DE MEDIOS AUDIOVISUALES</v>
      </c>
    </row>
    <row r="228" spans="1:8" ht="20.100000000000001" customHeight="1" x14ac:dyDescent="0.25">
      <c r="A228" s="2" t="str">
        <f>IF(B228="","",IFERROR(VLOOKUP(B228, PLANTA_BASE!A:W, 2, FALSE), "NO ENCONTRADO EN PLANTA"))</f>
        <v>NO ENCONTRADO EN PLANTA</v>
      </c>
      <c r="B228" s="3" t="s">
        <v>1911</v>
      </c>
      <c r="C228" s="4" t="s">
        <v>1912</v>
      </c>
      <c r="D228" s="2" t="str">
        <f>IF(B228="","",IFERROR(VLOOKUP(B228, PLANTA_BASE!A:W, 5, FALSE), "NO ENCONTRADO EN PLANTA"))</f>
        <v>NO ENCONTRADO EN PLANTA</v>
      </c>
      <c r="E228" s="2" t="str">
        <f>IF(B228="","",IFERROR(VLOOKUP(B228, PLANTA_BASE!A:W, 6, FALSE), "NO ENCONTRADO EN PLANTA"))</f>
        <v>NO ENCONTRADO EN PLANTA</v>
      </c>
      <c r="F228" s="4" t="str">
        <f>IF(B228="","",IFERROR(VLOOKUP(B228, PLANTA_BASE!A:W, 8, FALSE), "DOCENTE / FACILITADOR"))</f>
        <v>DOCENTE / FACILITADOR</v>
      </c>
      <c r="G228" s="4" t="str">
        <f>IF(B228="","",IFERROR(VLOOKUP(B228, PLANTA_BASE!A:W, 9, FALSE), "GENERAL"))</f>
        <v>GENERAL</v>
      </c>
      <c r="H228" s="2" t="str">
        <f>IF(B228="","",IFERROR(VLOOKUP(B228, PLANTA_BASE!A:W, 17, FALSE), "GENERAL"))</f>
        <v>GENERAL</v>
      </c>
    </row>
    <row r="229" spans="1:8" ht="20.100000000000001" customHeight="1" x14ac:dyDescent="0.25">
      <c r="A229" s="5" t="str">
        <f>IF(B229="","",IFERROR(VLOOKUP(B229, PLANTA_BASE!A:W, 2, FALSE), "NO ENCONTRADO EN PLANTA"))</f>
        <v>PRESENCIAL</v>
      </c>
      <c r="B229" s="6" t="s">
        <v>1632</v>
      </c>
      <c r="C229" s="7" t="s">
        <v>1633</v>
      </c>
      <c r="D229" s="5" t="str">
        <f>IF(B229="","",IFERROR(VLOOKUP(B229, PLANTA_BASE!A:W, 5, FALSE), "NO ENCONTRADO EN PLANTA"))</f>
        <v>REGIONAL BOGOTA</v>
      </c>
      <c r="E229" s="5" t="str">
        <f>IF(B229="","",IFERROR(VLOOKUP(B229, PLANTA_BASE!A:W, 6, FALSE), "NO ENCONTRADO EN PLANTA"))</f>
        <v>BOGOTA CENTRO</v>
      </c>
      <c r="F229" s="7" t="str">
        <f>IF(B229="","",IFERROR(VLOOKUP(B229, PLANTA_BASE!A:W, 8, FALSE), "DOCENTE / FACILITADOR"))</f>
        <v>DOC AUX T&amp;T/N/TC/COM SOC Y PER/FUN.ACADE-ADMIN</v>
      </c>
      <c r="G229" s="7" t="str">
        <f>IF(B229="","",IFERROR(VLOOKUP(B229, PLANTA_BASE!A:W, 9, FALSE), "GENERAL"))</f>
        <v>COMUNICACION SOCIAL Y PERIODISMO</v>
      </c>
      <c r="H229" s="5" t="str">
        <f>IF(B229="","",IFERROR(VLOOKUP(B229, PLANTA_BASE!A:W, 17, FALSE), "GENERAL"))</f>
        <v>COMUNICACION SOCIAL Y PERIODISMO</v>
      </c>
    </row>
    <row r="230" spans="1:8" ht="20.100000000000001" customHeight="1" x14ac:dyDescent="0.25">
      <c r="A230" s="2" t="str">
        <f>IF(B230="","",IFERROR(VLOOKUP(B230, PLANTA_BASE!A:W, 2, FALSE), "NO ENCONTRADO EN PLANTA"))</f>
        <v>VIRTUAL</v>
      </c>
      <c r="B230" s="3" t="s">
        <v>1400</v>
      </c>
      <c r="C230" s="4" t="s">
        <v>1401</v>
      </c>
      <c r="D230" s="2" t="str">
        <f>IF(B230="","",IFERROR(VLOOKUP(B230, PLANTA_BASE!A:W, 5, FALSE), "NO ENCONTRADO EN PLANTA"))</f>
        <v>REGIONAL BOGOTA</v>
      </c>
      <c r="E230" s="2" t="str">
        <f>IF(B230="","",IFERROR(VLOOKUP(B230, PLANTA_BASE!A:W, 6, FALSE), "NO ENCONTRADO EN PLANTA"))</f>
        <v>BOGOTA CENTRO</v>
      </c>
      <c r="F230" s="4" t="str">
        <f>IF(B230="","",IFERROR(VLOOKUP(B230, PLANTA_BASE!A:W, 8, FALSE), "DOCENTE / FACILITADOR"))</f>
        <v>DOC ASIS/N/V/TC/ESP GER EDUC/FUN.ACADE-A</v>
      </c>
      <c r="G230" s="4" t="str">
        <f>IF(B230="","",IFERROR(VLOOKUP(B230, PLANTA_BASE!A:W, 9, FALSE), "GENERAL"))</f>
        <v>ESPECIALIZACION EN GERENCIA EDUCATIVA</v>
      </c>
      <c r="H230" s="2" t="str">
        <f>IF(B230="","",IFERROR(VLOOKUP(B230, PLANTA_BASE!A:W, 17, FALSE), "GENERAL"))</f>
        <v>ESPECIALIZACION EN GERENCIA EDUCATIVA</v>
      </c>
    </row>
    <row r="231" spans="1:8" ht="20.100000000000001" customHeight="1" x14ac:dyDescent="0.25">
      <c r="A231" s="5" t="str">
        <f>IF(B231="","",IFERROR(VLOOKUP(B231, PLANTA_BASE!A:W, 2, FALSE), "NO ENCONTRADO EN PLANTA"))</f>
        <v>VIRTUAL</v>
      </c>
      <c r="B231" s="6" t="s">
        <v>1084</v>
      </c>
      <c r="C231" s="7" t="s">
        <v>1085</v>
      </c>
      <c r="D231" s="5" t="str">
        <f>IF(B231="","",IFERROR(VLOOKUP(B231, PLANTA_BASE!A:W, 5, FALSE), "NO ENCONTRADO EN PLANTA"))</f>
        <v>REGIONAL BOGOTA</v>
      </c>
      <c r="E231" s="5" t="str">
        <f>IF(B231="","",IFERROR(VLOOKUP(B231, PLANTA_BASE!A:W, 6, FALSE), "NO ENCONTRADO EN PLANTA"))</f>
        <v>BOGOTA CENTRO</v>
      </c>
      <c r="F231" s="7" t="str">
        <f>IF(B231="","",IFERROR(VLOOKUP(B231, PLANTA_BASE!A:W, 8, FALSE), "DOCENTE / FACILITADOR"))</f>
        <v>DOC AUX/N/V/MT/CONTADURIA</v>
      </c>
      <c r="G231" s="7" t="str">
        <f>IF(B231="","",IFERROR(VLOOKUP(B231, PLANTA_BASE!A:W, 9, FALSE), "GENERAL"))</f>
        <v>CONTADURIA PUBLICA</v>
      </c>
      <c r="H231" s="5" t="str">
        <f>IF(B231="","",IFERROR(VLOOKUP(B231, PLANTA_BASE!A:W, 17, FALSE), "GENERAL"))</f>
        <v>CONTADURIA PUBLICA</v>
      </c>
    </row>
    <row r="232" spans="1:8" ht="20.100000000000001" customHeight="1" x14ac:dyDescent="0.25">
      <c r="A232" s="2" t="str">
        <f>IF(B232="","",IFERROR(VLOOKUP(B232, PLANTA_BASE!A:W, 2, FALSE), "NO ENCONTRADO EN PLANTA"))</f>
        <v>NO ENCONTRADO EN PLANTA</v>
      </c>
      <c r="B232" s="3" t="s">
        <v>1913</v>
      </c>
      <c r="C232" s="4" t="s">
        <v>1914</v>
      </c>
      <c r="D232" s="2" t="str">
        <f>IF(B232="","",IFERROR(VLOOKUP(B232, PLANTA_BASE!A:W, 5, FALSE), "NO ENCONTRADO EN PLANTA"))</f>
        <v>NO ENCONTRADO EN PLANTA</v>
      </c>
      <c r="E232" s="2" t="str">
        <f>IF(B232="","",IFERROR(VLOOKUP(B232, PLANTA_BASE!A:W, 6, FALSE), "NO ENCONTRADO EN PLANTA"))</f>
        <v>NO ENCONTRADO EN PLANTA</v>
      </c>
      <c r="F232" s="4" t="str">
        <f>IF(B232="","",IFERROR(VLOOKUP(B232, PLANTA_BASE!A:W, 8, FALSE), "DOCENTE / FACILITADOR"))</f>
        <v>DOCENTE / FACILITADOR</v>
      </c>
      <c r="G232" s="4" t="str">
        <f>IF(B232="","",IFERROR(VLOOKUP(B232, PLANTA_BASE!A:W, 9, FALSE), "GENERAL"))</f>
        <v>GENERAL</v>
      </c>
      <c r="H232" s="2" t="str">
        <f>IF(B232="","",IFERROR(VLOOKUP(B232, PLANTA_BASE!A:W, 17, FALSE), "GENERAL"))</f>
        <v>GENERAL</v>
      </c>
    </row>
    <row r="233" spans="1:8" ht="20.100000000000001" customHeight="1" x14ac:dyDescent="0.25">
      <c r="A233" s="5" t="str">
        <f>IF(B233="","",IFERROR(VLOOKUP(B233, PLANTA_BASE!A:W, 2, FALSE), "NO ENCONTRADO EN PLANTA"))</f>
        <v>NO ENCONTRADO EN PLANTA</v>
      </c>
      <c r="B233" s="6" t="s">
        <v>1915</v>
      </c>
      <c r="C233" s="7" t="s">
        <v>1916</v>
      </c>
      <c r="D233" s="5" t="str">
        <f>IF(B233="","",IFERROR(VLOOKUP(B233, PLANTA_BASE!A:W, 5, FALSE), "NO ENCONTRADO EN PLANTA"))</f>
        <v>NO ENCONTRADO EN PLANTA</v>
      </c>
      <c r="E233" s="5" t="str">
        <f>IF(B233="","",IFERROR(VLOOKUP(B233, PLANTA_BASE!A:W, 6, FALSE), "NO ENCONTRADO EN PLANTA"))</f>
        <v>NO ENCONTRADO EN PLANTA</v>
      </c>
      <c r="F233" s="7" t="str">
        <f>IF(B233="","",IFERROR(VLOOKUP(B233, PLANTA_BASE!A:W, 8, FALSE), "DOCENTE / FACILITADOR"))</f>
        <v>DOCENTE / FACILITADOR</v>
      </c>
      <c r="G233" s="7" t="str">
        <f>IF(B233="","",IFERROR(VLOOKUP(B233, PLANTA_BASE!A:W, 9, FALSE), "GENERAL"))</f>
        <v>GENERAL</v>
      </c>
      <c r="H233" s="5" t="str">
        <f>IF(B233="","",IFERROR(VLOOKUP(B233, PLANTA_BASE!A:W, 17, FALSE), "GENERAL"))</f>
        <v>GENERAL</v>
      </c>
    </row>
    <row r="234" spans="1:8" ht="20.100000000000001" customHeight="1" x14ac:dyDescent="0.25">
      <c r="A234" s="2" t="str">
        <f>IF(B234="","",IFERROR(VLOOKUP(B234, PLANTA_BASE!A:W, 2, FALSE), "NO ENCONTRADO EN PLANTA"))</f>
        <v>NO ENCONTRADO EN PLANTA</v>
      </c>
      <c r="B234" s="3" t="s">
        <v>1917</v>
      </c>
      <c r="C234" s="4" t="s">
        <v>1743</v>
      </c>
      <c r="D234" s="2" t="str">
        <f>IF(B234="","",IFERROR(VLOOKUP(B234, PLANTA_BASE!A:W, 5, FALSE), "NO ENCONTRADO EN PLANTA"))</f>
        <v>NO ENCONTRADO EN PLANTA</v>
      </c>
      <c r="E234" s="2" t="str">
        <f>IF(B234="","",IFERROR(VLOOKUP(B234, PLANTA_BASE!A:W, 6, FALSE), "NO ENCONTRADO EN PLANTA"))</f>
        <v>NO ENCONTRADO EN PLANTA</v>
      </c>
      <c r="F234" s="4" t="str">
        <f>IF(B234="","",IFERROR(VLOOKUP(B234, PLANTA_BASE!A:W, 8, FALSE), "DOCENTE / FACILITADOR"))</f>
        <v>DOCENTE / FACILITADOR</v>
      </c>
      <c r="G234" s="4" t="str">
        <f>IF(B234="","",IFERROR(VLOOKUP(B234, PLANTA_BASE!A:W, 9, FALSE), "GENERAL"))</f>
        <v>GENERAL</v>
      </c>
      <c r="H234" s="2" t="str">
        <f>IF(B234="","",IFERROR(VLOOKUP(B234, PLANTA_BASE!A:W, 17, FALSE), "GENERAL"))</f>
        <v>GENERAL</v>
      </c>
    </row>
    <row r="235" spans="1:8" ht="20.100000000000001" customHeight="1" x14ac:dyDescent="0.25">
      <c r="A235" s="5" t="str">
        <f>IF(B235="","",IFERROR(VLOOKUP(B235, PLANTA_BASE!A:W, 2, FALSE), "NO ENCONTRADO EN PLANTA"))</f>
        <v>VIRTUAL</v>
      </c>
      <c r="B235" s="6" t="s">
        <v>128</v>
      </c>
      <c r="C235" s="7" t="s">
        <v>129</v>
      </c>
      <c r="D235" s="5" t="str">
        <f>IF(B235="","",IFERROR(VLOOKUP(B235, PLANTA_BASE!A:W, 5, FALSE), "NO ENCONTRADO EN PLANTA"))</f>
        <v>REGIONAL BOGOTA</v>
      </c>
      <c r="E235" s="5" t="str">
        <f>IF(B235="","",IFERROR(VLOOKUP(B235, PLANTA_BASE!A:W, 6, FALSE), "NO ENCONTRADO EN PLANTA"))</f>
        <v>BOGOTA CENTRO</v>
      </c>
      <c r="F235" s="7" t="str">
        <f>IF(B235="","",IFERROR(VLOOKUP(B235, PLANTA_BASE!A:W, 8, FALSE), "DOCENTE / FACILITADOR"))</f>
        <v>DOC ASIS/N/V/TC/ADM DE EMPRE/FUN.ACADE-ADMIN</v>
      </c>
      <c r="G235" s="7" t="str">
        <f>IF(B235="","",IFERROR(VLOOKUP(B235, PLANTA_BASE!A:W, 9, FALSE), "GENERAL"))</f>
        <v>ADMINISTRACION DE EMPRESAS</v>
      </c>
      <c r="H235" s="5" t="str">
        <f>IF(B235="","",IFERROR(VLOOKUP(B235, PLANTA_BASE!A:W, 17, FALSE), "GENERAL"))</f>
        <v>ADMINISTRACION DE EMPRESAS</v>
      </c>
    </row>
    <row r="236" spans="1:8" ht="20.100000000000001" customHeight="1" x14ac:dyDescent="0.25">
      <c r="A236" s="2" t="str">
        <f>IF(B236="","",IFERROR(VLOOKUP(B236, PLANTA_BASE!A:W, 2, FALSE), "NO ENCONTRADO EN PLANTA"))</f>
        <v>NO ENCONTRADO EN PLANTA</v>
      </c>
      <c r="B236" s="3" t="s">
        <v>1918</v>
      </c>
      <c r="C236" s="4" t="s">
        <v>1919</v>
      </c>
      <c r="D236" s="2" t="str">
        <f>IF(B236="","",IFERROR(VLOOKUP(B236, PLANTA_BASE!A:W, 5, FALSE), "NO ENCONTRADO EN PLANTA"))</f>
        <v>NO ENCONTRADO EN PLANTA</v>
      </c>
      <c r="E236" s="2" t="str">
        <f>IF(B236="","",IFERROR(VLOOKUP(B236, PLANTA_BASE!A:W, 6, FALSE), "NO ENCONTRADO EN PLANTA"))</f>
        <v>NO ENCONTRADO EN PLANTA</v>
      </c>
      <c r="F236" s="4" t="str">
        <f>IF(B236="","",IFERROR(VLOOKUP(B236, PLANTA_BASE!A:W, 8, FALSE), "DOCENTE / FACILITADOR"))</f>
        <v>DOCENTE / FACILITADOR</v>
      </c>
      <c r="G236" s="4" t="str">
        <f>IF(B236="","",IFERROR(VLOOKUP(B236, PLANTA_BASE!A:W, 9, FALSE), "GENERAL"))</f>
        <v>GENERAL</v>
      </c>
      <c r="H236" s="2" t="str">
        <f>IF(B236="","",IFERROR(VLOOKUP(B236, PLANTA_BASE!A:W, 17, FALSE), "GENERAL"))</f>
        <v>GENERAL</v>
      </c>
    </row>
    <row r="237" spans="1:8" ht="20.100000000000001" customHeight="1" x14ac:dyDescent="0.25">
      <c r="A237" s="5" t="str">
        <f>IF(B237="","",IFERROR(VLOOKUP(B237, PLANTA_BASE!A:W, 2, FALSE), "NO ENCONTRADO EN PLANTA"))</f>
        <v>NO ENCONTRADO EN PLANTA</v>
      </c>
      <c r="B237" s="6" t="s">
        <v>1920</v>
      </c>
      <c r="C237" s="7" t="s">
        <v>1921</v>
      </c>
      <c r="D237" s="5" t="str">
        <f>IF(B237="","",IFERROR(VLOOKUP(B237, PLANTA_BASE!A:W, 5, FALSE), "NO ENCONTRADO EN PLANTA"))</f>
        <v>NO ENCONTRADO EN PLANTA</v>
      </c>
      <c r="E237" s="5" t="str">
        <f>IF(B237="","",IFERROR(VLOOKUP(B237, PLANTA_BASE!A:W, 6, FALSE), "NO ENCONTRADO EN PLANTA"))</f>
        <v>NO ENCONTRADO EN PLANTA</v>
      </c>
      <c r="F237" s="7" t="str">
        <f>IF(B237="","",IFERROR(VLOOKUP(B237, PLANTA_BASE!A:W, 8, FALSE), "DOCENTE / FACILITADOR"))</f>
        <v>DOCENTE / FACILITADOR</v>
      </c>
      <c r="G237" s="7" t="str">
        <f>IF(B237="","",IFERROR(VLOOKUP(B237, PLANTA_BASE!A:W, 9, FALSE), "GENERAL"))</f>
        <v>GENERAL</v>
      </c>
      <c r="H237" s="5" t="str">
        <f>IF(B237="","",IFERROR(VLOOKUP(B237, PLANTA_BASE!A:W, 17, FALSE), "GENERAL"))</f>
        <v>GENERAL</v>
      </c>
    </row>
    <row r="238" spans="1:8" ht="20.100000000000001" customHeight="1" x14ac:dyDescent="0.25">
      <c r="A238" s="2" t="str">
        <f>IF(B238="","",IFERROR(VLOOKUP(B238, PLANTA_BASE!A:W, 2, FALSE), "NO ENCONTRADO EN PLANTA"))</f>
        <v>NO ENCONTRADO EN PLANTA</v>
      </c>
      <c r="B238" s="3" t="s">
        <v>1922</v>
      </c>
      <c r="C238" s="4" t="s">
        <v>1919</v>
      </c>
      <c r="D238" s="2" t="str">
        <f>IF(B238="","",IFERROR(VLOOKUP(B238, PLANTA_BASE!A:W, 5, FALSE), "NO ENCONTRADO EN PLANTA"))</f>
        <v>NO ENCONTRADO EN PLANTA</v>
      </c>
      <c r="E238" s="2" t="str">
        <f>IF(B238="","",IFERROR(VLOOKUP(B238, PLANTA_BASE!A:W, 6, FALSE), "NO ENCONTRADO EN PLANTA"))</f>
        <v>NO ENCONTRADO EN PLANTA</v>
      </c>
      <c r="F238" s="4" t="str">
        <f>IF(B238="","",IFERROR(VLOOKUP(B238, PLANTA_BASE!A:W, 8, FALSE), "DOCENTE / FACILITADOR"))</f>
        <v>DOCENTE / FACILITADOR</v>
      </c>
      <c r="G238" s="4" t="str">
        <f>IF(B238="","",IFERROR(VLOOKUP(B238, PLANTA_BASE!A:W, 9, FALSE), "GENERAL"))</f>
        <v>GENERAL</v>
      </c>
      <c r="H238" s="2" t="str">
        <f>IF(B238="","",IFERROR(VLOOKUP(B238, PLANTA_BASE!A:W, 17, FALSE), "GENERAL"))</f>
        <v>GENERAL</v>
      </c>
    </row>
    <row r="239" spans="1:8" ht="20.100000000000001" customHeight="1" x14ac:dyDescent="0.25">
      <c r="A239" s="5" t="str">
        <f>IF(B239="","",IFERROR(VLOOKUP(B239, PLANTA_BASE!A:W, 2, FALSE), "NO ENCONTRADO EN PLANTA"))</f>
        <v/>
      </c>
      <c r="B239" s="6"/>
      <c r="C239" s="7" t="str">
        <f>IF(B239="","",IFERROR(VLOOKUP(B239, PLANTA_BASE!A:W, 3, FALSE), ""))</f>
        <v/>
      </c>
      <c r="D239" s="5" t="str">
        <f>IF(B239="","",IFERROR(VLOOKUP(B239, PLANTA_BASE!A:W, 5, FALSE), "NO ENCONTRADO EN PLANTA"))</f>
        <v/>
      </c>
      <c r="E239" s="5" t="str">
        <f>IF(B239="","",IFERROR(VLOOKUP(B239, PLANTA_BASE!A:W, 6, FALSE), "NO ENCONTRADO EN PLANTA"))</f>
        <v/>
      </c>
      <c r="F239" s="7" t="str">
        <f>IF(B239="","",IFERROR(VLOOKUP(B239, PLANTA_BASE!A:W, 8, FALSE), "DOCENTE / FACILITADOR"))</f>
        <v/>
      </c>
      <c r="G239" s="7" t="str">
        <f>IF(B239="","",IFERROR(VLOOKUP(B239, PLANTA_BASE!A:W, 9, FALSE), "GENERAL"))</f>
        <v/>
      </c>
      <c r="H239" s="5" t="str">
        <f>IF(B239="","",IFERROR(VLOOKUP(B239, PLANTA_BASE!A:W, 17, FALSE), "GENERAL"))</f>
        <v/>
      </c>
    </row>
    <row r="240" spans="1:8" ht="20.100000000000001" customHeight="1" x14ac:dyDescent="0.25">
      <c r="A240" s="2" t="str">
        <f>IF(B240="","",IFERROR(VLOOKUP(B240, PLANTA_BASE!A:W, 2, FALSE), "NO ENCONTRADO EN PLANTA"))</f>
        <v/>
      </c>
      <c r="B240" s="3"/>
      <c r="C240" s="4" t="str">
        <f>IF(B240="","",IFERROR(VLOOKUP(B240, PLANTA_BASE!A:W, 3, FALSE), ""))</f>
        <v/>
      </c>
      <c r="D240" s="2" t="str">
        <f>IF(B240="","",IFERROR(VLOOKUP(B240, PLANTA_BASE!A:W, 5, FALSE), "NO ENCONTRADO EN PLANTA"))</f>
        <v/>
      </c>
      <c r="E240" s="2" t="str">
        <f>IF(B240="","",IFERROR(VLOOKUP(B240, PLANTA_BASE!A:W, 6, FALSE), "NO ENCONTRADO EN PLANTA"))</f>
        <v/>
      </c>
      <c r="F240" s="4" t="str">
        <f>IF(B240="","",IFERROR(VLOOKUP(B240, PLANTA_BASE!A:W, 8, FALSE), "DOCENTE / FACILITADOR"))</f>
        <v/>
      </c>
      <c r="G240" s="4" t="str">
        <f>IF(B240="","",IFERROR(VLOOKUP(B240, PLANTA_BASE!A:W, 9, FALSE), "GENERAL"))</f>
        <v/>
      </c>
      <c r="H240" s="2" t="str">
        <f>IF(B240="","",IFERROR(VLOOKUP(B240, PLANTA_BASE!A:W, 17, FALSE), "GENERAL"))</f>
        <v/>
      </c>
    </row>
    <row r="241" spans="1:8" ht="20.100000000000001" customHeight="1" x14ac:dyDescent="0.25">
      <c r="A241" s="5" t="str">
        <f>IF(B241="","",IFERROR(VLOOKUP(B241, PLANTA_BASE!A:W, 2, FALSE), "NO ENCONTRADO EN PLANTA"))</f>
        <v/>
      </c>
      <c r="B241" s="6"/>
      <c r="C241" s="7" t="str">
        <f>IF(B241="","",IFERROR(VLOOKUP(B241, PLANTA_BASE!A:W, 3, FALSE), ""))</f>
        <v/>
      </c>
      <c r="D241" s="5" t="str">
        <f>IF(B241="","",IFERROR(VLOOKUP(B241, PLANTA_BASE!A:W, 5, FALSE), "NO ENCONTRADO EN PLANTA"))</f>
        <v/>
      </c>
      <c r="E241" s="5" t="str">
        <f>IF(B241="","",IFERROR(VLOOKUP(B241, PLANTA_BASE!A:W, 6, FALSE), "NO ENCONTRADO EN PLANTA"))</f>
        <v/>
      </c>
      <c r="F241" s="7" t="str">
        <f>IF(B241="","",IFERROR(VLOOKUP(B241, PLANTA_BASE!A:W, 8, FALSE), "DOCENTE / FACILITADOR"))</f>
        <v/>
      </c>
      <c r="G241" s="7" t="str">
        <f>IF(B241="","",IFERROR(VLOOKUP(B241, PLANTA_BASE!A:W, 9, FALSE), "GENERAL"))</f>
        <v/>
      </c>
      <c r="H241" s="5" t="str">
        <f>IF(B241="","",IFERROR(VLOOKUP(B241, PLANTA_BASE!A:W, 17, FALSE), "GENERAL"))</f>
        <v/>
      </c>
    </row>
    <row r="242" spans="1:8" ht="20.100000000000001" customHeight="1" x14ac:dyDescent="0.25">
      <c r="A242" s="2" t="str">
        <f>IF(B242="","",IFERROR(VLOOKUP(B242, PLANTA_BASE!A:W, 2, FALSE), "NO ENCONTRADO EN PLANTA"))</f>
        <v/>
      </c>
      <c r="B242" s="3"/>
      <c r="C242" s="4" t="str">
        <f>IF(B242="","",IFERROR(VLOOKUP(B242, PLANTA_BASE!A:W, 3, FALSE), ""))</f>
        <v/>
      </c>
      <c r="D242" s="2" t="str">
        <f>IF(B242="","",IFERROR(VLOOKUP(B242, PLANTA_BASE!A:W, 5, FALSE), "NO ENCONTRADO EN PLANTA"))</f>
        <v/>
      </c>
      <c r="E242" s="2" t="str">
        <f>IF(B242="","",IFERROR(VLOOKUP(B242, PLANTA_BASE!A:W, 6, FALSE), "NO ENCONTRADO EN PLANTA"))</f>
        <v/>
      </c>
      <c r="F242" s="4" t="str">
        <f>IF(B242="","",IFERROR(VLOOKUP(B242, PLANTA_BASE!A:W, 8, FALSE), "DOCENTE / FACILITADOR"))</f>
        <v/>
      </c>
      <c r="G242" s="4" t="str">
        <f>IF(B242="","",IFERROR(VLOOKUP(B242, PLANTA_BASE!A:W, 9, FALSE), "GENERAL"))</f>
        <v/>
      </c>
      <c r="H242" s="2" t="str">
        <f>IF(B242="","",IFERROR(VLOOKUP(B242, PLANTA_BASE!A:W, 17, FALSE), "GENERAL"))</f>
        <v/>
      </c>
    </row>
    <row r="243" spans="1:8" ht="20.100000000000001" customHeight="1" x14ac:dyDescent="0.25">
      <c r="A243" s="5" t="str">
        <f>IF(B243="","",IFERROR(VLOOKUP(B243, PLANTA_BASE!A:W, 2, FALSE), "NO ENCONTRADO EN PLANTA"))</f>
        <v/>
      </c>
      <c r="B243" s="6"/>
      <c r="C243" s="7" t="str">
        <f>IF(B243="","",IFERROR(VLOOKUP(B243, PLANTA_BASE!A:W, 3, FALSE), ""))</f>
        <v/>
      </c>
      <c r="D243" s="5" t="str">
        <f>IF(B243="","",IFERROR(VLOOKUP(B243, PLANTA_BASE!A:W, 5, FALSE), "NO ENCONTRADO EN PLANTA"))</f>
        <v/>
      </c>
      <c r="E243" s="5" t="str">
        <f>IF(B243="","",IFERROR(VLOOKUP(B243, PLANTA_BASE!A:W, 6, FALSE), "NO ENCONTRADO EN PLANTA"))</f>
        <v/>
      </c>
      <c r="F243" s="7" t="str">
        <f>IF(B243="","",IFERROR(VLOOKUP(B243, PLANTA_BASE!A:W, 8, FALSE), "DOCENTE / FACILITADOR"))</f>
        <v/>
      </c>
      <c r="G243" s="7" t="str">
        <f>IF(B243="","",IFERROR(VLOOKUP(B243, PLANTA_BASE!A:W, 9, FALSE), "GENERAL"))</f>
        <v/>
      </c>
      <c r="H243" s="5" t="str">
        <f>IF(B243="","",IFERROR(VLOOKUP(B243, PLANTA_BASE!A:W, 17, FALSE), "GENERAL"))</f>
        <v/>
      </c>
    </row>
    <row r="244" spans="1:8" ht="20.100000000000001" customHeight="1" x14ac:dyDescent="0.25">
      <c r="A244" s="2" t="str">
        <f>IF(B244="","",IFERROR(VLOOKUP(B244, PLANTA_BASE!A:W, 2, FALSE), "NO ENCONTRADO EN PLANTA"))</f>
        <v/>
      </c>
      <c r="B244" s="3"/>
      <c r="C244" s="4" t="str">
        <f>IF(B244="","",IFERROR(VLOOKUP(B244, PLANTA_BASE!A:W, 3, FALSE), ""))</f>
        <v/>
      </c>
      <c r="D244" s="2" t="str">
        <f>IF(B244="","",IFERROR(VLOOKUP(B244, PLANTA_BASE!A:W, 5, FALSE), "NO ENCONTRADO EN PLANTA"))</f>
        <v/>
      </c>
      <c r="E244" s="2" t="str">
        <f>IF(B244="","",IFERROR(VLOOKUP(B244, PLANTA_BASE!A:W, 6, FALSE), "NO ENCONTRADO EN PLANTA"))</f>
        <v/>
      </c>
      <c r="F244" s="4" t="str">
        <f>IF(B244="","",IFERROR(VLOOKUP(B244, PLANTA_BASE!A:W, 8, FALSE), "DOCENTE / FACILITADOR"))</f>
        <v/>
      </c>
      <c r="G244" s="4" t="str">
        <f>IF(B244="","",IFERROR(VLOOKUP(B244, PLANTA_BASE!A:W, 9, FALSE), "GENERAL"))</f>
        <v/>
      </c>
      <c r="H244" s="2" t="str">
        <f>IF(B244="","",IFERROR(VLOOKUP(B244, PLANTA_BASE!A:W, 17, FALSE), "GENERAL"))</f>
        <v/>
      </c>
    </row>
    <row r="245" spans="1:8" ht="20.100000000000001" customHeight="1" x14ac:dyDescent="0.25">
      <c r="A245" s="5" t="str">
        <f>IF(B245="","",IFERROR(VLOOKUP(B245, PLANTA_BASE!A:W, 2, FALSE), "NO ENCONTRADO EN PLANTA"))</f>
        <v/>
      </c>
      <c r="B245" s="6"/>
      <c r="C245" s="7" t="str">
        <f>IF(B245="","",IFERROR(VLOOKUP(B245, PLANTA_BASE!A:W, 3, FALSE), ""))</f>
        <v/>
      </c>
      <c r="D245" s="5" t="str">
        <f>IF(B245="","",IFERROR(VLOOKUP(B245, PLANTA_BASE!A:W, 5, FALSE), "NO ENCONTRADO EN PLANTA"))</f>
        <v/>
      </c>
      <c r="E245" s="5" t="str">
        <f>IF(B245="","",IFERROR(VLOOKUP(B245, PLANTA_BASE!A:W, 6, FALSE), "NO ENCONTRADO EN PLANTA"))</f>
        <v/>
      </c>
      <c r="F245" s="7" t="str">
        <f>IF(B245="","",IFERROR(VLOOKUP(B245, PLANTA_BASE!A:W, 8, FALSE), "DOCENTE / FACILITADOR"))</f>
        <v/>
      </c>
      <c r="G245" s="7" t="str">
        <f>IF(B245="","",IFERROR(VLOOKUP(B245, PLANTA_BASE!A:W, 9, FALSE), "GENERAL"))</f>
        <v/>
      </c>
      <c r="H245" s="5" t="str">
        <f>IF(B245="","",IFERROR(VLOOKUP(B245, PLANTA_BASE!A:W, 17, FALSE), "GENERAL"))</f>
        <v/>
      </c>
    </row>
    <row r="246" spans="1:8" ht="20.100000000000001" customHeight="1" x14ac:dyDescent="0.25">
      <c r="A246" s="2" t="str">
        <f>IF(B246="","",IFERROR(VLOOKUP(B246, PLANTA_BASE!A:W, 2, FALSE), "NO ENCONTRADO EN PLANTA"))</f>
        <v/>
      </c>
      <c r="B246" s="3"/>
      <c r="C246" s="4" t="str">
        <f>IF(B246="","",IFERROR(VLOOKUP(B246, PLANTA_BASE!A:W, 3, FALSE), ""))</f>
        <v/>
      </c>
      <c r="D246" s="2" t="str">
        <f>IF(B246="","",IFERROR(VLOOKUP(B246, PLANTA_BASE!A:W, 5, FALSE), "NO ENCONTRADO EN PLANTA"))</f>
        <v/>
      </c>
      <c r="E246" s="2" t="str">
        <f>IF(B246="","",IFERROR(VLOOKUP(B246, PLANTA_BASE!A:W, 6, FALSE), "NO ENCONTRADO EN PLANTA"))</f>
        <v/>
      </c>
      <c r="F246" s="4" t="str">
        <f>IF(B246="","",IFERROR(VLOOKUP(B246, PLANTA_BASE!A:W, 8, FALSE), "DOCENTE / FACILITADOR"))</f>
        <v/>
      </c>
      <c r="G246" s="4" t="str">
        <f>IF(B246="","",IFERROR(VLOOKUP(B246, PLANTA_BASE!A:W, 9, FALSE), "GENERAL"))</f>
        <v/>
      </c>
      <c r="H246" s="2" t="str">
        <f>IF(B246="","",IFERROR(VLOOKUP(B246, PLANTA_BASE!A:W, 17, FALSE), "GENERAL"))</f>
        <v/>
      </c>
    </row>
    <row r="247" spans="1:8" ht="20.100000000000001" customHeight="1" x14ac:dyDescent="0.25">
      <c r="A247" s="5" t="str">
        <f>IF(B247="","",IFERROR(VLOOKUP(B247, PLANTA_BASE!A:W, 2, FALSE), "NO ENCONTRADO EN PLANTA"))</f>
        <v/>
      </c>
      <c r="B247" s="6"/>
      <c r="C247" s="7" t="str">
        <f>IF(B247="","",IFERROR(VLOOKUP(B247, PLANTA_BASE!A:W, 3, FALSE), ""))</f>
        <v/>
      </c>
      <c r="D247" s="5" t="str">
        <f>IF(B247="","",IFERROR(VLOOKUP(B247, PLANTA_BASE!A:W, 5, FALSE), "NO ENCONTRADO EN PLANTA"))</f>
        <v/>
      </c>
      <c r="E247" s="5" t="str">
        <f>IF(B247="","",IFERROR(VLOOKUP(B247, PLANTA_BASE!A:W, 6, FALSE), "NO ENCONTRADO EN PLANTA"))</f>
        <v/>
      </c>
      <c r="F247" s="7" t="str">
        <f>IF(B247="","",IFERROR(VLOOKUP(B247, PLANTA_BASE!A:W, 8, FALSE), "DOCENTE / FACILITADOR"))</f>
        <v/>
      </c>
      <c r="G247" s="7" t="str">
        <f>IF(B247="","",IFERROR(VLOOKUP(B247, PLANTA_BASE!A:W, 9, FALSE), "GENERAL"))</f>
        <v/>
      </c>
      <c r="H247" s="5" t="str">
        <f>IF(B247="","",IFERROR(VLOOKUP(B247, PLANTA_BASE!A:W, 17, FALSE), "GENERAL"))</f>
        <v/>
      </c>
    </row>
    <row r="248" spans="1:8" ht="20.100000000000001" customHeight="1" x14ac:dyDescent="0.25">
      <c r="A248" s="2" t="str">
        <f>IF(B248="","",IFERROR(VLOOKUP(B248, PLANTA_BASE!A:W, 2, FALSE), "NO ENCONTRADO EN PLANTA"))</f>
        <v/>
      </c>
      <c r="B248" s="3"/>
      <c r="C248" s="4" t="str">
        <f>IF(B248="","",IFERROR(VLOOKUP(B248, PLANTA_BASE!A:W, 3, FALSE), ""))</f>
        <v/>
      </c>
      <c r="D248" s="2" t="str">
        <f>IF(B248="","",IFERROR(VLOOKUP(B248, PLANTA_BASE!A:W, 5, FALSE), "NO ENCONTRADO EN PLANTA"))</f>
        <v/>
      </c>
      <c r="E248" s="2" t="str">
        <f>IF(B248="","",IFERROR(VLOOKUP(B248, PLANTA_BASE!A:W, 6, FALSE), "NO ENCONTRADO EN PLANTA"))</f>
        <v/>
      </c>
      <c r="F248" s="4" t="str">
        <f>IF(B248="","",IFERROR(VLOOKUP(B248, PLANTA_BASE!A:W, 8, FALSE), "DOCENTE / FACILITADOR"))</f>
        <v/>
      </c>
      <c r="G248" s="4" t="str">
        <f>IF(B248="","",IFERROR(VLOOKUP(B248, PLANTA_BASE!A:W, 9, FALSE), "GENERAL"))</f>
        <v/>
      </c>
      <c r="H248" s="2" t="str">
        <f>IF(B248="","",IFERROR(VLOOKUP(B248, PLANTA_BASE!A:W, 17, FALSE), "GENERAL"))</f>
        <v/>
      </c>
    </row>
    <row r="249" spans="1:8" ht="20.100000000000001" customHeight="1" x14ac:dyDescent="0.25">
      <c r="A249" s="5" t="str">
        <f>IF(B249="","",IFERROR(VLOOKUP(B249, PLANTA_BASE!A:W, 2, FALSE), "NO ENCONTRADO EN PLANTA"))</f>
        <v/>
      </c>
      <c r="B249" s="6"/>
      <c r="C249" s="7" t="str">
        <f>IF(B249="","",IFERROR(VLOOKUP(B249, PLANTA_BASE!A:W, 3, FALSE), ""))</f>
        <v/>
      </c>
      <c r="D249" s="5" t="str">
        <f>IF(B249="","",IFERROR(VLOOKUP(B249, PLANTA_BASE!A:W, 5, FALSE), "NO ENCONTRADO EN PLANTA"))</f>
        <v/>
      </c>
      <c r="E249" s="5" t="str">
        <f>IF(B249="","",IFERROR(VLOOKUP(B249, PLANTA_BASE!A:W, 6, FALSE), "NO ENCONTRADO EN PLANTA"))</f>
        <v/>
      </c>
      <c r="F249" s="7" t="str">
        <f>IF(B249="","",IFERROR(VLOOKUP(B249, PLANTA_BASE!A:W, 8, FALSE), "DOCENTE / FACILITADOR"))</f>
        <v/>
      </c>
      <c r="G249" s="7" t="str">
        <f>IF(B249="","",IFERROR(VLOOKUP(B249, PLANTA_BASE!A:W, 9, FALSE), "GENERAL"))</f>
        <v/>
      </c>
      <c r="H249" s="5" t="str">
        <f>IF(B249="","",IFERROR(VLOOKUP(B249, PLANTA_BASE!A:W, 17, FALSE), "GENERAL"))</f>
        <v/>
      </c>
    </row>
    <row r="250" spans="1:8" ht="20.100000000000001" customHeight="1" x14ac:dyDescent="0.25">
      <c r="A250" s="2" t="str">
        <f>IF(B250="","",IFERROR(VLOOKUP(B250, PLANTA_BASE!A:W, 2, FALSE), "NO ENCONTRADO EN PLANTA"))</f>
        <v/>
      </c>
      <c r="B250" s="3"/>
      <c r="C250" s="4" t="str">
        <f>IF(B250="","",IFERROR(VLOOKUP(B250, PLANTA_BASE!A:W, 3, FALSE), ""))</f>
        <v/>
      </c>
      <c r="D250" s="2" t="str">
        <f>IF(B250="","",IFERROR(VLOOKUP(B250, PLANTA_BASE!A:W, 5, FALSE), "NO ENCONTRADO EN PLANTA"))</f>
        <v/>
      </c>
      <c r="E250" s="2" t="str">
        <f>IF(B250="","",IFERROR(VLOOKUP(B250, PLANTA_BASE!A:W, 6, FALSE), "NO ENCONTRADO EN PLANTA"))</f>
        <v/>
      </c>
      <c r="F250" s="4" t="str">
        <f>IF(B250="","",IFERROR(VLOOKUP(B250, PLANTA_BASE!A:W, 8, FALSE), "DOCENTE / FACILITADOR"))</f>
        <v/>
      </c>
      <c r="G250" s="4" t="str">
        <f>IF(B250="","",IFERROR(VLOOKUP(B250, PLANTA_BASE!A:W, 9, FALSE), "GENERAL"))</f>
        <v/>
      </c>
      <c r="H250" s="2" t="str">
        <f>IF(B250="","",IFERROR(VLOOKUP(B250, PLANTA_BASE!A:W, 17, FALSE), "GENERAL"))</f>
        <v/>
      </c>
    </row>
    <row r="251" spans="1:8" ht="20.100000000000001" customHeight="1" x14ac:dyDescent="0.25">
      <c r="A251" s="5" t="str">
        <f>IF(B251="","",IFERROR(VLOOKUP(B251, PLANTA_BASE!A:W, 2, FALSE), "NO ENCONTRADO EN PLANTA"))</f>
        <v/>
      </c>
      <c r="B251" s="6"/>
      <c r="C251" s="7" t="str">
        <f>IF(B251="","",IFERROR(VLOOKUP(B251, PLANTA_BASE!A:W, 3, FALSE), ""))</f>
        <v/>
      </c>
      <c r="D251" s="5" t="str">
        <f>IF(B251="","",IFERROR(VLOOKUP(B251, PLANTA_BASE!A:W, 5, FALSE), "NO ENCONTRADO EN PLANTA"))</f>
        <v/>
      </c>
      <c r="E251" s="5" t="str">
        <f>IF(B251="","",IFERROR(VLOOKUP(B251, PLANTA_BASE!A:W, 6, FALSE), "NO ENCONTRADO EN PLANTA"))</f>
        <v/>
      </c>
      <c r="F251" s="7" t="str">
        <f>IF(B251="","",IFERROR(VLOOKUP(B251, PLANTA_BASE!A:W, 8, FALSE), "DOCENTE / FACILITADOR"))</f>
        <v/>
      </c>
      <c r="G251" s="7" t="str">
        <f>IF(B251="","",IFERROR(VLOOKUP(B251, PLANTA_BASE!A:W, 9, FALSE), "GENERAL"))</f>
        <v/>
      </c>
      <c r="H251" s="5" t="str">
        <f>IF(B251="","",IFERROR(VLOOKUP(B251, PLANTA_BASE!A:W, 17, FALSE), "GENERAL"))</f>
        <v/>
      </c>
    </row>
    <row r="252" spans="1:8" ht="20.100000000000001" customHeight="1" x14ac:dyDescent="0.25">
      <c r="A252" s="2" t="str">
        <f>IF(B252="","",IFERROR(VLOOKUP(B252, PLANTA_BASE!A:W, 2, FALSE), "NO ENCONTRADO EN PLANTA"))</f>
        <v/>
      </c>
      <c r="B252" s="3"/>
      <c r="C252" s="4" t="str">
        <f>IF(B252="","",IFERROR(VLOOKUP(B252, PLANTA_BASE!A:W, 3, FALSE), ""))</f>
        <v/>
      </c>
      <c r="D252" s="2" t="str">
        <f>IF(B252="","",IFERROR(VLOOKUP(B252, PLANTA_BASE!A:W, 5, FALSE), "NO ENCONTRADO EN PLANTA"))</f>
        <v/>
      </c>
      <c r="E252" s="2" t="str">
        <f>IF(B252="","",IFERROR(VLOOKUP(B252, PLANTA_BASE!A:W, 6, FALSE), "NO ENCONTRADO EN PLANTA"))</f>
        <v/>
      </c>
      <c r="F252" s="4" t="str">
        <f>IF(B252="","",IFERROR(VLOOKUP(B252, PLANTA_BASE!A:W, 8, FALSE), "DOCENTE / FACILITADOR"))</f>
        <v/>
      </c>
      <c r="G252" s="4" t="str">
        <f>IF(B252="","",IFERROR(VLOOKUP(B252, PLANTA_BASE!A:W, 9, FALSE), "GENERAL"))</f>
        <v/>
      </c>
      <c r="H252" s="2" t="str">
        <f>IF(B252="","",IFERROR(VLOOKUP(B252, PLANTA_BASE!A:W, 17, FALSE), "GENERAL"))</f>
        <v/>
      </c>
    </row>
    <row r="253" spans="1:8" ht="20.100000000000001" customHeight="1" x14ac:dyDescent="0.25">
      <c r="A253" s="5" t="str">
        <f>IF(B253="","",IFERROR(VLOOKUP(B253, PLANTA_BASE!A:W, 2, FALSE), "NO ENCONTRADO EN PLANTA"))</f>
        <v/>
      </c>
      <c r="B253" s="6"/>
      <c r="C253" s="7" t="str">
        <f>IF(B253="","",IFERROR(VLOOKUP(B253, PLANTA_BASE!A:W, 3, FALSE), ""))</f>
        <v/>
      </c>
      <c r="D253" s="5" t="str">
        <f>IF(B253="","",IFERROR(VLOOKUP(B253, PLANTA_BASE!A:W, 5, FALSE), "NO ENCONTRADO EN PLANTA"))</f>
        <v/>
      </c>
      <c r="E253" s="5" t="str">
        <f>IF(B253="","",IFERROR(VLOOKUP(B253, PLANTA_BASE!A:W, 6, FALSE), "NO ENCONTRADO EN PLANTA"))</f>
        <v/>
      </c>
      <c r="F253" s="7" t="str">
        <f>IF(B253="","",IFERROR(VLOOKUP(B253, PLANTA_BASE!A:W, 8, FALSE), "DOCENTE / FACILITADOR"))</f>
        <v/>
      </c>
      <c r="G253" s="7" t="str">
        <f>IF(B253="","",IFERROR(VLOOKUP(B253, PLANTA_BASE!A:W, 9, FALSE), "GENERAL"))</f>
        <v/>
      </c>
      <c r="H253" s="5" t="str">
        <f>IF(B253="","",IFERROR(VLOOKUP(B253, PLANTA_BASE!A:W, 17, FALSE), "GENERAL"))</f>
        <v/>
      </c>
    </row>
    <row r="254" spans="1:8" ht="20.100000000000001" customHeight="1" x14ac:dyDescent="0.25">
      <c r="A254" s="2" t="str">
        <f>IF(B254="","",IFERROR(VLOOKUP(B254, PLANTA_BASE!A:W, 2, FALSE), "NO ENCONTRADO EN PLANTA"))</f>
        <v/>
      </c>
      <c r="B254" s="3"/>
      <c r="C254" s="4" t="str">
        <f>IF(B254="","",IFERROR(VLOOKUP(B254, PLANTA_BASE!A:W, 3, FALSE), ""))</f>
        <v/>
      </c>
      <c r="D254" s="2" t="str">
        <f>IF(B254="","",IFERROR(VLOOKUP(B254, PLANTA_BASE!A:W, 5, FALSE), "NO ENCONTRADO EN PLANTA"))</f>
        <v/>
      </c>
      <c r="E254" s="2" t="str">
        <f>IF(B254="","",IFERROR(VLOOKUP(B254, PLANTA_BASE!A:W, 6, FALSE), "NO ENCONTRADO EN PLANTA"))</f>
        <v/>
      </c>
      <c r="F254" s="4" t="str">
        <f>IF(B254="","",IFERROR(VLOOKUP(B254, PLANTA_BASE!A:W, 8, FALSE), "DOCENTE / FACILITADOR"))</f>
        <v/>
      </c>
      <c r="G254" s="4" t="str">
        <f>IF(B254="","",IFERROR(VLOOKUP(B254, PLANTA_BASE!A:W, 9, FALSE), "GENERAL"))</f>
        <v/>
      </c>
      <c r="H254" s="2" t="str">
        <f>IF(B254="","",IFERROR(VLOOKUP(B254, PLANTA_BASE!A:W, 17, FALSE), "GENERAL"))</f>
        <v/>
      </c>
    </row>
    <row r="255" spans="1:8" ht="20.100000000000001" customHeight="1" x14ac:dyDescent="0.25">
      <c r="A255" s="5" t="str">
        <f>IF(B255="","",IFERROR(VLOOKUP(B255, PLANTA_BASE!A:W, 2, FALSE), "NO ENCONTRADO EN PLANTA"))</f>
        <v/>
      </c>
      <c r="B255" s="6"/>
      <c r="C255" s="7" t="str">
        <f>IF(B255="","",IFERROR(VLOOKUP(B255, PLANTA_BASE!A:W, 3, FALSE), ""))</f>
        <v/>
      </c>
      <c r="D255" s="5" t="str">
        <f>IF(B255="","",IFERROR(VLOOKUP(B255, PLANTA_BASE!A:W, 5, FALSE), "NO ENCONTRADO EN PLANTA"))</f>
        <v/>
      </c>
      <c r="E255" s="5" t="str">
        <f>IF(B255="","",IFERROR(VLOOKUP(B255, PLANTA_BASE!A:W, 6, FALSE), "NO ENCONTRADO EN PLANTA"))</f>
        <v/>
      </c>
      <c r="F255" s="7" t="str">
        <f>IF(B255="","",IFERROR(VLOOKUP(B255, PLANTA_BASE!A:W, 8, FALSE), "DOCENTE / FACILITADOR"))</f>
        <v/>
      </c>
      <c r="G255" s="7" t="str">
        <f>IF(B255="","",IFERROR(VLOOKUP(B255, PLANTA_BASE!A:W, 9, FALSE), "GENERAL"))</f>
        <v/>
      </c>
      <c r="H255" s="5" t="str">
        <f>IF(B255="","",IFERROR(VLOOKUP(B255, PLANTA_BASE!A:W, 17, FALSE), "GENERAL"))</f>
        <v/>
      </c>
    </row>
    <row r="256" spans="1:8" ht="20.100000000000001" customHeight="1" x14ac:dyDescent="0.25">
      <c r="A256" s="2" t="str">
        <f>IF(B256="","",IFERROR(VLOOKUP(B256, PLANTA_BASE!A:W, 2, FALSE), "NO ENCONTRADO EN PLANTA"))</f>
        <v/>
      </c>
      <c r="B256" s="3"/>
      <c r="C256" s="4" t="str">
        <f>IF(B256="","",IFERROR(VLOOKUP(B256, PLANTA_BASE!A:W, 3, FALSE), ""))</f>
        <v/>
      </c>
      <c r="D256" s="2" t="str">
        <f>IF(B256="","",IFERROR(VLOOKUP(B256, PLANTA_BASE!A:W, 5, FALSE), "NO ENCONTRADO EN PLANTA"))</f>
        <v/>
      </c>
      <c r="E256" s="2" t="str">
        <f>IF(B256="","",IFERROR(VLOOKUP(B256, PLANTA_BASE!A:W, 6, FALSE), "NO ENCONTRADO EN PLANTA"))</f>
        <v/>
      </c>
      <c r="F256" s="4" t="str">
        <f>IF(B256="","",IFERROR(VLOOKUP(B256, PLANTA_BASE!A:W, 8, FALSE), "DOCENTE / FACILITADOR"))</f>
        <v/>
      </c>
      <c r="G256" s="4" t="str">
        <f>IF(B256="","",IFERROR(VLOOKUP(B256, PLANTA_BASE!A:W, 9, FALSE), "GENERAL"))</f>
        <v/>
      </c>
      <c r="H256" s="2" t="str">
        <f>IF(B256="","",IFERROR(VLOOKUP(B256, PLANTA_BASE!A:W, 17, FALSE), "GENERAL"))</f>
        <v/>
      </c>
    </row>
    <row r="257" spans="1:8" ht="20.100000000000001" customHeight="1" x14ac:dyDescent="0.25">
      <c r="A257" s="5" t="str">
        <f>IF(B257="","",IFERROR(VLOOKUP(B257, PLANTA_BASE!A:W, 2, FALSE), "NO ENCONTRADO EN PLANTA"))</f>
        <v/>
      </c>
      <c r="B257" s="6"/>
      <c r="C257" s="7" t="str">
        <f>IF(B257="","",IFERROR(VLOOKUP(B257, PLANTA_BASE!A:W, 3, FALSE), ""))</f>
        <v/>
      </c>
      <c r="D257" s="5" t="str">
        <f>IF(B257="","",IFERROR(VLOOKUP(B257, PLANTA_BASE!A:W, 5, FALSE), "NO ENCONTRADO EN PLANTA"))</f>
        <v/>
      </c>
      <c r="E257" s="5" t="str">
        <f>IF(B257="","",IFERROR(VLOOKUP(B257, PLANTA_BASE!A:W, 6, FALSE), "NO ENCONTRADO EN PLANTA"))</f>
        <v/>
      </c>
      <c r="F257" s="7" t="str">
        <f>IF(B257="","",IFERROR(VLOOKUP(B257, PLANTA_BASE!A:W, 8, FALSE), "DOCENTE / FACILITADOR"))</f>
        <v/>
      </c>
      <c r="G257" s="7" t="str">
        <f>IF(B257="","",IFERROR(VLOOKUP(B257, PLANTA_BASE!A:W, 9, FALSE), "GENERAL"))</f>
        <v/>
      </c>
      <c r="H257" s="5" t="str">
        <f>IF(B257="","",IFERROR(VLOOKUP(B257, PLANTA_BASE!A:W, 17, FALSE), "GENERAL"))</f>
        <v/>
      </c>
    </row>
    <row r="258" spans="1:8" ht="20.100000000000001" customHeight="1" x14ac:dyDescent="0.25">
      <c r="A258" s="2" t="str">
        <f>IF(B258="","",IFERROR(VLOOKUP(B258, PLANTA_BASE!A:W, 2, FALSE), "NO ENCONTRADO EN PLANTA"))</f>
        <v/>
      </c>
      <c r="B258" s="3"/>
      <c r="C258" s="4" t="str">
        <f>IF(B258="","",IFERROR(VLOOKUP(B258, PLANTA_BASE!A:W, 3, FALSE), ""))</f>
        <v/>
      </c>
      <c r="D258" s="2" t="str">
        <f>IF(B258="","",IFERROR(VLOOKUP(B258, PLANTA_BASE!A:W, 5, FALSE), "NO ENCONTRADO EN PLANTA"))</f>
        <v/>
      </c>
      <c r="E258" s="2" t="str">
        <f>IF(B258="","",IFERROR(VLOOKUP(B258, PLANTA_BASE!A:W, 6, FALSE), "NO ENCONTRADO EN PLANTA"))</f>
        <v/>
      </c>
      <c r="F258" s="4" t="str">
        <f>IF(B258="","",IFERROR(VLOOKUP(B258, PLANTA_BASE!A:W, 8, FALSE), "DOCENTE / FACILITADOR"))</f>
        <v/>
      </c>
      <c r="G258" s="4" t="str">
        <f>IF(B258="","",IFERROR(VLOOKUP(B258, PLANTA_BASE!A:W, 9, FALSE), "GENERAL"))</f>
        <v/>
      </c>
      <c r="H258" s="2" t="str">
        <f>IF(B258="","",IFERROR(VLOOKUP(B258, PLANTA_BASE!A:W, 17, FALSE), "GENERAL"))</f>
        <v/>
      </c>
    </row>
    <row r="259" spans="1:8" ht="20.100000000000001" customHeight="1" x14ac:dyDescent="0.25">
      <c r="A259" s="5" t="str">
        <f>IF(B259="","",IFERROR(VLOOKUP(B259, PLANTA_BASE!A:W, 2, FALSE), "NO ENCONTRADO EN PLANTA"))</f>
        <v/>
      </c>
      <c r="B259" s="6"/>
      <c r="C259" s="7" t="str">
        <f>IF(B259="","",IFERROR(VLOOKUP(B259, PLANTA_BASE!A:W, 3, FALSE), ""))</f>
        <v/>
      </c>
      <c r="D259" s="5" t="str">
        <f>IF(B259="","",IFERROR(VLOOKUP(B259, PLANTA_BASE!A:W, 5, FALSE), "NO ENCONTRADO EN PLANTA"))</f>
        <v/>
      </c>
      <c r="E259" s="5" t="str">
        <f>IF(B259="","",IFERROR(VLOOKUP(B259, PLANTA_BASE!A:W, 6, FALSE), "NO ENCONTRADO EN PLANTA"))</f>
        <v/>
      </c>
      <c r="F259" s="7" t="str">
        <f>IF(B259="","",IFERROR(VLOOKUP(B259, PLANTA_BASE!A:W, 8, FALSE), "DOCENTE / FACILITADOR"))</f>
        <v/>
      </c>
      <c r="G259" s="7" t="str">
        <f>IF(B259="","",IFERROR(VLOOKUP(B259, PLANTA_BASE!A:W, 9, FALSE), "GENERAL"))</f>
        <v/>
      </c>
      <c r="H259" s="5" t="str">
        <f>IF(B259="","",IFERROR(VLOOKUP(B259, PLANTA_BASE!A:W, 17, FALSE), "GENERAL"))</f>
        <v/>
      </c>
    </row>
    <row r="260" spans="1:8" ht="20.100000000000001" customHeight="1" x14ac:dyDescent="0.25">
      <c r="A260" s="2" t="str">
        <f>IF(B260="","",IFERROR(VLOOKUP(B260, PLANTA_BASE!A:W, 2, FALSE), "NO ENCONTRADO EN PLANTA"))</f>
        <v/>
      </c>
      <c r="B260" s="3"/>
      <c r="C260" s="4" t="str">
        <f>IF(B260="","",IFERROR(VLOOKUP(B260, PLANTA_BASE!A:W, 3, FALSE), ""))</f>
        <v/>
      </c>
      <c r="D260" s="2" t="str">
        <f>IF(B260="","",IFERROR(VLOOKUP(B260, PLANTA_BASE!A:W, 5, FALSE), "NO ENCONTRADO EN PLANTA"))</f>
        <v/>
      </c>
      <c r="E260" s="2" t="str">
        <f>IF(B260="","",IFERROR(VLOOKUP(B260, PLANTA_BASE!A:W, 6, FALSE), "NO ENCONTRADO EN PLANTA"))</f>
        <v/>
      </c>
      <c r="F260" s="4" t="str">
        <f>IF(B260="","",IFERROR(VLOOKUP(B260, PLANTA_BASE!A:W, 8, FALSE), "DOCENTE / FACILITADOR"))</f>
        <v/>
      </c>
      <c r="G260" s="4" t="str">
        <f>IF(B260="","",IFERROR(VLOOKUP(B260, PLANTA_BASE!A:W, 9, FALSE), "GENERAL"))</f>
        <v/>
      </c>
      <c r="H260" s="2" t="str">
        <f>IF(B260="","",IFERROR(VLOOKUP(B260, PLANTA_BASE!A:W, 17, FALSE), "GENERAL"))</f>
        <v/>
      </c>
    </row>
    <row r="261" spans="1:8" ht="20.100000000000001" customHeight="1" x14ac:dyDescent="0.25">
      <c r="A261" s="5" t="str">
        <f>IF(B261="","",IFERROR(VLOOKUP(B261, PLANTA_BASE!A:W, 2, FALSE), "NO ENCONTRADO EN PLANTA"))</f>
        <v/>
      </c>
      <c r="B261" s="6"/>
      <c r="C261" s="7" t="str">
        <f>IF(B261="","",IFERROR(VLOOKUP(B261, PLANTA_BASE!A:W, 3, FALSE), ""))</f>
        <v/>
      </c>
      <c r="D261" s="5" t="str">
        <f>IF(B261="","",IFERROR(VLOOKUP(B261, PLANTA_BASE!A:W, 5, FALSE), "NO ENCONTRADO EN PLANTA"))</f>
        <v/>
      </c>
      <c r="E261" s="5" t="str">
        <f>IF(B261="","",IFERROR(VLOOKUP(B261, PLANTA_BASE!A:W, 6, FALSE), "NO ENCONTRADO EN PLANTA"))</f>
        <v/>
      </c>
      <c r="F261" s="7" t="str">
        <f>IF(B261="","",IFERROR(VLOOKUP(B261, PLANTA_BASE!A:W, 8, FALSE), "DOCENTE / FACILITADOR"))</f>
        <v/>
      </c>
      <c r="G261" s="7" t="str">
        <f>IF(B261="","",IFERROR(VLOOKUP(B261, PLANTA_BASE!A:W, 9, FALSE), "GENERAL"))</f>
        <v/>
      </c>
      <c r="H261" s="5" t="str">
        <f>IF(B261="","",IFERROR(VLOOKUP(B261, PLANTA_BASE!A:W, 17, FALSE), "GENERAL"))</f>
        <v/>
      </c>
    </row>
    <row r="262" spans="1:8" ht="20.100000000000001" customHeight="1" x14ac:dyDescent="0.25">
      <c r="A262" s="2" t="str">
        <f>IF(B262="","",IFERROR(VLOOKUP(B262, PLANTA_BASE!A:W, 2, FALSE), "NO ENCONTRADO EN PLANTA"))</f>
        <v/>
      </c>
      <c r="B262" s="3"/>
      <c r="C262" s="4" t="str">
        <f>IF(B262="","",IFERROR(VLOOKUP(B262, PLANTA_BASE!A:W, 3, FALSE), ""))</f>
        <v/>
      </c>
      <c r="D262" s="2" t="str">
        <f>IF(B262="","",IFERROR(VLOOKUP(B262, PLANTA_BASE!A:W, 5, FALSE), "NO ENCONTRADO EN PLANTA"))</f>
        <v/>
      </c>
      <c r="E262" s="2" t="str">
        <f>IF(B262="","",IFERROR(VLOOKUP(B262, PLANTA_BASE!A:W, 6, FALSE), "NO ENCONTRADO EN PLANTA"))</f>
        <v/>
      </c>
      <c r="F262" s="4" t="str">
        <f>IF(B262="","",IFERROR(VLOOKUP(B262, PLANTA_BASE!A:W, 8, FALSE), "DOCENTE / FACILITADOR"))</f>
        <v/>
      </c>
      <c r="G262" s="4" t="str">
        <f>IF(B262="","",IFERROR(VLOOKUP(B262, PLANTA_BASE!A:W, 9, FALSE), "GENERAL"))</f>
        <v/>
      </c>
      <c r="H262" s="2" t="str">
        <f>IF(B262="","",IFERROR(VLOOKUP(B262, PLANTA_BASE!A:W, 17, FALSE), "GENERAL"))</f>
        <v/>
      </c>
    </row>
    <row r="263" spans="1:8" ht="20.100000000000001" customHeight="1" x14ac:dyDescent="0.25">
      <c r="A263" s="5" t="str">
        <f>IF(B263="","",IFERROR(VLOOKUP(B263, PLANTA_BASE!A:W, 2, FALSE), "NO ENCONTRADO EN PLANTA"))</f>
        <v/>
      </c>
      <c r="B263" s="6"/>
      <c r="C263" s="7" t="str">
        <f>IF(B263="","",IFERROR(VLOOKUP(B263, PLANTA_BASE!A:W, 3, FALSE), ""))</f>
        <v/>
      </c>
      <c r="D263" s="5" t="str">
        <f>IF(B263="","",IFERROR(VLOOKUP(B263, PLANTA_BASE!A:W, 5, FALSE), "NO ENCONTRADO EN PLANTA"))</f>
        <v/>
      </c>
      <c r="E263" s="5" t="str">
        <f>IF(B263="","",IFERROR(VLOOKUP(B263, PLANTA_BASE!A:W, 6, FALSE), "NO ENCONTRADO EN PLANTA"))</f>
        <v/>
      </c>
      <c r="F263" s="7" t="str">
        <f>IF(B263="","",IFERROR(VLOOKUP(B263, PLANTA_BASE!A:W, 8, FALSE), "DOCENTE / FACILITADOR"))</f>
        <v/>
      </c>
      <c r="G263" s="7" t="str">
        <f>IF(B263="","",IFERROR(VLOOKUP(B263, PLANTA_BASE!A:W, 9, FALSE), "GENERAL"))</f>
        <v/>
      </c>
      <c r="H263" s="5" t="str">
        <f>IF(B263="","",IFERROR(VLOOKUP(B263, PLANTA_BASE!A:W, 17, FALSE), "GENERAL"))</f>
        <v/>
      </c>
    </row>
    <row r="264" spans="1:8" ht="20.100000000000001" customHeight="1" x14ac:dyDescent="0.25">
      <c r="A264" s="2" t="str">
        <f>IF(B264="","",IFERROR(VLOOKUP(B264, PLANTA_BASE!A:W, 2, FALSE), "NO ENCONTRADO EN PLANTA"))</f>
        <v/>
      </c>
      <c r="B264" s="3"/>
      <c r="C264" s="4" t="str">
        <f>IF(B264="","",IFERROR(VLOOKUP(B264, PLANTA_BASE!A:W, 3, FALSE), ""))</f>
        <v/>
      </c>
      <c r="D264" s="2" t="str">
        <f>IF(B264="","",IFERROR(VLOOKUP(B264, PLANTA_BASE!A:W, 5, FALSE), "NO ENCONTRADO EN PLANTA"))</f>
        <v/>
      </c>
      <c r="E264" s="2" t="str">
        <f>IF(B264="","",IFERROR(VLOOKUP(B264, PLANTA_BASE!A:W, 6, FALSE), "NO ENCONTRADO EN PLANTA"))</f>
        <v/>
      </c>
      <c r="F264" s="4" t="str">
        <f>IF(B264="","",IFERROR(VLOOKUP(B264, PLANTA_BASE!A:W, 8, FALSE), "DOCENTE / FACILITADOR"))</f>
        <v/>
      </c>
      <c r="G264" s="4" t="str">
        <f>IF(B264="","",IFERROR(VLOOKUP(B264, PLANTA_BASE!A:W, 9, FALSE), "GENERAL"))</f>
        <v/>
      </c>
      <c r="H264" s="2" t="str">
        <f>IF(B264="","",IFERROR(VLOOKUP(B264, PLANTA_BASE!A:W, 17, FALSE), "GENERAL"))</f>
        <v/>
      </c>
    </row>
    <row r="265" spans="1:8" ht="20.100000000000001" customHeight="1" x14ac:dyDescent="0.25">
      <c r="A265" s="5" t="str">
        <f>IF(B265="","",IFERROR(VLOOKUP(B265, PLANTA_BASE!A:W, 2, FALSE), "NO ENCONTRADO EN PLANTA"))</f>
        <v/>
      </c>
      <c r="B265" s="6"/>
      <c r="C265" s="7" t="str">
        <f>IF(B265="","",IFERROR(VLOOKUP(B265, PLANTA_BASE!A:W, 3, FALSE), ""))</f>
        <v/>
      </c>
      <c r="D265" s="5" t="str">
        <f>IF(B265="","",IFERROR(VLOOKUP(B265, PLANTA_BASE!A:W, 5, FALSE), "NO ENCONTRADO EN PLANTA"))</f>
        <v/>
      </c>
      <c r="E265" s="5" t="str">
        <f>IF(B265="","",IFERROR(VLOOKUP(B265, PLANTA_BASE!A:W, 6, FALSE), "NO ENCONTRADO EN PLANTA"))</f>
        <v/>
      </c>
      <c r="F265" s="7" t="str">
        <f>IF(B265="","",IFERROR(VLOOKUP(B265, PLANTA_BASE!A:W, 8, FALSE), "DOCENTE / FACILITADOR"))</f>
        <v/>
      </c>
      <c r="G265" s="7" t="str">
        <f>IF(B265="","",IFERROR(VLOOKUP(B265, PLANTA_BASE!A:W, 9, FALSE), "GENERAL"))</f>
        <v/>
      </c>
      <c r="H265" s="5" t="str">
        <f>IF(B265="","",IFERROR(VLOOKUP(B265, PLANTA_BASE!A:W, 17, FALSE), "GENERAL"))</f>
        <v/>
      </c>
    </row>
    <row r="266" spans="1:8" ht="20.100000000000001" customHeight="1" x14ac:dyDescent="0.25">
      <c r="A266" s="2" t="str">
        <f>IF(B266="","",IFERROR(VLOOKUP(B266, PLANTA_BASE!A:W, 2, FALSE), "NO ENCONTRADO EN PLANTA"))</f>
        <v/>
      </c>
      <c r="B266" s="3"/>
      <c r="C266" s="4" t="str">
        <f>IF(B266="","",IFERROR(VLOOKUP(B266, PLANTA_BASE!A:W, 3, FALSE), ""))</f>
        <v/>
      </c>
      <c r="D266" s="2" t="str">
        <f>IF(B266="","",IFERROR(VLOOKUP(B266, PLANTA_BASE!A:W, 5, FALSE), "NO ENCONTRADO EN PLANTA"))</f>
        <v/>
      </c>
      <c r="E266" s="2" t="str">
        <f>IF(B266="","",IFERROR(VLOOKUP(B266, PLANTA_BASE!A:W, 6, FALSE), "NO ENCONTRADO EN PLANTA"))</f>
        <v/>
      </c>
      <c r="F266" s="4" t="str">
        <f>IF(B266="","",IFERROR(VLOOKUP(B266, PLANTA_BASE!A:W, 8, FALSE), "DOCENTE / FACILITADOR"))</f>
        <v/>
      </c>
      <c r="G266" s="4" t="str">
        <f>IF(B266="","",IFERROR(VLOOKUP(B266, PLANTA_BASE!A:W, 9, FALSE), "GENERAL"))</f>
        <v/>
      </c>
      <c r="H266" s="2" t="str">
        <f>IF(B266="","",IFERROR(VLOOKUP(B266, PLANTA_BASE!A:W, 17, FALSE), "GENERAL"))</f>
        <v/>
      </c>
    </row>
    <row r="267" spans="1:8" ht="20.100000000000001" customHeight="1" x14ac:dyDescent="0.25">
      <c r="A267" s="5" t="str">
        <f>IF(B267="","",IFERROR(VLOOKUP(B267, PLANTA_BASE!A:W, 2, FALSE), "NO ENCONTRADO EN PLANTA"))</f>
        <v/>
      </c>
      <c r="B267" s="6"/>
      <c r="C267" s="7" t="str">
        <f>IF(B267="","",IFERROR(VLOOKUP(B267, PLANTA_BASE!A:W, 3, FALSE), ""))</f>
        <v/>
      </c>
      <c r="D267" s="5" t="str">
        <f>IF(B267="","",IFERROR(VLOOKUP(B267, PLANTA_BASE!A:W, 5, FALSE), "NO ENCONTRADO EN PLANTA"))</f>
        <v/>
      </c>
      <c r="E267" s="5" t="str">
        <f>IF(B267="","",IFERROR(VLOOKUP(B267, PLANTA_BASE!A:W, 6, FALSE), "NO ENCONTRADO EN PLANTA"))</f>
        <v/>
      </c>
      <c r="F267" s="7" t="str">
        <f>IF(B267="","",IFERROR(VLOOKUP(B267, PLANTA_BASE!A:W, 8, FALSE), "DOCENTE / FACILITADOR"))</f>
        <v/>
      </c>
      <c r="G267" s="7" t="str">
        <f>IF(B267="","",IFERROR(VLOOKUP(B267, PLANTA_BASE!A:W, 9, FALSE), "GENERAL"))</f>
        <v/>
      </c>
      <c r="H267" s="5" t="str">
        <f>IF(B267="","",IFERROR(VLOOKUP(B267, PLANTA_BASE!A:W, 17, FALSE), "GENERAL"))</f>
        <v/>
      </c>
    </row>
    <row r="268" spans="1:8" ht="20.100000000000001" customHeight="1" x14ac:dyDescent="0.25">
      <c r="A268" s="2" t="str">
        <f>IF(B268="","",IFERROR(VLOOKUP(B268, PLANTA_BASE!A:W, 2, FALSE), "NO ENCONTRADO EN PLANTA"))</f>
        <v/>
      </c>
      <c r="B268" s="3"/>
      <c r="C268" s="4" t="str">
        <f>IF(B268="","",IFERROR(VLOOKUP(B268, PLANTA_BASE!A:W, 3, FALSE), ""))</f>
        <v/>
      </c>
      <c r="D268" s="2" t="str">
        <f>IF(B268="","",IFERROR(VLOOKUP(B268, PLANTA_BASE!A:W, 5, FALSE), "NO ENCONTRADO EN PLANTA"))</f>
        <v/>
      </c>
      <c r="E268" s="2" t="str">
        <f>IF(B268="","",IFERROR(VLOOKUP(B268, PLANTA_BASE!A:W, 6, FALSE), "NO ENCONTRADO EN PLANTA"))</f>
        <v/>
      </c>
      <c r="F268" s="4" t="str">
        <f>IF(B268="","",IFERROR(VLOOKUP(B268, PLANTA_BASE!A:W, 8, FALSE), "DOCENTE / FACILITADOR"))</f>
        <v/>
      </c>
      <c r="G268" s="4" t="str">
        <f>IF(B268="","",IFERROR(VLOOKUP(B268, PLANTA_BASE!A:W, 9, FALSE), "GENERAL"))</f>
        <v/>
      </c>
      <c r="H268" s="2" t="str">
        <f>IF(B268="","",IFERROR(VLOOKUP(B268, PLANTA_BASE!A:W, 17, FALSE), "GENERAL"))</f>
        <v/>
      </c>
    </row>
    <row r="269" spans="1:8" ht="20.100000000000001" customHeight="1" x14ac:dyDescent="0.25">
      <c r="A269" s="5" t="str">
        <f>IF(B269="","",IFERROR(VLOOKUP(B269, PLANTA_BASE!A:W, 2, FALSE), "NO ENCONTRADO EN PLANTA"))</f>
        <v/>
      </c>
      <c r="B269" s="6"/>
      <c r="C269" s="7" t="str">
        <f>IF(B269="","",IFERROR(VLOOKUP(B269, PLANTA_BASE!A:W, 3, FALSE), ""))</f>
        <v/>
      </c>
      <c r="D269" s="5" t="str">
        <f>IF(B269="","",IFERROR(VLOOKUP(B269, PLANTA_BASE!A:W, 5, FALSE), "NO ENCONTRADO EN PLANTA"))</f>
        <v/>
      </c>
      <c r="E269" s="5" t="str">
        <f>IF(B269="","",IFERROR(VLOOKUP(B269, PLANTA_BASE!A:W, 6, FALSE), "NO ENCONTRADO EN PLANTA"))</f>
        <v/>
      </c>
      <c r="F269" s="7" t="str">
        <f>IF(B269="","",IFERROR(VLOOKUP(B269, PLANTA_BASE!A:W, 8, FALSE), "DOCENTE / FACILITADOR"))</f>
        <v/>
      </c>
      <c r="G269" s="7" t="str">
        <f>IF(B269="","",IFERROR(VLOOKUP(B269, PLANTA_BASE!A:W, 9, FALSE), "GENERAL"))</f>
        <v/>
      </c>
      <c r="H269" s="5" t="str">
        <f>IF(B269="","",IFERROR(VLOOKUP(B269, PLANTA_BASE!A:W, 17, FALSE), "GENERAL"))</f>
        <v/>
      </c>
    </row>
    <row r="270" spans="1:8" ht="20.100000000000001" customHeight="1" x14ac:dyDescent="0.25">
      <c r="A270" s="2" t="str">
        <f>IF(B270="","",IFERROR(VLOOKUP(B270, PLANTA_BASE!A:W, 2, FALSE), "NO ENCONTRADO EN PLANTA"))</f>
        <v/>
      </c>
      <c r="B270" s="3"/>
      <c r="C270" s="4" t="str">
        <f>IF(B270="","",IFERROR(VLOOKUP(B270, PLANTA_BASE!A:W, 3, FALSE), ""))</f>
        <v/>
      </c>
      <c r="D270" s="2" t="str">
        <f>IF(B270="","",IFERROR(VLOOKUP(B270, PLANTA_BASE!A:W, 5, FALSE), "NO ENCONTRADO EN PLANTA"))</f>
        <v/>
      </c>
      <c r="E270" s="2" t="str">
        <f>IF(B270="","",IFERROR(VLOOKUP(B270, PLANTA_BASE!A:W, 6, FALSE), "NO ENCONTRADO EN PLANTA"))</f>
        <v/>
      </c>
      <c r="F270" s="4" t="str">
        <f>IF(B270="","",IFERROR(VLOOKUP(B270, PLANTA_BASE!A:W, 8, FALSE), "DOCENTE / FACILITADOR"))</f>
        <v/>
      </c>
      <c r="G270" s="4" t="str">
        <f>IF(B270="","",IFERROR(VLOOKUP(B270, PLANTA_BASE!A:W, 9, FALSE), "GENERAL"))</f>
        <v/>
      </c>
      <c r="H270" s="2" t="str">
        <f>IF(B270="","",IFERROR(VLOOKUP(B270, PLANTA_BASE!A:W, 17, FALSE), "GENERAL"))</f>
        <v/>
      </c>
    </row>
    <row r="271" spans="1:8" ht="20.100000000000001" customHeight="1" x14ac:dyDescent="0.25">
      <c r="A271" s="5" t="str">
        <f>IF(B271="","",IFERROR(VLOOKUP(B271, PLANTA_BASE!A:W, 2, FALSE), "NO ENCONTRADO EN PLANTA"))</f>
        <v/>
      </c>
      <c r="B271" s="6"/>
      <c r="C271" s="7" t="str">
        <f>IF(B271="","",IFERROR(VLOOKUP(B271, PLANTA_BASE!A:W, 3, FALSE), ""))</f>
        <v/>
      </c>
      <c r="D271" s="5" t="str">
        <f>IF(B271="","",IFERROR(VLOOKUP(B271, PLANTA_BASE!A:W, 5, FALSE), "NO ENCONTRADO EN PLANTA"))</f>
        <v/>
      </c>
      <c r="E271" s="5" t="str">
        <f>IF(B271="","",IFERROR(VLOOKUP(B271, PLANTA_BASE!A:W, 6, FALSE), "NO ENCONTRADO EN PLANTA"))</f>
        <v/>
      </c>
      <c r="F271" s="7" t="str">
        <f>IF(B271="","",IFERROR(VLOOKUP(B271, PLANTA_BASE!A:W, 8, FALSE), "DOCENTE / FACILITADOR"))</f>
        <v/>
      </c>
      <c r="G271" s="7" t="str">
        <f>IF(B271="","",IFERROR(VLOOKUP(B271, PLANTA_BASE!A:W, 9, FALSE), "GENERAL"))</f>
        <v/>
      </c>
      <c r="H271" s="5" t="str">
        <f>IF(B271="","",IFERROR(VLOOKUP(B271, PLANTA_BASE!A:W, 17, FALSE), "GENERAL"))</f>
        <v/>
      </c>
    </row>
    <row r="272" spans="1:8" ht="20.100000000000001" customHeight="1" x14ac:dyDescent="0.25">
      <c r="A272" s="2" t="str">
        <f>IF(B272="","",IFERROR(VLOOKUP(B272, PLANTA_BASE!A:W, 2, FALSE), "NO ENCONTRADO EN PLANTA"))</f>
        <v/>
      </c>
      <c r="B272" s="3"/>
      <c r="C272" s="4" t="str">
        <f>IF(B272="","",IFERROR(VLOOKUP(B272, PLANTA_BASE!A:W, 3, FALSE), ""))</f>
        <v/>
      </c>
      <c r="D272" s="2" t="str">
        <f>IF(B272="","",IFERROR(VLOOKUP(B272, PLANTA_BASE!A:W, 5, FALSE), "NO ENCONTRADO EN PLANTA"))</f>
        <v/>
      </c>
      <c r="E272" s="2" t="str">
        <f>IF(B272="","",IFERROR(VLOOKUP(B272, PLANTA_BASE!A:W, 6, FALSE), "NO ENCONTRADO EN PLANTA"))</f>
        <v/>
      </c>
      <c r="F272" s="4" t="str">
        <f>IF(B272="","",IFERROR(VLOOKUP(B272, PLANTA_BASE!A:W, 8, FALSE), "DOCENTE / FACILITADOR"))</f>
        <v/>
      </c>
      <c r="G272" s="4" t="str">
        <f>IF(B272="","",IFERROR(VLOOKUP(B272, PLANTA_BASE!A:W, 9, FALSE), "GENERAL"))</f>
        <v/>
      </c>
      <c r="H272" s="2" t="str">
        <f>IF(B272="","",IFERROR(VLOOKUP(B272, PLANTA_BASE!A:W, 17, FALSE), "GENERAL"))</f>
        <v/>
      </c>
    </row>
    <row r="273" spans="1:8" ht="20.100000000000001" customHeight="1" x14ac:dyDescent="0.25">
      <c r="A273" s="5" t="str">
        <f>IF(B273="","",IFERROR(VLOOKUP(B273, PLANTA_BASE!A:W, 2, FALSE), "NO ENCONTRADO EN PLANTA"))</f>
        <v/>
      </c>
      <c r="B273" s="6"/>
      <c r="C273" s="7" t="str">
        <f>IF(B273="","",IFERROR(VLOOKUP(B273, PLANTA_BASE!A:W, 3, FALSE), ""))</f>
        <v/>
      </c>
      <c r="D273" s="5" t="str">
        <f>IF(B273="","",IFERROR(VLOOKUP(B273, PLANTA_BASE!A:W, 5, FALSE), "NO ENCONTRADO EN PLANTA"))</f>
        <v/>
      </c>
      <c r="E273" s="5" t="str">
        <f>IF(B273="","",IFERROR(VLOOKUP(B273, PLANTA_BASE!A:W, 6, FALSE), "NO ENCONTRADO EN PLANTA"))</f>
        <v/>
      </c>
      <c r="F273" s="7" t="str">
        <f>IF(B273="","",IFERROR(VLOOKUP(B273, PLANTA_BASE!A:W, 8, FALSE), "DOCENTE / FACILITADOR"))</f>
        <v/>
      </c>
      <c r="G273" s="7" t="str">
        <f>IF(B273="","",IFERROR(VLOOKUP(B273, PLANTA_BASE!A:W, 9, FALSE), "GENERAL"))</f>
        <v/>
      </c>
      <c r="H273" s="5" t="str">
        <f>IF(B273="","",IFERROR(VLOOKUP(B273, PLANTA_BASE!A:W, 17, FALSE), "GENERAL"))</f>
        <v/>
      </c>
    </row>
    <row r="274" spans="1:8" ht="20.100000000000001" customHeight="1" x14ac:dyDescent="0.25">
      <c r="A274" s="2" t="str">
        <f>IF(B274="","",IFERROR(VLOOKUP(B274, PLANTA_BASE!A:W, 2, FALSE), "NO ENCONTRADO EN PLANTA"))</f>
        <v/>
      </c>
      <c r="B274" s="3"/>
      <c r="C274" s="4" t="str">
        <f>IF(B274="","",IFERROR(VLOOKUP(B274, PLANTA_BASE!A:W, 3, FALSE), ""))</f>
        <v/>
      </c>
      <c r="D274" s="2" t="str">
        <f>IF(B274="","",IFERROR(VLOOKUP(B274, PLANTA_BASE!A:W, 5, FALSE), "NO ENCONTRADO EN PLANTA"))</f>
        <v/>
      </c>
      <c r="E274" s="2" t="str">
        <f>IF(B274="","",IFERROR(VLOOKUP(B274, PLANTA_BASE!A:W, 6, FALSE), "NO ENCONTRADO EN PLANTA"))</f>
        <v/>
      </c>
      <c r="F274" s="4" t="str">
        <f>IF(B274="","",IFERROR(VLOOKUP(B274, PLANTA_BASE!A:W, 8, FALSE), "DOCENTE / FACILITADOR"))</f>
        <v/>
      </c>
      <c r="G274" s="4" t="str">
        <f>IF(B274="","",IFERROR(VLOOKUP(B274, PLANTA_BASE!A:W, 9, FALSE), "GENERAL"))</f>
        <v/>
      </c>
      <c r="H274" s="2" t="str">
        <f>IF(B274="","",IFERROR(VLOOKUP(B274, PLANTA_BASE!A:W, 17, FALSE), "GENERAL"))</f>
        <v/>
      </c>
    </row>
    <row r="275" spans="1:8" ht="20.100000000000001" customHeight="1" x14ac:dyDescent="0.25">
      <c r="A275" s="5" t="str">
        <f>IF(B275="","",IFERROR(VLOOKUP(B275, PLANTA_BASE!A:W, 2, FALSE), "NO ENCONTRADO EN PLANTA"))</f>
        <v/>
      </c>
      <c r="B275" s="6"/>
      <c r="C275" s="7" t="str">
        <f>IF(B275="","",IFERROR(VLOOKUP(B275, PLANTA_BASE!A:W, 3, FALSE), ""))</f>
        <v/>
      </c>
      <c r="D275" s="5" t="str">
        <f>IF(B275="","",IFERROR(VLOOKUP(B275, PLANTA_BASE!A:W, 5, FALSE), "NO ENCONTRADO EN PLANTA"))</f>
        <v/>
      </c>
      <c r="E275" s="5" t="str">
        <f>IF(B275="","",IFERROR(VLOOKUP(B275, PLANTA_BASE!A:W, 6, FALSE), "NO ENCONTRADO EN PLANTA"))</f>
        <v/>
      </c>
      <c r="F275" s="7" t="str">
        <f>IF(B275="","",IFERROR(VLOOKUP(B275, PLANTA_BASE!A:W, 8, FALSE), "DOCENTE / FACILITADOR"))</f>
        <v/>
      </c>
      <c r="G275" s="7" t="str">
        <f>IF(B275="","",IFERROR(VLOOKUP(B275, PLANTA_BASE!A:W, 9, FALSE), "GENERAL"))</f>
        <v/>
      </c>
      <c r="H275" s="5" t="str">
        <f>IF(B275="","",IFERROR(VLOOKUP(B275, PLANTA_BASE!A:W, 17, FALSE), "GENERAL"))</f>
        <v/>
      </c>
    </row>
    <row r="276" spans="1:8" ht="20.100000000000001" customHeight="1" x14ac:dyDescent="0.25">
      <c r="A276" s="2" t="str">
        <f>IF(B276="","",IFERROR(VLOOKUP(B276, PLANTA_BASE!A:W, 2, FALSE), "NO ENCONTRADO EN PLANTA"))</f>
        <v/>
      </c>
      <c r="B276" s="3"/>
      <c r="C276" s="4" t="str">
        <f>IF(B276="","",IFERROR(VLOOKUP(B276, PLANTA_BASE!A:W, 3, FALSE), ""))</f>
        <v/>
      </c>
      <c r="D276" s="2" t="str">
        <f>IF(B276="","",IFERROR(VLOOKUP(B276, PLANTA_BASE!A:W, 5, FALSE), "NO ENCONTRADO EN PLANTA"))</f>
        <v/>
      </c>
      <c r="E276" s="2" t="str">
        <f>IF(B276="","",IFERROR(VLOOKUP(B276, PLANTA_BASE!A:W, 6, FALSE), "NO ENCONTRADO EN PLANTA"))</f>
        <v/>
      </c>
      <c r="F276" s="4" t="str">
        <f>IF(B276="","",IFERROR(VLOOKUP(B276, PLANTA_BASE!A:W, 8, FALSE), "DOCENTE / FACILITADOR"))</f>
        <v/>
      </c>
      <c r="G276" s="4" t="str">
        <f>IF(B276="","",IFERROR(VLOOKUP(B276, PLANTA_BASE!A:W, 9, FALSE), "GENERAL"))</f>
        <v/>
      </c>
      <c r="H276" s="2" t="str">
        <f>IF(B276="","",IFERROR(VLOOKUP(B276, PLANTA_BASE!A:W, 17, FALSE), "GENERAL"))</f>
        <v/>
      </c>
    </row>
    <row r="277" spans="1:8" ht="20.100000000000001" customHeight="1" x14ac:dyDescent="0.25">
      <c r="A277" s="5" t="str">
        <f>IF(B277="","",IFERROR(VLOOKUP(B277, PLANTA_BASE!A:W, 2, FALSE), "NO ENCONTRADO EN PLANTA"))</f>
        <v/>
      </c>
      <c r="B277" s="6"/>
      <c r="C277" s="7" t="str">
        <f>IF(B277="","",IFERROR(VLOOKUP(B277, PLANTA_BASE!A:W, 3, FALSE), ""))</f>
        <v/>
      </c>
      <c r="D277" s="5" t="str">
        <f>IF(B277="","",IFERROR(VLOOKUP(B277, PLANTA_BASE!A:W, 5, FALSE), "NO ENCONTRADO EN PLANTA"))</f>
        <v/>
      </c>
      <c r="E277" s="5" t="str">
        <f>IF(B277="","",IFERROR(VLOOKUP(B277, PLANTA_BASE!A:W, 6, FALSE), "NO ENCONTRADO EN PLANTA"))</f>
        <v/>
      </c>
      <c r="F277" s="7" t="str">
        <f>IF(B277="","",IFERROR(VLOOKUP(B277, PLANTA_BASE!A:W, 8, FALSE), "DOCENTE / FACILITADOR"))</f>
        <v/>
      </c>
      <c r="G277" s="7" t="str">
        <f>IF(B277="","",IFERROR(VLOOKUP(B277, PLANTA_BASE!A:W, 9, FALSE), "GENERAL"))</f>
        <v/>
      </c>
      <c r="H277" s="5" t="str">
        <f>IF(B277="","",IFERROR(VLOOKUP(B277, PLANTA_BASE!A:W, 17, FALSE), "GENERAL"))</f>
        <v/>
      </c>
    </row>
    <row r="278" spans="1:8" ht="20.100000000000001" customHeight="1" x14ac:dyDescent="0.25">
      <c r="A278" s="2" t="str">
        <f>IF(B278="","",IFERROR(VLOOKUP(B278, PLANTA_BASE!A:W, 2, FALSE), "NO ENCONTRADO EN PLANTA"))</f>
        <v/>
      </c>
      <c r="B278" s="3"/>
      <c r="C278" s="4" t="str">
        <f>IF(B278="","",IFERROR(VLOOKUP(B278, PLANTA_BASE!A:W, 3, FALSE), ""))</f>
        <v/>
      </c>
      <c r="D278" s="2" t="str">
        <f>IF(B278="","",IFERROR(VLOOKUP(B278, PLANTA_BASE!A:W, 5, FALSE), "NO ENCONTRADO EN PLANTA"))</f>
        <v/>
      </c>
      <c r="E278" s="2" t="str">
        <f>IF(B278="","",IFERROR(VLOOKUP(B278, PLANTA_BASE!A:W, 6, FALSE), "NO ENCONTRADO EN PLANTA"))</f>
        <v/>
      </c>
      <c r="F278" s="4" t="str">
        <f>IF(B278="","",IFERROR(VLOOKUP(B278, PLANTA_BASE!A:W, 8, FALSE), "DOCENTE / FACILITADOR"))</f>
        <v/>
      </c>
      <c r="G278" s="4" t="str">
        <f>IF(B278="","",IFERROR(VLOOKUP(B278, PLANTA_BASE!A:W, 9, FALSE), "GENERAL"))</f>
        <v/>
      </c>
      <c r="H278" s="2" t="str">
        <f>IF(B278="","",IFERROR(VLOOKUP(B278, PLANTA_BASE!A:W, 17, FALSE), "GENERAL"))</f>
        <v/>
      </c>
    </row>
    <row r="279" spans="1:8" ht="20.100000000000001" customHeight="1" x14ac:dyDescent="0.25">
      <c r="A279" s="5" t="str">
        <f>IF(B279="","",IFERROR(VLOOKUP(B279, PLANTA_BASE!A:W, 2, FALSE), "NO ENCONTRADO EN PLANTA"))</f>
        <v/>
      </c>
      <c r="B279" s="6"/>
      <c r="C279" s="7" t="str">
        <f>IF(B279="","",IFERROR(VLOOKUP(B279, PLANTA_BASE!A:W, 3, FALSE), ""))</f>
        <v/>
      </c>
      <c r="D279" s="5" t="str">
        <f>IF(B279="","",IFERROR(VLOOKUP(B279, PLANTA_BASE!A:W, 5, FALSE), "NO ENCONTRADO EN PLANTA"))</f>
        <v/>
      </c>
      <c r="E279" s="5" t="str">
        <f>IF(B279="","",IFERROR(VLOOKUP(B279, PLANTA_BASE!A:W, 6, FALSE), "NO ENCONTRADO EN PLANTA"))</f>
        <v/>
      </c>
      <c r="F279" s="7" t="str">
        <f>IF(B279="","",IFERROR(VLOOKUP(B279, PLANTA_BASE!A:W, 8, FALSE), "DOCENTE / FACILITADOR"))</f>
        <v/>
      </c>
      <c r="G279" s="7" t="str">
        <f>IF(B279="","",IFERROR(VLOOKUP(B279, PLANTA_BASE!A:W, 9, FALSE), "GENERAL"))</f>
        <v/>
      </c>
      <c r="H279" s="5" t="str">
        <f>IF(B279="","",IFERROR(VLOOKUP(B279, PLANTA_BASE!A:W, 17, FALSE), "GENERAL"))</f>
        <v/>
      </c>
    </row>
    <row r="280" spans="1:8" ht="20.100000000000001" customHeight="1" x14ac:dyDescent="0.25">
      <c r="A280" s="2" t="str">
        <f>IF(B280="","",IFERROR(VLOOKUP(B280, PLANTA_BASE!A:W, 2, FALSE), "NO ENCONTRADO EN PLANTA"))</f>
        <v/>
      </c>
      <c r="B280" s="3"/>
      <c r="C280" s="4" t="str">
        <f>IF(B280="","",IFERROR(VLOOKUP(B280, PLANTA_BASE!A:W, 3, FALSE), ""))</f>
        <v/>
      </c>
      <c r="D280" s="2" t="str">
        <f>IF(B280="","",IFERROR(VLOOKUP(B280, PLANTA_BASE!A:W, 5, FALSE), "NO ENCONTRADO EN PLANTA"))</f>
        <v/>
      </c>
      <c r="E280" s="2" t="str">
        <f>IF(B280="","",IFERROR(VLOOKUP(B280, PLANTA_BASE!A:W, 6, FALSE), "NO ENCONTRADO EN PLANTA"))</f>
        <v/>
      </c>
      <c r="F280" s="4" t="str">
        <f>IF(B280="","",IFERROR(VLOOKUP(B280, PLANTA_BASE!A:W, 8, FALSE), "DOCENTE / FACILITADOR"))</f>
        <v/>
      </c>
      <c r="G280" s="4" t="str">
        <f>IF(B280="","",IFERROR(VLOOKUP(B280, PLANTA_BASE!A:W, 9, FALSE), "GENERAL"))</f>
        <v/>
      </c>
      <c r="H280" s="2" t="str">
        <f>IF(B280="","",IFERROR(VLOOKUP(B280, PLANTA_BASE!A:W, 17, FALSE), "GENERAL"))</f>
        <v/>
      </c>
    </row>
    <row r="281" spans="1:8" ht="20.100000000000001" customHeight="1" x14ac:dyDescent="0.25">
      <c r="A281" s="5" t="str">
        <f>IF(B281="","",IFERROR(VLOOKUP(B281, PLANTA_BASE!A:W, 2, FALSE), "NO ENCONTRADO EN PLANTA"))</f>
        <v/>
      </c>
      <c r="B281" s="6"/>
      <c r="C281" s="7" t="str">
        <f>IF(B281="","",IFERROR(VLOOKUP(B281, PLANTA_BASE!A:W, 3, FALSE), ""))</f>
        <v/>
      </c>
      <c r="D281" s="5" t="str">
        <f>IF(B281="","",IFERROR(VLOOKUP(B281, PLANTA_BASE!A:W, 5, FALSE), "NO ENCONTRADO EN PLANTA"))</f>
        <v/>
      </c>
      <c r="E281" s="5" t="str">
        <f>IF(B281="","",IFERROR(VLOOKUP(B281, PLANTA_BASE!A:W, 6, FALSE), "NO ENCONTRADO EN PLANTA"))</f>
        <v/>
      </c>
      <c r="F281" s="7" t="str">
        <f>IF(B281="","",IFERROR(VLOOKUP(B281, PLANTA_BASE!A:W, 8, FALSE), "DOCENTE / FACILITADOR"))</f>
        <v/>
      </c>
      <c r="G281" s="7" t="str">
        <f>IF(B281="","",IFERROR(VLOOKUP(B281, PLANTA_BASE!A:W, 9, FALSE), "GENERAL"))</f>
        <v/>
      </c>
      <c r="H281" s="5" t="str">
        <f>IF(B281="","",IFERROR(VLOOKUP(B281, PLANTA_BASE!A:W, 17, FALSE), "GENERAL"))</f>
        <v/>
      </c>
    </row>
    <row r="282" spans="1:8" ht="20.100000000000001" customHeight="1" x14ac:dyDescent="0.25">
      <c r="A282" s="2" t="str">
        <f>IF(B282="","",IFERROR(VLOOKUP(B282, PLANTA_BASE!A:W, 2, FALSE), "NO ENCONTRADO EN PLANTA"))</f>
        <v/>
      </c>
      <c r="B282" s="3"/>
      <c r="C282" s="4" t="str">
        <f>IF(B282="","",IFERROR(VLOOKUP(B282, PLANTA_BASE!A:W, 3, FALSE), ""))</f>
        <v/>
      </c>
      <c r="D282" s="2" t="str">
        <f>IF(B282="","",IFERROR(VLOOKUP(B282, PLANTA_BASE!A:W, 5, FALSE), "NO ENCONTRADO EN PLANTA"))</f>
        <v/>
      </c>
      <c r="E282" s="2" t="str">
        <f>IF(B282="","",IFERROR(VLOOKUP(B282, PLANTA_BASE!A:W, 6, FALSE), "NO ENCONTRADO EN PLANTA"))</f>
        <v/>
      </c>
      <c r="F282" s="4" t="str">
        <f>IF(B282="","",IFERROR(VLOOKUP(B282, PLANTA_BASE!A:W, 8, FALSE), "DOCENTE / FACILITADOR"))</f>
        <v/>
      </c>
      <c r="G282" s="4" t="str">
        <f>IF(B282="","",IFERROR(VLOOKUP(B282, PLANTA_BASE!A:W, 9, FALSE), "GENERAL"))</f>
        <v/>
      </c>
      <c r="H282" s="2" t="str">
        <f>IF(B282="","",IFERROR(VLOOKUP(B282, PLANTA_BASE!A:W, 17, FALSE), "GENERAL"))</f>
        <v/>
      </c>
    </row>
    <row r="283" spans="1:8" ht="20.100000000000001" customHeight="1" x14ac:dyDescent="0.25">
      <c r="A283" s="5" t="str">
        <f>IF(B283="","",IFERROR(VLOOKUP(B283, PLANTA_BASE!A:W, 2, FALSE), "NO ENCONTRADO EN PLANTA"))</f>
        <v/>
      </c>
      <c r="B283" s="6"/>
      <c r="C283" s="7" t="str">
        <f>IF(B283="","",IFERROR(VLOOKUP(B283, PLANTA_BASE!A:W, 3, FALSE), ""))</f>
        <v/>
      </c>
      <c r="D283" s="5" t="str">
        <f>IF(B283="","",IFERROR(VLOOKUP(B283, PLANTA_BASE!A:W, 5, FALSE), "NO ENCONTRADO EN PLANTA"))</f>
        <v/>
      </c>
      <c r="E283" s="5" t="str">
        <f>IF(B283="","",IFERROR(VLOOKUP(B283, PLANTA_BASE!A:W, 6, FALSE), "NO ENCONTRADO EN PLANTA"))</f>
        <v/>
      </c>
      <c r="F283" s="7" t="str">
        <f>IF(B283="","",IFERROR(VLOOKUP(B283, PLANTA_BASE!A:W, 8, FALSE), "DOCENTE / FACILITADOR"))</f>
        <v/>
      </c>
      <c r="G283" s="7" t="str">
        <f>IF(B283="","",IFERROR(VLOOKUP(B283, PLANTA_BASE!A:W, 9, FALSE), "GENERAL"))</f>
        <v/>
      </c>
      <c r="H283" s="5" t="str">
        <f>IF(B283="","",IFERROR(VLOOKUP(B283, PLANTA_BASE!A:W, 17, FALSE), "GENERAL"))</f>
        <v/>
      </c>
    </row>
    <row r="284" spans="1:8" ht="20.100000000000001" customHeight="1" x14ac:dyDescent="0.25">
      <c r="A284" s="2" t="str">
        <f>IF(B284="","",IFERROR(VLOOKUP(B284, PLANTA_BASE!A:W, 2, FALSE), "NO ENCONTRADO EN PLANTA"))</f>
        <v/>
      </c>
      <c r="B284" s="3"/>
      <c r="C284" s="4" t="str">
        <f>IF(B284="","",IFERROR(VLOOKUP(B284, PLANTA_BASE!A:W, 3, FALSE), ""))</f>
        <v/>
      </c>
      <c r="D284" s="2" t="str">
        <f>IF(B284="","",IFERROR(VLOOKUP(B284, PLANTA_BASE!A:W, 5, FALSE), "NO ENCONTRADO EN PLANTA"))</f>
        <v/>
      </c>
      <c r="E284" s="2" t="str">
        <f>IF(B284="","",IFERROR(VLOOKUP(B284, PLANTA_BASE!A:W, 6, FALSE), "NO ENCONTRADO EN PLANTA"))</f>
        <v/>
      </c>
      <c r="F284" s="4" t="str">
        <f>IF(B284="","",IFERROR(VLOOKUP(B284, PLANTA_BASE!A:W, 8, FALSE), "DOCENTE / FACILITADOR"))</f>
        <v/>
      </c>
      <c r="G284" s="4" t="str">
        <f>IF(B284="","",IFERROR(VLOOKUP(B284, PLANTA_BASE!A:W, 9, FALSE), "GENERAL"))</f>
        <v/>
      </c>
      <c r="H284" s="2" t="str">
        <f>IF(B284="","",IFERROR(VLOOKUP(B284, PLANTA_BASE!A:W, 17, FALSE), "GENERAL"))</f>
        <v/>
      </c>
    </row>
    <row r="285" spans="1:8" ht="20.100000000000001" customHeight="1" x14ac:dyDescent="0.25">
      <c r="A285" s="5" t="str">
        <f>IF(B285="","",IFERROR(VLOOKUP(B285, PLANTA_BASE!A:W, 2, FALSE), "NO ENCONTRADO EN PLANTA"))</f>
        <v/>
      </c>
      <c r="B285" s="6"/>
      <c r="C285" s="7" t="str">
        <f>IF(B285="","",IFERROR(VLOOKUP(B285, PLANTA_BASE!A:W, 3, FALSE), ""))</f>
        <v/>
      </c>
      <c r="D285" s="5" t="str">
        <f>IF(B285="","",IFERROR(VLOOKUP(B285, PLANTA_BASE!A:W, 5, FALSE), "NO ENCONTRADO EN PLANTA"))</f>
        <v/>
      </c>
      <c r="E285" s="5" t="str">
        <f>IF(B285="","",IFERROR(VLOOKUP(B285, PLANTA_BASE!A:W, 6, FALSE), "NO ENCONTRADO EN PLANTA"))</f>
        <v/>
      </c>
      <c r="F285" s="7" t="str">
        <f>IF(B285="","",IFERROR(VLOOKUP(B285, PLANTA_BASE!A:W, 8, FALSE), "DOCENTE / FACILITADOR"))</f>
        <v/>
      </c>
      <c r="G285" s="7" t="str">
        <f>IF(B285="","",IFERROR(VLOOKUP(B285, PLANTA_BASE!A:W, 9, FALSE), "GENERAL"))</f>
        <v/>
      </c>
      <c r="H285" s="5" t="str">
        <f>IF(B285="","",IFERROR(VLOOKUP(B285, PLANTA_BASE!A:W, 17, FALSE), "GENERAL"))</f>
        <v/>
      </c>
    </row>
    <row r="286" spans="1:8" ht="20.100000000000001" customHeight="1" x14ac:dyDescent="0.25">
      <c r="A286" s="2" t="str">
        <f>IF(B286="","",IFERROR(VLOOKUP(B286, PLANTA_BASE!A:W, 2, FALSE), "NO ENCONTRADO EN PLANTA"))</f>
        <v/>
      </c>
      <c r="B286" s="3"/>
      <c r="C286" s="4" t="str">
        <f>IF(B286="","",IFERROR(VLOOKUP(B286, PLANTA_BASE!A:W, 3, FALSE), ""))</f>
        <v/>
      </c>
      <c r="D286" s="2" t="str">
        <f>IF(B286="","",IFERROR(VLOOKUP(B286, PLANTA_BASE!A:W, 5, FALSE), "NO ENCONTRADO EN PLANTA"))</f>
        <v/>
      </c>
      <c r="E286" s="2" t="str">
        <f>IF(B286="","",IFERROR(VLOOKUP(B286, PLANTA_BASE!A:W, 6, FALSE), "NO ENCONTRADO EN PLANTA"))</f>
        <v/>
      </c>
      <c r="F286" s="4" t="str">
        <f>IF(B286="","",IFERROR(VLOOKUP(B286, PLANTA_BASE!A:W, 8, FALSE), "DOCENTE / FACILITADOR"))</f>
        <v/>
      </c>
      <c r="G286" s="4" t="str">
        <f>IF(B286="","",IFERROR(VLOOKUP(B286, PLANTA_BASE!A:W, 9, FALSE), "GENERAL"))</f>
        <v/>
      </c>
      <c r="H286" s="2" t="str">
        <f>IF(B286="","",IFERROR(VLOOKUP(B286, PLANTA_BASE!A:W, 17, FALSE), "GENERAL"))</f>
        <v/>
      </c>
    </row>
    <row r="287" spans="1:8" ht="20.100000000000001" customHeight="1" x14ac:dyDescent="0.25">
      <c r="A287" s="5" t="str">
        <f>IF(B287="","",IFERROR(VLOOKUP(B287, PLANTA_BASE!A:W, 2, FALSE), "NO ENCONTRADO EN PLANTA"))</f>
        <v/>
      </c>
      <c r="B287" s="6"/>
      <c r="C287" s="7" t="str">
        <f>IF(B287="","",IFERROR(VLOOKUP(B287, PLANTA_BASE!A:W, 3, FALSE), ""))</f>
        <v/>
      </c>
      <c r="D287" s="5" t="str">
        <f>IF(B287="","",IFERROR(VLOOKUP(B287, PLANTA_BASE!A:W, 5, FALSE), "NO ENCONTRADO EN PLANTA"))</f>
        <v/>
      </c>
      <c r="E287" s="5" t="str">
        <f>IF(B287="","",IFERROR(VLOOKUP(B287, PLANTA_BASE!A:W, 6, FALSE), "NO ENCONTRADO EN PLANTA"))</f>
        <v/>
      </c>
      <c r="F287" s="7" t="str">
        <f>IF(B287="","",IFERROR(VLOOKUP(B287, PLANTA_BASE!A:W, 8, FALSE), "DOCENTE / FACILITADOR"))</f>
        <v/>
      </c>
      <c r="G287" s="7" t="str">
        <f>IF(B287="","",IFERROR(VLOOKUP(B287, PLANTA_BASE!A:W, 9, FALSE), "GENERAL"))</f>
        <v/>
      </c>
      <c r="H287" s="5" t="str">
        <f>IF(B287="","",IFERROR(VLOOKUP(B287, PLANTA_BASE!A:W, 17, FALSE), "GENERAL"))</f>
        <v/>
      </c>
    </row>
    <row r="288" spans="1:8" ht="20.100000000000001" customHeight="1" x14ac:dyDescent="0.25">
      <c r="A288" s="2" t="str">
        <f>IF(B288="","",IFERROR(VLOOKUP(B288, PLANTA_BASE!A:W, 2, FALSE), "NO ENCONTRADO EN PLANTA"))</f>
        <v/>
      </c>
      <c r="B288" s="3"/>
      <c r="C288" s="4" t="str">
        <f>IF(B288="","",IFERROR(VLOOKUP(B288, PLANTA_BASE!A:W, 3, FALSE), ""))</f>
        <v/>
      </c>
      <c r="D288" s="2" t="str">
        <f>IF(B288="","",IFERROR(VLOOKUP(B288, PLANTA_BASE!A:W, 5, FALSE), "NO ENCONTRADO EN PLANTA"))</f>
        <v/>
      </c>
      <c r="E288" s="2" t="str">
        <f>IF(B288="","",IFERROR(VLOOKUP(B288, PLANTA_BASE!A:W, 6, FALSE), "NO ENCONTRADO EN PLANTA"))</f>
        <v/>
      </c>
      <c r="F288" s="4" t="str">
        <f>IF(B288="","",IFERROR(VLOOKUP(B288, PLANTA_BASE!A:W, 8, FALSE), "DOCENTE / FACILITADOR"))</f>
        <v/>
      </c>
      <c r="G288" s="4" t="str">
        <f>IF(B288="","",IFERROR(VLOOKUP(B288, PLANTA_BASE!A:W, 9, FALSE), "GENERAL"))</f>
        <v/>
      </c>
      <c r="H288" s="2" t="str">
        <f>IF(B288="","",IFERROR(VLOOKUP(B288, PLANTA_BASE!A:W, 17, FALSE), "GENERAL"))</f>
        <v/>
      </c>
    </row>
    <row r="289" spans="1:8" ht="20.100000000000001" customHeight="1" x14ac:dyDescent="0.25">
      <c r="A289" s="5" t="str">
        <f>IF(B289="","",IFERROR(VLOOKUP(B289, PLANTA_BASE!A:W, 2, FALSE), "NO ENCONTRADO EN PLANTA"))</f>
        <v/>
      </c>
      <c r="B289" s="6"/>
      <c r="C289" s="7" t="str">
        <f>IF(B289="","",IFERROR(VLOOKUP(B289, PLANTA_BASE!A:W, 3, FALSE), ""))</f>
        <v/>
      </c>
      <c r="D289" s="5" t="str">
        <f>IF(B289="","",IFERROR(VLOOKUP(B289, PLANTA_BASE!A:W, 5, FALSE), "NO ENCONTRADO EN PLANTA"))</f>
        <v/>
      </c>
      <c r="E289" s="5" t="str">
        <f>IF(B289="","",IFERROR(VLOOKUP(B289, PLANTA_BASE!A:W, 6, FALSE), "NO ENCONTRADO EN PLANTA"))</f>
        <v/>
      </c>
      <c r="F289" s="7" t="str">
        <f>IF(B289="","",IFERROR(VLOOKUP(B289, PLANTA_BASE!A:W, 8, FALSE), "DOCENTE / FACILITADOR"))</f>
        <v/>
      </c>
      <c r="G289" s="7" t="str">
        <f>IF(B289="","",IFERROR(VLOOKUP(B289, PLANTA_BASE!A:W, 9, FALSE), "GENERAL"))</f>
        <v/>
      </c>
      <c r="H289" s="5" t="str">
        <f>IF(B289="","",IFERROR(VLOOKUP(B289, PLANTA_BASE!A:W, 17, FALSE), "GENERAL"))</f>
        <v/>
      </c>
    </row>
    <row r="290" spans="1:8" ht="20.100000000000001" customHeight="1" x14ac:dyDescent="0.25">
      <c r="A290" s="2" t="str">
        <f>IF(B290="","",IFERROR(VLOOKUP(B290, PLANTA_BASE!A:W, 2, FALSE), "NO ENCONTRADO EN PLANTA"))</f>
        <v/>
      </c>
      <c r="B290" s="3"/>
      <c r="C290" s="4" t="str">
        <f>IF(B290="","",IFERROR(VLOOKUP(B290, PLANTA_BASE!A:W, 3, FALSE), ""))</f>
        <v/>
      </c>
      <c r="D290" s="2" t="str">
        <f>IF(B290="","",IFERROR(VLOOKUP(B290, PLANTA_BASE!A:W, 5, FALSE), "NO ENCONTRADO EN PLANTA"))</f>
        <v/>
      </c>
      <c r="E290" s="2" t="str">
        <f>IF(B290="","",IFERROR(VLOOKUP(B290, PLANTA_BASE!A:W, 6, FALSE), "NO ENCONTRADO EN PLANTA"))</f>
        <v/>
      </c>
      <c r="F290" s="4" t="str">
        <f>IF(B290="","",IFERROR(VLOOKUP(B290, PLANTA_BASE!A:W, 8, FALSE), "DOCENTE / FACILITADOR"))</f>
        <v/>
      </c>
      <c r="G290" s="4" t="str">
        <f>IF(B290="","",IFERROR(VLOOKUP(B290, PLANTA_BASE!A:W, 9, FALSE), "GENERAL"))</f>
        <v/>
      </c>
      <c r="H290" s="2" t="str">
        <f>IF(B290="","",IFERROR(VLOOKUP(B290, PLANTA_BASE!A:W, 17, FALSE), "GENERAL"))</f>
        <v/>
      </c>
    </row>
    <row r="291" spans="1:8" ht="20.100000000000001" customHeight="1" x14ac:dyDescent="0.25">
      <c r="A291" s="5" t="str">
        <f>IF(B291="","",IFERROR(VLOOKUP(B291, PLANTA_BASE!A:W, 2, FALSE), "NO ENCONTRADO EN PLANTA"))</f>
        <v/>
      </c>
      <c r="B291" s="6"/>
      <c r="C291" s="7" t="str">
        <f>IF(B291="","",IFERROR(VLOOKUP(B291, PLANTA_BASE!A:W, 3, FALSE), ""))</f>
        <v/>
      </c>
      <c r="D291" s="5" t="str">
        <f>IF(B291="","",IFERROR(VLOOKUP(B291, PLANTA_BASE!A:W, 5, FALSE), "NO ENCONTRADO EN PLANTA"))</f>
        <v/>
      </c>
      <c r="E291" s="5" t="str">
        <f>IF(B291="","",IFERROR(VLOOKUP(B291, PLANTA_BASE!A:W, 6, FALSE), "NO ENCONTRADO EN PLANTA"))</f>
        <v/>
      </c>
      <c r="F291" s="7" t="str">
        <f>IF(B291="","",IFERROR(VLOOKUP(B291, PLANTA_BASE!A:W, 8, FALSE), "DOCENTE / FACILITADOR"))</f>
        <v/>
      </c>
      <c r="G291" s="7" t="str">
        <f>IF(B291="","",IFERROR(VLOOKUP(B291, PLANTA_BASE!A:W, 9, FALSE), "GENERAL"))</f>
        <v/>
      </c>
      <c r="H291" s="5" t="str">
        <f>IF(B291="","",IFERROR(VLOOKUP(B291, PLANTA_BASE!A:W, 17, FALSE), "GENERAL"))</f>
        <v/>
      </c>
    </row>
    <row r="292" spans="1:8" ht="20.100000000000001" customHeight="1" x14ac:dyDescent="0.25">
      <c r="A292" s="2" t="str">
        <f>IF(B292="","",IFERROR(VLOOKUP(B292, PLANTA_BASE!A:W, 2, FALSE), "NO ENCONTRADO EN PLANTA"))</f>
        <v/>
      </c>
      <c r="B292" s="3"/>
      <c r="C292" s="4" t="str">
        <f>IF(B292="","",IFERROR(VLOOKUP(B292, PLANTA_BASE!A:W, 3, FALSE), ""))</f>
        <v/>
      </c>
      <c r="D292" s="2" t="str">
        <f>IF(B292="","",IFERROR(VLOOKUP(B292, PLANTA_BASE!A:W, 5, FALSE), "NO ENCONTRADO EN PLANTA"))</f>
        <v/>
      </c>
      <c r="E292" s="2" t="str">
        <f>IF(B292="","",IFERROR(VLOOKUP(B292, PLANTA_BASE!A:W, 6, FALSE), "NO ENCONTRADO EN PLANTA"))</f>
        <v/>
      </c>
      <c r="F292" s="4" t="str">
        <f>IF(B292="","",IFERROR(VLOOKUP(B292, PLANTA_BASE!A:W, 8, FALSE), "DOCENTE / FACILITADOR"))</f>
        <v/>
      </c>
      <c r="G292" s="4" t="str">
        <f>IF(B292="","",IFERROR(VLOOKUP(B292, PLANTA_BASE!A:W, 9, FALSE), "GENERAL"))</f>
        <v/>
      </c>
      <c r="H292" s="2" t="str">
        <f>IF(B292="","",IFERROR(VLOOKUP(B292, PLANTA_BASE!A:W, 17, FALSE), "GENERAL"))</f>
        <v/>
      </c>
    </row>
    <row r="293" spans="1:8" ht="20.100000000000001" customHeight="1" x14ac:dyDescent="0.25">
      <c r="A293" s="5" t="str">
        <f>IF(B293="","",IFERROR(VLOOKUP(B293, PLANTA_BASE!A:W, 2, FALSE), "NO ENCONTRADO EN PLANTA"))</f>
        <v/>
      </c>
      <c r="B293" s="6"/>
      <c r="C293" s="7" t="str">
        <f>IF(B293="","",IFERROR(VLOOKUP(B293, PLANTA_BASE!A:W, 3, FALSE), ""))</f>
        <v/>
      </c>
      <c r="D293" s="5" t="str">
        <f>IF(B293="","",IFERROR(VLOOKUP(B293, PLANTA_BASE!A:W, 5, FALSE), "NO ENCONTRADO EN PLANTA"))</f>
        <v/>
      </c>
      <c r="E293" s="5" t="str">
        <f>IF(B293="","",IFERROR(VLOOKUP(B293, PLANTA_BASE!A:W, 6, FALSE), "NO ENCONTRADO EN PLANTA"))</f>
        <v/>
      </c>
      <c r="F293" s="7" t="str">
        <f>IF(B293="","",IFERROR(VLOOKUP(B293, PLANTA_BASE!A:W, 8, FALSE), "DOCENTE / FACILITADOR"))</f>
        <v/>
      </c>
      <c r="G293" s="7" t="str">
        <f>IF(B293="","",IFERROR(VLOOKUP(B293, PLANTA_BASE!A:W, 9, FALSE), "GENERAL"))</f>
        <v/>
      </c>
      <c r="H293" s="5" t="str">
        <f>IF(B293="","",IFERROR(VLOOKUP(B293, PLANTA_BASE!A:W, 17, FALSE), "GENERAL"))</f>
        <v/>
      </c>
    </row>
    <row r="294" spans="1:8" ht="20.100000000000001" customHeight="1" x14ac:dyDescent="0.25">
      <c r="A294" s="2" t="str">
        <f>IF(B294="","",IFERROR(VLOOKUP(B294, PLANTA_BASE!A:W, 2, FALSE), "NO ENCONTRADO EN PLANTA"))</f>
        <v/>
      </c>
      <c r="B294" s="3"/>
      <c r="C294" s="4" t="str">
        <f>IF(B294="","",IFERROR(VLOOKUP(B294, PLANTA_BASE!A:W, 3, FALSE), ""))</f>
        <v/>
      </c>
      <c r="D294" s="2" t="str">
        <f>IF(B294="","",IFERROR(VLOOKUP(B294, PLANTA_BASE!A:W, 5, FALSE), "NO ENCONTRADO EN PLANTA"))</f>
        <v/>
      </c>
      <c r="E294" s="2" t="str">
        <f>IF(B294="","",IFERROR(VLOOKUP(B294, PLANTA_BASE!A:W, 6, FALSE), "NO ENCONTRADO EN PLANTA"))</f>
        <v/>
      </c>
      <c r="F294" s="4" t="str">
        <f>IF(B294="","",IFERROR(VLOOKUP(B294, PLANTA_BASE!A:W, 8, FALSE), "DOCENTE / FACILITADOR"))</f>
        <v/>
      </c>
      <c r="G294" s="4" t="str">
        <f>IF(B294="","",IFERROR(VLOOKUP(B294, PLANTA_BASE!A:W, 9, FALSE), "GENERAL"))</f>
        <v/>
      </c>
      <c r="H294" s="2" t="str">
        <f>IF(B294="","",IFERROR(VLOOKUP(B294, PLANTA_BASE!A:W, 17, FALSE), "GENERAL"))</f>
        <v/>
      </c>
    </row>
    <row r="295" spans="1:8" ht="20.100000000000001" customHeight="1" x14ac:dyDescent="0.25">
      <c r="A295" s="5" t="str">
        <f>IF(B295="","",IFERROR(VLOOKUP(B295, PLANTA_BASE!A:W, 2, FALSE), "NO ENCONTRADO EN PLANTA"))</f>
        <v/>
      </c>
      <c r="B295" s="6"/>
      <c r="C295" s="7" t="str">
        <f>IF(B295="","",IFERROR(VLOOKUP(B295, PLANTA_BASE!A:W, 3, FALSE), ""))</f>
        <v/>
      </c>
      <c r="D295" s="5" t="str">
        <f>IF(B295="","",IFERROR(VLOOKUP(B295, PLANTA_BASE!A:W, 5, FALSE), "NO ENCONTRADO EN PLANTA"))</f>
        <v/>
      </c>
      <c r="E295" s="5" t="str">
        <f>IF(B295="","",IFERROR(VLOOKUP(B295, PLANTA_BASE!A:W, 6, FALSE), "NO ENCONTRADO EN PLANTA"))</f>
        <v/>
      </c>
      <c r="F295" s="7" t="str">
        <f>IF(B295="","",IFERROR(VLOOKUP(B295, PLANTA_BASE!A:W, 8, FALSE), "DOCENTE / FACILITADOR"))</f>
        <v/>
      </c>
      <c r="G295" s="7" t="str">
        <f>IF(B295="","",IFERROR(VLOOKUP(B295, PLANTA_BASE!A:W, 9, FALSE), "GENERAL"))</f>
        <v/>
      </c>
      <c r="H295" s="5" t="str">
        <f>IF(B295="","",IFERROR(VLOOKUP(B295, PLANTA_BASE!A:W, 17, FALSE), "GENERAL"))</f>
        <v/>
      </c>
    </row>
    <row r="296" spans="1:8" ht="20.100000000000001" customHeight="1" x14ac:dyDescent="0.25">
      <c r="A296" s="2" t="str">
        <f>IF(B296="","",IFERROR(VLOOKUP(B296, PLANTA_BASE!A:W, 2, FALSE), "NO ENCONTRADO EN PLANTA"))</f>
        <v/>
      </c>
      <c r="B296" s="3"/>
      <c r="C296" s="4" t="str">
        <f>IF(B296="","",IFERROR(VLOOKUP(B296, PLANTA_BASE!A:W, 3, FALSE), ""))</f>
        <v/>
      </c>
      <c r="D296" s="2" t="str">
        <f>IF(B296="","",IFERROR(VLOOKUP(B296, PLANTA_BASE!A:W, 5, FALSE), "NO ENCONTRADO EN PLANTA"))</f>
        <v/>
      </c>
      <c r="E296" s="2" t="str">
        <f>IF(B296="","",IFERROR(VLOOKUP(B296, PLANTA_BASE!A:W, 6, FALSE), "NO ENCONTRADO EN PLANTA"))</f>
        <v/>
      </c>
      <c r="F296" s="4" t="str">
        <f>IF(B296="","",IFERROR(VLOOKUP(B296, PLANTA_BASE!A:W, 8, FALSE), "DOCENTE / FACILITADOR"))</f>
        <v/>
      </c>
      <c r="G296" s="4" t="str">
        <f>IF(B296="","",IFERROR(VLOOKUP(B296, PLANTA_BASE!A:W, 9, FALSE), "GENERAL"))</f>
        <v/>
      </c>
      <c r="H296" s="2" t="str">
        <f>IF(B296="","",IFERROR(VLOOKUP(B296, PLANTA_BASE!A:W, 17, FALSE), "GENERAL"))</f>
        <v/>
      </c>
    </row>
    <row r="297" spans="1:8" ht="20.100000000000001" customHeight="1" x14ac:dyDescent="0.25">
      <c r="A297" s="5" t="str">
        <f>IF(B297="","",IFERROR(VLOOKUP(B297, PLANTA_BASE!A:W, 2, FALSE), "NO ENCONTRADO EN PLANTA"))</f>
        <v/>
      </c>
      <c r="B297" s="6"/>
      <c r="C297" s="7" t="str">
        <f>IF(B297="","",IFERROR(VLOOKUP(B297, PLANTA_BASE!A:W, 3, FALSE), ""))</f>
        <v/>
      </c>
      <c r="D297" s="5" t="str">
        <f>IF(B297="","",IFERROR(VLOOKUP(B297, PLANTA_BASE!A:W, 5, FALSE), "NO ENCONTRADO EN PLANTA"))</f>
        <v/>
      </c>
      <c r="E297" s="5" t="str">
        <f>IF(B297="","",IFERROR(VLOOKUP(B297, PLANTA_BASE!A:W, 6, FALSE), "NO ENCONTRADO EN PLANTA"))</f>
        <v/>
      </c>
      <c r="F297" s="7" t="str">
        <f>IF(B297="","",IFERROR(VLOOKUP(B297, PLANTA_BASE!A:W, 8, FALSE), "DOCENTE / FACILITADOR"))</f>
        <v/>
      </c>
      <c r="G297" s="7" t="str">
        <f>IF(B297="","",IFERROR(VLOOKUP(B297, PLANTA_BASE!A:W, 9, FALSE), "GENERAL"))</f>
        <v/>
      </c>
      <c r="H297" s="5" t="str">
        <f>IF(B297="","",IFERROR(VLOOKUP(B297, PLANTA_BASE!A:W, 17, FALSE), "GENERAL"))</f>
        <v/>
      </c>
    </row>
    <row r="298" spans="1:8" ht="20.100000000000001" customHeight="1" x14ac:dyDescent="0.25">
      <c r="A298" s="2" t="str">
        <f>IF(B298="","",IFERROR(VLOOKUP(B298, PLANTA_BASE!A:W, 2, FALSE), "NO ENCONTRADO EN PLANTA"))</f>
        <v/>
      </c>
      <c r="B298" s="3"/>
      <c r="C298" s="4" t="str">
        <f>IF(B298="","",IFERROR(VLOOKUP(B298, PLANTA_BASE!A:W, 3, FALSE), ""))</f>
        <v/>
      </c>
      <c r="D298" s="2" t="str">
        <f>IF(B298="","",IFERROR(VLOOKUP(B298, PLANTA_BASE!A:W, 5, FALSE), "NO ENCONTRADO EN PLANTA"))</f>
        <v/>
      </c>
      <c r="E298" s="2" t="str">
        <f>IF(B298="","",IFERROR(VLOOKUP(B298, PLANTA_BASE!A:W, 6, FALSE), "NO ENCONTRADO EN PLANTA"))</f>
        <v/>
      </c>
      <c r="F298" s="4" t="str">
        <f>IF(B298="","",IFERROR(VLOOKUP(B298, PLANTA_BASE!A:W, 8, FALSE), "DOCENTE / FACILITADOR"))</f>
        <v/>
      </c>
      <c r="G298" s="4" t="str">
        <f>IF(B298="","",IFERROR(VLOOKUP(B298, PLANTA_BASE!A:W, 9, FALSE), "GENERAL"))</f>
        <v/>
      </c>
      <c r="H298" s="2" t="str">
        <f>IF(B298="","",IFERROR(VLOOKUP(B298, PLANTA_BASE!A:W, 17, FALSE), "GENERAL"))</f>
        <v/>
      </c>
    </row>
    <row r="299" spans="1:8" ht="20.100000000000001" customHeight="1" x14ac:dyDescent="0.25">
      <c r="A299" s="5" t="str">
        <f>IF(B299="","",IFERROR(VLOOKUP(B299, PLANTA_BASE!A:W, 2, FALSE), "NO ENCONTRADO EN PLANTA"))</f>
        <v/>
      </c>
      <c r="B299" s="6"/>
      <c r="C299" s="7" t="str">
        <f>IF(B299="","",IFERROR(VLOOKUP(B299, PLANTA_BASE!A:W, 3, FALSE), ""))</f>
        <v/>
      </c>
      <c r="D299" s="5" t="str">
        <f>IF(B299="","",IFERROR(VLOOKUP(B299, PLANTA_BASE!A:W, 5, FALSE), "NO ENCONTRADO EN PLANTA"))</f>
        <v/>
      </c>
      <c r="E299" s="5" t="str">
        <f>IF(B299="","",IFERROR(VLOOKUP(B299, PLANTA_BASE!A:W, 6, FALSE), "NO ENCONTRADO EN PLANTA"))</f>
        <v/>
      </c>
      <c r="F299" s="7" t="str">
        <f>IF(B299="","",IFERROR(VLOOKUP(B299, PLANTA_BASE!A:W, 8, FALSE), "DOCENTE / FACILITADOR"))</f>
        <v/>
      </c>
      <c r="G299" s="7" t="str">
        <f>IF(B299="","",IFERROR(VLOOKUP(B299, PLANTA_BASE!A:W, 9, FALSE), "GENERAL"))</f>
        <v/>
      </c>
      <c r="H299" s="5" t="str">
        <f>IF(B299="","",IFERROR(VLOOKUP(B299, PLANTA_BASE!A:W, 17, FALSE), "GENERAL"))</f>
        <v/>
      </c>
    </row>
    <row r="300" spans="1:8" ht="20.100000000000001" customHeight="1" x14ac:dyDescent="0.25">
      <c r="A300" s="2" t="str">
        <f>IF(B300="","",IFERROR(VLOOKUP(B300, PLANTA_BASE!A:W, 2, FALSE), "NO ENCONTRADO EN PLANTA"))</f>
        <v/>
      </c>
      <c r="B300" s="3"/>
      <c r="C300" s="4" t="str">
        <f>IF(B300="","",IFERROR(VLOOKUP(B300, PLANTA_BASE!A:W, 3, FALSE), ""))</f>
        <v/>
      </c>
      <c r="D300" s="2" t="str">
        <f>IF(B300="","",IFERROR(VLOOKUP(B300, PLANTA_BASE!A:W, 5, FALSE), "NO ENCONTRADO EN PLANTA"))</f>
        <v/>
      </c>
      <c r="E300" s="2" t="str">
        <f>IF(B300="","",IFERROR(VLOOKUP(B300, PLANTA_BASE!A:W, 6, FALSE), "NO ENCONTRADO EN PLANTA"))</f>
        <v/>
      </c>
      <c r="F300" s="4" t="str">
        <f>IF(B300="","",IFERROR(VLOOKUP(B300, PLANTA_BASE!A:W, 8, FALSE), "DOCENTE / FACILITADOR"))</f>
        <v/>
      </c>
      <c r="G300" s="4" t="str">
        <f>IF(B300="","",IFERROR(VLOOKUP(B300, PLANTA_BASE!A:W, 9, FALSE), "GENERAL"))</f>
        <v/>
      </c>
      <c r="H300" s="2" t="str">
        <f>IF(B300="","",IFERROR(VLOOKUP(B300, PLANTA_BASE!A:W, 17, FALSE), "GENERAL"))</f>
        <v/>
      </c>
    </row>
    <row r="301" spans="1:8" ht="20.100000000000001" customHeight="1" x14ac:dyDescent="0.25">
      <c r="A301" s="5" t="str">
        <f>IF(B301="","",IFERROR(VLOOKUP(B301, PLANTA_BASE!A:W, 2, FALSE), "NO ENCONTRADO EN PLANTA"))</f>
        <v/>
      </c>
      <c r="B301" s="6"/>
      <c r="C301" s="7" t="str">
        <f>IF(B301="","",IFERROR(VLOOKUP(B301, PLANTA_BASE!A:W, 3, FALSE), ""))</f>
        <v/>
      </c>
      <c r="D301" s="5" t="str">
        <f>IF(B301="","",IFERROR(VLOOKUP(B301, PLANTA_BASE!A:W, 5, FALSE), "NO ENCONTRADO EN PLANTA"))</f>
        <v/>
      </c>
      <c r="E301" s="5" t="str">
        <f>IF(B301="","",IFERROR(VLOOKUP(B301, PLANTA_BASE!A:W, 6, FALSE), "NO ENCONTRADO EN PLANTA"))</f>
        <v/>
      </c>
      <c r="F301" s="7" t="str">
        <f>IF(B301="","",IFERROR(VLOOKUP(B301, PLANTA_BASE!A:W, 8, FALSE), "DOCENTE / FACILITADOR"))</f>
        <v/>
      </c>
      <c r="G301" s="7" t="str">
        <f>IF(B301="","",IFERROR(VLOOKUP(B301, PLANTA_BASE!A:W, 9, FALSE), "GENERAL"))</f>
        <v/>
      </c>
      <c r="H301" s="5" t="str">
        <f>IF(B301="","",IFERROR(VLOOKUP(B301, PLANTA_BASE!A:W, 17, FALSE), "GENERAL"))</f>
        <v/>
      </c>
    </row>
    <row r="302" spans="1:8" ht="20.100000000000001" customHeight="1" x14ac:dyDescent="0.25">
      <c r="A302" s="2" t="str">
        <f>IF(B302="","",IFERROR(VLOOKUP(B302, PLANTA_BASE!A:W, 2, FALSE), "NO ENCONTRADO EN PLANTA"))</f>
        <v/>
      </c>
      <c r="B302" s="3"/>
      <c r="C302" s="4" t="str">
        <f>IF(B302="","",IFERROR(VLOOKUP(B302, PLANTA_BASE!A:W, 3, FALSE), ""))</f>
        <v/>
      </c>
      <c r="D302" s="2" t="str">
        <f>IF(B302="","",IFERROR(VLOOKUP(B302, PLANTA_BASE!A:W, 5, FALSE), "NO ENCONTRADO EN PLANTA"))</f>
        <v/>
      </c>
      <c r="E302" s="2" t="str">
        <f>IF(B302="","",IFERROR(VLOOKUP(B302, PLANTA_BASE!A:W, 6, FALSE), "NO ENCONTRADO EN PLANTA"))</f>
        <v/>
      </c>
      <c r="F302" s="4" t="str">
        <f>IF(B302="","",IFERROR(VLOOKUP(B302, PLANTA_BASE!A:W, 8, FALSE), "DOCENTE / FACILITADOR"))</f>
        <v/>
      </c>
      <c r="G302" s="4" t="str">
        <f>IF(B302="","",IFERROR(VLOOKUP(B302, PLANTA_BASE!A:W, 9, FALSE), "GENERAL"))</f>
        <v/>
      </c>
      <c r="H302" s="2" t="str">
        <f>IF(B302="","",IFERROR(VLOOKUP(B302, PLANTA_BASE!A:W, 17, FALSE), "GENERAL"))</f>
        <v/>
      </c>
    </row>
    <row r="303" spans="1:8" ht="20.100000000000001" customHeight="1" x14ac:dyDescent="0.25">
      <c r="A303" s="5" t="str">
        <f>IF(B303="","",IFERROR(VLOOKUP(B303, PLANTA_BASE!A:W, 2, FALSE), "NO ENCONTRADO EN PLANTA"))</f>
        <v/>
      </c>
      <c r="B303" s="6"/>
      <c r="C303" s="7" t="str">
        <f>IF(B303="","",IFERROR(VLOOKUP(B303, PLANTA_BASE!A:W, 3, FALSE), ""))</f>
        <v/>
      </c>
      <c r="D303" s="5" t="str">
        <f>IF(B303="","",IFERROR(VLOOKUP(B303, PLANTA_BASE!A:W, 5, FALSE), "NO ENCONTRADO EN PLANTA"))</f>
        <v/>
      </c>
      <c r="E303" s="5" t="str">
        <f>IF(B303="","",IFERROR(VLOOKUP(B303, PLANTA_BASE!A:W, 6, FALSE), "NO ENCONTRADO EN PLANTA"))</f>
        <v/>
      </c>
      <c r="F303" s="7" t="str">
        <f>IF(B303="","",IFERROR(VLOOKUP(B303, PLANTA_BASE!A:W, 8, FALSE), "DOCENTE / FACILITADOR"))</f>
        <v/>
      </c>
      <c r="G303" s="7" t="str">
        <f>IF(B303="","",IFERROR(VLOOKUP(B303, PLANTA_BASE!A:W, 9, FALSE), "GENERAL"))</f>
        <v/>
      </c>
      <c r="H303" s="5" t="str">
        <f>IF(B303="","",IFERROR(VLOOKUP(B303, PLANTA_BASE!A:W, 17, FALSE), "GENERAL"))</f>
        <v/>
      </c>
    </row>
    <row r="304" spans="1:8" ht="20.100000000000001" customHeight="1" x14ac:dyDescent="0.25">
      <c r="A304" s="2" t="str">
        <f>IF(B304="","",IFERROR(VLOOKUP(B304, PLANTA_BASE!A:W, 2, FALSE), "NO ENCONTRADO EN PLANTA"))</f>
        <v/>
      </c>
      <c r="B304" s="3"/>
      <c r="C304" s="4" t="str">
        <f>IF(B304="","",IFERROR(VLOOKUP(B304, PLANTA_BASE!A:W, 3, FALSE), ""))</f>
        <v/>
      </c>
      <c r="D304" s="2" t="str">
        <f>IF(B304="","",IFERROR(VLOOKUP(B304, PLANTA_BASE!A:W, 5, FALSE), "NO ENCONTRADO EN PLANTA"))</f>
        <v/>
      </c>
      <c r="E304" s="2" t="str">
        <f>IF(B304="","",IFERROR(VLOOKUP(B304, PLANTA_BASE!A:W, 6, FALSE), "NO ENCONTRADO EN PLANTA"))</f>
        <v/>
      </c>
      <c r="F304" s="4" t="str">
        <f>IF(B304="","",IFERROR(VLOOKUP(B304, PLANTA_BASE!A:W, 8, FALSE), "DOCENTE / FACILITADOR"))</f>
        <v/>
      </c>
      <c r="G304" s="4" t="str">
        <f>IF(B304="","",IFERROR(VLOOKUP(B304, PLANTA_BASE!A:W, 9, FALSE), "GENERAL"))</f>
        <v/>
      </c>
      <c r="H304" s="2" t="str">
        <f>IF(B304="","",IFERROR(VLOOKUP(B304, PLANTA_BASE!A:W, 17, FALSE), "GENERAL"))</f>
        <v/>
      </c>
    </row>
    <row r="305" spans="1:8" ht="20.100000000000001" customHeight="1" x14ac:dyDescent="0.25">
      <c r="A305" s="5" t="str">
        <f>IF(B305="","",IFERROR(VLOOKUP(B305, PLANTA_BASE!A:W, 2, FALSE), "NO ENCONTRADO EN PLANTA"))</f>
        <v/>
      </c>
      <c r="B305" s="6"/>
      <c r="C305" s="7" t="str">
        <f>IF(B305="","",IFERROR(VLOOKUP(B305, PLANTA_BASE!A:W, 3, FALSE), ""))</f>
        <v/>
      </c>
      <c r="D305" s="5" t="str">
        <f>IF(B305="","",IFERROR(VLOOKUP(B305, PLANTA_BASE!A:W, 5, FALSE), "NO ENCONTRADO EN PLANTA"))</f>
        <v/>
      </c>
      <c r="E305" s="5" t="str">
        <f>IF(B305="","",IFERROR(VLOOKUP(B305, PLANTA_BASE!A:W, 6, FALSE), "NO ENCONTRADO EN PLANTA"))</f>
        <v/>
      </c>
      <c r="F305" s="7" t="str">
        <f>IF(B305="","",IFERROR(VLOOKUP(B305, PLANTA_BASE!A:W, 8, FALSE), "DOCENTE / FACILITADOR"))</f>
        <v/>
      </c>
      <c r="G305" s="7" t="str">
        <f>IF(B305="","",IFERROR(VLOOKUP(B305, PLANTA_BASE!A:W, 9, FALSE), "GENERAL"))</f>
        <v/>
      </c>
      <c r="H305" s="5" t="str">
        <f>IF(B305="","",IFERROR(VLOOKUP(B305, PLANTA_BASE!A:W, 17, FALSE), "GENERAL"))</f>
        <v/>
      </c>
    </row>
    <row r="306" spans="1:8" ht="20.100000000000001" customHeight="1" x14ac:dyDescent="0.25">
      <c r="A306" s="2" t="str">
        <f>IF(B306="","",IFERROR(VLOOKUP(B306, PLANTA_BASE!A:W, 2, FALSE), "NO ENCONTRADO EN PLANTA"))</f>
        <v/>
      </c>
      <c r="B306" s="3"/>
      <c r="C306" s="4" t="str">
        <f>IF(B306="","",IFERROR(VLOOKUP(B306, PLANTA_BASE!A:W, 3, FALSE), ""))</f>
        <v/>
      </c>
      <c r="D306" s="2" t="str">
        <f>IF(B306="","",IFERROR(VLOOKUP(B306, PLANTA_BASE!A:W, 5, FALSE), "NO ENCONTRADO EN PLANTA"))</f>
        <v/>
      </c>
      <c r="E306" s="2" t="str">
        <f>IF(B306="","",IFERROR(VLOOKUP(B306, PLANTA_BASE!A:W, 6, FALSE), "NO ENCONTRADO EN PLANTA"))</f>
        <v/>
      </c>
      <c r="F306" s="4" t="str">
        <f>IF(B306="","",IFERROR(VLOOKUP(B306, PLANTA_BASE!A:W, 8, FALSE), "DOCENTE / FACILITADOR"))</f>
        <v/>
      </c>
      <c r="G306" s="4" t="str">
        <f>IF(B306="","",IFERROR(VLOOKUP(B306, PLANTA_BASE!A:W, 9, FALSE), "GENERAL"))</f>
        <v/>
      </c>
      <c r="H306" s="2" t="str">
        <f>IF(B306="","",IFERROR(VLOOKUP(B306, PLANTA_BASE!A:W, 17, FALSE), "GENERAL"))</f>
        <v/>
      </c>
    </row>
    <row r="307" spans="1:8" ht="20.100000000000001" customHeight="1" x14ac:dyDescent="0.25">
      <c r="A307" s="5" t="str">
        <f>IF(B307="","",IFERROR(VLOOKUP(B307, PLANTA_BASE!A:W, 2, FALSE), "NO ENCONTRADO EN PLANTA"))</f>
        <v/>
      </c>
      <c r="B307" s="6"/>
      <c r="C307" s="7" t="str">
        <f>IF(B307="","",IFERROR(VLOOKUP(B307, PLANTA_BASE!A:W, 3, FALSE), ""))</f>
        <v/>
      </c>
      <c r="D307" s="5" t="str">
        <f>IF(B307="","",IFERROR(VLOOKUP(B307, PLANTA_BASE!A:W, 5, FALSE), "NO ENCONTRADO EN PLANTA"))</f>
        <v/>
      </c>
      <c r="E307" s="5" t="str">
        <f>IF(B307="","",IFERROR(VLOOKUP(B307, PLANTA_BASE!A:W, 6, FALSE), "NO ENCONTRADO EN PLANTA"))</f>
        <v/>
      </c>
      <c r="F307" s="7" t="str">
        <f>IF(B307="","",IFERROR(VLOOKUP(B307, PLANTA_BASE!A:W, 8, FALSE), "DOCENTE / FACILITADOR"))</f>
        <v/>
      </c>
      <c r="G307" s="7" t="str">
        <f>IF(B307="","",IFERROR(VLOOKUP(B307, PLANTA_BASE!A:W, 9, FALSE), "GENERAL"))</f>
        <v/>
      </c>
      <c r="H307" s="5" t="str">
        <f>IF(B307="","",IFERROR(VLOOKUP(B307, PLANTA_BASE!A:W, 17, FALSE), "GENERAL"))</f>
        <v/>
      </c>
    </row>
    <row r="308" spans="1:8" ht="20.100000000000001" customHeight="1" x14ac:dyDescent="0.25">
      <c r="A308" s="2" t="str">
        <f>IF(B308="","",IFERROR(VLOOKUP(B308, PLANTA_BASE!A:W, 2, FALSE), "NO ENCONTRADO EN PLANTA"))</f>
        <v/>
      </c>
      <c r="B308" s="3"/>
      <c r="C308" s="4" t="str">
        <f>IF(B308="","",IFERROR(VLOOKUP(B308, PLANTA_BASE!A:W, 3, FALSE), ""))</f>
        <v/>
      </c>
      <c r="D308" s="2" t="str">
        <f>IF(B308="","",IFERROR(VLOOKUP(B308, PLANTA_BASE!A:W, 5, FALSE), "NO ENCONTRADO EN PLANTA"))</f>
        <v/>
      </c>
      <c r="E308" s="2" t="str">
        <f>IF(B308="","",IFERROR(VLOOKUP(B308, PLANTA_BASE!A:W, 6, FALSE), "NO ENCONTRADO EN PLANTA"))</f>
        <v/>
      </c>
      <c r="F308" s="4" t="str">
        <f>IF(B308="","",IFERROR(VLOOKUP(B308, PLANTA_BASE!A:W, 8, FALSE), "DOCENTE / FACILITADOR"))</f>
        <v/>
      </c>
      <c r="G308" s="4" t="str">
        <f>IF(B308="","",IFERROR(VLOOKUP(B308, PLANTA_BASE!A:W, 9, FALSE), "GENERAL"))</f>
        <v/>
      </c>
      <c r="H308" s="2" t="str">
        <f>IF(B308="","",IFERROR(VLOOKUP(B308, PLANTA_BASE!A:W, 17, FALSE), "GENERAL"))</f>
        <v/>
      </c>
    </row>
    <row r="309" spans="1:8" ht="20.100000000000001" customHeight="1" x14ac:dyDescent="0.25">
      <c r="A309" s="5" t="str">
        <f>IF(B309="","",IFERROR(VLOOKUP(B309, PLANTA_BASE!A:W, 2, FALSE), "NO ENCONTRADO EN PLANTA"))</f>
        <v/>
      </c>
      <c r="B309" s="6"/>
      <c r="C309" s="7" t="str">
        <f>IF(B309="","",IFERROR(VLOOKUP(B309, PLANTA_BASE!A:W, 3, FALSE), ""))</f>
        <v/>
      </c>
      <c r="D309" s="5" t="str">
        <f>IF(B309="","",IFERROR(VLOOKUP(B309, PLANTA_BASE!A:W, 5, FALSE), "NO ENCONTRADO EN PLANTA"))</f>
        <v/>
      </c>
      <c r="E309" s="5" t="str">
        <f>IF(B309="","",IFERROR(VLOOKUP(B309, PLANTA_BASE!A:W, 6, FALSE), "NO ENCONTRADO EN PLANTA"))</f>
        <v/>
      </c>
      <c r="F309" s="7" t="str">
        <f>IF(B309="","",IFERROR(VLOOKUP(B309, PLANTA_BASE!A:W, 8, FALSE), "DOCENTE / FACILITADOR"))</f>
        <v/>
      </c>
      <c r="G309" s="7" t="str">
        <f>IF(B309="","",IFERROR(VLOOKUP(B309, PLANTA_BASE!A:W, 9, FALSE), "GENERAL"))</f>
        <v/>
      </c>
      <c r="H309" s="5" t="str">
        <f>IF(B309="","",IFERROR(VLOOKUP(B309, PLANTA_BASE!A:W, 17, FALSE), "GENERAL"))</f>
        <v/>
      </c>
    </row>
    <row r="310" spans="1:8" ht="20.100000000000001" customHeight="1" x14ac:dyDescent="0.25">
      <c r="A310" s="2" t="str">
        <f>IF(B310="","",IFERROR(VLOOKUP(B310, PLANTA_BASE!A:W, 2, FALSE), "NO ENCONTRADO EN PLANTA"))</f>
        <v/>
      </c>
      <c r="B310" s="3"/>
      <c r="C310" s="4" t="str">
        <f>IF(B310="","",IFERROR(VLOOKUP(B310, PLANTA_BASE!A:W, 3, FALSE), ""))</f>
        <v/>
      </c>
      <c r="D310" s="2" t="str">
        <f>IF(B310="","",IFERROR(VLOOKUP(B310, PLANTA_BASE!A:W, 5, FALSE), "NO ENCONTRADO EN PLANTA"))</f>
        <v/>
      </c>
      <c r="E310" s="2" t="str">
        <f>IF(B310="","",IFERROR(VLOOKUP(B310, PLANTA_BASE!A:W, 6, FALSE), "NO ENCONTRADO EN PLANTA"))</f>
        <v/>
      </c>
      <c r="F310" s="4" t="str">
        <f>IF(B310="","",IFERROR(VLOOKUP(B310, PLANTA_BASE!A:W, 8, FALSE), "DOCENTE / FACILITADOR"))</f>
        <v/>
      </c>
      <c r="G310" s="4" t="str">
        <f>IF(B310="","",IFERROR(VLOOKUP(B310, PLANTA_BASE!A:W, 9, FALSE), "GENERAL"))</f>
        <v/>
      </c>
      <c r="H310" s="2" t="str">
        <f>IF(B310="","",IFERROR(VLOOKUP(B310, PLANTA_BASE!A:W, 17, FALSE), "GENERAL"))</f>
        <v/>
      </c>
    </row>
    <row r="311" spans="1:8" ht="20.100000000000001" customHeight="1" x14ac:dyDescent="0.25">
      <c r="A311" s="5" t="str">
        <f>IF(B311="","",IFERROR(VLOOKUP(B311, PLANTA_BASE!A:W, 2, FALSE), "NO ENCONTRADO EN PLANTA"))</f>
        <v/>
      </c>
      <c r="B311" s="6"/>
      <c r="C311" s="7" t="str">
        <f>IF(B311="","",IFERROR(VLOOKUP(B311, PLANTA_BASE!A:W, 3, FALSE), ""))</f>
        <v/>
      </c>
      <c r="D311" s="5" t="str">
        <f>IF(B311="","",IFERROR(VLOOKUP(B311, PLANTA_BASE!A:W, 5, FALSE), "NO ENCONTRADO EN PLANTA"))</f>
        <v/>
      </c>
      <c r="E311" s="5" t="str">
        <f>IF(B311="","",IFERROR(VLOOKUP(B311, PLANTA_BASE!A:W, 6, FALSE), "NO ENCONTRADO EN PLANTA"))</f>
        <v/>
      </c>
      <c r="F311" s="7" t="str">
        <f>IF(B311="","",IFERROR(VLOOKUP(B311, PLANTA_BASE!A:W, 8, FALSE), "DOCENTE / FACILITADOR"))</f>
        <v/>
      </c>
      <c r="G311" s="7" t="str">
        <f>IF(B311="","",IFERROR(VLOOKUP(B311, PLANTA_BASE!A:W, 9, FALSE), "GENERAL"))</f>
        <v/>
      </c>
      <c r="H311" s="5" t="str">
        <f>IF(B311="","",IFERROR(VLOOKUP(B311, PLANTA_BASE!A:W, 17, FALSE), "GENERAL"))</f>
        <v/>
      </c>
    </row>
    <row r="312" spans="1:8" ht="20.100000000000001" customHeight="1" x14ac:dyDescent="0.25">
      <c r="A312" s="2" t="str">
        <f>IF(B312="","",IFERROR(VLOOKUP(B312, PLANTA_BASE!A:W, 2, FALSE), "NO ENCONTRADO EN PLANTA"))</f>
        <v/>
      </c>
      <c r="B312" s="3"/>
      <c r="C312" s="4" t="str">
        <f>IF(B312="","",IFERROR(VLOOKUP(B312, PLANTA_BASE!A:W, 3, FALSE), ""))</f>
        <v/>
      </c>
      <c r="D312" s="2" t="str">
        <f>IF(B312="","",IFERROR(VLOOKUP(B312, PLANTA_BASE!A:W, 5, FALSE), "NO ENCONTRADO EN PLANTA"))</f>
        <v/>
      </c>
      <c r="E312" s="2" t="str">
        <f>IF(B312="","",IFERROR(VLOOKUP(B312, PLANTA_BASE!A:W, 6, FALSE), "NO ENCONTRADO EN PLANTA"))</f>
        <v/>
      </c>
      <c r="F312" s="4" t="str">
        <f>IF(B312="","",IFERROR(VLOOKUP(B312, PLANTA_BASE!A:W, 8, FALSE), "DOCENTE / FACILITADOR"))</f>
        <v/>
      </c>
      <c r="G312" s="4" t="str">
        <f>IF(B312="","",IFERROR(VLOOKUP(B312, PLANTA_BASE!A:W, 9, FALSE), "GENERAL"))</f>
        <v/>
      </c>
      <c r="H312" s="2" t="str">
        <f>IF(B312="","",IFERROR(VLOOKUP(B312, PLANTA_BASE!A:W, 17, FALSE), "GENERAL"))</f>
        <v/>
      </c>
    </row>
    <row r="313" spans="1:8" ht="20.100000000000001" customHeight="1" x14ac:dyDescent="0.25">
      <c r="A313" s="5" t="str">
        <f>IF(B313="","",IFERROR(VLOOKUP(B313, PLANTA_BASE!A:W, 2, FALSE), "NO ENCONTRADO EN PLANTA"))</f>
        <v/>
      </c>
      <c r="B313" s="6"/>
      <c r="C313" s="7" t="str">
        <f>IF(B313="","",IFERROR(VLOOKUP(B313, PLANTA_BASE!A:W, 3, FALSE), ""))</f>
        <v/>
      </c>
      <c r="D313" s="5" t="str">
        <f>IF(B313="","",IFERROR(VLOOKUP(B313, PLANTA_BASE!A:W, 5, FALSE), "NO ENCONTRADO EN PLANTA"))</f>
        <v/>
      </c>
      <c r="E313" s="5" t="str">
        <f>IF(B313="","",IFERROR(VLOOKUP(B313, PLANTA_BASE!A:W, 6, FALSE), "NO ENCONTRADO EN PLANTA"))</f>
        <v/>
      </c>
      <c r="F313" s="7" t="str">
        <f>IF(B313="","",IFERROR(VLOOKUP(B313, PLANTA_BASE!A:W, 8, FALSE), "DOCENTE / FACILITADOR"))</f>
        <v/>
      </c>
      <c r="G313" s="7" t="str">
        <f>IF(B313="","",IFERROR(VLOOKUP(B313, PLANTA_BASE!A:W, 9, FALSE), "GENERAL"))</f>
        <v/>
      </c>
      <c r="H313" s="5" t="str">
        <f>IF(B313="","",IFERROR(VLOOKUP(B313, PLANTA_BASE!A:W, 17, FALSE), "GENERAL"))</f>
        <v/>
      </c>
    </row>
    <row r="314" spans="1:8" ht="20.100000000000001" customHeight="1" x14ac:dyDescent="0.25">
      <c r="A314" s="2" t="str">
        <f>IF(B314="","",IFERROR(VLOOKUP(B314, PLANTA_BASE!A:W, 2, FALSE), "NO ENCONTRADO EN PLANTA"))</f>
        <v/>
      </c>
      <c r="B314" s="3"/>
      <c r="C314" s="4" t="str">
        <f>IF(B314="","",IFERROR(VLOOKUP(B314, PLANTA_BASE!A:W, 3, FALSE), ""))</f>
        <v/>
      </c>
      <c r="D314" s="2" t="str">
        <f>IF(B314="","",IFERROR(VLOOKUP(B314, PLANTA_BASE!A:W, 5, FALSE), "NO ENCONTRADO EN PLANTA"))</f>
        <v/>
      </c>
      <c r="E314" s="2" t="str">
        <f>IF(B314="","",IFERROR(VLOOKUP(B314, PLANTA_BASE!A:W, 6, FALSE), "NO ENCONTRADO EN PLANTA"))</f>
        <v/>
      </c>
      <c r="F314" s="4" t="str">
        <f>IF(B314="","",IFERROR(VLOOKUP(B314, PLANTA_BASE!A:W, 8, FALSE), "DOCENTE / FACILITADOR"))</f>
        <v/>
      </c>
      <c r="G314" s="4" t="str">
        <f>IF(B314="","",IFERROR(VLOOKUP(B314, PLANTA_BASE!A:W, 9, FALSE), "GENERAL"))</f>
        <v/>
      </c>
      <c r="H314" s="2" t="str">
        <f>IF(B314="","",IFERROR(VLOOKUP(B314, PLANTA_BASE!A:W, 17, FALSE), "GENERAL"))</f>
        <v/>
      </c>
    </row>
    <row r="315" spans="1:8" ht="20.100000000000001" customHeight="1" x14ac:dyDescent="0.25">
      <c r="A315" s="5" t="str">
        <f>IF(B315="","",IFERROR(VLOOKUP(B315, PLANTA_BASE!A:W, 2, FALSE), "NO ENCONTRADO EN PLANTA"))</f>
        <v/>
      </c>
      <c r="B315" s="6"/>
      <c r="C315" s="7" t="str">
        <f>IF(B315="","",IFERROR(VLOOKUP(B315, PLANTA_BASE!A:W, 3, FALSE), ""))</f>
        <v/>
      </c>
      <c r="D315" s="5" t="str">
        <f>IF(B315="","",IFERROR(VLOOKUP(B315, PLANTA_BASE!A:W, 5, FALSE), "NO ENCONTRADO EN PLANTA"))</f>
        <v/>
      </c>
      <c r="E315" s="5" t="str">
        <f>IF(B315="","",IFERROR(VLOOKUP(B315, PLANTA_BASE!A:W, 6, FALSE), "NO ENCONTRADO EN PLANTA"))</f>
        <v/>
      </c>
      <c r="F315" s="7" t="str">
        <f>IF(B315="","",IFERROR(VLOOKUP(B315, PLANTA_BASE!A:W, 8, FALSE), "DOCENTE / FACILITADOR"))</f>
        <v/>
      </c>
      <c r="G315" s="7" t="str">
        <f>IF(B315="","",IFERROR(VLOOKUP(B315, PLANTA_BASE!A:W, 9, FALSE), "GENERAL"))</f>
        <v/>
      </c>
      <c r="H315" s="5" t="str">
        <f>IF(B315="","",IFERROR(VLOOKUP(B315, PLANTA_BASE!A:W, 17, FALSE), "GENERAL"))</f>
        <v/>
      </c>
    </row>
    <row r="316" spans="1:8" ht="20.100000000000001" customHeight="1" x14ac:dyDescent="0.25">
      <c r="A316" s="2" t="str">
        <f>IF(B316="","",IFERROR(VLOOKUP(B316, PLANTA_BASE!A:W, 2, FALSE), "NO ENCONTRADO EN PLANTA"))</f>
        <v/>
      </c>
      <c r="B316" s="3"/>
      <c r="C316" s="4" t="str">
        <f>IF(B316="","",IFERROR(VLOOKUP(B316, PLANTA_BASE!A:W, 3, FALSE), ""))</f>
        <v/>
      </c>
      <c r="D316" s="2" t="str">
        <f>IF(B316="","",IFERROR(VLOOKUP(B316, PLANTA_BASE!A:W, 5, FALSE), "NO ENCONTRADO EN PLANTA"))</f>
        <v/>
      </c>
      <c r="E316" s="2" t="str">
        <f>IF(B316="","",IFERROR(VLOOKUP(B316, PLANTA_BASE!A:W, 6, FALSE), "NO ENCONTRADO EN PLANTA"))</f>
        <v/>
      </c>
      <c r="F316" s="4" t="str">
        <f>IF(B316="","",IFERROR(VLOOKUP(B316, PLANTA_BASE!A:W, 8, FALSE), "DOCENTE / FACILITADOR"))</f>
        <v/>
      </c>
      <c r="G316" s="4" t="str">
        <f>IF(B316="","",IFERROR(VLOOKUP(B316, PLANTA_BASE!A:W, 9, FALSE), "GENERAL"))</f>
        <v/>
      </c>
      <c r="H316" s="2" t="str">
        <f>IF(B316="","",IFERROR(VLOOKUP(B316, PLANTA_BASE!A:W, 17, FALSE), "GENERAL"))</f>
        <v/>
      </c>
    </row>
    <row r="317" spans="1:8" ht="20.100000000000001" customHeight="1" x14ac:dyDescent="0.25">
      <c r="A317" s="5" t="str">
        <f>IF(B317="","",IFERROR(VLOOKUP(B317, PLANTA_BASE!A:W, 2, FALSE), "NO ENCONTRADO EN PLANTA"))</f>
        <v/>
      </c>
      <c r="B317" s="6"/>
      <c r="C317" s="7" t="str">
        <f>IF(B317="","",IFERROR(VLOOKUP(B317, PLANTA_BASE!A:W, 3, FALSE), ""))</f>
        <v/>
      </c>
      <c r="D317" s="5" t="str">
        <f>IF(B317="","",IFERROR(VLOOKUP(B317, PLANTA_BASE!A:W, 5, FALSE), "NO ENCONTRADO EN PLANTA"))</f>
        <v/>
      </c>
      <c r="E317" s="5" t="str">
        <f>IF(B317="","",IFERROR(VLOOKUP(B317, PLANTA_BASE!A:W, 6, FALSE), "NO ENCONTRADO EN PLANTA"))</f>
        <v/>
      </c>
      <c r="F317" s="7" t="str">
        <f>IF(B317="","",IFERROR(VLOOKUP(B317, PLANTA_BASE!A:W, 8, FALSE), "DOCENTE / FACILITADOR"))</f>
        <v/>
      </c>
      <c r="G317" s="7" t="str">
        <f>IF(B317="","",IFERROR(VLOOKUP(B317, PLANTA_BASE!A:W, 9, FALSE), "GENERAL"))</f>
        <v/>
      </c>
      <c r="H317" s="5" t="str">
        <f>IF(B317="","",IFERROR(VLOOKUP(B317, PLANTA_BASE!A:W, 17, FALSE), "GENERAL"))</f>
        <v/>
      </c>
    </row>
    <row r="318" spans="1:8" ht="20.100000000000001" customHeight="1" x14ac:dyDescent="0.25">
      <c r="A318" s="2" t="str">
        <f>IF(B318="","",IFERROR(VLOOKUP(B318, PLANTA_BASE!A:W, 2, FALSE), "NO ENCONTRADO EN PLANTA"))</f>
        <v/>
      </c>
      <c r="B318" s="3"/>
      <c r="C318" s="4" t="str">
        <f>IF(B318="","",IFERROR(VLOOKUP(B318, PLANTA_BASE!A:W, 3, FALSE), ""))</f>
        <v/>
      </c>
      <c r="D318" s="2" t="str">
        <f>IF(B318="","",IFERROR(VLOOKUP(B318, PLANTA_BASE!A:W, 5, FALSE), "NO ENCONTRADO EN PLANTA"))</f>
        <v/>
      </c>
      <c r="E318" s="2" t="str">
        <f>IF(B318="","",IFERROR(VLOOKUP(B318, PLANTA_BASE!A:W, 6, FALSE), "NO ENCONTRADO EN PLANTA"))</f>
        <v/>
      </c>
      <c r="F318" s="4" t="str">
        <f>IF(B318="","",IFERROR(VLOOKUP(B318, PLANTA_BASE!A:W, 8, FALSE), "DOCENTE / FACILITADOR"))</f>
        <v/>
      </c>
      <c r="G318" s="4" t="str">
        <f>IF(B318="","",IFERROR(VLOOKUP(B318, PLANTA_BASE!A:W, 9, FALSE), "GENERAL"))</f>
        <v/>
      </c>
      <c r="H318" s="2" t="str">
        <f>IF(B318="","",IFERROR(VLOOKUP(B318, PLANTA_BASE!A:W, 17, FALSE), "GENERAL"))</f>
        <v/>
      </c>
    </row>
    <row r="319" spans="1:8" ht="20.100000000000001" customHeight="1" x14ac:dyDescent="0.25">
      <c r="A319" s="5" t="str">
        <f>IF(B319="","",IFERROR(VLOOKUP(B319, PLANTA_BASE!A:W, 2, FALSE), "NO ENCONTRADO EN PLANTA"))</f>
        <v/>
      </c>
      <c r="B319" s="6"/>
      <c r="C319" s="7" t="str">
        <f>IF(B319="","",IFERROR(VLOOKUP(B319, PLANTA_BASE!A:W, 3, FALSE), ""))</f>
        <v/>
      </c>
      <c r="D319" s="5" t="str">
        <f>IF(B319="","",IFERROR(VLOOKUP(B319, PLANTA_BASE!A:W, 5, FALSE), "NO ENCONTRADO EN PLANTA"))</f>
        <v/>
      </c>
      <c r="E319" s="5" t="str">
        <f>IF(B319="","",IFERROR(VLOOKUP(B319, PLANTA_BASE!A:W, 6, FALSE), "NO ENCONTRADO EN PLANTA"))</f>
        <v/>
      </c>
      <c r="F319" s="7" t="str">
        <f>IF(B319="","",IFERROR(VLOOKUP(B319, PLANTA_BASE!A:W, 8, FALSE), "DOCENTE / FACILITADOR"))</f>
        <v/>
      </c>
      <c r="G319" s="7" t="str">
        <f>IF(B319="","",IFERROR(VLOOKUP(B319, PLANTA_BASE!A:W, 9, FALSE), "GENERAL"))</f>
        <v/>
      </c>
      <c r="H319" s="5" t="str">
        <f>IF(B319="","",IFERROR(VLOOKUP(B319, PLANTA_BASE!A:W, 17, FALSE), "GENERAL"))</f>
        <v/>
      </c>
    </row>
    <row r="320" spans="1:8" ht="20.100000000000001" customHeight="1" x14ac:dyDescent="0.25">
      <c r="A320" s="2" t="str">
        <f>IF(B320="","",IFERROR(VLOOKUP(B320, PLANTA_BASE!A:W, 2, FALSE), "NO ENCONTRADO EN PLANTA"))</f>
        <v/>
      </c>
      <c r="B320" s="3"/>
      <c r="C320" s="4" t="str">
        <f>IF(B320="","",IFERROR(VLOOKUP(B320, PLANTA_BASE!A:W, 3, FALSE), ""))</f>
        <v/>
      </c>
      <c r="D320" s="2" t="str">
        <f>IF(B320="","",IFERROR(VLOOKUP(B320, PLANTA_BASE!A:W, 5, FALSE), "NO ENCONTRADO EN PLANTA"))</f>
        <v/>
      </c>
      <c r="E320" s="2" t="str">
        <f>IF(B320="","",IFERROR(VLOOKUP(B320, PLANTA_BASE!A:W, 6, FALSE), "NO ENCONTRADO EN PLANTA"))</f>
        <v/>
      </c>
      <c r="F320" s="4" t="str">
        <f>IF(B320="","",IFERROR(VLOOKUP(B320, PLANTA_BASE!A:W, 8, FALSE), "DOCENTE / FACILITADOR"))</f>
        <v/>
      </c>
      <c r="G320" s="4" t="str">
        <f>IF(B320="","",IFERROR(VLOOKUP(B320, PLANTA_BASE!A:W, 9, FALSE), "GENERAL"))</f>
        <v/>
      </c>
      <c r="H320" s="2" t="str">
        <f>IF(B320="","",IFERROR(VLOOKUP(B320, PLANTA_BASE!A:W, 17, FALSE), "GENERAL"))</f>
        <v/>
      </c>
    </row>
    <row r="321" spans="1:8" ht="20.100000000000001" customHeight="1" x14ac:dyDescent="0.25">
      <c r="A321" s="5" t="str">
        <f>IF(B321="","",IFERROR(VLOOKUP(B321, PLANTA_BASE!A:W, 2, FALSE), "NO ENCONTRADO EN PLANTA"))</f>
        <v/>
      </c>
      <c r="B321" s="6"/>
      <c r="C321" s="7" t="str">
        <f>IF(B321="","",IFERROR(VLOOKUP(B321, PLANTA_BASE!A:W, 3, FALSE), ""))</f>
        <v/>
      </c>
      <c r="D321" s="5" t="str">
        <f>IF(B321="","",IFERROR(VLOOKUP(B321, PLANTA_BASE!A:W, 5, FALSE), "NO ENCONTRADO EN PLANTA"))</f>
        <v/>
      </c>
      <c r="E321" s="5" t="str">
        <f>IF(B321="","",IFERROR(VLOOKUP(B321, PLANTA_BASE!A:W, 6, FALSE), "NO ENCONTRADO EN PLANTA"))</f>
        <v/>
      </c>
      <c r="F321" s="7" t="str">
        <f>IF(B321="","",IFERROR(VLOOKUP(B321, PLANTA_BASE!A:W, 8, FALSE), "DOCENTE / FACILITADOR"))</f>
        <v/>
      </c>
      <c r="G321" s="7" t="str">
        <f>IF(B321="","",IFERROR(VLOOKUP(B321, PLANTA_BASE!A:W, 9, FALSE), "GENERAL"))</f>
        <v/>
      </c>
      <c r="H321" s="5" t="str">
        <f>IF(B321="","",IFERROR(VLOOKUP(B321, PLANTA_BASE!A:W, 17, FALSE), "GENERAL"))</f>
        <v/>
      </c>
    </row>
    <row r="322" spans="1:8" ht="20.100000000000001" customHeight="1" x14ac:dyDescent="0.25">
      <c r="A322" s="2" t="str">
        <f>IF(B322="","",IFERROR(VLOOKUP(B322, PLANTA_BASE!A:W, 2, FALSE), "NO ENCONTRADO EN PLANTA"))</f>
        <v/>
      </c>
      <c r="B322" s="3"/>
      <c r="C322" s="4" t="str">
        <f>IF(B322="","",IFERROR(VLOOKUP(B322, PLANTA_BASE!A:W, 3, FALSE), ""))</f>
        <v/>
      </c>
      <c r="D322" s="2" t="str">
        <f>IF(B322="","",IFERROR(VLOOKUP(B322, PLANTA_BASE!A:W, 5, FALSE), "NO ENCONTRADO EN PLANTA"))</f>
        <v/>
      </c>
      <c r="E322" s="2" t="str">
        <f>IF(B322="","",IFERROR(VLOOKUP(B322, PLANTA_BASE!A:W, 6, FALSE), "NO ENCONTRADO EN PLANTA"))</f>
        <v/>
      </c>
      <c r="F322" s="4" t="str">
        <f>IF(B322="","",IFERROR(VLOOKUP(B322, PLANTA_BASE!A:W, 8, FALSE), "DOCENTE / FACILITADOR"))</f>
        <v/>
      </c>
      <c r="G322" s="4" t="str">
        <f>IF(B322="","",IFERROR(VLOOKUP(B322, PLANTA_BASE!A:W, 9, FALSE), "GENERAL"))</f>
        <v/>
      </c>
      <c r="H322" s="2" t="str">
        <f>IF(B322="","",IFERROR(VLOOKUP(B322, PLANTA_BASE!A:W, 17, FALSE), "GENERAL"))</f>
        <v/>
      </c>
    </row>
    <row r="323" spans="1:8" ht="20.100000000000001" customHeight="1" x14ac:dyDescent="0.25">
      <c r="A323" s="5" t="str">
        <f>IF(B323="","",IFERROR(VLOOKUP(B323, PLANTA_BASE!A:W, 2, FALSE), "NO ENCONTRADO EN PLANTA"))</f>
        <v/>
      </c>
      <c r="B323" s="6"/>
      <c r="C323" s="7" t="str">
        <f>IF(B323="","",IFERROR(VLOOKUP(B323, PLANTA_BASE!A:W, 3, FALSE), ""))</f>
        <v/>
      </c>
      <c r="D323" s="5" t="str">
        <f>IF(B323="","",IFERROR(VLOOKUP(B323, PLANTA_BASE!A:W, 5, FALSE), "NO ENCONTRADO EN PLANTA"))</f>
        <v/>
      </c>
      <c r="E323" s="5" t="str">
        <f>IF(B323="","",IFERROR(VLOOKUP(B323, PLANTA_BASE!A:W, 6, FALSE), "NO ENCONTRADO EN PLANTA"))</f>
        <v/>
      </c>
      <c r="F323" s="7" t="str">
        <f>IF(B323="","",IFERROR(VLOOKUP(B323, PLANTA_BASE!A:W, 8, FALSE), "DOCENTE / FACILITADOR"))</f>
        <v/>
      </c>
      <c r="G323" s="7" t="str">
        <f>IF(B323="","",IFERROR(VLOOKUP(B323, PLANTA_BASE!A:W, 9, FALSE), "GENERAL"))</f>
        <v/>
      </c>
      <c r="H323" s="5" t="str">
        <f>IF(B323="","",IFERROR(VLOOKUP(B323, PLANTA_BASE!A:W, 17, FALSE), "GENERAL"))</f>
        <v/>
      </c>
    </row>
    <row r="324" spans="1:8" ht="20.100000000000001" customHeight="1" x14ac:dyDescent="0.25">
      <c r="A324" s="2" t="str">
        <f>IF(B324="","",IFERROR(VLOOKUP(B324, PLANTA_BASE!A:W, 2, FALSE), "NO ENCONTRADO EN PLANTA"))</f>
        <v/>
      </c>
      <c r="B324" s="3"/>
      <c r="C324" s="4" t="str">
        <f>IF(B324="","",IFERROR(VLOOKUP(B324, PLANTA_BASE!A:W, 3, FALSE), ""))</f>
        <v/>
      </c>
      <c r="D324" s="2" t="str">
        <f>IF(B324="","",IFERROR(VLOOKUP(B324, PLANTA_BASE!A:W, 5, FALSE), "NO ENCONTRADO EN PLANTA"))</f>
        <v/>
      </c>
      <c r="E324" s="2" t="str">
        <f>IF(B324="","",IFERROR(VLOOKUP(B324, PLANTA_BASE!A:W, 6, FALSE), "NO ENCONTRADO EN PLANTA"))</f>
        <v/>
      </c>
      <c r="F324" s="4" t="str">
        <f>IF(B324="","",IFERROR(VLOOKUP(B324, PLANTA_BASE!A:W, 8, FALSE), "DOCENTE / FACILITADOR"))</f>
        <v/>
      </c>
      <c r="G324" s="4" t="str">
        <f>IF(B324="","",IFERROR(VLOOKUP(B324, PLANTA_BASE!A:W, 9, FALSE), "GENERAL"))</f>
        <v/>
      </c>
      <c r="H324" s="2" t="str">
        <f>IF(B324="","",IFERROR(VLOOKUP(B324, PLANTA_BASE!A:W, 17, FALSE), "GENERAL"))</f>
        <v/>
      </c>
    </row>
    <row r="325" spans="1:8" ht="20.100000000000001" customHeight="1" x14ac:dyDescent="0.25">
      <c r="A325" s="5" t="str">
        <f>IF(B325="","",IFERROR(VLOOKUP(B325, PLANTA_BASE!A:W, 2, FALSE), "NO ENCONTRADO EN PLANTA"))</f>
        <v/>
      </c>
      <c r="B325" s="6"/>
      <c r="C325" s="7" t="str">
        <f>IF(B325="","",IFERROR(VLOOKUP(B325, PLANTA_BASE!A:W, 3, FALSE), ""))</f>
        <v/>
      </c>
      <c r="D325" s="5" t="str">
        <f>IF(B325="","",IFERROR(VLOOKUP(B325, PLANTA_BASE!A:W, 5, FALSE), "NO ENCONTRADO EN PLANTA"))</f>
        <v/>
      </c>
      <c r="E325" s="5" t="str">
        <f>IF(B325="","",IFERROR(VLOOKUP(B325, PLANTA_BASE!A:W, 6, FALSE), "NO ENCONTRADO EN PLANTA"))</f>
        <v/>
      </c>
      <c r="F325" s="7" t="str">
        <f>IF(B325="","",IFERROR(VLOOKUP(B325, PLANTA_BASE!A:W, 8, FALSE), "DOCENTE / FACILITADOR"))</f>
        <v/>
      </c>
      <c r="G325" s="7" t="str">
        <f>IF(B325="","",IFERROR(VLOOKUP(B325, PLANTA_BASE!A:W, 9, FALSE), "GENERAL"))</f>
        <v/>
      </c>
      <c r="H325" s="5" t="str">
        <f>IF(B325="","",IFERROR(VLOOKUP(B325, PLANTA_BASE!A:W, 17, FALSE), "GENERAL"))</f>
        <v/>
      </c>
    </row>
    <row r="326" spans="1:8" ht="20.100000000000001" customHeight="1" x14ac:dyDescent="0.25">
      <c r="A326" s="2" t="str">
        <f>IF(B326="","",IFERROR(VLOOKUP(B326, PLANTA_BASE!A:W, 2, FALSE), "NO ENCONTRADO EN PLANTA"))</f>
        <v/>
      </c>
      <c r="B326" s="3"/>
      <c r="C326" s="4" t="str">
        <f>IF(B326="","",IFERROR(VLOOKUP(B326, PLANTA_BASE!A:W, 3, FALSE), ""))</f>
        <v/>
      </c>
      <c r="D326" s="2" t="str">
        <f>IF(B326="","",IFERROR(VLOOKUP(B326, PLANTA_BASE!A:W, 5, FALSE), "NO ENCONTRADO EN PLANTA"))</f>
        <v/>
      </c>
      <c r="E326" s="2" t="str">
        <f>IF(B326="","",IFERROR(VLOOKUP(B326, PLANTA_BASE!A:W, 6, FALSE), "NO ENCONTRADO EN PLANTA"))</f>
        <v/>
      </c>
      <c r="F326" s="4" t="str">
        <f>IF(B326="","",IFERROR(VLOOKUP(B326, PLANTA_BASE!A:W, 8, FALSE), "DOCENTE / FACILITADOR"))</f>
        <v/>
      </c>
      <c r="G326" s="4" t="str">
        <f>IF(B326="","",IFERROR(VLOOKUP(B326, PLANTA_BASE!A:W, 9, FALSE), "GENERAL"))</f>
        <v/>
      </c>
      <c r="H326" s="2" t="str">
        <f>IF(B326="","",IFERROR(VLOOKUP(B326, PLANTA_BASE!A:W, 17, FALSE), "GENERAL"))</f>
        <v/>
      </c>
    </row>
    <row r="327" spans="1:8" ht="20.100000000000001" customHeight="1" x14ac:dyDescent="0.25">
      <c r="A327" s="5" t="str">
        <f>IF(B327="","",IFERROR(VLOOKUP(B327, PLANTA_BASE!A:W, 2, FALSE), "NO ENCONTRADO EN PLANTA"))</f>
        <v/>
      </c>
      <c r="B327" s="6"/>
      <c r="C327" s="7" t="str">
        <f>IF(B327="","",IFERROR(VLOOKUP(B327, PLANTA_BASE!A:W, 3, FALSE), ""))</f>
        <v/>
      </c>
      <c r="D327" s="5" t="str">
        <f>IF(B327="","",IFERROR(VLOOKUP(B327, PLANTA_BASE!A:W, 5, FALSE), "NO ENCONTRADO EN PLANTA"))</f>
        <v/>
      </c>
      <c r="E327" s="5" t="str">
        <f>IF(B327="","",IFERROR(VLOOKUP(B327, PLANTA_BASE!A:W, 6, FALSE), "NO ENCONTRADO EN PLANTA"))</f>
        <v/>
      </c>
      <c r="F327" s="7" t="str">
        <f>IF(B327="","",IFERROR(VLOOKUP(B327, PLANTA_BASE!A:W, 8, FALSE), "DOCENTE / FACILITADOR"))</f>
        <v/>
      </c>
      <c r="G327" s="7" t="str">
        <f>IF(B327="","",IFERROR(VLOOKUP(B327, PLANTA_BASE!A:W, 9, FALSE), "GENERAL"))</f>
        <v/>
      </c>
      <c r="H327" s="5" t="str">
        <f>IF(B327="","",IFERROR(VLOOKUP(B327, PLANTA_BASE!A:W, 17, FALSE), "GENERAL"))</f>
        <v/>
      </c>
    </row>
    <row r="328" spans="1:8" ht="20.100000000000001" customHeight="1" x14ac:dyDescent="0.25">
      <c r="A328" s="2" t="str">
        <f>IF(B328="","",IFERROR(VLOOKUP(B328, PLANTA_BASE!A:W, 2, FALSE), "NO ENCONTRADO EN PLANTA"))</f>
        <v/>
      </c>
      <c r="B328" s="3"/>
      <c r="C328" s="4" t="str">
        <f>IF(B328="","",IFERROR(VLOOKUP(B328, PLANTA_BASE!A:W, 3, FALSE), ""))</f>
        <v/>
      </c>
      <c r="D328" s="2" t="str">
        <f>IF(B328="","",IFERROR(VLOOKUP(B328, PLANTA_BASE!A:W, 5, FALSE), "NO ENCONTRADO EN PLANTA"))</f>
        <v/>
      </c>
      <c r="E328" s="2" t="str">
        <f>IF(B328="","",IFERROR(VLOOKUP(B328, PLANTA_BASE!A:W, 6, FALSE), "NO ENCONTRADO EN PLANTA"))</f>
        <v/>
      </c>
      <c r="F328" s="4" t="str">
        <f>IF(B328="","",IFERROR(VLOOKUP(B328, PLANTA_BASE!A:W, 8, FALSE), "DOCENTE / FACILITADOR"))</f>
        <v/>
      </c>
      <c r="G328" s="4" t="str">
        <f>IF(B328="","",IFERROR(VLOOKUP(B328, PLANTA_BASE!A:W, 9, FALSE), "GENERAL"))</f>
        <v/>
      </c>
      <c r="H328" s="2" t="str">
        <f>IF(B328="","",IFERROR(VLOOKUP(B328, PLANTA_BASE!A:W, 17, FALSE), "GENERAL"))</f>
        <v/>
      </c>
    </row>
    <row r="329" spans="1:8" ht="20.100000000000001" customHeight="1" x14ac:dyDescent="0.25">
      <c r="A329" s="5" t="str">
        <f>IF(B329="","",IFERROR(VLOOKUP(B329, PLANTA_BASE!A:W, 2, FALSE), "NO ENCONTRADO EN PLANTA"))</f>
        <v/>
      </c>
      <c r="B329" s="6"/>
      <c r="C329" s="7" t="str">
        <f>IF(B329="","",IFERROR(VLOOKUP(B329, PLANTA_BASE!A:W, 3, FALSE), ""))</f>
        <v/>
      </c>
      <c r="D329" s="5" t="str">
        <f>IF(B329="","",IFERROR(VLOOKUP(B329, PLANTA_BASE!A:W, 5, FALSE), "NO ENCONTRADO EN PLANTA"))</f>
        <v/>
      </c>
      <c r="E329" s="5" t="str">
        <f>IF(B329="","",IFERROR(VLOOKUP(B329, PLANTA_BASE!A:W, 6, FALSE), "NO ENCONTRADO EN PLANTA"))</f>
        <v/>
      </c>
      <c r="F329" s="7" t="str">
        <f>IF(B329="","",IFERROR(VLOOKUP(B329, PLANTA_BASE!A:W, 8, FALSE), "DOCENTE / FACILITADOR"))</f>
        <v/>
      </c>
      <c r="G329" s="7" t="str">
        <f>IF(B329="","",IFERROR(VLOOKUP(B329, PLANTA_BASE!A:W, 9, FALSE), "GENERAL"))</f>
        <v/>
      </c>
      <c r="H329" s="5" t="str">
        <f>IF(B329="","",IFERROR(VLOOKUP(B329, PLANTA_BASE!A:W, 17, FALSE), "GENERAL"))</f>
        <v/>
      </c>
    </row>
    <row r="330" spans="1:8" ht="20.100000000000001" customHeight="1" x14ac:dyDescent="0.25">
      <c r="A330" s="2" t="str">
        <f>IF(B330="","",IFERROR(VLOOKUP(B330, PLANTA_BASE!A:W, 2, FALSE), "NO ENCONTRADO EN PLANTA"))</f>
        <v/>
      </c>
      <c r="B330" s="3"/>
      <c r="C330" s="4" t="str">
        <f>IF(B330="","",IFERROR(VLOOKUP(B330, PLANTA_BASE!A:W, 3, FALSE), ""))</f>
        <v/>
      </c>
      <c r="D330" s="2" t="str">
        <f>IF(B330="","",IFERROR(VLOOKUP(B330, PLANTA_BASE!A:W, 5, FALSE), "NO ENCONTRADO EN PLANTA"))</f>
        <v/>
      </c>
      <c r="E330" s="2" t="str">
        <f>IF(B330="","",IFERROR(VLOOKUP(B330, PLANTA_BASE!A:W, 6, FALSE), "NO ENCONTRADO EN PLANTA"))</f>
        <v/>
      </c>
      <c r="F330" s="4" t="str">
        <f>IF(B330="","",IFERROR(VLOOKUP(B330, PLANTA_BASE!A:W, 8, FALSE), "DOCENTE / FACILITADOR"))</f>
        <v/>
      </c>
      <c r="G330" s="4" t="str">
        <f>IF(B330="","",IFERROR(VLOOKUP(B330, PLANTA_BASE!A:W, 9, FALSE), "GENERAL"))</f>
        <v/>
      </c>
      <c r="H330" s="2" t="str">
        <f>IF(B330="","",IFERROR(VLOOKUP(B330, PLANTA_BASE!A:W, 17, FALSE), "GENERAL"))</f>
        <v/>
      </c>
    </row>
    <row r="331" spans="1:8" ht="20.100000000000001" customHeight="1" x14ac:dyDescent="0.25">
      <c r="A331" s="5" t="str">
        <f>IF(B331="","",IFERROR(VLOOKUP(B331, PLANTA_BASE!A:W, 2, FALSE), "NO ENCONTRADO EN PLANTA"))</f>
        <v/>
      </c>
      <c r="B331" s="6"/>
      <c r="C331" s="7" t="str">
        <f>IF(B331="","",IFERROR(VLOOKUP(B331, PLANTA_BASE!A:W, 3, FALSE), ""))</f>
        <v/>
      </c>
      <c r="D331" s="5" t="str">
        <f>IF(B331="","",IFERROR(VLOOKUP(B331, PLANTA_BASE!A:W, 5, FALSE), "NO ENCONTRADO EN PLANTA"))</f>
        <v/>
      </c>
      <c r="E331" s="5" t="str">
        <f>IF(B331="","",IFERROR(VLOOKUP(B331, PLANTA_BASE!A:W, 6, FALSE), "NO ENCONTRADO EN PLANTA"))</f>
        <v/>
      </c>
      <c r="F331" s="7" t="str">
        <f>IF(B331="","",IFERROR(VLOOKUP(B331, PLANTA_BASE!A:W, 8, FALSE), "DOCENTE / FACILITADOR"))</f>
        <v/>
      </c>
      <c r="G331" s="7" t="str">
        <f>IF(B331="","",IFERROR(VLOOKUP(B331, PLANTA_BASE!A:W, 9, FALSE), "GENERAL"))</f>
        <v/>
      </c>
      <c r="H331" s="5" t="str">
        <f>IF(B331="","",IFERROR(VLOOKUP(B331, PLANTA_BASE!A:W, 17, FALSE), "GENERAL"))</f>
        <v/>
      </c>
    </row>
    <row r="332" spans="1:8" ht="20.100000000000001" customHeight="1" x14ac:dyDescent="0.25">
      <c r="A332" s="2" t="str">
        <f>IF(B332="","",IFERROR(VLOOKUP(B332, PLANTA_BASE!A:W, 2, FALSE), "NO ENCONTRADO EN PLANTA"))</f>
        <v/>
      </c>
      <c r="B332" s="3"/>
      <c r="C332" s="4" t="str">
        <f>IF(B332="","",IFERROR(VLOOKUP(B332, PLANTA_BASE!A:W, 3, FALSE), ""))</f>
        <v/>
      </c>
      <c r="D332" s="2" t="str">
        <f>IF(B332="","",IFERROR(VLOOKUP(B332, PLANTA_BASE!A:W, 5, FALSE), "NO ENCONTRADO EN PLANTA"))</f>
        <v/>
      </c>
      <c r="E332" s="2" t="str">
        <f>IF(B332="","",IFERROR(VLOOKUP(B332, PLANTA_BASE!A:W, 6, FALSE), "NO ENCONTRADO EN PLANTA"))</f>
        <v/>
      </c>
      <c r="F332" s="4" t="str">
        <f>IF(B332="","",IFERROR(VLOOKUP(B332, PLANTA_BASE!A:W, 8, FALSE), "DOCENTE / FACILITADOR"))</f>
        <v/>
      </c>
      <c r="G332" s="4" t="str">
        <f>IF(B332="","",IFERROR(VLOOKUP(B332, PLANTA_BASE!A:W, 9, FALSE), "GENERAL"))</f>
        <v/>
      </c>
      <c r="H332" s="2" t="str">
        <f>IF(B332="","",IFERROR(VLOOKUP(B332, PLANTA_BASE!A:W, 17, FALSE), "GENERAL"))</f>
        <v/>
      </c>
    </row>
    <row r="333" spans="1:8" ht="20.100000000000001" customHeight="1" x14ac:dyDescent="0.25">
      <c r="A333" s="5" t="str">
        <f>IF(B333="","",IFERROR(VLOOKUP(B333, PLANTA_BASE!A:W, 2, FALSE), "NO ENCONTRADO EN PLANTA"))</f>
        <v/>
      </c>
      <c r="B333" s="6"/>
      <c r="C333" s="7" t="str">
        <f>IF(B333="","",IFERROR(VLOOKUP(B333, PLANTA_BASE!A:W, 3, FALSE), ""))</f>
        <v/>
      </c>
      <c r="D333" s="5" t="str">
        <f>IF(B333="","",IFERROR(VLOOKUP(B333, PLANTA_BASE!A:W, 5, FALSE), "NO ENCONTRADO EN PLANTA"))</f>
        <v/>
      </c>
      <c r="E333" s="5" t="str">
        <f>IF(B333="","",IFERROR(VLOOKUP(B333, PLANTA_BASE!A:W, 6, FALSE), "NO ENCONTRADO EN PLANTA"))</f>
        <v/>
      </c>
      <c r="F333" s="7" t="str">
        <f>IF(B333="","",IFERROR(VLOOKUP(B333, PLANTA_BASE!A:W, 8, FALSE), "DOCENTE / FACILITADOR"))</f>
        <v/>
      </c>
      <c r="G333" s="7" t="str">
        <f>IF(B333="","",IFERROR(VLOOKUP(B333, PLANTA_BASE!A:W, 9, FALSE), "GENERAL"))</f>
        <v/>
      </c>
      <c r="H333" s="5" t="str">
        <f>IF(B333="","",IFERROR(VLOOKUP(B333, PLANTA_BASE!A:W, 17, FALSE), "GENERAL"))</f>
        <v/>
      </c>
    </row>
    <row r="334" spans="1:8" ht="20.100000000000001" customHeight="1" x14ac:dyDescent="0.25">
      <c r="A334" s="2" t="str">
        <f>IF(B334="","",IFERROR(VLOOKUP(B334, PLANTA_BASE!A:W, 2, FALSE), "NO ENCONTRADO EN PLANTA"))</f>
        <v/>
      </c>
      <c r="B334" s="3"/>
      <c r="C334" s="4" t="str">
        <f>IF(B334="","",IFERROR(VLOOKUP(B334, PLANTA_BASE!A:W, 3, FALSE), ""))</f>
        <v/>
      </c>
      <c r="D334" s="2" t="str">
        <f>IF(B334="","",IFERROR(VLOOKUP(B334, PLANTA_BASE!A:W, 5, FALSE), "NO ENCONTRADO EN PLANTA"))</f>
        <v/>
      </c>
      <c r="E334" s="2" t="str">
        <f>IF(B334="","",IFERROR(VLOOKUP(B334, PLANTA_BASE!A:W, 6, FALSE), "NO ENCONTRADO EN PLANTA"))</f>
        <v/>
      </c>
      <c r="F334" s="4" t="str">
        <f>IF(B334="","",IFERROR(VLOOKUP(B334, PLANTA_BASE!A:W, 8, FALSE), "DOCENTE / FACILITADOR"))</f>
        <v/>
      </c>
      <c r="G334" s="4" t="str">
        <f>IF(B334="","",IFERROR(VLOOKUP(B334, PLANTA_BASE!A:W, 9, FALSE), "GENERAL"))</f>
        <v/>
      </c>
      <c r="H334" s="2" t="str">
        <f>IF(B334="","",IFERROR(VLOOKUP(B334, PLANTA_BASE!A:W, 17, FALSE), "GENERAL"))</f>
        <v/>
      </c>
    </row>
    <row r="335" spans="1:8" ht="20.100000000000001" customHeight="1" x14ac:dyDescent="0.25">
      <c r="A335" s="5" t="str">
        <f>IF(B335="","",IFERROR(VLOOKUP(B335, PLANTA_BASE!A:W, 2, FALSE), "NO ENCONTRADO EN PLANTA"))</f>
        <v/>
      </c>
      <c r="B335" s="6"/>
      <c r="C335" s="7" t="str">
        <f>IF(B335="","",IFERROR(VLOOKUP(B335, PLANTA_BASE!A:W, 3, FALSE), ""))</f>
        <v/>
      </c>
      <c r="D335" s="5" t="str">
        <f>IF(B335="","",IFERROR(VLOOKUP(B335, PLANTA_BASE!A:W, 5, FALSE), "NO ENCONTRADO EN PLANTA"))</f>
        <v/>
      </c>
      <c r="E335" s="5" t="str">
        <f>IF(B335="","",IFERROR(VLOOKUP(B335, PLANTA_BASE!A:W, 6, FALSE), "NO ENCONTRADO EN PLANTA"))</f>
        <v/>
      </c>
      <c r="F335" s="7" t="str">
        <f>IF(B335="","",IFERROR(VLOOKUP(B335, PLANTA_BASE!A:W, 8, FALSE), "DOCENTE / FACILITADOR"))</f>
        <v/>
      </c>
      <c r="G335" s="7" t="str">
        <f>IF(B335="","",IFERROR(VLOOKUP(B335, PLANTA_BASE!A:W, 9, FALSE), "GENERAL"))</f>
        <v/>
      </c>
      <c r="H335" s="5" t="str">
        <f>IF(B335="","",IFERROR(VLOOKUP(B335, PLANTA_BASE!A:W, 17, FALSE), "GENERAL"))</f>
        <v/>
      </c>
    </row>
    <row r="336" spans="1:8" ht="20.100000000000001" customHeight="1" x14ac:dyDescent="0.25">
      <c r="A336" s="2" t="str">
        <f>IF(B336="","",IFERROR(VLOOKUP(B336, PLANTA_BASE!A:W, 2, FALSE), "NO ENCONTRADO EN PLANTA"))</f>
        <v/>
      </c>
      <c r="B336" s="3"/>
      <c r="C336" s="4" t="str">
        <f>IF(B336="","",IFERROR(VLOOKUP(B336, PLANTA_BASE!A:W, 3, FALSE), ""))</f>
        <v/>
      </c>
      <c r="D336" s="2" t="str">
        <f>IF(B336="","",IFERROR(VLOOKUP(B336, PLANTA_BASE!A:W, 5, FALSE), "NO ENCONTRADO EN PLANTA"))</f>
        <v/>
      </c>
      <c r="E336" s="2" t="str">
        <f>IF(B336="","",IFERROR(VLOOKUP(B336, PLANTA_BASE!A:W, 6, FALSE), "NO ENCONTRADO EN PLANTA"))</f>
        <v/>
      </c>
      <c r="F336" s="4" t="str">
        <f>IF(B336="","",IFERROR(VLOOKUP(B336, PLANTA_BASE!A:W, 8, FALSE), "DOCENTE / FACILITADOR"))</f>
        <v/>
      </c>
      <c r="G336" s="4" t="str">
        <f>IF(B336="","",IFERROR(VLOOKUP(B336, PLANTA_BASE!A:W, 9, FALSE), "GENERAL"))</f>
        <v/>
      </c>
      <c r="H336" s="2" t="str">
        <f>IF(B336="","",IFERROR(VLOOKUP(B336, PLANTA_BASE!A:W, 17, FALSE), "GENERAL"))</f>
        <v/>
      </c>
    </row>
    <row r="337" spans="1:8" ht="20.100000000000001" customHeight="1" x14ac:dyDescent="0.25">
      <c r="A337" s="5" t="str">
        <f>IF(B337="","",IFERROR(VLOOKUP(B337, PLANTA_BASE!A:W, 2, FALSE), "NO ENCONTRADO EN PLANTA"))</f>
        <v/>
      </c>
      <c r="B337" s="6"/>
      <c r="C337" s="7" t="str">
        <f>IF(B337="","",IFERROR(VLOOKUP(B337, PLANTA_BASE!A:W, 3, FALSE), ""))</f>
        <v/>
      </c>
      <c r="D337" s="5" t="str">
        <f>IF(B337="","",IFERROR(VLOOKUP(B337, PLANTA_BASE!A:W, 5, FALSE), "NO ENCONTRADO EN PLANTA"))</f>
        <v/>
      </c>
      <c r="E337" s="5" t="str">
        <f>IF(B337="","",IFERROR(VLOOKUP(B337, PLANTA_BASE!A:W, 6, FALSE), "NO ENCONTRADO EN PLANTA"))</f>
        <v/>
      </c>
      <c r="F337" s="7" t="str">
        <f>IF(B337="","",IFERROR(VLOOKUP(B337, PLANTA_BASE!A:W, 8, FALSE), "DOCENTE / FACILITADOR"))</f>
        <v/>
      </c>
      <c r="G337" s="7" t="str">
        <f>IF(B337="","",IFERROR(VLOOKUP(B337, PLANTA_BASE!A:W, 9, FALSE), "GENERAL"))</f>
        <v/>
      </c>
      <c r="H337" s="5" t="str">
        <f>IF(B337="","",IFERROR(VLOOKUP(B337, PLANTA_BASE!A:W, 17, FALSE), "GENERAL"))</f>
        <v/>
      </c>
    </row>
    <row r="338" spans="1:8" ht="20.100000000000001" customHeight="1" x14ac:dyDescent="0.25">
      <c r="A338" s="2" t="str">
        <f>IF(B338="","",IFERROR(VLOOKUP(B338, PLANTA_BASE!A:W, 2, FALSE), "NO ENCONTRADO EN PLANTA"))</f>
        <v/>
      </c>
      <c r="B338" s="3"/>
      <c r="C338" s="4" t="str">
        <f>IF(B338="","",IFERROR(VLOOKUP(B338, PLANTA_BASE!A:W, 3, FALSE), ""))</f>
        <v/>
      </c>
      <c r="D338" s="2" t="str">
        <f>IF(B338="","",IFERROR(VLOOKUP(B338, PLANTA_BASE!A:W, 5, FALSE), "NO ENCONTRADO EN PLANTA"))</f>
        <v/>
      </c>
      <c r="E338" s="2" t="str">
        <f>IF(B338="","",IFERROR(VLOOKUP(B338, PLANTA_BASE!A:W, 6, FALSE), "NO ENCONTRADO EN PLANTA"))</f>
        <v/>
      </c>
      <c r="F338" s="4" t="str">
        <f>IF(B338="","",IFERROR(VLOOKUP(B338, PLANTA_BASE!A:W, 8, FALSE), "DOCENTE / FACILITADOR"))</f>
        <v/>
      </c>
      <c r="G338" s="4" t="str">
        <f>IF(B338="","",IFERROR(VLOOKUP(B338, PLANTA_BASE!A:W, 9, FALSE), "GENERAL"))</f>
        <v/>
      </c>
      <c r="H338" s="2" t="str">
        <f>IF(B338="","",IFERROR(VLOOKUP(B338, PLANTA_BASE!A:W, 17, FALSE), "GENERAL"))</f>
        <v/>
      </c>
    </row>
    <row r="339" spans="1:8" ht="20.100000000000001" customHeight="1" x14ac:dyDescent="0.25">
      <c r="A339" s="5" t="str">
        <f>IF(B339="","",IFERROR(VLOOKUP(B339, PLANTA_BASE!A:W, 2, FALSE), "NO ENCONTRADO EN PLANTA"))</f>
        <v/>
      </c>
      <c r="B339" s="6"/>
      <c r="C339" s="7" t="str">
        <f>IF(B339="","",IFERROR(VLOOKUP(B339, PLANTA_BASE!A:W, 3, FALSE), ""))</f>
        <v/>
      </c>
      <c r="D339" s="5" t="str">
        <f>IF(B339="","",IFERROR(VLOOKUP(B339, PLANTA_BASE!A:W, 5, FALSE), "NO ENCONTRADO EN PLANTA"))</f>
        <v/>
      </c>
      <c r="E339" s="5" t="str">
        <f>IF(B339="","",IFERROR(VLOOKUP(B339, PLANTA_BASE!A:W, 6, FALSE), "NO ENCONTRADO EN PLANTA"))</f>
        <v/>
      </c>
      <c r="F339" s="7" t="str">
        <f>IF(B339="","",IFERROR(VLOOKUP(B339, PLANTA_BASE!A:W, 8, FALSE), "DOCENTE / FACILITADOR"))</f>
        <v/>
      </c>
      <c r="G339" s="7" t="str">
        <f>IF(B339="","",IFERROR(VLOOKUP(B339, PLANTA_BASE!A:W, 9, FALSE), "GENERAL"))</f>
        <v/>
      </c>
      <c r="H339" s="5" t="str">
        <f>IF(B339="","",IFERROR(VLOOKUP(B339, PLANTA_BASE!A:W, 17, FALSE), "GENERAL"))</f>
        <v/>
      </c>
    </row>
    <row r="340" spans="1:8" ht="20.100000000000001" customHeight="1" x14ac:dyDescent="0.25">
      <c r="A340" s="2" t="str">
        <f>IF(B340="","",IFERROR(VLOOKUP(B340, PLANTA_BASE!A:W, 2, FALSE), "NO ENCONTRADO EN PLANTA"))</f>
        <v/>
      </c>
      <c r="B340" s="3"/>
      <c r="C340" s="4" t="str">
        <f>IF(B340="","",IFERROR(VLOOKUP(B340, PLANTA_BASE!A:W, 3, FALSE), ""))</f>
        <v/>
      </c>
      <c r="D340" s="2" t="str">
        <f>IF(B340="","",IFERROR(VLOOKUP(B340, PLANTA_BASE!A:W, 5, FALSE), "NO ENCONTRADO EN PLANTA"))</f>
        <v/>
      </c>
      <c r="E340" s="2" t="str">
        <f>IF(B340="","",IFERROR(VLOOKUP(B340, PLANTA_BASE!A:W, 6, FALSE), "NO ENCONTRADO EN PLANTA"))</f>
        <v/>
      </c>
      <c r="F340" s="4" t="str">
        <f>IF(B340="","",IFERROR(VLOOKUP(B340, PLANTA_BASE!A:W, 8, FALSE), "DOCENTE / FACILITADOR"))</f>
        <v/>
      </c>
      <c r="G340" s="4" t="str">
        <f>IF(B340="","",IFERROR(VLOOKUP(B340, PLANTA_BASE!A:W, 9, FALSE), "GENERAL"))</f>
        <v/>
      </c>
      <c r="H340" s="2" t="str">
        <f>IF(B340="","",IFERROR(VLOOKUP(B340, PLANTA_BASE!A:W, 17, FALSE), "GENERAL"))</f>
        <v/>
      </c>
    </row>
    <row r="341" spans="1:8" ht="20.100000000000001" customHeight="1" x14ac:dyDescent="0.25">
      <c r="A341" s="5" t="str">
        <f>IF(B341="","",IFERROR(VLOOKUP(B341, PLANTA_BASE!A:W, 2, FALSE), "NO ENCONTRADO EN PLANTA"))</f>
        <v/>
      </c>
      <c r="B341" s="6"/>
      <c r="C341" s="7" t="str">
        <f>IF(B341="","",IFERROR(VLOOKUP(B341, PLANTA_BASE!A:W, 3, FALSE), ""))</f>
        <v/>
      </c>
      <c r="D341" s="5" t="str">
        <f>IF(B341="","",IFERROR(VLOOKUP(B341, PLANTA_BASE!A:W, 5, FALSE), "NO ENCONTRADO EN PLANTA"))</f>
        <v/>
      </c>
      <c r="E341" s="5" t="str">
        <f>IF(B341="","",IFERROR(VLOOKUP(B341, PLANTA_BASE!A:W, 6, FALSE), "NO ENCONTRADO EN PLANTA"))</f>
        <v/>
      </c>
      <c r="F341" s="7" t="str">
        <f>IF(B341="","",IFERROR(VLOOKUP(B341, PLANTA_BASE!A:W, 8, FALSE), "DOCENTE / FACILITADOR"))</f>
        <v/>
      </c>
      <c r="G341" s="7" t="str">
        <f>IF(B341="","",IFERROR(VLOOKUP(B341, PLANTA_BASE!A:W, 9, FALSE), "GENERAL"))</f>
        <v/>
      </c>
      <c r="H341" s="5" t="str">
        <f>IF(B341="","",IFERROR(VLOOKUP(B341, PLANTA_BASE!A:W, 17, FALSE), "GENERAL"))</f>
        <v/>
      </c>
    </row>
    <row r="342" spans="1:8" ht="20.100000000000001" customHeight="1" x14ac:dyDescent="0.25">
      <c r="A342" s="2" t="str">
        <f>IF(B342="","",IFERROR(VLOOKUP(B342, PLANTA_BASE!A:W, 2, FALSE), "NO ENCONTRADO EN PLANTA"))</f>
        <v/>
      </c>
      <c r="B342" s="3"/>
      <c r="C342" s="4" t="str">
        <f>IF(B342="","",IFERROR(VLOOKUP(B342, PLANTA_BASE!A:W, 3, FALSE), ""))</f>
        <v/>
      </c>
      <c r="D342" s="2" t="str">
        <f>IF(B342="","",IFERROR(VLOOKUP(B342, PLANTA_BASE!A:W, 5, FALSE), "NO ENCONTRADO EN PLANTA"))</f>
        <v/>
      </c>
      <c r="E342" s="2" t="str">
        <f>IF(B342="","",IFERROR(VLOOKUP(B342, PLANTA_BASE!A:W, 6, FALSE), "NO ENCONTRADO EN PLANTA"))</f>
        <v/>
      </c>
      <c r="F342" s="4" t="str">
        <f>IF(B342="","",IFERROR(VLOOKUP(B342, PLANTA_BASE!A:W, 8, FALSE), "DOCENTE / FACILITADOR"))</f>
        <v/>
      </c>
      <c r="G342" s="4" t="str">
        <f>IF(B342="","",IFERROR(VLOOKUP(B342, PLANTA_BASE!A:W, 9, FALSE), "GENERAL"))</f>
        <v/>
      </c>
      <c r="H342" s="2" t="str">
        <f>IF(B342="","",IFERROR(VLOOKUP(B342, PLANTA_BASE!A:W, 17, FALSE), "GENERAL"))</f>
        <v/>
      </c>
    </row>
    <row r="343" spans="1:8" ht="20.100000000000001" customHeight="1" x14ac:dyDescent="0.25">
      <c r="A343" s="5" t="str">
        <f>IF(B343="","",IFERROR(VLOOKUP(B343, PLANTA_BASE!A:W, 2, FALSE), "NO ENCONTRADO EN PLANTA"))</f>
        <v/>
      </c>
      <c r="B343" s="6"/>
      <c r="C343" s="7" t="str">
        <f>IF(B343="","",IFERROR(VLOOKUP(B343, PLANTA_BASE!A:W, 3, FALSE), ""))</f>
        <v/>
      </c>
      <c r="D343" s="5" t="str">
        <f>IF(B343="","",IFERROR(VLOOKUP(B343, PLANTA_BASE!A:W, 5, FALSE), "NO ENCONTRADO EN PLANTA"))</f>
        <v/>
      </c>
      <c r="E343" s="5" t="str">
        <f>IF(B343="","",IFERROR(VLOOKUP(B343, PLANTA_BASE!A:W, 6, FALSE), "NO ENCONTRADO EN PLANTA"))</f>
        <v/>
      </c>
      <c r="F343" s="7" t="str">
        <f>IF(B343="","",IFERROR(VLOOKUP(B343, PLANTA_BASE!A:W, 8, FALSE), "DOCENTE / FACILITADOR"))</f>
        <v/>
      </c>
      <c r="G343" s="7" t="str">
        <f>IF(B343="","",IFERROR(VLOOKUP(B343, PLANTA_BASE!A:W, 9, FALSE), "GENERAL"))</f>
        <v/>
      </c>
      <c r="H343" s="5" t="str">
        <f>IF(B343="","",IFERROR(VLOOKUP(B343, PLANTA_BASE!A:W, 17, FALSE), "GENERAL"))</f>
        <v/>
      </c>
    </row>
    <row r="344" spans="1:8" ht="20.100000000000001" customHeight="1" x14ac:dyDescent="0.25">
      <c r="A344" s="2" t="str">
        <f>IF(B344="","",IFERROR(VLOOKUP(B344, PLANTA_BASE!A:W, 2, FALSE), "NO ENCONTRADO EN PLANTA"))</f>
        <v/>
      </c>
      <c r="B344" s="3"/>
      <c r="C344" s="4" t="str">
        <f>IF(B344="","",IFERROR(VLOOKUP(B344, PLANTA_BASE!A:W, 3, FALSE), ""))</f>
        <v/>
      </c>
      <c r="D344" s="2" t="str">
        <f>IF(B344="","",IFERROR(VLOOKUP(B344, PLANTA_BASE!A:W, 5, FALSE), "NO ENCONTRADO EN PLANTA"))</f>
        <v/>
      </c>
      <c r="E344" s="2" t="str">
        <f>IF(B344="","",IFERROR(VLOOKUP(B344, PLANTA_BASE!A:W, 6, FALSE), "NO ENCONTRADO EN PLANTA"))</f>
        <v/>
      </c>
      <c r="F344" s="4" t="str">
        <f>IF(B344="","",IFERROR(VLOOKUP(B344, PLANTA_BASE!A:W, 8, FALSE), "DOCENTE / FACILITADOR"))</f>
        <v/>
      </c>
      <c r="G344" s="4" t="str">
        <f>IF(B344="","",IFERROR(VLOOKUP(B344, PLANTA_BASE!A:W, 9, FALSE), "GENERAL"))</f>
        <v/>
      </c>
      <c r="H344" s="2" t="str">
        <f>IF(B344="","",IFERROR(VLOOKUP(B344, PLANTA_BASE!A:W, 17, FALSE), "GENERAL"))</f>
        <v/>
      </c>
    </row>
    <row r="345" spans="1:8" ht="20.100000000000001" customHeight="1" x14ac:dyDescent="0.25">
      <c r="A345" s="5" t="str">
        <f>IF(B345="","",IFERROR(VLOOKUP(B345, PLANTA_BASE!A:W, 2, FALSE), "NO ENCONTRADO EN PLANTA"))</f>
        <v/>
      </c>
      <c r="B345" s="6"/>
      <c r="C345" s="7" t="str">
        <f>IF(B345="","",IFERROR(VLOOKUP(B345, PLANTA_BASE!A:W, 3, FALSE), ""))</f>
        <v/>
      </c>
      <c r="D345" s="5" t="str">
        <f>IF(B345="","",IFERROR(VLOOKUP(B345, PLANTA_BASE!A:W, 5, FALSE), "NO ENCONTRADO EN PLANTA"))</f>
        <v/>
      </c>
      <c r="E345" s="5" t="str">
        <f>IF(B345="","",IFERROR(VLOOKUP(B345, PLANTA_BASE!A:W, 6, FALSE), "NO ENCONTRADO EN PLANTA"))</f>
        <v/>
      </c>
      <c r="F345" s="7" t="str">
        <f>IF(B345="","",IFERROR(VLOOKUP(B345, PLANTA_BASE!A:W, 8, FALSE), "DOCENTE / FACILITADOR"))</f>
        <v/>
      </c>
      <c r="G345" s="7" t="str">
        <f>IF(B345="","",IFERROR(VLOOKUP(B345, PLANTA_BASE!A:W, 9, FALSE), "GENERAL"))</f>
        <v/>
      </c>
      <c r="H345" s="5" t="str">
        <f>IF(B345="","",IFERROR(VLOOKUP(B345, PLANTA_BASE!A:W, 17, FALSE), "GENERAL"))</f>
        <v/>
      </c>
    </row>
    <row r="346" spans="1:8" ht="20.100000000000001" customHeight="1" x14ac:dyDescent="0.25">
      <c r="A346" s="2" t="str">
        <f>IF(B346="","",IFERROR(VLOOKUP(B346, PLANTA_BASE!A:W, 2, FALSE), "NO ENCONTRADO EN PLANTA"))</f>
        <v/>
      </c>
      <c r="B346" s="3"/>
      <c r="C346" s="4" t="str">
        <f>IF(B346="","",IFERROR(VLOOKUP(B346, PLANTA_BASE!A:W, 3, FALSE), ""))</f>
        <v/>
      </c>
      <c r="D346" s="2" t="str">
        <f>IF(B346="","",IFERROR(VLOOKUP(B346, PLANTA_BASE!A:W, 5, FALSE), "NO ENCONTRADO EN PLANTA"))</f>
        <v/>
      </c>
      <c r="E346" s="2" t="str">
        <f>IF(B346="","",IFERROR(VLOOKUP(B346, PLANTA_BASE!A:W, 6, FALSE), "NO ENCONTRADO EN PLANTA"))</f>
        <v/>
      </c>
      <c r="F346" s="4" t="str">
        <f>IF(B346="","",IFERROR(VLOOKUP(B346, PLANTA_BASE!A:W, 8, FALSE), "DOCENTE / FACILITADOR"))</f>
        <v/>
      </c>
      <c r="G346" s="4" t="str">
        <f>IF(B346="","",IFERROR(VLOOKUP(B346, PLANTA_BASE!A:W, 9, FALSE), "GENERAL"))</f>
        <v/>
      </c>
      <c r="H346" s="2" t="str">
        <f>IF(B346="","",IFERROR(VLOOKUP(B346, PLANTA_BASE!A:W, 17, FALSE), "GENERAL"))</f>
        <v/>
      </c>
    </row>
    <row r="347" spans="1:8" ht="20.100000000000001" customHeight="1" x14ac:dyDescent="0.25">
      <c r="A347" s="5" t="str">
        <f>IF(B347="","",IFERROR(VLOOKUP(B347, PLANTA_BASE!A:W, 2, FALSE), "NO ENCONTRADO EN PLANTA"))</f>
        <v/>
      </c>
      <c r="B347" s="6"/>
      <c r="C347" s="7" t="str">
        <f>IF(B347="","",IFERROR(VLOOKUP(B347, PLANTA_BASE!A:W, 3, FALSE), ""))</f>
        <v/>
      </c>
      <c r="D347" s="5" t="str">
        <f>IF(B347="","",IFERROR(VLOOKUP(B347, PLANTA_BASE!A:W, 5, FALSE), "NO ENCONTRADO EN PLANTA"))</f>
        <v/>
      </c>
      <c r="E347" s="5" t="str">
        <f>IF(B347="","",IFERROR(VLOOKUP(B347, PLANTA_BASE!A:W, 6, FALSE), "NO ENCONTRADO EN PLANTA"))</f>
        <v/>
      </c>
      <c r="F347" s="7" t="str">
        <f>IF(B347="","",IFERROR(VLOOKUP(B347, PLANTA_BASE!A:W, 8, FALSE), "DOCENTE / FACILITADOR"))</f>
        <v/>
      </c>
      <c r="G347" s="7" t="str">
        <f>IF(B347="","",IFERROR(VLOOKUP(B347, PLANTA_BASE!A:W, 9, FALSE), "GENERAL"))</f>
        <v/>
      </c>
      <c r="H347" s="5" t="str">
        <f>IF(B347="","",IFERROR(VLOOKUP(B347, PLANTA_BASE!A:W, 17, FALSE), "GENERAL"))</f>
        <v/>
      </c>
    </row>
    <row r="348" spans="1:8" ht="20.100000000000001" customHeight="1" x14ac:dyDescent="0.25">
      <c r="A348" s="2" t="str">
        <f>IF(B348="","",IFERROR(VLOOKUP(B348, PLANTA_BASE!A:W, 2, FALSE), "NO ENCONTRADO EN PLANTA"))</f>
        <v/>
      </c>
      <c r="B348" s="3"/>
      <c r="C348" s="4" t="str">
        <f>IF(B348="","",IFERROR(VLOOKUP(B348, PLANTA_BASE!A:W, 3, FALSE), ""))</f>
        <v/>
      </c>
      <c r="D348" s="2" t="str">
        <f>IF(B348="","",IFERROR(VLOOKUP(B348, PLANTA_BASE!A:W, 5, FALSE), "NO ENCONTRADO EN PLANTA"))</f>
        <v/>
      </c>
      <c r="E348" s="2" t="str">
        <f>IF(B348="","",IFERROR(VLOOKUP(B348, PLANTA_BASE!A:W, 6, FALSE), "NO ENCONTRADO EN PLANTA"))</f>
        <v/>
      </c>
      <c r="F348" s="4" t="str">
        <f>IF(B348="","",IFERROR(VLOOKUP(B348, PLANTA_BASE!A:W, 8, FALSE), "DOCENTE / FACILITADOR"))</f>
        <v/>
      </c>
      <c r="G348" s="4" t="str">
        <f>IF(B348="","",IFERROR(VLOOKUP(B348, PLANTA_BASE!A:W, 9, FALSE), "GENERAL"))</f>
        <v/>
      </c>
      <c r="H348" s="2" t="str">
        <f>IF(B348="","",IFERROR(VLOOKUP(B348, PLANTA_BASE!A:W, 17, FALSE), "GENERAL"))</f>
        <v/>
      </c>
    </row>
    <row r="349" spans="1:8" ht="20.100000000000001" customHeight="1" x14ac:dyDescent="0.25">
      <c r="A349" s="5" t="str">
        <f>IF(B349="","",IFERROR(VLOOKUP(B349, PLANTA_BASE!A:W, 2, FALSE), "NO ENCONTRADO EN PLANTA"))</f>
        <v/>
      </c>
      <c r="B349" s="6"/>
      <c r="C349" s="7" t="str">
        <f>IF(B349="","",IFERROR(VLOOKUP(B349, PLANTA_BASE!A:W, 3, FALSE), ""))</f>
        <v/>
      </c>
      <c r="D349" s="5" t="str">
        <f>IF(B349="","",IFERROR(VLOOKUP(B349, PLANTA_BASE!A:W, 5, FALSE), "NO ENCONTRADO EN PLANTA"))</f>
        <v/>
      </c>
      <c r="E349" s="5" t="str">
        <f>IF(B349="","",IFERROR(VLOOKUP(B349, PLANTA_BASE!A:W, 6, FALSE), "NO ENCONTRADO EN PLANTA"))</f>
        <v/>
      </c>
      <c r="F349" s="7" t="str">
        <f>IF(B349="","",IFERROR(VLOOKUP(B349, PLANTA_BASE!A:W, 8, FALSE), "DOCENTE / FACILITADOR"))</f>
        <v/>
      </c>
      <c r="G349" s="7" t="str">
        <f>IF(B349="","",IFERROR(VLOOKUP(B349, PLANTA_BASE!A:W, 9, FALSE), "GENERAL"))</f>
        <v/>
      </c>
      <c r="H349" s="5" t="str">
        <f>IF(B349="","",IFERROR(VLOOKUP(B349, PLANTA_BASE!A:W, 17, FALSE), "GENERAL"))</f>
        <v/>
      </c>
    </row>
    <row r="350" spans="1:8" ht="20.100000000000001" customHeight="1" x14ac:dyDescent="0.25">
      <c r="A350" s="2" t="str">
        <f>IF(B350="","",IFERROR(VLOOKUP(B350, PLANTA_BASE!A:W, 2, FALSE), "NO ENCONTRADO EN PLANTA"))</f>
        <v/>
      </c>
      <c r="B350" s="3"/>
      <c r="C350" s="4" t="str">
        <f>IF(B350="","",IFERROR(VLOOKUP(B350, PLANTA_BASE!A:W, 3, FALSE), ""))</f>
        <v/>
      </c>
      <c r="D350" s="2" t="str">
        <f>IF(B350="","",IFERROR(VLOOKUP(B350, PLANTA_BASE!A:W, 5, FALSE), "NO ENCONTRADO EN PLANTA"))</f>
        <v/>
      </c>
      <c r="E350" s="2" t="str">
        <f>IF(B350="","",IFERROR(VLOOKUP(B350, PLANTA_BASE!A:W, 6, FALSE), "NO ENCONTRADO EN PLANTA"))</f>
        <v/>
      </c>
      <c r="F350" s="4" t="str">
        <f>IF(B350="","",IFERROR(VLOOKUP(B350, PLANTA_BASE!A:W, 8, FALSE), "DOCENTE / FACILITADOR"))</f>
        <v/>
      </c>
      <c r="G350" s="4" t="str">
        <f>IF(B350="","",IFERROR(VLOOKUP(B350, PLANTA_BASE!A:W, 9, FALSE), "GENERAL"))</f>
        <v/>
      </c>
      <c r="H350" s="2" t="str">
        <f>IF(B350="","",IFERROR(VLOOKUP(B350, PLANTA_BASE!A:W, 17, FALSE), "GENERAL"))</f>
        <v/>
      </c>
    </row>
    <row r="351" spans="1:8" ht="20.100000000000001" customHeight="1" x14ac:dyDescent="0.25">
      <c r="A351" s="5" t="str">
        <f>IF(B351="","",IFERROR(VLOOKUP(B351, PLANTA_BASE!A:W, 2, FALSE), "NO ENCONTRADO EN PLANTA"))</f>
        <v/>
      </c>
      <c r="B351" s="6"/>
      <c r="C351" s="7" t="str">
        <f>IF(B351="","",IFERROR(VLOOKUP(B351, PLANTA_BASE!A:W, 3, FALSE), ""))</f>
        <v/>
      </c>
      <c r="D351" s="5" t="str">
        <f>IF(B351="","",IFERROR(VLOOKUP(B351, PLANTA_BASE!A:W, 5, FALSE), "NO ENCONTRADO EN PLANTA"))</f>
        <v/>
      </c>
      <c r="E351" s="5" t="str">
        <f>IF(B351="","",IFERROR(VLOOKUP(B351, PLANTA_BASE!A:W, 6, FALSE), "NO ENCONTRADO EN PLANTA"))</f>
        <v/>
      </c>
      <c r="F351" s="7" t="str">
        <f>IF(B351="","",IFERROR(VLOOKUP(B351, PLANTA_BASE!A:W, 8, FALSE), "DOCENTE / FACILITADOR"))</f>
        <v/>
      </c>
      <c r="G351" s="7" t="str">
        <f>IF(B351="","",IFERROR(VLOOKUP(B351, PLANTA_BASE!A:W, 9, FALSE), "GENERAL"))</f>
        <v/>
      </c>
      <c r="H351" s="5" t="str">
        <f>IF(B351="","",IFERROR(VLOOKUP(B351, PLANTA_BASE!A:W, 17, FALSE), "GENERAL"))</f>
        <v/>
      </c>
    </row>
    <row r="352" spans="1:8" ht="20.100000000000001" customHeight="1" x14ac:dyDescent="0.25">
      <c r="A352" s="2" t="str">
        <f>IF(B352="","",IFERROR(VLOOKUP(B352, PLANTA_BASE!A:W, 2, FALSE), "NO ENCONTRADO EN PLANTA"))</f>
        <v/>
      </c>
      <c r="B352" s="3"/>
      <c r="C352" s="4" t="str">
        <f>IF(B352="","",IFERROR(VLOOKUP(B352, PLANTA_BASE!A:W, 3, FALSE), ""))</f>
        <v/>
      </c>
      <c r="D352" s="2" t="str">
        <f>IF(B352="","",IFERROR(VLOOKUP(B352, PLANTA_BASE!A:W, 5, FALSE), "NO ENCONTRADO EN PLANTA"))</f>
        <v/>
      </c>
      <c r="E352" s="2" t="str">
        <f>IF(B352="","",IFERROR(VLOOKUP(B352, PLANTA_BASE!A:W, 6, FALSE), "NO ENCONTRADO EN PLANTA"))</f>
        <v/>
      </c>
      <c r="F352" s="4" t="str">
        <f>IF(B352="","",IFERROR(VLOOKUP(B352, PLANTA_BASE!A:W, 8, FALSE), "DOCENTE / FACILITADOR"))</f>
        <v/>
      </c>
      <c r="G352" s="4" t="str">
        <f>IF(B352="","",IFERROR(VLOOKUP(B352, PLANTA_BASE!A:W, 9, FALSE), "GENERAL"))</f>
        <v/>
      </c>
      <c r="H352" s="2" t="str">
        <f>IF(B352="","",IFERROR(VLOOKUP(B352, PLANTA_BASE!A:W, 17, FALSE), "GENERAL"))</f>
        <v/>
      </c>
    </row>
    <row r="353" spans="1:8" ht="20.100000000000001" customHeight="1" x14ac:dyDescent="0.25">
      <c r="A353" s="5" t="str">
        <f>IF(B353="","",IFERROR(VLOOKUP(B353, PLANTA_BASE!A:W, 2, FALSE), "NO ENCONTRADO EN PLANTA"))</f>
        <v/>
      </c>
      <c r="B353" s="6"/>
      <c r="C353" s="7" t="str">
        <f>IF(B353="","",IFERROR(VLOOKUP(B353, PLANTA_BASE!A:W, 3, FALSE), ""))</f>
        <v/>
      </c>
      <c r="D353" s="5" t="str">
        <f>IF(B353="","",IFERROR(VLOOKUP(B353, PLANTA_BASE!A:W, 5, FALSE), "NO ENCONTRADO EN PLANTA"))</f>
        <v/>
      </c>
      <c r="E353" s="5" t="str">
        <f>IF(B353="","",IFERROR(VLOOKUP(B353, PLANTA_BASE!A:W, 6, FALSE), "NO ENCONTRADO EN PLANTA"))</f>
        <v/>
      </c>
      <c r="F353" s="7" t="str">
        <f>IF(B353="","",IFERROR(VLOOKUP(B353, PLANTA_BASE!A:W, 8, FALSE), "DOCENTE / FACILITADOR"))</f>
        <v/>
      </c>
      <c r="G353" s="7" t="str">
        <f>IF(B353="","",IFERROR(VLOOKUP(B353, PLANTA_BASE!A:W, 9, FALSE), "GENERAL"))</f>
        <v/>
      </c>
      <c r="H353" s="5" t="str">
        <f>IF(B353="","",IFERROR(VLOOKUP(B353, PLANTA_BASE!A:W, 17, FALSE), "GENERAL"))</f>
        <v/>
      </c>
    </row>
    <row r="354" spans="1:8" ht="20.100000000000001" customHeight="1" x14ac:dyDescent="0.25">
      <c r="A354" s="2" t="str">
        <f>IF(B354="","",IFERROR(VLOOKUP(B354, PLANTA_BASE!A:W, 2, FALSE), "NO ENCONTRADO EN PLANTA"))</f>
        <v/>
      </c>
      <c r="B354" s="3"/>
      <c r="C354" s="4" t="str">
        <f>IF(B354="","",IFERROR(VLOOKUP(B354, PLANTA_BASE!A:W, 3, FALSE), ""))</f>
        <v/>
      </c>
      <c r="D354" s="2" t="str">
        <f>IF(B354="","",IFERROR(VLOOKUP(B354, PLANTA_BASE!A:W, 5, FALSE), "NO ENCONTRADO EN PLANTA"))</f>
        <v/>
      </c>
      <c r="E354" s="2" t="str">
        <f>IF(B354="","",IFERROR(VLOOKUP(B354, PLANTA_BASE!A:W, 6, FALSE), "NO ENCONTRADO EN PLANTA"))</f>
        <v/>
      </c>
      <c r="F354" s="4" t="str">
        <f>IF(B354="","",IFERROR(VLOOKUP(B354, PLANTA_BASE!A:W, 8, FALSE), "DOCENTE / FACILITADOR"))</f>
        <v/>
      </c>
      <c r="G354" s="4" t="str">
        <f>IF(B354="","",IFERROR(VLOOKUP(B354, PLANTA_BASE!A:W, 9, FALSE), "GENERAL"))</f>
        <v/>
      </c>
      <c r="H354" s="2" t="str">
        <f>IF(B354="","",IFERROR(VLOOKUP(B354, PLANTA_BASE!A:W, 17, FALSE), "GENERAL"))</f>
        <v/>
      </c>
    </row>
    <row r="355" spans="1:8" ht="20.100000000000001" customHeight="1" x14ac:dyDescent="0.25">
      <c r="A355" s="5" t="str">
        <f>IF(B355="","",IFERROR(VLOOKUP(B355, PLANTA_BASE!A:W, 2, FALSE), "NO ENCONTRADO EN PLANTA"))</f>
        <v/>
      </c>
      <c r="B355" s="6"/>
      <c r="C355" s="7" t="str">
        <f>IF(B355="","",IFERROR(VLOOKUP(B355, PLANTA_BASE!A:W, 3, FALSE), ""))</f>
        <v/>
      </c>
      <c r="D355" s="5" t="str">
        <f>IF(B355="","",IFERROR(VLOOKUP(B355, PLANTA_BASE!A:W, 5, FALSE), "NO ENCONTRADO EN PLANTA"))</f>
        <v/>
      </c>
      <c r="E355" s="5" t="str">
        <f>IF(B355="","",IFERROR(VLOOKUP(B355, PLANTA_BASE!A:W, 6, FALSE), "NO ENCONTRADO EN PLANTA"))</f>
        <v/>
      </c>
      <c r="F355" s="7" t="str">
        <f>IF(B355="","",IFERROR(VLOOKUP(B355, PLANTA_BASE!A:W, 8, FALSE), "DOCENTE / FACILITADOR"))</f>
        <v/>
      </c>
      <c r="G355" s="7" t="str">
        <f>IF(B355="","",IFERROR(VLOOKUP(B355, PLANTA_BASE!A:W, 9, FALSE), "GENERAL"))</f>
        <v/>
      </c>
      <c r="H355" s="5" t="str">
        <f>IF(B355="","",IFERROR(VLOOKUP(B355, PLANTA_BASE!A:W, 17, FALSE), "GENERAL"))</f>
        <v/>
      </c>
    </row>
    <row r="356" spans="1:8" ht="20.100000000000001" customHeight="1" x14ac:dyDescent="0.25">
      <c r="A356" s="2" t="str">
        <f>IF(B356="","",IFERROR(VLOOKUP(B356, PLANTA_BASE!A:W, 2, FALSE), "NO ENCONTRADO EN PLANTA"))</f>
        <v/>
      </c>
      <c r="B356" s="3"/>
      <c r="C356" s="4" t="str">
        <f>IF(B356="","",IFERROR(VLOOKUP(B356, PLANTA_BASE!A:W, 3, FALSE), ""))</f>
        <v/>
      </c>
      <c r="D356" s="2" t="str">
        <f>IF(B356="","",IFERROR(VLOOKUP(B356, PLANTA_BASE!A:W, 5, FALSE), "NO ENCONTRADO EN PLANTA"))</f>
        <v/>
      </c>
      <c r="E356" s="2" t="str">
        <f>IF(B356="","",IFERROR(VLOOKUP(B356, PLANTA_BASE!A:W, 6, FALSE), "NO ENCONTRADO EN PLANTA"))</f>
        <v/>
      </c>
      <c r="F356" s="4" t="str">
        <f>IF(B356="","",IFERROR(VLOOKUP(B356, PLANTA_BASE!A:W, 8, FALSE), "DOCENTE / FACILITADOR"))</f>
        <v/>
      </c>
      <c r="G356" s="4" t="str">
        <f>IF(B356="","",IFERROR(VLOOKUP(B356, PLANTA_BASE!A:W, 9, FALSE), "GENERAL"))</f>
        <v/>
      </c>
      <c r="H356" s="2" t="str">
        <f>IF(B356="","",IFERROR(VLOOKUP(B356, PLANTA_BASE!A:W, 17, FALSE), "GENERAL"))</f>
        <v/>
      </c>
    </row>
    <row r="357" spans="1:8" ht="20.100000000000001" customHeight="1" x14ac:dyDescent="0.25">
      <c r="A357" s="5" t="str">
        <f>IF(B357="","",IFERROR(VLOOKUP(B357, PLANTA_BASE!A:W, 2, FALSE), "NO ENCONTRADO EN PLANTA"))</f>
        <v/>
      </c>
      <c r="B357" s="6"/>
      <c r="C357" s="7" t="str">
        <f>IF(B357="","",IFERROR(VLOOKUP(B357, PLANTA_BASE!A:W, 3, FALSE), ""))</f>
        <v/>
      </c>
      <c r="D357" s="5" t="str">
        <f>IF(B357="","",IFERROR(VLOOKUP(B357, PLANTA_BASE!A:W, 5, FALSE), "NO ENCONTRADO EN PLANTA"))</f>
        <v/>
      </c>
      <c r="E357" s="5" t="str">
        <f>IF(B357="","",IFERROR(VLOOKUP(B357, PLANTA_BASE!A:W, 6, FALSE), "NO ENCONTRADO EN PLANTA"))</f>
        <v/>
      </c>
      <c r="F357" s="7" t="str">
        <f>IF(B357="","",IFERROR(VLOOKUP(B357, PLANTA_BASE!A:W, 8, FALSE), "DOCENTE / FACILITADOR"))</f>
        <v/>
      </c>
      <c r="G357" s="7" t="str">
        <f>IF(B357="","",IFERROR(VLOOKUP(B357, PLANTA_BASE!A:W, 9, FALSE), "GENERAL"))</f>
        <v/>
      </c>
      <c r="H357" s="5" t="str">
        <f>IF(B357="","",IFERROR(VLOOKUP(B357, PLANTA_BASE!A:W, 17, FALSE), "GENERAL"))</f>
        <v/>
      </c>
    </row>
    <row r="358" spans="1:8" ht="20.100000000000001" customHeight="1" x14ac:dyDescent="0.25">
      <c r="A358" s="2" t="str">
        <f>IF(B358="","",IFERROR(VLOOKUP(B358, PLANTA_BASE!A:W, 2, FALSE), "NO ENCONTRADO EN PLANTA"))</f>
        <v/>
      </c>
      <c r="B358" s="3"/>
      <c r="C358" s="4" t="str">
        <f>IF(B358="","",IFERROR(VLOOKUP(B358, PLANTA_BASE!A:W, 3, FALSE), ""))</f>
        <v/>
      </c>
      <c r="D358" s="2" t="str">
        <f>IF(B358="","",IFERROR(VLOOKUP(B358, PLANTA_BASE!A:W, 5, FALSE), "NO ENCONTRADO EN PLANTA"))</f>
        <v/>
      </c>
      <c r="E358" s="2" t="str">
        <f>IF(B358="","",IFERROR(VLOOKUP(B358, PLANTA_BASE!A:W, 6, FALSE), "NO ENCONTRADO EN PLANTA"))</f>
        <v/>
      </c>
      <c r="F358" s="4" t="str">
        <f>IF(B358="","",IFERROR(VLOOKUP(B358, PLANTA_BASE!A:W, 8, FALSE), "DOCENTE / FACILITADOR"))</f>
        <v/>
      </c>
      <c r="G358" s="4" t="str">
        <f>IF(B358="","",IFERROR(VLOOKUP(B358, PLANTA_BASE!A:W, 9, FALSE), "GENERAL"))</f>
        <v/>
      </c>
      <c r="H358" s="2" t="str">
        <f>IF(B358="","",IFERROR(VLOOKUP(B358, PLANTA_BASE!A:W, 17, FALSE), "GENERAL"))</f>
        <v/>
      </c>
    </row>
    <row r="359" spans="1:8" ht="20.100000000000001" customHeight="1" x14ac:dyDescent="0.25">
      <c r="A359" s="5" t="str">
        <f>IF(B359="","",IFERROR(VLOOKUP(B359, PLANTA_BASE!A:W, 2, FALSE), "NO ENCONTRADO EN PLANTA"))</f>
        <v/>
      </c>
      <c r="B359" s="6"/>
      <c r="C359" s="7" t="str">
        <f>IF(B359="","",IFERROR(VLOOKUP(B359, PLANTA_BASE!A:W, 3, FALSE), ""))</f>
        <v/>
      </c>
      <c r="D359" s="5" t="str">
        <f>IF(B359="","",IFERROR(VLOOKUP(B359, PLANTA_BASE!A:W, 5, FALSE), "NO ENCONTRADO EN PLANTA"))</f>
        <v/>
      </c>
      <c r="E359" s="5" t="str">
        <f>IF(B359="","",IFERROR(VLOOKUP(B359, PLANTA_BASE!A:W, 6, FALSE), "NO ENCONTRADO EN PLANTA"))</f>
        <v/>
      </c>
      <c r="F359" s="7" t="str">
        <f>IF(B359="","",IFERROR(VLOOKUP(B359, PLANTA_BASE!A:W, 8, FALSE), "DOCENTE / FACILITADOR"))</f>
        <v/>
      </c>
      <c r="G359" s="7" t="str">
        <f>IF(B359="","",IFERROR(VLOOKUP(B359, PLANTA_BASE!A:W, 9, FALSE), "GENERAL"))</f>
        <v/>
      </c>
      <c r="H359" s="5" t="str">
        <f>IF(B359="","",IFERROR(VLOOKUP(B359, PLANTA_BASE!A:W, 17, FALSE), "GENERAL"))</f>
        <v/>
      </c>
    </row>
    <row r="360" spans="1:8" ht="20.100000000000001" customHeight="1" x14ac:dyDescent="0.25">
      <c r="A360" s="2" t="str">
        <f>IF(B360="","",IFERROR(VLOOKUP(B360, PLANTA_BASE!A:W, 2, FALSE), "NO ENCONTRADO EN PLANTA"))</f>
        <v/>
      </c>
      <c r="B360" s="3"/>
      <c r="C360" s="4" t="str">
        <f>IF(B360="","",IFERROR(VLOOKUP(B360, PLANTA_BASE!A:W, 3, FALSE), ""))</f>
        <v/>
      </c>
      <c r="D360" s="2" t="str">
        <f>IF(B360="","",IFERROR(VLOOKUP(B360, PLANTA_BASE!A:W, 5, FALSE), "NO ENCONTRADO EN PLANTA"))</f>
        <v/>
      </c>
      <c r="E360" s="2" t="str">
        <f>IF(B360="","",IFERROR(VLOOKUP(B360, PLANTA_BASE!A:W, 6, FALSE), "NO ENCONTRADO EN PLANTA"))</f>
        <v/>
      </c>
      <c r="F360" s="4" t="str">
        <f>IF(B360="","",IFERROR(VLOOKUP(B360, PLANTA_BASE!A:W, 8, FALSE), "DOCENTE / FACILITADOR"))</f>
        <v/>
      </c>
      <c r="G360" s="4" t="str">
        <f>IF(B360="","",IFERROR(VLOOKUP(B360, PLANTA_BASE!A:W, 9, FALSE), "GENERAL"))</f>
        <v/>
      </c>
      <c r="H360" s="2" t="str">
        <f>IF(B360="","",IFERROR(VLOOKUP(B360, PLANTA_BASE!A:W, 17, FALSE), "GENERAL"))</f>
        <v/>
      </c>
    </row>
    <row r="361" spans="1:8" ht="20.100000000000001" customHeight="1" x14ac:dyDescent="0.25">
      <c r="A361" s="5" t="str">
        <f>IF(B361="","",IFERROR(VLOOKUP(B361, PLANTA_BASE!A:W, 2, FALSE), "NO ENCONTRADO EN PLANTA"))</f>
        <v/>
      </c>
      <c r="B361" s="6"/>
      <c r="C361" s="7" t="str">
        <f>IF(B361="","",IFERROR(VLOOKUP(B361, PLANTA_BASE!A:W, 3, FALSE), ""))</f>
        <v/>
      </c>
      <c r="D361" s="5" t="str">
        <f>IF(B361="","",IFERROR(VLOOKUP(B361, PLANTA_BASE!A:W, 5, FALSE), "NO ENCONTRADO EN PLANTA"))</f>
        <v/>
      </c>
      <c r="E361" s="5" t="str">
        <f>IF(B361="","",IFERROR(VLOOKUP(B361, PLANTA_BASE!A:W, 6, FALSE), "NO ENCONTRADO EN PLANTA"))</f>
        <v/>
      </c>
      <c r="F361" s="7" t="str">
        <f>IF(B361="","",IFERROR(VLOOKUP(B361, PLANTA_BASE!A:W, 8, FALSE), "DOCENTE / FACILITADOR"))</f>
        <v/>
      </c>
      <c r="G361" s="7" t="str">
        <f>IF(B361="","",IFERROR(VLOOKUP(B361, PLANTA_BASE!A:W, 9, FALSE), "GENERAL"))</f>
        <v/>
      </c>
      <c r="H361" s="5" t="str">
        <f>IF(B361="","",IFERROR(VLOOKUP(B361, PLANTA_BASE!A:W, 17, FALSE), "GENERAL"))</f>
        <v/>
      </c>
    </row>
    <row r="362" spans="1:8" ht="20.100000000000001" customHeight="1" x14ac:dyDescent="0.25">
      <c r="A362" s="2" t="str">
        <f>IF(B362="","",IFERROR(VLOOKUP(B362, PLANTA_BASE!A:W, 2, FALSE), "NO ENCONTRADO EN PLANTA"))</f>
        <v/>
      </c>
      <c r="B362" s="3"/>
      <c r="C362" s="4" t="str">
        <f>IF(B362="","",IFERROR(VLOOKUP(B362, PLANTA_BASE!A:W, 3, FALSE), ""))</f>
        <v/>
      </c>
      <c r="D362" s="2" t="str">
        <f>IF(B362="","",IFERROR(VLOOKUP(B362, PLANTA_BASE!A:W, 5, FALSE), "NO ENCONTRADO EN PLANTA"))</f>
        <v/>
      </c>
      <c r="E362" s="2" t="str">
        <f>IF(B362="","",IFERROR(VLOOKUP(B362, PLANTA_BASE!A:W, 6, FALSE), "NO ENCONTRADO EN PLANTA"))</f>
        <v/>
      </c>
      <c r="F362" s="4" t="str">
        <f>IF(B362="","",IFERROR(VLOOKUP(B362, PLANTA_BASE!A:W, 8, FALSE), "DOCENTE / FACILITADOR"))</f>
        <v/>
      </c>
      <c r="G362" s="4" t="str">
        <f>IF(B362="","",IFERROR(VLOOKUP(B362, PLANTA_BASE!A:W, 9, FALSE), "GENERAL"))</f>
        <v/>
      </c>
      <c r="H362" s="2" t="str">
        <f>IF(B362="","",IFERROR(VLOOKUP(B362, PLANTA_BASE!A:W, 17, FALSE), "GENERAL"))</f>
        <v/>
      </c>
    </row>
    <row r="363" spans="1:8" ht="20.100000000000001" customHeight="1" x14ac:dyDescent="0.25">
      <c r="A363" s="5" t="str">
        <f>IF(B363="","",IFERROR(VLOOKUP(B363, PLANTA_BASE!A:W, 2, FALSE), "NO ENCONTRADO EN PLANTA"))</f>
        <v/>
      </c>
      <c r="B363" s="6"/>
      <c r="C363" s="7" t="str">
        <f>IF(B363="","",IFERROR(VLOOKUP(B363, PLANTA_BASE!A:W, 3, FALSE), ""))</f>
        <v/>
      </c>
      <c r="D363" s="5" t="str">
        <f>IF(B363="","",IFERROR(VLOOKUP(B363, PLANTA_BASE!A:W, 5, FALSE), "NO ENCONTRADO EN PLANTA"))</f>
        <v/>
      </c>
      <c r="E363" s="5" t="str">
        <f>IF(B363="","",IFERROR(VLOOKUP(B363, PLANTA_BASE!A:W, 6, FALSE), "NO ENCONTRADO EN PLANTA"))</f>
        <v/>
      </c>
      <c r="F363" s="7" t="str">
        <f>IF(B363="","",IFERROR(VLOOKUP(B363, PLANTA_BASE!A:W, 8, FALSE), "DOCENTE / FACILITADOR"))</f>
        <v/>
      </c>
      <c r="G363" s="7" t="str">
        <f>IF(B363="","",IFERROR(VLOOKUP(B363, PLANTA_BASE!A:W, 9, FALSE), "GENERAL"))</f>
        <v/>
      </c>
      <c r="H363" s="5" t="str">
        <f>IF(B363="","",IFERROR(VLOOKUP(B363, PLANTA_BASE!A:W, 17, FALSE), "GENERAL"))</f>
        <v/>
      </c>
    </row>
    <row r="364" spans="1:8" ht="20.100000000000001" customHeight="1" x14ac:dyDescent="0.25">
      <c r="A364" s="2" t="str">
        <f>IF(B364="","",IFERROR(VLOOKUP(B364, PLANTA_BASE!A:W, 2, FALSE), "NO ENCONTRADO EN PLANTA"))</f>
        <v/>
      </c>
      <c r="B364" s="3"/>
      <c r="C364" s="4" t="str">
        <f>IF(B364="","",IFERROR(VLOOKUP(B364, PLANTA_BASE!A:W, 3, FALSE), ""))</f>
        <v/>
      </c>
      <c r="D364" s="2" t="str">
        <f>IF(B364="","",IFERROR(VLOOKUP(B364, PLANTA_BASE!A:W, 5, FALSE), "NO ENCONTRADO EN PLANTA"))</f>
        <v/>
      </c>
      <c r="E364" s="2" t="str">
        <f>IF(B364="","",IFERROR(VLOOKUP(B364, PLANTA_BASE!A:W, 6, FALSE), "NO ENCONTRADO EN PLANTA"))</f>
        <v/>
      </c>
      <c r="F364" s="4" t="str">
        <f>IF(B364="","",IFERROR(VLOOKUP(B364, PLANTA_BASE!A:W, 8, FALSE), "DOCENTE / FACILITADOR"))</f>
        <v/>
      </c>
      <c r="G364" s="4" t="str">
        <f>IF(B364="","",IFERROR(VLOOKUP(B364, PLANTA_BASE!A:W, 9, FALSE), "GENERAL"))</f>
        <v/>
      </c>
      <c r="H364" s="2" t="str">
        <f>IF(B364="","",IFERROR(VLOOKUP(B364, PLANTA_BASE!A:W, 17, FALSE), "GENERAL"))</f>
        <v/>
      </c>
    </row>
    <row r="365" spans="1:8" ht="20.100000000000001" customHeight="1" x14ac:dyDescent="0.25">
      <c r="A365" s="5" t="str">
        <f>IF(B365="","",IFERROR(VLOOKUP(B365, PLANTA_BASE!A:W, 2, FALSE), "NO ENCONTRADO EN PLANTA"))</f>
        <v/>
      </c>
      <c r="B365" s="6"/>
      <c r="C365" s="7" t="str">
        <f>IF(B365="","",IFERROR(VLOOKUP(B365, PLANTA_BASE!A:W, 3, FALSE), ""))</f>
        <v/>
      </c>
      <c r="D365" s="5" t="str">
        <f>IF(B365="","",IFERROR(VLOOKUP(B365, PLANTA_BASE!A:W, 5, FALSE), "NO ENCONTRADO EN PLANTA"))</f>
        <v/>
      </c>
      <c r="E365" s="5" t="str">
        <f>IF(B365="","",IFERROR(VLOOKUP(B365, PLANTA_BASE!A:W, 6, FALSE), "NO ENCONTRADO EN PLANTA"))</f>
        <v/>
      </c>
      <c r="F365" s="7" t="str">
        <f>IF(B365="","",IFERROR(VLOOKUP(B365, PLANTA_BASE!A:W, 8, FALSE), "DOCENTE / FACILITADOR"))</f>
        <v/>
      </c>
      <c r="G365" s="7" t="str">
        <f>IF(B365="","",IFERROR(VLOOKUP(B365, PLANTA_BASE!A:W, 9, FALSE), "GENERAL"))</f>
        <v/>
      </c>
      <c r="H365" s="5" t="str">
        <f>IF(B365="","",IFERROR(VLOOKUP(B365, PLANTA_BASE!A:W, 17, FALSE), "GENERAL"))</f>
        <v/>
      </c>
    </row>
    <row r="366" spans="1:8" ht="20.100000000000001" customHeight="1" x14ac:dyDescent="0.25">
      <c r="A366" s="2" t="str">
        <f>IF(B366="","",IFERROR(VLOOKUP(B366, PLANTA_BASE!A:W, 2, FALSE), "NO ENCONTRADO EN PLANTA"))</f>
        <v/>
      </c>
      <c r="B366" s="3"/>
      <c r="C366" s="4" t="str">
        <f>IF(B366="","",IFERROR(VLOOKUP(B366, PLANTA_BASE!A:W, 3, FALSE), ""))</f>
        <v/>
      </c>
      <c r="D366" s="2" t="str">
        <f>IF(B366="","",IFERROR(VLOOKUP(B366, PLANTA_BASE!A:W, 5, FALSE), "NO ENCONTRADO EN PLANTA"))</f>
        <v/>
      </c>
      <c r="E366" s="2" t="str">
        <f>IF(B366="","",IFERROR(VLOOKUP(B366, PLANTA_BASE!A:W, 6, FALSE), "NO ENCONTRADO EN PLANTA"))</f>
        <v/>
      </c>
      <c r="F366" s="4" t="str">
        <f>IF(B366="","",IFERROR(VLOOKUP(B366, PLANTA_BASE!A:W, 8, FALSE), "DOCENTE / FACILITADOR"))</f>
        <v/>
      </c>
      <c r="G366" s="4" t="str">
        <f>IF(B366="","",IFERROR(VLOOKUP(B366, PLANTA_BASE!A:W, 9, FALSE), "GENERAL"))</f>
        <v/>
      </c>
      <c r="H366" s="2" t="str">
        <f>IF(B366="","",IFERROR(VLOOKUP(B366, PLANTA_BASE!A:W, 17, FALSE), "GENERAL"))</f>
        <v/>
      </c>
    </row>
    <row r="367" spans="1:8" ht="20.100000000000001" customHeight="1" x14ac:dyDescent="0.25">
      <c r="A367" s="5" t="str">
        <f>IF(B367="","",IFERROR(VLOOKUP(B367, PLANTA_BASE!A:W, 2, FALSE), "NO ENCONTRADO EN PLANTA"))</f>
        <v/>
      </c>
      <c r="B367" s="6"/>
      <c r="C367" s="7" t="str">
        <f>IF(B367="","",IFERROR(VLOOKUP(B367, PLANTA_BASE!A:W, 3, FALSE), ""))</f>
        <v/>
      </c>
      <c r="D367" s="5" t="str">
        <f>IF(B367="","",IFERROR(VLOOKUP(B367, PLANTA_BASE!A:W, 5, FALSE), "NO ENCONTRADO EN PLANTA"))</f>
        <v/>
      </c>
      <c r="E367" s="5" t="str">
        <f>IF(B367="","",IFERROR(VLOOKUP(B367, PLANTA_BASE!A:W, 6, FALSE), "NO ENCONTRADO EN PLANTA"))</f>
        <v/>
      </c>
      <c r="F367" s="7" t="str">
        <f>IF(B367="","",IFERROR(VLOOKUP(B367, PLANTA_BASE!A:W, 8, FALSE), "DOCENTE / FACILITADOR"))</f>
        <v/>
      </c>
      <c r="G367" s="7" t="str">
        <f>IF(B367="","",IFERROR(VLOOKUP(B367, PLANTA_BASE!A:W, 9, FALSE), "GENERAL"))</f>
        <v/>
      </c>
      <c r="H367" s="5" t="str">
        <f>IF(B367="","",IFERROR(VLOOKUP(B367, PLANTA_BASE!A:W, 17, FALSE), "GENERAL"))</f>
        <v/>
      </c>
    </row>
    <row r="368" spans="1:8" ht="20.100000000000001" customHeight="1" x14ac:dyDescent="0.25">
      <c r="A368" s="2" t="str">
        <f>IF(B368="","",IFERROR(VLOOKUP(B368, PLANTA_BASE!A:W, 2, FALSE), "NO ENCONTRADO EN PLANTA"))</f>
        <v/>
      </c>
      <c r="B368" s="3"/>
      <c r="C368" s="4" t="str">
        <f>IF(B368="","",IFERROR(VLOOKUP(B368, PLANTA_BASE!A:W, 3, FALSE), ""))</f>
        <v/>
      </c>
      <c r="D368" s="2" t="str">
        <f>IF(B368="","",IFERROR(VLOOKUP(B368, PLANTA_BASE!A:W, 5, FALSE), "NO ENCONTRADO EN PLANTA"))</f>
        <v/>
      </c>
      <c r="E368" s="2" t="str">
        <f>IF(B368="","",IFERROR(VLOOKUP(B368, PLANTA_BASE!A:W, 6, FALSE), "NO ENCONTRADO EN PLANTA"))</f>
        <v/>
      </c>
      <c r="F368" s="4" t="str">
        <f>IF(B368="","",IFERROR(VLOOKUP(B368, PLANTA_BASE!A:W, 8, FALSE), "DOCENTE / FACILITADOR"))</f>
        <v/>
      </c>
      <c r="G368" s="4" t="str">
        <f>IF(B368="","",IFERROR(VLOOKUP(B368, PLANTA_BASE!A:W, 9, FALSE), "GENERAL"))</f>
        <v/>
      </c>
      <c r="H368" s="2" t="str">
        <f>IF(B368="","",IFERROR(VLOOKUP(B368, PLANTA_BASE!A:W, 17, FALSE), "GENERAL"))</f>
        <v/>
      </c>
    </row>
    <row r="369" spans="1:8" ht="20.100000000000001" customHeight="1" x14ac:dyDescent="0.25">
      <c r="A369" s="5" t="str">
        <f>IF(B369="","",IFERROR(VLOOKUP(B369, PLANTA_BASE!A:W, 2, FALSE), "NO ENCONTRADO EN PLANTA"))</f>
        <v/>
      </c>
      <c r="B369" s="6"/>
      <c r="C369" s="7" t="str">
        <f>IF(B369="","",IFERROR(VLOOKUP(B369, PLANTA_BASE!A:W, 3, FALSE), ""))</f>
        <v/>
      </c>
      <c r="D369" s="5" t="str">
        <f>IF(B369="","",IFERROR(VLOOKUP(B369, PLANTA_BASE!A:W, 5, FALSE), "NO ENCONTRADO EN PLANTA"))</f>
        <v/>
      </c>
      <c r="E369" s="5" t="str">
        <f>IF(B369="","",IFERROR(VLOOKUP(B369, PLANTA_BASE!A:W, 6, FALSE), "NO ENCONTRADO EN PLANTA"))</f>
        <v/>
      </c>
      <c r="F369" s="7" t="str">
        <f>IF(B369="","",IFERROR(VLOOKUP(B369, PLANTA_BASE!A:W, 8, FALSE), "DOCENTE / FACILITADOR"))</f>
        <v/>
      </c>
      <c r="G369" s="7" t="str">
        <f>IF(B369="","",IFERROR(VLOOKUP(B369, PLANTA_BASE!A:W, 9, FALSE), "GENERAL"))</f>
        <v/>
      </c>
      <c r="H369" s="5" t="str">
        <f>IF(B369="","",IFERROR(VLOOKUP(B369, PLANTA_BASE!A:W, 17, FALSE), "GENERAL"))</f>
        <v/>
      </c>
    </row>
    <row r="370" spans="1:8" ht="20.100000000000001" customHeight="1" x14ac:dyDescent="0.25">
      <c r="A370" s="2" t="str">
        <f>IF(B370="","",IFERROR(VLOOKUP(B370, PLANTA_BASE!A:W, 2, FALSE), "NO ENCONTRADO EN PLANTA"))</f>
        <v/>
      </c>
      <c r="B370" s="3"/>
      <c r="C370" s="4" t="str">
        <f>IF(B370="","",IFERROR(VLOOKUP(B370, PLANTA_BASE!A:W, 3, FALSE), ""))</f>
        <v/>
      </c>
      <c r="D370" s="2" t="str">
        <f>IF(B370="","",IFERROR(VLOOKUP(B370, PLANTA_BASE!A:W, 5, FALSE), "NO ENCONTRADO EN PLANTA"))</f>
        <v/>
      </c>
      <c r="E370" s="2" t="str">
        <f>IF(B370="","",IFERROR(VLOOKUP(B370, PLANTA_BASE!A:W, 6, FALSE), "NO ENCONTRADO EN PLANTA"))</f>
        <v/>
      </c>
      <c r="F370" s="4" t="str">
        <f>IF(B370="","",IFERROR(VLOOKUP(B370, PLANTA_BASE!A:W, 8, FALSE), "DOCENTE / FACILITADOR"))</f>
        <v/>
      </c>
      <c r="G370" s="4" t="str">
        <f>IF(B370="","",IFERROR(VLOOKUP(B370, PLANTA_BASE!A:W, 9, FALSE), "GENERAL"))</f>
        <v/>
      </c>
      <c r="H370" s="2" t="str">
        <f>IF(B370="","",IFERROR(VLOOKUP(B370, PLANTA_BASE!A:W, 17, FALSE), "GENERAL"))</f>
        <v/>
      </c>
    </row>
    <row r="371" spans="1:8" ht="20.100000000000001" customHeight="1" x14ac:dyDescent="0.25">
      <c r="A371" s="5" t="str">
        <f>IF(B371="","",IFERROR(VLOOKUP(B371, PLANTA_BASE!A:W, 2, FALSE), "NO ENCONTRADO EN PLANTA"))</f>
        <v/>
      </c>
      <c r="B371" s="6"/>
      <c r="C371" s="7" t="str">
        <f>IF(B371="","",IFERROR(VLOOKUP(B371, PLANTA_BASE!A:W, 3, FALSE), ""))</f>
        <v/>
      </c>
      <c r="D371" s="5" t="str">
        <f>IF(B371="","",IFERROR(VLOOKUP(B371, PLANTA_BASE!A:W, 5, FALSE), "NO ENCONTRADO EN PLANTA"))</f>
        <v/>
      </c>
      <c r="E371" s="5" t="str">
        <f>IF(B371="","",IFERROR(VLOOKUP(B371, PLANTA_BASE!A:W, 6, FALSE), "NO ENCONTRADO EN PLANTA"))</f>
        <v/>
      </c>
      <c r="F371" s="7" t="str">
        <f>IF(B371="","",IFERROR(VLOOKUP(B371, PLANTA_BASE!A:W, 8, FALSE), "DOCENTE / FACILITADOR"))</f>
        <v/>
      </c>
      <c r="G371" s="7" t="str">
        <f>IF(B371="","",IFERROR(VLOOKUP(B371, PLANTA_BASE!A:W, 9, FALSE), "GENERAL"))</f>
        <v/>
      </c>
      <c r="H371" s="5" t="str">
        <f>IF(B371="","",IFERROR(VLOOKUP(B371, PLANTA_BASE!A:W, 17, FALSE), "GENERAL"))</f>
        <v/>
      </c>
    </row>
    <row r="372" spans="1:8" ht="20.100000000000001" customHeight="1" x14ac:dyDescent="0.25">
      <c r="A372" s="2" t="str">
        <f>IF(B372="","",IFERROR(VLOOKUP(B372, PLANTA_BASE!A:W, 2, FALSE), "NO ENCONTRADO EN PLANTA"))</f>
        <v/>
      </c>
      <c r="B372" s="3"/>
      <c r="C372" s="4" t="str">
        <f>IF(B372="","",IFERROR(VLOOKUP(B372, PLANTA_BASE!A:W, 3, FALSE), ""))</f>
        <v/>
      </c>
      <c r="D372" s="2" t="str">
        <f>IF(B372="","",IFERROR(VLOOKUP(B372, PLANTA_BASE!A:W, 5, FALSE), "NO ENCONTRADO EN PLANTA"))</f>
        <v/>
      </c>
      <c r="E372" s="2" t="str">
        <f>IF(B372="","",IFERROR(VLOOKUP(B372, PLANTA_BASE!A:W, 6, FALSE), "NO ENCONTRADO EN PLANTA"))</f>
        <v/>
      </c>
      <c r="F372" s="4" t="str">
        <f>IF(B372="","",IFERROR(VLOOKUP(B372, PLANTA_BASE!A:W, 8, FALSE), "DOCENTE / FACILITADOR"))</f>
        <v/>
      </c>
      <c r="G372" s="4" t="str">
        <f>IF(B372="","",IFERROR(VLOOKUP(B372, PLANTA_BASE!A:W, 9, FALSE), "GENERAL"))</f>
        <v/>
      </c>
      <c r="H372" s="2" t="str">
        <f>IF(B372="","",IFERROR(VLOOKUP(B372, PLANTA_BASE!A:W, 17, FALSE), "GENERAL"))</f>
        <v/>
      </c>
    </row>
    <row r="373" spans="1:8" ht="20.100000000000001" customHeight="1" x14ac:dyDescent="0.25">
      <c r="A373" s="5" t="str">
        <f>IF(B373="","",IFERROR(VLOOKUP(B373, PLANTA_BASE!A:W, 2, FALSE), "NO ENCONTRADO EN PLANTA"))</f>
        <v/>
      </c>
      <c r="B373" s="6"/>
      <c r="C373" s="7" t="str">
        <f>IF(B373="","",IFERROR(VLOOKUP(B373, PLANTA_BASE!A:W, 3, FALSE), ""))</f>
        <v/>
      </c>
      <c r="D373" s="5" t="str">
        <f>IF(B373="","",IFERROR(VLOOKUP(B373, PLANTA_BASE!A:W, 5, FALSE), "NO ENCONTRADO EN PLANTA"))</f>
        <v/>
      </c>
      <c r="E373" s="5" t="str">
        <f>IF(B373="","",IFERROR(VLOOKUP(B373, PLANTA_BASE!A:W, 6, FALSE), "NO ENCONTRADO EN PLANTA"))</f>
        <v/>
      </c>
      <c r="F373" s="7" t="str">
        <f>IF(B373="","",IFERROR(VLOOKUP(B373, PLANTA_BASE!A:W, 8, FALSE), "DOCENTE / FACILITADOR"))</f>
        <v/>
      </c>
      <c r="G373" s="7" t="str">
        <f>IF(B373="","",IFERROR(VLOOKUP(B373, PLANTA_BASE!A:W, 9, FALSE), "GENERAL"))</f>
        <v/>
      </c>
      <c r="H373" s="5" t="str">
        <f>IF(B373="","",IFERROR(VLOOKUP(B373, PLANTA_BASE!A:W, 17, FALSE), "GENERAL"))</f>
        <v/>
      </c>
    </row>
    <row r="374" spans="1:8" ht="20.100000000000001" customHeight="1" x14ac:dyDescent="0.25">
      <c r="A374" s="2" t="str">
        <f>IF(B374="","",IFERROR(VLOOKUP(B374, PLANTA_BASE!A:W, 2, FALSE), "NO ENCONTRADO EN PLANTA"))</f>
        <v/>
      </c>
      <c r="B374" s="3"/>
      <c r="C374" s="4" t="str">
        <f>IF(B374="","",IFERROR(VLOOKUP(B374, PLANTA_BASE!A:W, 3, FALSE), ""))</f>
        <v/>
      </c>
      <c r="D374" s="2" t="str">
        <f>IF(B374="","",IFERROR(VLOOKUP(B374, PLANTA_BASE!A:W, 5, FALSE), "NO ENCONTRADO EN PLANTA"))</f>
        <v/>
      </c>
      <c r="E374" s="2" t="str">
        <f>IF(B374="","",IFERROR(VLOOKUP(B374, PLANTA_BASE!A:W, 6, FALSE), "NO ENCONTRADO EN PLANTA"))</f>
        <v/>
      </c>
      <c r="F374" s="4" t="str">
        <f>IF(B374="","",IFERROR(VLOOKUP(B374, PLANTA_BASE!A:W, 8, FALSE), "DOCENTE / FACILITADOR"))</f>
        <v/>
      </c>
      <c r="G374" s="4" t="str">
        <f>IF(B374="","",IFERROR(VLOOKUP(B374, PLANTA_BASE!A:W, 9, FALSE), "GENERAL"))</f>
        <v/>
      </c>
      <c r="H374" s="2" t="str">
        <f>IF(B374="","",IFERROR(VLOOKUP(B374, PLANTA_BASE!A:W, 17, FALSE), "GENERAL"))</f>
        <v/>
      </c>
    </row>
    <row r="375" spans="1:8" ht="20.100000000000001" customHeight="1" x14ac:dyDescent="0.25">
      <c r="A375" s="5" t="str">
        <f>IF(B375="","",IFERROR(VLOOKUP(B375, PLANTA_BASE!A:W, 2, FALSE), "NO ENCONTRADO EN PLANTA"))</f>
        <v/>
      </c>
      <c r="B375" s="6"/>
      <c r="C375" s="7" t="str">
        <f>IF(B375="","",IFERROR(VLOOKUP(B375, PLANTA_BASE!A:W, 3, FALSE), ""))</f>
        <v/>
      </c>
      <c r="D375" s="5" t="str">
        <f>IF(B375="","",IFERROR(VLOOKUP(B375, PLANTA_BASE!A:W, 5, FALSE), "NO ENCONTRADO EN PLANTA"))</f>
        <v/>
      </c>
      <c r="E375" s="5" t="str">
        <f>IF(B375="","",IFERROR(VLOOKUP(B375, PLANTA_BASE!A:W, 6, FALSE), "NO ENCONTRADO EN PLANTA"))</f>
        <v/>
      </c>
      <c r="F375" s="7" t="str">
        <f>IF(B375="","",IFERROR(VLOOKUP(B375, PLANTA_BASE!A:W, 8, FALSE), "DOCENTE / FACILITADOR"))</f>
        <v/>
      </c>
      <c r="G375" s="7" t="str">
        <f>IF(B375="","",IFERROR(VLOOKUP(B375, PLANTA_BASE!A:W, 9, FALSE), "GENERAL"))</f>
        <v/>
      </c>
      <c r="H375" s="5" t="str">
        <f>IF(B375="","",IFERROR(VLOOKUP(B375, PLANTA_BASE!A:W, 17, FALSE), "GENERAL"))</f>
        <v/>
      </c>
    </row>
    <row r="376" spans="1:8" ht="20.100000000000001" customHeight="1" x14ac:dyDescent="0.25">
      <c r="A376" s="2" t="str">
        <f>IF(B376="","",IFERROR(VLOOKUP(B376, PLANTA_BASE!A:W, 2, FALSE), "NO ENCONTRADO EN PLANTA"))</f>
        <v/>
      </c>
      <c r="B376" s="3"/>
      <c r="C376" s="4" t="str">
        <f>IF(B376="","",IFERROR(VLOOKUP(B376, PLANTA_BASE!A:W, 3, FALSE), ""))</f>
        <v/>
      </c>
      <c r="D376" s="2" t="str">
        <f>IF(B376="","",IFERROR(VLOOKUP(B376, PLANTA_BASE!A:W, 5, FALSE), "NO ENCONTRADO EN PLANTA"))</f>
        <v/>
      </c>
      <c r="E376" s="2" t="str">
        <f>IF(B376="","",IFERROR(VLOOKUP(B376, PLANTA_BASE!A:W, 6, FALSE), "NO ENCONTRADO EN PLANTA"))</f>
        <v/>
      </c>
      <c r="F376" s="4" t="str">
        <f>IF(B376="","",IFERROR(VLOOKUP(B376, PLANTA_BASE!A:W, 8, FALSE), "DOCENTE / FACILITADOR"))</f>
        <v/>
      </c>
      <c r="G376" s="4" t="str">
        <f>IF(B376="","",IFERROR(VLOOKUP(B376, PLANTA_BASE!A:W, 9, FALSE), "GENERAL"))</f>
        <v/>
      </c>
      <c r="H376" s="2" t="str">
        <f>IF(B376="","",IFERROR(VLOOKUP(B376, PLANTA_BASE!A:W, 17, FALSE), "GENERAL"))</f>
        <v/>
      </c>
    </row>
    <row r="377" spans="1:8" ht="20.100000000000001" customHeight="1" x14ac:dyDescent="0.25">
      <c r="A377" s="5" t="str">
        <f>IF(B377="","",IFERROR(VLOOKUP(B377, PLANTA_BASE!A:W, 2, FALSE), "NO ENCONTRADO EN PLANTA"))</f>
        <v/>
      </c>
      <c r="B377" s="6"/>
      <c r="C377" s="7" t="str">
        <f>IF(B377="","",IFERROR(VLOOKUP(B377, PLANTA_BASE!A:W, 3, FALSE), ""))</f>
        <v/>
      </c>
      <c r="D377" s="5" t="str">
        <f>IF(B377="","",IFERROR(VLOOKUP(B377, PLANTA_BASE!A:W, 5, FALSE), "NO ENCONTRADO EN PLANTA"))</f>
        <v/>
      </c>
      <c r="E377" s="5" t="str">
        <f>IF(B377="","",IFERROR(VLOOKUP(B377, PLANTA_BASE!A:W, 6, FALSE), "NO ENCONTRADO EN PLANTA"))</f>
        <v/>
      </c>
      <c r="F377" s="7" t="str">
        <f>IF(B377="","",IFERROR(VLOOKUP(B377, PLANTA_BASE!A:W, 8, FALSE), "DOCENTE / FACILITADOR"))</f>
        <v/>
      </c>
      <c r="G377" s="7" t="str">
        <f>IF(B377="","",IFERROR(VLOOKUP(B377, PLANTA_BASE!A:W, 9, FALSE), "GENERAL"))</f>
        <v/>
      </c>
      <c r="H377" s="5" t="str">
        <f>IF(B377="","",IFERROR(VLOOKUP(B377, PLANTA_BASE!A:W, 17, FALSE), "GENERAL"))</f>
        <v/>
      </c>
    </row>
    <row r="378" spans="1:8" ht="20.100000000000001" customHeight="1" x14ac:dyDescent="0.25">
      <c r="A378" s="2" t="str">
        <f>IF(B378="","",IFERROR(VLOOKUP(B378, PLANTA_BASE!A:W, 2, FALSE), "NO ENCONTRADO EN PLANTA"))</f>
        <v/>
      </c>
      <c r="B378" s="3"/>
      <c r="C378" s="4" t="str">
        <f>IF(B378="","",IFERROR(VLOOKUP(B378, PLANTA_BASE!A:W, 3, FALSE), ""))</f>
        <v/>
      </c>
      <c r="D378" s="2" t="str">
        <f>IF(B378="","",IFERROR(VLOOKUP(B378, PLANTA_BASE!A:W, 5, FALSE), "NO ENCONTRADO EN PLANTA"))</f>
        <v/>
      </c>
      <c r="E378" s="2" t="str">
        <f>IF(B378="","",IFERROR(VLOOKUP(B378, PLANTA_BASE!A:W, 6, FALSE), "NO ENCONTRADO EN PLANTA"))</f>
        <v/>
      </c>
      <c r="F378" s="4" t="str">
        <f>IF(B378="","",IFERROR(VLOOKUP(B378, PLANTA_BASE!A:W, 8, FALSE), "DOCENTE / FACILITADOR"))</f>
        <v/>
      </c>
      <c r="G378" s="4" t="str">
        <f>IF(B378="","",IFERROR(VLOOKUP(B378, PLANTA_BASE!A:W, 9, FALSE), "GENERAL"))</f>
        <v/>
      </c>
      <c r="H378" s="2" t="str">
        <f>IF(B378="","",IFERROR(VLOOKUP(B378, PLANTA_BASE!A:W, 17, FALSE), "GENERAL"))</f>
        <v/>
      </c>
    </row>
    <row r="379" spans="1:8" ht="20.100000000000001" customHeight="1" x14ac:dyDescent="0.25">
      <c r="A379" s="5" t="str">
        <f>IF(B379="","",IFERROR(VLOOKUP(B379, PLANTA_BASE!A:W, 2, FALSE), "NO ENCONTRADO EN PLANTA"))</f>
        <v/>
      </c>
      <c r="B379" s="6"/>
      <c r="C379" s="7" t="str">
        <f>IF(B379="","",IFERROR(VLOOKUP(B379, PLANTA_BASE!A:W, 3, FALSE), ""))</f>
        <v/>
      </c>
      <c r="D379" s="5" t="str">
        <f>IF(B379="","",IFERROR(VLOOKUP(B379, PLANTA_BASE!A:W, 5, FALSE), "NO ENCONTRADO EN PLANTA"))</f>
        <v/>
      </c>
      <c r="E379" s="5" t="str">
        <f>IF(B379="","",IFERROR(VLOOKUP(B379, PLANTA_BASE!A:W, 6, FALSE), "NO ENCONTRADO EN PLANTA"))</f>
        <v/>
      </c>
      <c r="F379" s="7" t="str">
        <f>IF(B379="","",IFERROR(VLOOKUP(B379, PLANTA_BASE!A:W, 8, FALSE), "DOCENTE / FACILITADOR"))</f>
        <v/>
      </c>
      <c r="G379" s="7" t="str">
        <f>IF(B379="","",IFERROR(VLOOKUP(B379, PLANTA_BASE!A:W, 9, FALSE), "GENERAL"))</f>
        <v/>
      </c>
      <c r="H379" s="5" t="str">
        <f>IF(B379="","",IFERROR(VLOOKUP(B379, PLANTA_BASE!A:W, 17, FALSE), "GENERAL"))</f>
        <v/>
      </c>
    </row>
    <row r="380" spans="1:8" ht="20.100000000000001" customHeight="1" x14ac:dyDescent="0.25">
      <c r="A380" s="2" t="str">
        <f>IF(B380="","",IFERROR(VLOOKUP(B380, PLANTA_BASE!A:W, 2, FALSE), "NO ENCONTRADO EN PLANTA"))</f>
        <v/>
      </c>
      <c r="B380" s="3"/>
      <c r="C380" s="4" t="str">
        <f>IF(B380="","",IFERROR(VLOOKUP(B380, PLANTA_BASE!A:W, 3, FALSE), ""))</f>
        <v/>
      </c>
      <c r="D380" s="2" t="str">
        <f>IF(B380="","",IFERROR(VLOOKUP(B380, PLANTA_BASE!A:W, 5, FALSE), "NO ENCONTRADO EN PLANTA"))</f>
        <v/>
      </c>
      <c r="E380" s="2" t="str">
        <f>IF(B380="","",IFERROR(VLOOKUP(B380, PLANTA_BASE!A:W, 6, FALSE), "NO ENCONTRADO EN PLANTA"))</f>
        <v/>
      </c>
      <c r="F380" s="4" t="str">
        <f>IF(B380="","",IFERROR(VLOOKUP(B380, PLANTA_BASE!A:W, 8, FALSE), "DOCENTE / FACILITADOR"))</f>
        <v/>
      </c>
      <c r="G380" s="4" t="str">
        <f>IF(B380="","",IFERROR(VLOOKUP(B380, PLANTA_BASE!A:W, 9, FALSE), "GENERAL"))</f>
        <v/>
      </c>
      <c r="H380" s="2" t="str">
        <f>IF(B380="","",IFERROR(VLOOKUP(B380, PLANTA_BASE!A:W, 17, FALSE), "GENERAL"))</f>
        <v/>
      </c>
    </row>
    <row r="381" spans="1:8" ht="20.100000000000001" customHeight="1" x14ac:dyDescent="0.25">
      <c r="A381" s="5" t="str">
        <f>IF(B381="","",IFERROR(VLOOKUP(B381, PLANTA_BASE!A:W, 2, FALSE), "NO ENCONTRADO EN PLANTA"))</f>
        <v/>
      </c>
      <c r="B381" s="6"/>
      <c r="C381" s="7" t="str">
        <f>IF(B381="","",IFERROR(VLOOKUP(B381, PLANTA_BASE!A:W, 3, FALSE), ""))</f>
        <v/>
      </c>
      <c r="D381" s="5" t="str">
        <f>IF(B381="","",IFERROR(VLOOKUP(B381, PLANTA_BASE!A:W, 5, FALSE), "NO ENCONTRADO EN PLANTA"))</f>
        <v/>
      </c>
      <c r="E381" s="5" t="str">
        <f>IF(B381="","",IFERROR(VLOOKUP(B381, PLANTA_BASE!A:W, 6, FALSE), "NO ENCONTRADO EN PLANTA"))</f>
        <v/>
      </c>
      <c r="F381" s="7" t="str">
        <f>IF(B381="","",IFERROR(VLOOKUP(B381, PLANTA_BASE!A:W, 8, FALSE), "DOCENTE / FACILITADOR"))</f>
        <v/>
      </c>
      <c r="G381" s="7" t="str">
        <f>IF(B381="","",IFERROR(VLOOKUP(B381, PLANTA_BASE!A:W, 9, FALSE), "GENERAL"))</f>
        <v/>
      </c>
      <c r="H381" s="5" t="str">
        <f>IF(B381="","",IFERROR(VLOOKUP(B381, PLANTA_BASE!A:W, 17, FALSE), "GENERAL"))</f>
        <v/>
      </c>
    </row>
    <row r="382" spans="1:8" ht="20.100000000000001" customHeight="1" x14ac:dyDescent="0.25">
      <c r="A382" s="2" t="str">
        <f>IF(B382="","",IFERROR(VLOOKUP(B382, PLANTA_BASE!A:W, 2, FALSE), "NO ENCONTRADO EN PLANTA"))</f>
        <v/>
      </c>
      <c r="B382" s="3"/>
      <c r="C382" s="4" t="str">
        <f>IF(B382="","",IFERROR(VLOOKUP(B382, PLANTA_BASE!A:W, 3, FALSE), ""))</f>
        <v/>
      </c>
      <c r="D382" s="2" t="str">
        <f>IF(B382="","",IFERROR(VLOOKUP(B382, PLANTA_BASE!A:W, 5, FALSE), "NO ENCONTRADO EN PLANTA"))</f>
        <v/>
      </c>
      <c r="E382" s="2" t="str">
        <f>IF(B382="","",IFERROR(VLOOKUP(B382, PLANTA_BASE!A:W, 6, FALSE), "NO ENCONTRADO EN PLANTA"))</f>
        <v/>
      </c>
      <c r="F382" s="4" t="str">
        <f>IF(B382="","",IFERROR(VLOOKUP(B382, PLANTA_BASE!A:W, 8, FALSE), "DOCENTE / FACILITADOR"))</f>
        <v/>
      </c>
      <c r="G382" s="4" t="str">
        <f>IF(B382="","",IFERROR(VLOOKUP(B382, PLANTA_BASE!A:W, 9, FALSE), "GENERAL"))</f>
        <v/>
      </c>
      <c r="H382" s="2" t="str">
        <f>IF(B382="","",IFERROR(VLOOKUP(B382, PLANTA_BASE!A:W, 17, FALSE), "GENERAL"))</f>
        <v/>
      </c>
    </row>
    <row r="383" spans="1:8" ht="20.100000000000001" customHeight="1" x14ac:dyDescent="0.25">
      <c r="A383" s="5" t="str">
        <f>IF(B383="","",IFERROR(VLOOKUP(B383, PLANTA_BASE!A:W, 2, FALSE), "NO ENCONTRADO EN PLANTA"))</f>
        <v/>
      </c>
      <c r="B383" s="6"/>
      <c r="C383" s="7" t="str">
        <f>IF(B383="","",IFERROR(VLOOKUP(B383, PLANTA_BASE!A:W, 3, FALSE), ""))</f>
        <v/>
      </c>
      <c r="D383" s="5" t="str">
        <f>IF(B383="","",IFERROR(VLOOKUP(B383, PLANTA_BASE!A:W, 5, FALSE), "NO ENCONTRADO EN PLANTA"))</f>
        <v/>
      </c>
      <c r="E383" s="5" t="str">
        <f>IF(B383="","",IFERROR(VLOOKUP(B383, PLANTA_BASE!A:W, 6, FALSE), "NO ENCONTRADO EN PLANTA"))</f>
        <v/>
      </c>
      <c r="F383" s="7" t="str">
        <f>IF(B383="","",IFERROR(VLOOKUP(B383, PLANTA_BASE!A:W, 8, FALSE), "DOCENTE / FACILITADOR"))</f>
        <v/>
      </c>
      <c r="G383" s="7" t="str">
        <f>IF(B383="","",IFERROR(VLOOKUP(B383, PLANTA_BASE!A:W, 9, FALSE), "GENERAL"))</f>
        <v/>
      </c>
      <c r="H383" s="5" t="str">
        <f>IF(B383="","",IFERROR(VLOOKUP(B383, PLANTA_BASE!A:W, 17, FALSE), "GENERAL"))</f>
        <v/>
      </c>
    </row>
    <row r="384" spans="1:8" ht="20.100000000000001" customHeight="1" x14ac:dyDescent="0.25">
      <c r="A384" s="2" t="str">
        <f>IF(B384="","",IFERROR(VLOOKUP(B384, PLANTA_BASE!A:W, 2, FALSE), "NO ENCONTRADO EN PLANTA"))</f>
        <v/>
      </c>
      <c r="B384" s="3"/>
      <c r="C384" s="4" t="str">
        <f>IF(B384="","",IFERROR(VLOOKUP(B384, PLANTA_BASE!A:W, 3, FALSE), ""))</f>
        <v/>
      </c>
      <c r="D384" s="2" t="str">
        <f>IF(B384="","",IFERROR(VLOOKUP(B384, PLANTA_BASE!A:W, 5, FALSE), "NO ENCONTRADO EN PLANTA"))</f>
        <v/>
      </c>
      <c r="E384" s="2" t="str">
        <f>IF(B384="","",IFERROR(VLOOKUP(B384, PLANTA_BASE!A:W, 6, FALSE), "NO ENCONTRADO EN PLANTA"))</f>
        <v/>
      </c>
      <c r="F384" s="4" t="str">
        <f>IF(B384="","",IFERROR(VLOOKUP(B384, PLANTA_BASE!A:W, 8, FALSE), "DOCENTE / FACILITADOR"))</f>
        <v/>
      </c>
      <c r="G384" s="4" t="str">
        <f>IF(B384="","",IFERROR(VLOOKUP(B384, PLANTA_BASE!A:W, 9, FALSE), "GENERAL"))</f>
        <v/>
      </c>
      <c r="H384" s="2" t="str">
        <f>IF(B384="","",IFERROR(VLOOKUP(B384, PLANTA_BASE!A:W, 17, FALSE), "GENERAL"))</f>
        <v/>
      </c>
    </row>
    <row r="385" spans="1:8" ht="20.100000000000001" customHeight="1" x14ac:dyDescent="0.25">
      <c r="A385" s="5" t="str">
        <f>IF(B385="","",IFERROR(VLOOKUP(B385, PLANTA_BASE!A:W, 2, FALSE), "NO ENCONTRADO EN PLANTA"))</f>
        <v/>
      </c>
      <c r="B385" s="6"/>
      <c r="C385" s="7" t="str">
        <f>IF(B385="","",IFERROR(VLOOKUP(B385, PLANTA_BASE!A:W, 3, FALSE), ""))</f>
        <v/>
      </c>
      <c r="D385" s="5" t="str">
        <f>IF(B385="","",IFERROR(VLOOKUP(B385, PLANTA_BASE!A:W, 5, FALSE), "NO ENCONTRADO EN PLANTA"))</f>
        <v/>
      </c>
      <c r="E385" s="5" t="str">
        <f>IF(B385="","",IFERROR(VLOOKUP(B385, PLANTA_BASE!A:W, 6, FALSE), "NO ENCONTRADO EN PLANTA"))</f>
        <v/>
      </c>
      <c r="F385" s="7" t="str">
        <f>IF(B385="","",IFERROR(VLOOKUP(B385, PLANTA_BASE!A:W, 8, FALSE), "DOCENTE / FACILITADOR"))</f>
        <v/>
      </c>
      <c r="G385" s="7" t="str">
        <f>IF(B385="","",IFERROR(VLOOKUP(B385, PLANTA_BASE!A:W, 9, FALSE), "GENERAL"))</f>
        <v/>
      </c>
      <c r="H385" s="5" t="str">
        <f>IF(B385="","",IFERROR(VLOOKUP(B385, PLANTA_BASE!A:W, 17, FALSE), "GENERAL"))</f>
        <v/>
      </c>
    </row>
    <row r="386" spans="1:8" ht="20.100000000000001" customHeight="1" x14ac:dyDescent="0.25">
      <c r="A386" s="2" t="str">
        <f>IF(B386="","",IFERROR(VLOOKUP(B386, PLANTA_BASE!A:W, 2, FALSE), "NO ENCONTRADO EN PLANTA"))</f>
        <v/>
      </c>
      <c r="B386" s="3"/>
      <c r="C386" s="4" t="str">
        <f>IF(B386="","",IFERROR(VLOOKUP(B386, PLANTA_BASE!A:W, 3, FALSE), ""))</f>
        <v/>
      </c>
      <c r="D386" s="2" t="str">
        <f>IF(B386="","",IFERROR(VLOOKUP(B386, PLANTA_BASE!A:W, 5, FALSE), "NO ENCONTRADO EN PLANTA"))</f>
        <v/>
      </c>
      <c r="E386" s="2" t="str">
        <f>IF(B386="","",IFERROR(VLOOKUP(B386, PLANTA_BASE!A:W, 6, FALSE), "NO ENCONTRADO EN PLANTA"))</f>
        <v/>
      </c>
      <c r="F386" s="4" t="str">
        <f>IF(B386="","",IFERROR(VLOOKUP(B386, PLANTA_BASE!A:W, 8, FALSE), "DOCENTE / FACILITADOR"))</f>
        <v/>
      </c>
      <c r="G386" s="4" t="str">
        <f>IF(B386="","",IFERROR(VLOOKUP(B386, PLANTA_BASE!A:W, 9, FALSE), "GENERAL"))</f>
        <v/>
      </c>
      <c r="H386" s="2" t="str">
        <f>IF(B386="","",IFERROR(VLOOKUP(B386, PLANTA_BASE!A:W, 17, FALSE), "GENERAL"))</f>
        <v/>
      </c>
    </row>
    <row r="387" spans="1:8" ht="20.100000000000001" customHeight="1" x14ac:dyDescent="0.25">
      <c r="A387" s="5" t="str">
        <f>IF(B387="","",IFERROR(VLOOKUP(B387, PLANTA_BASE!A:W, 2, FALSE), "NO ENCONTRADO EN PLANTA"))</f>
        <v/>
      </c>
      <c r="B387" s="6"/>
      <c r="C387" s="7" t="str">
        <f>IF(B387="","",IFERROR(VLOOKUP(B387, PLANTA_BASE!A:W, 3, FALSE), ""))</f>
        <v/>
      </c>
      <c r="D387" s="5" t="str">
        <f>IF(B387="","",IFERROR(VLOOKUP(B387, PLANTA_BASE!A:W, 5, FALSE), "NO ENCONTRADO EN PLANTA"))</f>
        <v/>
      </c>
      <c r="E387" s="5" t="str">
        <f>IF(B387="","",IFERROR(VLOOKUP(B387, PLANTA_BASE!A:W, 6, FALSE), "NO ENCONTRADO EN PLANTA"))</f>
        <v/>
      </c>
      <c r="F387" s="7" t="str">
        <f>IF(B387="","",IFERROR(VLOOKUP(B387, PLANTA_BASE!A:W, 8, FALSE), "DOCENTE / FACILITADOR"))</f>
        <v/>
      </c>
      <c r="G387" s="7" t="str">
        <f>IF(B387="","",IFERROR(VLOOKUP(B387, PLANTA_BASE!A:W, 9, FALSE), "GENERAL"))</f>
        <v/>
      </c>
      <c r="H387" s="5" t="str">
        <f>IF(B387="","",IFERROR(VLOOKUP(B387, PLANTA_BASE!A:W, 17, FALSE), "GENERAL"))</f>
        <v/>
      </c>
    </row>
    <row r="388" spans="1:8" ht="20.100000000000001" customHeight="1" x14ac:dyDescent="0.25">
      <c r="A388" s="2" t="str">
        <f>IF(B388="","",IFERROR(VLOOKUP(B388, PLANTA_BASE!A:W, 2, FALSE), "NO ENCONTRADO EN PLANTA"))</f>
        <v/>
      </c>
      <c r="B388" s="3"/>
      <c r="C388" s="4" t="str">
        <f>IF(B388="","",IFERROR(VLOOKUP(B388, PLANTA_BASE!A:W, 3, FALSE), ""))</f>
        <v/>
      </c>
      <c r="D388" s="2" t="str">
        <f>IF(B388="","",IFERROR(VLOOKUP(B388, PLANTA_BASE!A:W, 5, FALSE), "NO ENCONTRADO EN PLANTA"))</f>
        <v/>
      </c>
      <c r="E388" s="2" t="str">
        <f>IF(B388="","",IFERROR(VLOOKUP(B388, PLANTA_BASE!A:W, 6, FALSE), "NO ENCONTRADO EN PLANTA"))</f>
        <v/>
      </c>
      <c r="F388" s="4" t="str">
        <f>IF(B388="","",IFERROR(VLOOKUP(B388, PLANTA_BASE!A:W, 8, FALSE), "DOCENTE / FACILITADOR"))</f>
        <v/>
      </c>
      <c r="G388" s="4" t="str">
        <f>IF(B388="","",IFERROR(VLOOKUP(B388, PLANTA_BASE!A:W, 9, FALSE), "GENERAL"))</f>
        <v/>
      </c>
      <c r="H388" s="2" t="str">
        <f>IF(B388="","",IFERROR(VLOOKUP(B388, PLANTA_BASE!A:W, 17, FALSE), "GENERAL"))</f>
        <v/>
      </c>
    </row>
    <row r="389" spans="1:8" ht="20.100000000000001" customHeight="1" x14ac:dyDescent="0.25">
      <c r="A389" s="5" t="str">
        <f>IF(B389="","",IFERROR(VLOOKUP(B389, PLANTA_BASE!A:W, 2, FALSE), "NO ENCONTRADO EN PLANTA"))</f>
        <v/>
      </c>
      <c r="B389" s="6"/>
      <c r="C389" s="7" t="str">
        <f>IF(B389="","",IFERROR(VLOOKUP(B389, PLANTA_BASE!A:W, 3, FALSE), ""))</f>
        <v/>
      </c>
      <c r="D389" s="5" t="str">
        <f>IF(B389="","",IFERROR(VLOOKUP(B389, PLANTA_BASE!A:W, 5, FALSE), "NO ENCONTRADO EN PLANTA"))</f>
        <v/>
      </c>
      <c r="E389" s="5" t="str">
        <f>IF(B389="","",IFERROR(VLOOKUP(B389, PLANTA_BASE!A:W, 6, FALSE), "NO ENCONTRADO EN PLANTA"))</f>
        <v/>
      </c>
      <c r="F389" s="7" t="str">
        <f>IF(B389="","",IFERROR(VLOOKUP(B389, PLANTA_BASE!A:W, 8, FALSE), "DOCENTE / FACILITADOR"))</f>
        <v/>
      </c>
      <c r="G389" s="7" t="str">
        <f>IF(B389="","",IFERROR(VLOOKUP(B389, PLANTA_BASE!A:W, 9, FALSE), "GENERAL"))</f>
        <v/>
      </c>
      <c r="H389" s="5" t="str">
        <f>IF(B389="","",IFERROR(VLOOKUP(B389, PLANTA_BASE!A:W, 17, FALSE), "GENERAL"))</f>
        <v/>
      </c>
    </row>
    <row r="390" spans="1:8" ht="20.100000000000001" customHeight="1" x14ac:dyDescent="0.25">
      <c r="A390" s="2" t="str">
        <f>IF(B390="","",IFERROR(VLOOKUP(B390, PLANTA_BASE!A:W, 2, FALSE), "NO ENCONTRADO EN PLANTA"))</f>
        <v/>
      </c>
      <c r="B390" s="3"/>
      <c r="C390" s="4" t="str">
        <f>IF(B390="","",IFERROR(VLOOKUP(B390, PLANTA_BASE!A:W, 3, FALSE), ""))</f>
        <v/>
      </c>
      <c r="D390" s="2" t="str">
        <f>IF(B390="","",IFERROR(VLOOKUP(B390, PLANTA_BASE!A:W, 5, FALSE), "NO ENCONTRADO EN PLANTA"))</f>
        <v/>
      </c>
      <c r="E390" s="2" t="str">
        <f>IF(B390="","",IFERROR(VLOOKUP(B390, PLANTA_BASE!A:W, 6, FALSE), "NO ENCONTRADO EN PLANTA"))</f>
        <v/>
      </c>
      <c r="F390" s="4" t="str">
        <f>IF(B390="","",IFERROR(VLOOKUP(B390, PLANTA_BASE!A:W, 8, FALSE), "DOCENTE / FACILITADOR"))</f>
        <v/>
      </c>
      <c r="G390" s="4" t="str">
        <f>IF(B390="","",IFERROR(VLOOKUP(B390, PLANTA_BASE!A:W, 9, FALSE), "GENERAL"))</f>
        <v/>
      </c>
      <c r="H390" s="2" t="str">
        <f>IF(B390="","",IFERROR(VLOOKUP(B390, PLANTA_BASE!A:W, 17, FALSE), "GENERAL"))</f>
        <v/>
      </c>
    </row>
    <row r="391" spans="1:8" ht="20.100000000000001" customHeight="1" x14ac:dyDescent="0.25">
      <c r="A391" s="5" t="str">
        <f>IF(B391="","",IFERROR(VLOOKUP(B391, PLANTA_BASE!A:W, 2, FALSE), "NO ENCONTRADO EN PLANTA"))</f>
        <v/>
      </c>
      <c r="B391" s="6"/>
      <c r="C391" s="7" t="str">
        <f>IF(B391="","",IFERROR(VLOOKUP(B391, PLANTA_BASE!A:W, 3, FALSE), ""))</f>
        <v/>
      </c>
      <c r="D391" s="5" t="str">
        <f>IF(B391="","",IFERROR(VLOOKUP(B391, PLANTA_BASE!A:W, 5, FALSE), "NO ENCONTRADO EN PLANTA"))</f>
        <v/>
      </c>
      <c r="E391" s="5" t="str">
        <f>IF(B391="","",IFERROR(VLOOKUP(B391, PLANTA_BASE!A:W, 6, FALSE), "NO ENCONTRADO EN PLANTA"))</f>
        <v/>
      </c>
      <c r="F391" s="7" t="str">
        <f>IF(B391="","",IFERROR(VLOOKUP(B391, PLANTA_BASE!A:W, 8, FALSE), "DOCENTE / FACILITADOR"))</f>
        <v/>
      </c>
      <c r="G391" s="7" t="str">
        <f>IF(B391="","",IFERROR(VLOOKUP(B391, PLANTA_BASE!A:W, 9, FALSE), "GENERAL"))</f>
        <v/>
      </c>
      <c r="H391" s="5" t="str">
        <f>IF(B391="","",IFERROR(VLOOKUP(B391, PLANTA_BASE!A:W, 17, FALSE), "GENERAL"))</f>
        <v/>
      </c>
    </row>
    <row r="392" spans="1:8" ht="20.100000000000001" customHeight="1" x14ac:dyDescent="0.25">
      <c r="A392" s="2" t="str">
        <f>IF(B392="","",IFERROR(VLOOKUP(B392, PLANTA_BASE!A:W, 2, FALSE), "NO ENCONTRADO EN PLANTA"))</f>
        <v/>
      </c>
      <c r="B392" s="3"/>
      <c r="C392" s="4" t="str">
        <f>IF(B392="","",IFERROR(VLOOKUP(B392, PLANTA_BASE!A:W, 3, FALSE), ""))</f>
        <v/>
      </c>
      <c r="D392" s="2" t="str">
        <f>IF(B392="","",IFERROR(VLOOKUP(B392, PLANTA_BASE!A:W, 5, FALSE), "NO ENCONTRADO EN PLANTA"))</f>
        <v/>
      </c>
      <c r="E392" s="2" t="str">
        <f>IF(B392="","",IFERROR(VLOOKUP(B392, PLANTA_BASE!A:W, 6, FALSE), "NO ENCONTRADO EN PLANTA"))</f>
        <v/>
      </c>
      <c r="F392" s="4" t="str">
        <f>IF(B392="","",IFERROR(VLOOKUP(B392, PLANTA_BASE!A:W, 8, FALSE), "DOCENTE / FACILITADOR"))</f>
        <v/>
      </c>
      <c r="G392" s="4" t="str">
        <f>IF(B392="","",IFERROR(VLOOKUP(B392, PLANTA_BASE!A:W, 9, FALSE), "GENERAL"))</f>
        <v/>
      </c>
      <c r="H392" s="2" t="str">
        <f>IF(B392="","",IFERROR(VLOOKUP(B392, PLANTA_BASE!A:W, 17, FALSE), "GENERAL"))</f>
        <v/>
      </c>
    </row>
    <row r="393" spans="1:8" ht="20.100000000000001" customHeight="1" x14ac:dyDescent="0.25">
      <c r="A393" s="5" t="str">
        <f>IF(B393="","",IFERROR(VLOOKUP(B393, PLANTA_BASE!A:W, 2, FALSE), "NO ENCONTRADO EN PLANTA"))</f>
        <v/>
      </c>
      <c r="B393" s="6"/>
      <c r="C393" s="7" t="str">
        <f>IF(B393="","",IFERROR(VLOOKUP(B393, PLANTA_BASE!A:W, 3, FALSE), ""))</f>
        <v/>
      </c>
      <c r="D393" s="5" t="str">
        <f>IF(B393="","",IFERROR(VLOOKUP(B393, PLANTA_BASE!A:W, 5, FALSE), "NO ENCONTRADO EN PLANTA"))</f>
        <v/>
      </c>
      <c r="E393" s="5" t="str">
        <f>IF(B393="","",IFERROR(VLOOKUP(B393, PLANTA_BASE!A:W, 6, FALSE), "NO ENCONTRADO EN PLANTA"))</f>
        <v/>
      </c>
      <c r="F393" s="7" t="str">
        <f>IF(B393="","",IFERROR(VLOOKUP(B393, PLANTA_BASE!A:W, 8, FALSE), "DOCENTE / FACILITADOR"))</f>
        <v/>
      </c>
      <c r="G393" s="7" t="str">
        <f>IF(B393="","",IFERROR(VLOOKUP(B393, PLANTA_BASE!A:W, 9, FALSE), "GENERAL"))</f>
        <v/>
      </c>
      <c r="H393" s="5" t="str">
        <f>IF(B393="","",IFERROR(VLOOKUP(B393, PLANTA_BASE!A:W, 17, FALSE), "GENERAL"))</f>
        <v/>
      </c>
    </row>
    <row r="394" spans="1:8" ht="20.100000000000001" customHeight="1" x14ac:dyDescent="0.25">
      <c r="A394" s="2" t="str">
        <f>IF(B394="","",IFERROR(VLOOKUP(B394, PLANTA_BASE!A:W, 2, FALSE), "NO ENCONTRADO EN PLANTA"))</f>
        <v/>
      </c>
      <c r="B394" s="3"/>
      <c r="C394" s="4" t="str">
        <f>IF(B394="","",IFERROR(VLOOKUP(B394, PLANTA_BASE!A:W, 3, FALSE), ""))</f>
        <v/>
      </c>
      <c r="D394" s="2" t="str">
        <f>IF(B394="","",IFERROR(VLOOKUP(B394, PLANTA_BASE!A:W, 5, FALSE), "NO ENCONTRADO EN PLANTA"))</f>
        <v/>
      </c>
      <c r="E394" s="2" t="str">
        <f>IF(B394="","",IFERROR(VLOOKUP(B394, PLANTA_BASE!A:W, 6, FALSE), "NO ENCONTRADO EN PLANTA"))</f>
        <v/>
      </c>
      <c r="F394" s="4" t="str">
        <f>IF(B394="","",IFERROR(VLOOKUP(B394, PLANTA_BASE!A:W, 8, FALSE), "DOCENTE / FACILITADOR"))</f>
        <v/>
      </c>
      <c r="G394" s="4" t="str">
        <f>IF(B394="","",IFERROR(VLOOKUP(B394, PLANTA_BASE!A:W, 9, FALSE), "GENERAL"))</f>
        <v/>
      </c>
      <c r="H394" s="2" t="str">
        <f>IF(B394="","",IFERROR(VLOOKUP(B394, PLANTA_BASE!A:W, 17, FALSE), "GENERAL"))</f>
        <v/>
      </c>
    </row>
    <row r="395" spans="1:8" ht="20.100000000000001" customHeight="1" x14ac:dyDescent="0.25">
      <c r="A395" s="5" t="str">
        <f>IF(B395="","",IFERROR(VLOOKUP(B395, PLANTA_BASE!A:W, 2, FALSE), "NO ENCONTRADO EN PLANTA"))</f>
        <v/>
      </c>
      <c r="B395" s="6"/>
      <c r="C395" s="7" t="str">
        <f>IF(B395="","",IFERROR(VLOOKUP(B395, PLANTA_BASE!A:W, 3, FALSE), ""))</f>
        <v/>
      </c>
      <c r="D395" s="5" t="str">
        <f>IF(B395="","",IFERROR(VLOOKUP(B395, PLANTA_BASE!A:W, 5, FALSE), "NO ENCONTRADO EN PLANTA"))</f>
        <v/>
      </c>
      <c r="E395" s="5" t="str">
        <f>IF(B395="","",IFERROR(VLOOKUP(B395, PLANTA_BASE!A:W, 6, FALSE), "NO ENCONTRADO EN PLANTA"))</f>
        <v/>
      </c>
      <c r="F395" s="7" t="str">
        <f>IF(B395="","",IFERROR(VLOOKUP(B395, PLANTA_BASE!A:W, 8, FALSE), "DOCENTE / FACILITADOR"))</f>
        <v/>
      </c>
      <c r="G395" s="7" t="str">
        <f>IF(B395="","",IFERROR(VLOOKUP(B395, PLANTA_BASE!A:W, 9, FALSE), "GENERAL"))</f>
        <v/>
      </c>
      <c r="H395" s="5" t="str">
        <f>IF(B395="","",IFERROR(VLOOKUP(B395, PLANTA_BASE!A:W, 17, FALSE), "GENERAL"))</f>
        <v/>
      </c>
    </row>
    <row r="396" spans="1:8" ht="20.100000000000001" customHeight="1" x14ac:dyDescent="0.25">
      <c r="A396" s="2" t="str">
        <f>IF(B396="","",IFERROR(VLOOKUP(B396, PLANTA_BASE!A:W, 2, FALSE), "NO ENCONTRADO EN PLANTA"))</f>
        <v/>
      </c>
      <c r="B396" s="3"/>
      <c r="C396" s="4" t="str">
        <f>IF(B396="","",IFERROR(VLOOKUP(B396, PLANTA_BASE!A:W, 3, FALSE), ""))</f>
        <v/>
      </c>
      <c r="D396" s="2" t="str">
        <f>IF(B396="","",IFERROR(VLOOKUP(B396, PLANTA_BASE!A:W, 5, FALSE), "NO ENCONTRADO EN PLANTA"))</f>
        <v/>
      </c>
      <c r="E396" s="2" t="str">
        <f>IF(B396="","",IFERROR(VLOOKUP(B396, PLANTA_BASE!A:W, 6, FALSE), "NO ENCONTRADO EN PLANTA"))</f>
        <v/>
      </c>
      <c r="F396" s="4" t="str">
        <f>IF(B396="","",IFERROR(VLOOKUP(B396, PLANTA_BASE!A:W, 8, FALSE), "DOCENTE / FACILITADOR"))</f>
        <v/>
      </c>
      <c r="G396" s="4" t="str">
        <f>IF(B396="","",IFERROR(VLOOKUP(B396, PLANTA_BASE!A:W, 9, FALSE), "GENERAL"))</f>
        <v/>
      </c>
      <c r="H396" s="2" t="str">
        <f>IF(B396="","",IFERROR(VLOOKUP(B396, PLANTA_BASE!A:W, 17, FALSE), "GENERAL"))</f>
        <v/>
      </c>
    </row>
    <row r="397" spans="1:8" ht="20.100000000000001" customHeight="1" x14ac:dyDescent="0.25">
      <c r="A397" s="5" t="str">
        <f>IF(B397="","",IFERROR(VLOOKUP(B397, PLANTA_BASE!A:W, 2, FALSE), "NO ENCONTRADO EN PLANTA"))</f>
        <v/>
      </c>
      <c r="B397" s="6"/>
      <c r="C397" s="7" t="str">
        <f>IF(B397="","",IFERROR(VLOOKUP(B397, PLANTA_BASE!A:W, 3, FALSE), ""))</f>
        <v/>
      </c>
      <c r="D397" s="5" t="str">
        <f>IF(B397="","",IFERROR(VLOOKUP(B397, PLANTA_BASE!A:W, 5, FALSE), "NO ENCONTRADO EN PLANTA"))</f>
        <v/>
      </c>
      <c r="E397" s="5" t="str">
        <f>IF(B397="","",IFERROR(VLOOKUP(B397, PLANTA_BASE!A:W, 6, FALSE), "NO ENCONTRADO EN PLANTA"))</f>
        <v/>
      </c>
      <c r="F397" s="7" t="str">
        <f>IF(B397="","",IFERROR(VLOOKUP(B397, PLANTA_BASE!A:W, 8, FALSE), "DOCENTE / FACILITADOR"))</f>
        <v/>
      </c>
      <c r="G397" s="7" t="str">
        <f>IF(B397="","",IFERROR(VLOOKUP(B397, PLANTA_BASE!A:W, 9, FALSE), "GENERAL"))</f>
        <v/>
      </c>
      <c r="H397" s="5" t="str">
        <f>IF(B397="","",IFERROR(VLOOKUP(B397, PLANTA_BASE!A:W, 17, FALSE), "GENERAL"))</f>
        <v/>
      </c>
    </row>
    <row r="398" spans="1:8" ht="20.100000000000001" customHeight="1" x14ac:dyDescent="0.25">
      <c r="A398" s="2" t="str">
        <f>IF(B398="","",IFERROR(VLOOKUP(B398, PLANTA_BASE!A:W, 2, FALSE), "NO ENCONTRADO EN PLANTA"))</f>
        <v/>
      </c>
      <c r="B398" s="3"/>
      <c r="C398" s="4" t="str">
        <f>IF(B398="","",IFERROR(VLOOKUP(B398, PLANTA_BASE!A:W, 3, FALSE), ""))</f>
        <v/>
      </c>
      <c r="D398" s="2" t="str">
        <f>IF(B398="","",IFERROR(VLOOKUP(B398, PLANTA_BASE!A:W, 5, FALSE), "NO ENCONTRADO EN PLANTA"))</f>
        <v/>
      </c>
      <c r="E398" s="2" t="str">
        <f>IF(B398="","",IFERROR(VLOOKUP(B398, PLANTA_BASE!A:W, 6, FALSE), "NO ENCONTRADO EN PLANTA"))</f>
        <v/>
      </c>
      <c r="F398" s="4" t="str">
        <f>IF(B398="","",IFERROR(VLOOKUP(B398, PLANTA_BASE!A:W, 8, FALSE), "DOCENTE / FACILITADOR"))</f>
        <v/>
      </c>
      <c r="G398" s="4" t="str">
        <f>IF(B398="","",IFERROR(VLOOKUP(B398, PLANTA_BASE!A:W, 9, FALSE), "GENERAL"))</f>
        <v/>
      </c>
      <c r="H398" s="2" t="str">
        <f>IF(B398="","",IFERROR(VLOOKUP(B398, PLANTA_BASE!A:W, 17, FALSE), "GENERAL"))</f>
        <v/>
      </c>
    </row>
    <row r="399" spans="1:8" ht="20.100000000000001" customHeight="1" x14ac:dyDescent="0.25">
      <c r="A399" s="5" t="str">
        <f>IF(B399="","",IFERROR(VLOOKUP(B399, PLANTA_BASE!A:W, 2, FALSE), "NO ENCONTRADO EN PLANTA"))</f>
        <v/>
      </c>
      <c r="B399" s="6"/>
      <c r="C399" s="7" t="str">
        <f>IF(B399="","",IFERROR(VLOOKUP(B399, PLANTA_BASE!A:W, 3, FALSE), ""))</f>
        <v/>
      </c>
      <c r="D399" s="5" t="str">
        <f>IF(B399="","",IFERROR(VLOOKUP(B399, PLANTA_BASE!A:W, 5, FALSE), "NO ENCONTRADO EN PLANTA"))</f>
        <v/>
      </c>
      <c r="E399" s="5" t="str">
        <f>IF(B399="","",IFERROR(VLOOKUP(B399, PLANTA_BASE!A:W, 6, FALSE), "NO ENCONTRADO EN PLANTA"))</f>
        <v/>
      </c>
      <c r="F399" s="7" t="str">
        <f>IF(B399="","",IFERROR(VLOOKUP(B399, PLANTA_BASE!A:W, 8, FALSE), "DOCENTE / FACILITADOR"))</f>
        <v/>
      </c>
      <c r="G399" s="7" t="str">
        <f>IF(B399="","",IFERROR(VLOOKUP(B399, PLANTA_BASE!A:W, 9, FALSE), "GENERAL"))</f>
        <v/>
      </c>
      <c r="H399" s="5" t="str">
        <f>IF(B399="","",IFERROR(VLOOKUP(B399, PLANTA_BASE!A:W, 17, FALSE), "GENERAL"))</f>
        <v/>
      </c>
    </row>
    <row r="400" spans="1:8" ht="20.100000000000001" customHeight="1" x14ac:dyDescent="0.25">
      <c r="A400" s="2" t="str">
        <f>IF(B400="","",IFERROR(VLOOKUP(B400, PLANTA_BASE!A:W, 2, FALSE), "NO ENCONTRADO EN PLANTA"))</f>
        <v/>
      </c>
      <c r="B400" s="3"/>
      <c r="C400" s="4" t="str">
        <f>IF(B400="","",IFERROR(VLOOKUP(B400, PLANTA_BASE!A:W, 3, FALSE), ""))</f>
        <v/>
      </c>
      <c r="D400" s="2" t="str">
        <f>IF(B400="","",IFERROR(VLOOKUP(B400, PLANTA_BASE!A:W, 5, FALSE), "NO ENCONTRADO EN PLANTA"))</f>
        <v/>
      </c>
      <c r="E400" s="2" t="str">
        <f>IF(B400="","",IFERROR(VLOOKUP(B400, PLANTA_BASE!A:W, 6, FALSE), "NO ENCONTRADO EN PLANTA"))</f>
        <v/>
      </c>
      <c r="F400" s="4" t="str">
        <f>IF(B400="","",IFERROR(VLOOKUP(B400, PLANTA_BASE!A:W, 8, FALSE), "DOCENTE / FACILITADOR"))</f>
        <v/>
      </c>
      <c r="G400" s="4" t="str">
        <f>IF(B400="","",IFERROR(VLOOKUP(B400, PLANTA_BASE!A:W, 9, FALSE), "GENERAL"))</f>
        <v/>
      </c>
      <c r="H400" s="2" t="str">
        <f>IF(B400="","",IFERROR(VLOOKUP(B400, PLANTA_BASE!A:W, 17, FALSE), "GENERAL"))</f>
        <v/>
      </c>
    </row>
    <row r="401" spans="1:8" ht="20.100000000000001" customHeight="1" x14ac:dyDescent="0.25">
      <c r="A401" s="5" t="str">
        <f>IF(B401="","",IFERROR(VLOOKUP(B401, PLANTA_BASE!A:W, 2, FALSE), "NO ENCONTRADO EN PLANTA"))</f>
        <v/>
      </c>
      <c r="B401" s="6"/>
      <c r="C401" s="7" t="str">
        <f>IF(B401="","",IFERROR(VLOOKUP(B401, PLANTA_BASE!A:W, 3, FALSE), ""))</f>
        <v/>
      </c>
      <c r="D401" s="5" t="str">
        <f>IF(B401="","",IFERROR(VLOOKUP(B401, PLANTA_BASE!A:W, 5, FALSE), "NO ENCONTRADO EN PLANTA"))</f>
        <v/>
      </c>
      <c r="E401" s="5" t="str">
        <f>IF(B401="","",IFERROR(VLOOKUP(B401, PLANTA_BASE!A:W, 6, FALSE), "NO ENCONTRADO EN PLANTA"))</f>
        <v/>
      </c>
      <c r="F401" s="7" t="str">
        <f>IF(B401="","",IFERROR(VLOOKUP(B401, PLANTA_BASE!A:W, 8, FALSE), "DOCENTE / FACILITADOR"))</f>
        <v/>
      </c>
      <c r="G401" s="7" t="str">
        <f>IF(B401="","",IFERROR(VLOOKUP(B401, PLANTA_BASE!A:W, 9, FALSE), "GENERAL"))</f>
        <v/>
      </c>
      <c r="H401" s="5" t="str">
        <f>IF(B401="","",IFERROR(VLOOKUP(B401, PLANTA_BASE!A:W, 17, FALSE), "GENERAL"))</f>
        <v/>
      </c>
    </row>
    <row r="402" spans="1:8" ht="20.100000000000001" customHeight="1" x14ac:dyDescent="0.25">
      <c r="A402" s="2" t="str">
        <f>IF(B402="","",IFERROR(VLOOKUP(B402, PLANTA_BASE!A:W, 2, FALSE), "NO ENCONTRADO EN PLANTA"))</f>
        <v/>
      </c>
      <c r="B402" s="3"/>
      <c r="C402" s="4" t="str">
        <f>IF(B402="","",IFERROR(VLOOKUP(B402, PLANTA_BASE!A:W, 3, FALSE), ""))</f>
        <v/>
      </c>
      <c r="D402" s="2" t="str">
        <f>IF(B402="","",IFERROR(VLOOKUP(B402, PLANTA_BASE!A:W, 5, FALSE), "NO ENCONTRADO EN PLANTA"))</f>
        <v/>
      </c>
      <c r="E402" s="2" t="str">
        <f>IF(B402="","",IFERROR(VLOOKUP(B402, PLANTA_BASE!A:W, 6, FALSE), "NO ENCONTRADO EN PLANTA"))</f>
        <v/>
      </c>
      <c r="F402" s="4" t="str">
        <f>IF(B402="","",IFERROR(VLOOKUP(B402, PLANTA_BASE!A:W, 8, FALSE), "DOCENTE / FACILITADOR"))</f>
        <v/>
      </c>
      <c r="G402" s="4" t="str">
        <f>IF(B402="","",IFERROR(VLOOKUP(B402, PLANTA_BASE!A:W, 9, FALSE), "GENERAL"))</f>
        <v/>
      </c>
      <c r="H402" s="2" t="str">
        <f>IF(B402="","",IFERROR(VLOOKUP(B402, PLANTA_BASE!A:W, 17, FALSE), "GENERAL"))</f>
        <v/>
      </c>
    </row>
    <row r="403" spans="1:8" ht="20.100000000000001" customHeight="1" x14ac:dyDescent="0.25">
      <c r="A403" s="5" t="str">
        <f>IF(B403="","",IFERROR(VLOOKUP(B403, PLANTA_BASE!A:W, 2, FALSE), "NO ENCONTRADO EN PLANTA"))</f>
        <v/>
      </c>
      <c r="B403" s="6"/>
      <c r="C403" s="7" t="str">
        <f>IF(B403="","",IFERROR(VLOOKUP(B403, PLANTA_BASE!A:W, 3, FALSE), ""))</f>
        <v/>
      </c>
      <c r="D403" s="5" t="str">
        <f>IF(B403="","",IFERROR(VLOOKUP(B403, PLANTA_BASE!A:W, 5, FALSE), "NO ENCONTRADO EN PLANTA"))</f>
        <v/>
      </c>
      <c r="E403" s="5" t="str">
        <f>IF(B403="","",IFERROR(VLOOKUP(B403, PLANTA_BASE!A:W, 6, FALSE), "NO ENCONTRADO EN PLANTA"))</f>
        <v/>
      </c>
      <c r="F403" s="7" t="str">
        <f>IF(B403="","",IFERROR(VLOOKUP(B403, PLANTA_BASE!A:W, 8, FALSE), "DOCENTE / FACILITADOR"))</f>
        <v/>
      </c>
      <c r="G403" s="7" t="str">
        <f>IF(B403="","",IFERROR(VLOOKUP(B403, PLANTA_BASE!A:W, 9, FALSE), "GENERAL"))</f>
        <v/>
      </c>
      <c r="H403" s="5" t="str">
        <f>IF(B403="","",IFERROR(VLOOKUP(B403, PLANTA_BASE!A:W, 17, FALSE), "GENERAL"))</f>
        <v/>
      </c>
    </row>
    <row r="404" spans="1:8" ht="20.100000000000001" customHeight="1" x14ac:dyDescent="0.25">
      <c r="A404" s="2" t="str">
        <f>IF(B404="","",IFERROR(VLOOKUP(B404, PLANTA_BASE!A:W, 2, FALSE), "NO ENCONTRADO EN PLANTA"))</f>
        <v/>
      </c>
      <c r="B404" s="3"/>
      <c r="C404" s="4" t="str">
        <f>IF(B404="","",IFERROR(VLOOKUP(B404, PLANTA_BASE!A:W, 3, FALSE), ""))</f>
        <v/>
      </c>
      <c r="D404" s="2" t="str">
        <f>IF(B404="","",IFERROR(VLOOKUP(B404, PLANTA_BASE!A:W, 5, FALSE), "NO ENCONTRADO EN PLANTA"))</f>
        <v/>
      </c>
      <c r="E404" s="2" t="str">
        <f>IF(B404="","",IFERROR(VLOOKUP(B404, PLANTA_BASE!A:W, 6, FALSE), "NO ENCONTRADO EN PLANTA"))</f>
        <v/>
      </c>
      <c r="F404" s="4" t="str">
        <f>IF(B404="","",IFERROR(VLOOKUP(B404, PLANTA_BASE!A:W, 8, FALSE), "DOCENTE / FACILITADOR"))</f>
        <v/>
      </c>
      <c r="G404" s="4" t="str">
        <f>IF(B404="","",IFERROR(VLOOKUP(B404, PLANTA_BASE!A:W, 9, FALSE), "GENERAL"))</f>
        <v/>
      </c>
      <c r="H404" s="2" t="str">
        <f>IF(B404="","",IFERROR(VLOOKUP(B404, PLANTA_BASE!A:W, 17, FALSE), "GENERAL"))</f>
        <v/>
      </c>
    </row>
    <row r="405" spans="1:8" ht="20.100000000000001" customHeight="1" x14ac:dyDescent="0.25">
      <c r="A405" s="5" t="str">
        <f>IF(B405="","",IFERROR(VLOOKUP(B405, PLANTA_BASE!A:W, 2, FALSE), "NO ENCONTRADO EN PLANTA"))</f>
        <v/>
      </c>
      <c r="B405" s="6"/>
      <c r="C405" s="7" t="str">
        <f>IF(B405="","",IFERROR(VLOOKUP(B405, PLANTA_BASE!A:W, 3, FALSE), ""))</f>
        <v/>
      </c>
      <c r="D405" s="5" t="str">
        <f>IF(B405="","",IFERROR(VLOOKUP(B405, PLANTA_BASE!A:W, 5, FALSE), "NO ENCONTRADO EN PLANTA"))</f>
        <v/>
      </c>
      <c r="E405" s="5" t="str">
        <f>IF(B405="","",IFERROR(VLOOKUP(B405, PLANTA_BASE!A:W, 6, FALSE), "NO ENCONTRADO EN PLANTA"))</f>
        <v/>
      </c>
      <c r="F405" s="7" t="str">
        <f>IF(B405="","",IFERROR(VLOOKUP(B405, PLANTA_BASE!A:W, 8, FALSE), "DOCENTE / FACILITADOR"))</f>
        <v/>
      </c>
      <c r="G405" s="7" t="str">
        <f>IF(B405="","",IFERROR(VLOOKUP(B405, PLANTA_BASE!A:W, 9, FALSE), "GENERAL"))</f>
        <v/>
      </c>
      <c r="H405" s="5" t="str">
        <f>IF(B405="","",IFERROR(VLOOKUP(B405, PLANTA_BASE!A:W, 17, FALSE), "GENERAL"))</f>
        <v/>
      </c>
    </row>
    <row r="406" spans="1:8" ht="20.100000000000001" customHeight="1" x14ac:dyDescent="0.25">
      <c r="A406" s="2" t="str">
        <f>IF(B406="","",IFERROR(VLOOKUP(B406, PLANTA_BASE!A:W, 2, FALSE), "NO ENCONTRADO EN PLANTA"))</f>
        <v/>
      </c>
      <c r="B406" s="3"/>
      <c r="C406" s="4" t="str">
        <f>IF(B406="","",IFERROR(VLOOKUP(B406, PLANTA_BASE!A:W, 3, FALSE), ""))</f>
        <v/>
      </c>
      <c r="D406" s="2" t="str">
        <f>IF(B406="","",IFERROR(VLOOKUP(B406, PLANTA_BASE!A:W, 5, FALSE), "NO ENCONTRADO EN PLANTA"))</f>
        <v/>
      </c>
      <c r="E406" s="2" t="str">
        <f>IF(B406="","",IFERROR(VLOOKUP(B406, PLANTA_BASE!A:W, 6, FALSE), "NO ENCONTRADO EN PLANTA"))</f>
        <v/>
      </c>
      <c r="F406" s="4" t="str">
        <f>IF(B406="","",IFERROR(VLOOKUP(B406, PLANTA_BASE!A:W, 8, FALSE), "DOCENTE / FACILITADOR"))</f>
        <v/>
      </c>
      <c r="G406" s="4" t="str">
        <f>IF(B406="","",IFERROR(VLOOKUP(B406, PLANTA_BASE!A:W, 9, FALSE), "GENERAL"))</f>
        <v/>
      </c>
      <c r="H406" s="2" t="str">
        <f>IF(B406="","",IFERROR(VLOOKUP(B406, PLANTA_BASE!A:W, 17, FALSE), "GENERAL"))</f>
        <v/>
      </c>
    </row>
    <row r="407" spans="1:8" ht="20.100000000000001" customHeight="1" x14ac:dyDescent="0.25">
      <c r="A407" s="5" t="str">
        <f>IF(B407="","",IFERROR(VLOOKUP(B407, PLANTA_BASE!A:W, 2, FALSE), "NO ENCONTRADO EN PLANTA"))</f>
        <v/>
      </c>
      <c r="B407" s="6"/>
      <c r="C407" s="7" t="str">
        <f>IF(B407="","",IFERROR(VLOOKUP(B407, PLANTA_BASE!A:W, 3, FALSE), ""))</f>
        <v/>
      </c>
      <c r="D407" s="5" t="str">
        <f>IF(B407="","",IFERROR(VLOOKUP(B407, PLANTA_BASE!A:W, 5, FALSE), "NO ENCONTRADO EN PLANTA"))</f>
        <v/>
      </c>
      <c r="E407" s="5" t="str">
        <f>IF(B407="","",IFERROR(VLOOKUP(B407, PLANTA_BASE!A:W, 6, FALSE), "NO ENCONTRADO EN PLANTA"))</f>
        <v/>
      </c>
      <c r="F407" s="7" t="str">
        <f>IF(B407="","",IFERROR(VLOOKUP(B407, PLANTA_BASE!A:W, 8, FALSE), "DOCENTE / FACILITADOR"))</f>
        <v/>
      </c>
      <c r="G407" s="7" t="str">
        <f>IF(B407="","",IFERROR(VLOOKUP(B407, PLANTA_BASE!A:W, 9, FALSE), "GENERAL"))</f>
        <v/>
      </c>
      <c r="H407" s="5" t="str">
        <f>IF(B407="","",IFERROR(VLOOKUP(B407, PLANTA_BASE!A:W, 17, FALSE), "GENERAL"))</f>
        <v/>
      </c>
    </row>
    <row r="408" spans="1:8" ht="20.100000000000001" customHeight="1" x14ac:dyDescent="0.25">
      <c r="A408" s="2" t="str">
        <f>IF(B408="","",IFERROR(VLOOKUP(B408, PLANTA_BASE!A:W, 2, FALSE), "NO ENCONTRADO EN PLANTA"))</f>
        <v/>
      </c>
      <c r="B408" s="3"/>
      <c r="C408" s="4" t="str">
        <f>IF(B408="","",IFERROR(VLOOKUP(B408, PLANTA_BASE!A:W, 3, FALSE), ""))</f>
        <v/>
      </c>
      <c r="D408" s="2" t="str">
        <f>IF(B408="","",IFERROR(VLOOKUP(B408, PLANTA_BASE!A:W, 5, FALSE), "NO ENCONTRADO EN PLANTA"))</f>
        <v/>
      </c>
      <c r="E408" s="2" t="str">
        <f>IF(B408="","",IFERROR(VLOOKUP(B408, PLANTA_BASE!A:W, 6, FALSE), "NO ENCONTRADO EN PLANTA"))</f>
        <v/>
      </c>
      <c r="F408" s="4" t="str">
        <f>IF(B408="","",IFERROR(VLOOKUP(B408, PLANTA_BASE!A:W, 8, FALSE), "DOCENTE / FACILITADOR"))</f>
        <v/>
      </c>
      <c r="G408" s="4" t="str">
        <f>IF(B408="","",IFERROR(VLOOKUP(B408, PLANTA_BASE!A:W, 9, FALSE), "GENERAL"))</f>
        <v/>
      </c>
      <c r="H408" s="2" t="str">
        <f>IF(B408="","",IFERROR(VLOOKUP(B408, PLANTA_BASE!A:W, 17, FALSE), "GENERAL"))</f>
        <v/>
      </c>
    </row>
    <row r="409" spans="1:8" ht="20.100000000000001" customHeight="1" x14ac:dyDescent="0.25">
      <c r="A409" s="5" t="str">
        <f>IF(B409="","",IFERROR(VLOOKUP(B409, PLANTA_BASE!A:W, 2, FALSE), "NO ENCONTRADO EN PLANTA"))</f>
        <v/>
      </c>
      <c r="B409" s="6"/>
      <c r="C409" s="7" t="str">
        <f>IF(B409="","",IFERROR(VLOOKUP(B409, PLANTA_BASE!A:W, 3, FALSE), ""))</f>
        <v/>
      </c>
      <c r="D409" s="5" t="str">
        <f>IF(B409="","",IFERROR(VLOOKUP(B409, PLANTA_BASE!A:W, 5, FALSE), "NO ENCONTRADO EN PLANTA"))</f>
        <v/>
      </c>
      <c r="E409" s="5" t="str">
        <f>IF(B409="","",IFERROR(VLOOKUP(B409, PLANTA_BASE!A:W, 6, FALSE), "NO ENCONTRADO EN PLANTA"))</f>
        <v/>
      </c>
      <c r="F409" s="7" t="str">
        <f>IF(B409="","",IFERROR(VLOOKUP(B409, PLANTA_BASE!A:W, 8, FALSE), "DOCENTE / FACILITADOR"))</f>
        <v/>
      </c>
      <c r="G409" s="7" t="str">
        <f>IF(B409="","",IFERROR(VLOOKUP(B409, PLANTA_BASE!A:W, 9, FALSE), "GENERAL"))</f>
        <v/>
      </c>
      <c r="H409" s="5" t="str">
        <f>IF(B409="","",IFERROR(VLOOKUP(B409, PLANTA_BASE!A:W, 17, FALSE), "GENERAL"))</f>
        <v/>
      </c>
    </row>
    <row r="410" spans="1:8" ht="20.100000000000001" customHeight="1" x14ac:dyDescent="0.25">
      <c r="A410" s="2" t="str">
        <f>IF(B410="","",IFERROR(VLOOKUP(B410, PLANTA_BASE!A:W, 2, FALSE), "NO ENCONTRADO EN PLANTA"))</f>
        <v/>
      </c>
      <c r="B410" s="3"/>
      <c r="C410" s="4" t="str">
        <f>IF(B410="","",IFERROR(VLOOKUP(B410, PLANTA_BASE!A:W, 3, FALSE), ""))</f>
        <v/>
      </c>
      <c r="D410" s="2" t="str">
        <f>IF(B410="","",IFERROR(VLOOKUP(B410, PLANTA_BASE!A:W, 5, FALSE), "NO ENCONTRADO EN PLANTA"))</f>
        <v/>
      </c>
      <c r="E410" s="2" t="str">
        <f>IF(B410="","",IFERROR(VLOOKUP(B410, PLANTA_BASE!A:W, 6, FALSE), "NO ENCONTRADO EN PLANTA"))</f>
        <v/>
      </c>
      <c r="F410" s="4" t="str">
        <f>IF(B410="","",IFERROR(VLOOKUP(B410, PLANTA_BASE!A:W, 8, FALSE), "DOCENTE / FACILITADOR"))</f>
        <v/>
      </c>
      <c r="G410" s="4" t="str">
        <f>IF(B410="","",IFERROR(VLOOKUP(B410, PLANTA_BASE!A:W, 9, FALSE), "GENERAL"))</f>
        <v/>
      </c>
      <c r="H410" s="2" t="str">
        <f>IF(B410="","",IFERROR(VLOOKUP(B410, PLANTA_BASE!A:W, 17, FALSE), "GENERAL"))</f>
        <v/>
      </c>
    </row>
    <row r="411" spans="1:8" ht="20.100000000000001" customHeight="1" x14ac:dyDescent="0.25">
      <c r="A411" s="5" t="str">
        <f>IF(B411="","",IFERROR(VLOOKUP(B411, PLANTA_BASE!A:W, 2, FALSE), "NO ENCONTRADO EN PLANTA"))</f>
        <v/>
      </c>
      <c r="B411" s="6"/>
      <c r="C411" s="7" t="str">
        <f>IF(B411="","",IFERROR(VLOOKUP(B411, PLANTA_BASE!A:W, 3, FALSE), ""))</f>
        <v/>
      </c>
      <c r="D411" s="5" t="str">
        <f>IF(B411="","",IFERROR(VLOOKUP(B411, PLANTA_BASE!A:W, 5, FALSE), "NO ENCONTRADO EN PLANTA"))</f>
        <v/>
      </c>
      <c r="E411" s="5" t="str">
        <f>IF(B411="","",IFERROR(VLOOKUP(B411, PLANTA_BASE!A:W, 6, FALSE), "NO ENCONTRADO EN PLANTA"))</f>
        <v/>
      </c>
      <c r="F411" s="7" t="str">
        <f>IF(B411="","",IFERROR(VLOOKUP(B411, PLANTA_BASE!A:W, 8, FALSE), "DOCENTE / FACILITADOR"))</f>
        <v/>
      </c>
      <c r="G411" s="7" t="str">
        <f>IF(B411="","",IFERROR(VLOOKUP(B411, PLANTA_BASE!A:W, 9, FALSE), "GENERAL"))</f>
        <v/>
      </c>
      <c r="H411" s="5" t="str">
        <f>IF(B411="","",IFERROR(VLOOKUP(B411, PLANTA_BASE!A:W, 17, FALSE), "GENERAL"))</f>
        <v/>
      </c>
    </row>
    <row r="412" spans="1:8" ht="20.100000000000001" customHeight="1" x14ac:dyDescent="0.25">
      <c r="A412" s="2" t="str">
        <f>IF(B412="","",IFERROR(VLOOKUP(B412, PLANTA_BASE!A:W, 2, FALSE), "NO ENCONTRADO EN PLANTA"))</f>
        <v/>
      </c>
      <c r="B412" s="3"/>
      <c r="C412" s="4" t="str">
        <f>IF(B412="","",IFERROR(VLOOKUP(B412, PLANTA_BASE!A:W, 3, FALSE), ""))</f>
        <v/>
      </c>
      <c r="D412" s="2" t="str">
        <f>IF(B412="","",IFERROR(VLOOKUP(B412, PLANTA_BASE!A:W, 5, FALSE), "NO ENCONTRADO EN PLANTA"))</f>
        <v/>
      </c>
      <c r="E412" s="2" t="str">
        <f>IF(B412="","",IFERROR(VLOOKUP(B412, PLANTA_BASE!A:W, 6, FALSE), "NO ENCONTRADO EN PLANTA"))</f>
        <v/>
      </c>
      <c r="F412" s="4" t="str">
        <f>IF(B412="","",IFERROR(VLOOKUP(B412, PLANTA_BASE!A:W, 8, FALSE), "DOCENTE / FACILITADOR"))</f>
        <v/>
      </c>
      <c r="G412" s="4" t="str">
        <f>IF(B412="","",IFERROR(VLOOKUP(B412, PLANTA_BASE!A:W, 9, FALSE), "GENERAL"))</f>
        <v/>
      </c>
      <c r="H412" s="2" t="str">
        <f>IF(B412="","",IFERROR(VLOOKUP(B412, PLANTA_BASE!A:W, 17, FALSE), "GENERAL"))</f>
        <v/>
      </c>
    </row>
    <row r="413" spans="1:8" ht="20.100000000000001" customHeight="1" x14ac:dyDescent="0.25">
      <c r="A413" s="5" t="str">
        <f>IF(B413="","",IFERROR(VLOOKUP(B413, PLANTA_BASE!A:W, 2, FALSE), "NO ENCONTRADO EN PLANTA"))</f>
        <v/>
      </c>
      <c r="B413" s="6"/>
      <c r="C413" s="7" t="str">
        <f>IF(B413="","",IFERROR(VLOOKUP(B413, PLANTA_BASE!A:W, 3, FALSE), ""))</f>
        <v/>
      </c>
      <c r="D413" s="5" t="str">
        <f>IF(B413="","",IFERROR(VLOOKUP(B413, PLANTA_BASE!A:W, 5, FALSE), "NO ENCONTRADO EN PLANTA"))</f>
        <v/>
      </c>
      <c r="E413" s="5" t="str">
        <f>IF(B413="","",IFERROR(VLOOKUP(B413, PLANTA_BASE!A:W, 6, FALSE), "NO ENCONTRADO EN PLANTA"))</f>
        <v/>
      </c>
      <c r="F413" s="7" t="str">
        <f>IF(B413="","",IFERROR(VLOOKUP(B413, PLANTA_BASE!A:W, 8, FALSE), "DOCENTE / FACILITADOR"))</f>
        <v/>
      </c>
      <c r="G413" s="7" t="str">
        <f>IF(B413="","",IFERROR(VLOOKUP(B413, PLANTA_BASE!A:W, 9, FALSE), "GENERAL"))</f>
        <v/>
      </c>
      <c r="H413" s="5" t="str">
        <f>IF(B413="","",IFERROR(VLOOKUP(B413, PLANTA_BASE!A:W, 17, FALSE), "GENERAL"))</f>
        <v/>
      </c>
    </row>
    <row r="414" spans="1:8" ht="20.100000000000001" customHeight="1" x14ac:dyDescent="0.25">
      <c r="A414" s="2" t="str">
        <f>IF(B414="","",IFERROR(VLOOKUP(B414, PLANTA_BASE!A:W, 2, FALSE), "NO ENCONTRADO EN PLANTA"))</f>
        <v/>
      </c>
      <c r="B414" s="3"/>
      <c r="C414" s="4" t="str">
        <f>IF(B414="","",IFERROR(VLOOKUP(B414, PLANTA_BASE!A:W, 3, FALSE), ""))</f>
        <v/>
      </c>
      <c r="D414" s="2" t="str">
        <f>IF(B414="","",IFERROR(VLOOKUP(B414, PLANTA_BASE!A:W, 5, FALSE), "NO ENCONTRADO EN PLANTA"))</f>
        <v/>
      </c>
      <c r="E414" s="2" t="str">
        <f>IF(B414="","",IFERROR(VLOOKUP(B414, PLANTA_BASE!A:W, 6, FALSE), "NO ENCONTRADO EN PLANTA"))</f>
        <v/>
      </c>
      <c r="F414" s="4" t="str">
        <f>IF(B414="","",IFERROR(VLOOKUP(B414, PLANTA_BASE!A:W, 8, FALSE), "DOCENTE / FACILITADOR"))</f>
        <v/>
      </c>
      <c r="G414" s="4" t="str">
        <f>IF(B414="","",IFERROR(VLOOKUP(B414, PLANTA_BASE!A:W, 9, FALSE), "GENERAL"))</f>
        <v/>
      </c>
      <c r="H414" s="2" t="str">
        <f>IF(B414="","",IFERROR(VLOOKUP(B414, PLANTA_BASE!A:W, 17, FALSE), "GENERAL"))</f>
        <v/>
      </c>
    </row>
    <row r="415" spans="1:8" ht="20.100000000000001" customHeight="1" x14ac:dyDescent="0.25">
      <c r="A415" s="5" t="str">
        <f>IF(B415="","",IFERROR(VLOOKUP(B415, PLANTA_BASE!A:W, 2, FALSE), "NO ENCONTRADO EN PLANTA"))</f>
        <v/>
      </c>
      <c r="B415" s="6"/>
      <c r="C415" s="7" t="str">
        <f>IF(B415="","",IFERROR(VLOOKUP(B415, PLANTA_BASE!A:W, 3, FALSE), ""))</f>
        <v/>
      </c>
      <c r="D415" s="5" t="str">
        <f>IF(B415="","",IFERROR(VLOOKUP(B415, PLANTA_BASE!A:W, 5, FALSE), "NO ENCONTRADO EN PLANTA"))</f>
        <v/>
      </c>
      <c r="E415" s="5" t="str">
        <f>IF(B415="","",IFERROR(VLOOKUP(B415, PLANTA_BASE!A:W, 6, FALSE), "NO ENCONTRADO EN PLANTA"))</f>
        <v/>
      </c>
      <c r="F415" s="7" t="str">
        <f>IF(B415="","",IFERROR(VLOOKUP(B415, PLANTA_BASE!A:W, 8, FALSE), "DOCENTE / FACILITADOR"))</f>
        <v/>
      </c>
      <c r="G415" s="7" t="str">
        <f>IF(B415="","",IFERROR(VLOOKUP(B415, PLANTA_BASE!A:W, 9, FALSE), "GENERAL"))</f>
        <v/>
      </c>
      <c r="H415" s="5" t="str">
        <f>IF(B415="","",IFERROR(VLOOKUP(B415, PLANTA_BASE!A:W, 17, FALSE), "GENERAL"))</f>
        <v/>
      </c>
    </row>
    <row r="416" spans="1:8" ht="20.100000000000001" customHeight="1" x14ac:dyDescent="0.25">
      <c r="A416" s="2" t="str">
        <f>IF(B416="","",IFERROR(VLOOKUP(B416, PLANTA_BASE!A:W, 2, FALSE), "NO ENCONTRADO EN PLANTA"))</f>
        <v/>
      </c>
      <c r="B416" s="3"/>
      <c r="C416" s="4" t="str">
        <f>IF(B416="","",IFERROR(VLOOKUP(B416, PLANTA_BASE!A:W, 3, FALSE), ""))</f>
        <v/>
      </c>
      <c r="D416" s="2" t="str">
        <f>IF(B416="","",IFERROR(VLOOKUP(B416, PLANTA_BASE!A:W, 5, FALSE), "NO ENCONTRADO EN PLANTA"))</f>
        <v/>
      </c>
      <c r="E416" s="2" t="str">
        <f>IF(B416="","",IFERROR(VLOOKUP(B416, PLANTA_BASE!A:W, 6, FALSE), "NO ENCONTRADO EN PLANTA"))</f>
        <v/>
      </c>
      <c r="F416" s="4" t="str">
        <f>IF(B416="","",IFERROR(VLOOKUP(B416, PLANTA_BASE!A:W, 8, FALSE), "DOCENTE / FACILITADOR"))</f>
        <v/>
      </c>
      <c r="G416" s="4" t="str">
        <f>IF(B416="","",IFERROR(VLOOKUP(B416, PLANTA_BASE!A:W, 9, FALSE), "GENERAL"))</f>
        <v/>
      </c>
      <c r="H416" s="2" t="str">
        <f>IF(B416="","",IFERROR(VLOOKUP(B416, PLANTA_BASE!A:W, 17, FALSE), "GENERAL"))</f>
        <v/>
      </c>
    </row>
    <row r="417" spans="1:8" ht="20.100000000000001" customHeight="1" x14ac:dyDescent="0.25">
      <c r="A417" s="5" t="str">
        <f>IF(B417="","",IFERROR(VLOOKUP(B417, PLANTA_BASE!A:W, 2, FALSE), "NO ENCONTRADO EN PLANTA"))</f>
        <v/>
      </c>
      <c r="B417" s="6"/>
      <c r="C417" s="7" t="str">
        <f>IF(B417="","",IFERROR(VLOOKUP(B417, PLANTA_BASE!A:W, 3, FALSE), ""))</f>
        <v/>
      </c>
      <c r="D417" s="5" t="str">
        <f>IF(B417="","",IFERROR(VLOOKUP(B417, PLANTA_BASE!A:W, 5, FALSE), "NO ENCONTRADO EN PLANTA"))</f>
        <v/>
      </c>
      <c r="E417" s="5" t="str">
        <f>IF(B417="","",IFERROR(VLOOKUP(B417, PLANTA_BASE!A:W, 6, FALSE), "NO ENCONTRADO EN PLANTA"))</f>
        <v/>
      </c>
      <c r="F417" s="7" t="str">
        <f>IF(B417="","",IFERROR(VLOOKUP(B417, PLANTA_BASE!A:W, 8, FALSE), "DOCENTE / FACILITADOR"))</f>
        <v/>
      </c>
      <c r="G417" s="7" t="str">
        <f>IF(B417="","",IFERROR(VLOOKUP(B417, PLANTA_BASE!A:W, 9, FALSE), "GENERAL"))</f>
        <v/>
      </c>
      <c r="H417" s="5" t="str">
        <f>IF(B417="","",IFERROR(VLOOKUP(B417, PLANTA_BASE!A:W, 17, FALSE), "GENERAL"))</f>
        <v/>
      </c>
    </row>
    <row r="418" spans="1:8" ht="20.100000000000001" customHeight="1" x14ac:dyDescent="0.25">
      <c r="A418" s="2" t="str">
        <f>IF(B418="","",IFERROR(VLOOKUP(B418, PLANTA_BASE!A:W, 2, FALSE), "NO ENCONTRADO EN PLANTA"))</f>
        <v/>
      </c>
      <c r="B418" s="3"/>
      <c r="C418" s="4" t="str">
        <f>IF(B418="","",IFERROR(VLOOKUP(B418, PLANTA_BASE!A:W, 3, FALSE), ""))</f>
        <v/>
      </c>
      <c r="D418" s="2" t="str">
        <f>IF(B418="","",IFERROR(VLOOKUP(B418, PLANTA_BASE!A:W, 5, FALSE), "NO ENCONTRADO EN PLANTA"))</f>
        <v/>
      </c>
      <c r="E418" s="2" t="str">
        <f>IF(B418="","",IFERROR(VLOOKUP(B418, PLANTA_BASE!A:W, 6, FALSE), "NO ENCONTRADO EN PLANTA"))</f>
        <v/>
      </c>
      <c r="F418" s="4" t="str">
        <f>IF(B418="","",IFERROR(VLOOKUP(B418, PLANTA_BASE!A:W, 8, FALSE), "DOCENTE / FACILITADOR"))</f>
        <v/>
      </c>
      <c r="G418" s="4" t="str">
        <f>IF(B418="","",IFERROR(VLOOKUP(B418, PLANTA_BASE!A:W, 9, FALSE), "GENERAL"))</f>
        <v/>
      </c>
      <c r="H418" s="2" t="str">
        <f>IF(B418="","",IFERROR(VLOOKUP(B418, PLANTA_BASE!A:W, 17, FALSE), "GENERAL"))</f>
        <v/>
      </c>
    </row>
    <row r="419" spans="1:8" ht="20.100000000000001" customHeight="1" x14ac:dyDescent="0.25">
      <c r="A419" s="5" t="str">
        <f>IF(B419="","",IFERROR(VLOOKUP(B419, PLANTA_BASE!A:W, 2, FALSE), "NO ENCONTRADO EN PLANTA"))</f>
        <v/>
      </c>
      <c r="B419" s="6"/>
      <c r="C419" s="7" t="str">
        <f>IF(B419="","",IFERROR(VLOOKUP(B419, PLANTA_BASE!A:W, 3, FALSE), ""))</f>
        <v/>
      </c>
      <c r="D419" s="5" t="str">
        <f>IF(B419="","",IFERROR(VLOOKUP(B419, PLANTA_BASE!A:W, 5, FALSE), "NO ENCONTRADO EN PLANTA"))</f>
        <v/>
      </c>
      <c r="E419" s="5" t="str">
        <f>IF(B419="","",IFERROR(VLOOKUP(B419, PLANTA_BASE!A:W, 6, FALSE), "NO ENCONTRADO EN PLANTA"))</f>
        <v/>
      </c>
      <c r="F419" s="7" t="str">
        <f>IF(B419="","",IFERROR(VLOOKUP(B419, PLANTA_BASE!A:W, 8, FALSE), "DOCENTE / FACILITADOR"))</f>
        <v/>
      </c>
      <c r="G419" s="7" t="str">
        <f>IF(B419="","",IFERROR(VLOOKUP(B419, PLANTA_BASE!A:W, 9, FALSE), "GENERAL"))</f>
        <v/>
      </c>
      <c r="H419" s="5" t="str">
        <f>IF(B419="","",IFERROR(VLOOKUP(B419, PLANTA_BASE!A:W, 17, FALSE), "GENERAL"))</f>
        <v/>
      </c>
    </row>
    <row r="420" spans="1:8" ht="20.100000000000001" customHeight="1" x14ac:dyDescent="0.25">
      <c r="A420" s="2" t="str">
        <f>IF(B420="","",IFERROR(VLOOKUP(B420, PLANTA_BASE!A:W, 2, FALSE), "NO ENCONTRADO EN PLANTA"))</f>
        <v/>
      </c>
      <c r="B420" s="3"/>
      <c r="C420" s="4" t="str">
        <f>IF(B420="","",IFERROR(VLOOKUP(B420, PLANTA_BASE!A:W, 3, FALSE), ""))</f>
        <v/>
      </c>
      <c r="D420" s="2" t="str">
        <f>IF(B420="","",IFERROR(VLOOKUP(B420, PLANTA_BASE!A:W, 5, FALSE), "NO ENCONTRADO EN PLANTA"))</f>
        <v/>
      </c>
      <c r="E420" s="2" t="str">
        <f>IF(B420="","",IFERROR(VLOOKUP(B420, PLANTA_BASE!A:W, 6, FALSE), "NO ENCONTRADO EN PLANTA"))</f>
        <v/>
      </c>
      <c r="F420" s="4" t="str">
        <f>IF(B420="","",IFERROR(VLOOKUP(B420, PLANTA_BASE!A:W, 8, FALSE), "DOCENTE / FACILITADOR"))</f>
        <v/>
      </c>
      <c r="G420" s="4" t="str">
        <f>IF(B420="","",IFERROR(VLOOKUP(B420, PLANTA_BASE!A:W, 9, FALSE), "GENERAL"))</f>
        <v/>
      </c>
      <c r="H420" s="2" t="str">
        <f>IF(B420="","",IFERROR(VLOOKUP(B420, PLANTA_BASE!A:W, 17, FALSE), "GENERAL"))</f>
        <v/>
      </c>
    </row>
    <row r="421" spans="1:8" ht="20.100000000000001" customHeight="1" x14ac:dyDescent="0.25">
      <c r="A421" s="5" t="str">
        <f>IF(B421="","",IFERROR(VLOOKUP(B421, PLANTA_BASE!A:W, 2, FALSE), "NO ENCONTRADO EN PLANTA"))</f>
        <v/>
      </c>
      <c r="B421" s="6"/>
      <c r="C421" s="7" t="str">
        <f>IF(B421="","",IFERROR(VLOOKUP(B421, PLANTA_BASE!A:W, 3, FALSE), ""))</f>
        <v/>
      </c>
      <c r="D421" s="5" t="str">
        <f>IF(B421="","",IFERROR(VLOOKUP(B421, PLANTA_BASE!A:W, 5, FALSE), "NO ENCONTRADO EN PLANTA"))</f>
        <v/>
      </c>
      <c r="E421" s="5" t="str">
        <f>IF(B421="","",IFERROR(VLOOKUP(B421, PLANTA_BASE!A:W, 6, FALSE), "NO ENCONTRADO EN PLANTA"))</f>
        <v/>
      </c>
      <c r="F421" s="7" t="str">
        <f>IF(B421="","",IFERROR(VLOOKUP(B421, PLANTA_BASE!A:W, 8, FALSE), "DOCENTE / FACILITADOR"))</f>
        <v/>
      </c>
      <c r="G421" s="7" t="str">
        <f>IF(B421="","",IFERROR(VLOOKUP(B421, PLANTA_BASE!A:W, 9, FALSE), "GENERAL"))</f>
        <v/>
      </c>
      <c r="H421" s="5" t="str">
        <f>IF(B421="","",IFERROR(VLOOKUP(B421, PLANTA_BASE!A:W, 17, FALSE), "GENERAL"))</f>
        <v/>
      </c>
    </row>
    <row r="422" spans="1:8" ht="20.100000000000001" customHeight="1" x14ac:dyDescent="0.25">
      <c r="A422" s="2" t="str">
        <f>IF(B422="","",IFERROR(VLOOKUP(B422, PLANTA_BASE!A:W, 2, FALSE), "NO ENCONTRADO EN PLANTA"))</f>
        <v/>
      </c>
      <c r="B422" s="3"/>
      <c r="C422" s="4" t="str">
        <f>IF(B422="","",IFERROR(VLOOKUP(B422, PLANTA_BASE!A:W, 3, FALSE), ""))</f>
        <v/>
      </c>
      <c r="D422" s="2" t="str">
        <f>IF(B422="","",IFERROR(VLOOKUP(B422, PLANTA_BASE!A:W, 5, FALSE), "NO ENCONTRADO EN PLANTA"))</f>
        <v/>
      </c>
      <c r="E422" s="2" t="str">
        <f>IF(B422="","",IFERROR(VLOOKUP(B422, PLANTA_BASE!A:W, 6, FALSE), "NO ENCONTRADO EN PLANTA"))</f>
        <v/>
      </c>
      <c r="F422" s="4" t="str">
        <f>IF(B422="","",IFERROR(VLOOKUP(B422, PLANTA_BASE!A:W, 8, FALSE), "DOCENTE / FACILITADOR"))</f>
        <v/>
      </c>
      <c r="G422" s="4" t="str">
        <f>IF(B422="","",IFERROR(VLOOKUP(B422, PLANTA_BASE!A:W, 9, FALSE), "GENERAL"))</f>
        <v/>
      </c>
      <c r="H422" s="2" t="str">
        <f>IF(B422="","",IFERROR(VLOOKUP(B422, PLANTA_BASE!A:W, 17, FALSE), "GENERAL"))</f>
        <v/>
      </c>
    </row>
    <row r="423" spans="1:8" ht="20.100000000000001" customHeight="1" x14ac:dyDescent="0.25">
      <c r="A423" s="5" t="str">
        <f>IF(B423="","",IFERROR(VLOOKUP(B423, PLANTA_BASE!A:W, 2, FALSE), "NO ENCONTRADO EN PLANTA"))</f>
        <v/>
      </c>
      <c r="B423" s="6"/>
      <c r="C423" s="7" t="str">
        <f>IF(B423="","",IFERROR(VLOOKUP(B423, PLANTA_BASE!A:W, 3, FALSE), ""))</f>
        <v/>
      </c>
      <c r="D423" s="5" t="str">
        <f>IF(B423="","",IFERROR(VLOOKUP(B423, PLANTA_BASE!A:W, 5, FALSE), "NO ENCONTRADO EN PLANTA"))</f>
        <v/>
      </c>
      <c r="E423" s="5" t="str">
        <f>IF(B423="","",IFERROR(VLOOKUP(B423, PLANTA_BASE!A:W, 6, FALSE), "NO ENCONTRADO EN PLANTA"))</f>
        <v/>
      </c>
      <c r="F423" s="7" t="str">
        <f>IF(B423="","",IFERROR(VLOOKUP(B423, PLANTA_BASE!A:W, 8, FALSE), "DOCENTE / FACILITADOR"))</f>
        <v/>
      </c>
      <c r="G423" s="7" t="str">
        <f>IF(B423="","",IFERROR(VLOOKUP(B423, PLANTA_BASE!A:W, 9, FALSE), "GENERAL"))</f>
        <v/>
      </c>
      <c r="H423" s="5" t="str">
        <f>IF(B423="","",IFERROR(VLOOKUP(B423, PLANTA_BASE!A:W, 17, FALSE), "GENERAL"))</f>
        <v/>
      </c>
    </row>
    <row r="424" spans="1:8" ht="20.100000000000001" customHeight="1" x14ac:dyDescent="0.25">
      <c r="A424" s="2" t="str">
        <f>IF(B424="","",IFERROR(VLOOKUP(B424, PLANTA_BASE!A:W, 2, FALSE), "NO ENCONTRADO EN PLANTA"))</f>
        <v/>
      </c>
      <c r="B424" s="3"/>
      <c r="C424" s="4" t="str">
        <f>IF(B424="","",IFERROR(VLOOKUP(B424, PLANTA_BASE!A:W, 3, FALSE), ""))</f>
        <v/>
      </c>
      <c r="D424" s="2" t="str">
        <f>IF(B424="","",IFERROR(VLOOKUP(B424, PLANTA_BASE!A:W, 5, FALSE), "NO ENCONTRADO EN PLANTA"))</f>
        <v/>
      </c>
      <c r="E424" s="2" t="str">
        <f>IF(B424="","",IFERROR(VLOOKUP(B424, PLANTA_BASE!A:W, 6, FALSE), "NO ENCONTRADO EN PLANTA"))</f>
        <v/>
      </c>
      <c r="F424" s="4" t="str">
        <f>IF(B424="","",IFERROR(VLOOKUP(B424, PLANTA_BASE!A:W, 8, FALSE), "DOCENTE / FACILITADOR"))</f>
        <v/>
      </c>
      <c r="G424" s="4" t="str">
        <f>IF(B424="","",IFERROR(VLOOKUP(B424, PLANTA_BASE!A:W, 9, FALSE), "GENERAL"))</f>
        <v/>
      </c>
      <c r="H424" s="2" t="str">
        <f>IF(B424="","",IFERROR(VLOOKUP(B424, PLANTA_BASE!A:W, 17, FALSE), "GENERAL"))</f>
        <v/>
      </c>
    </row>
    <row r="425" spans="1:8" ht="20.100000000000001" customHeight="1" x14ac:dyDescent="0.25">
      <c r="A425" s="5" t="str">
        <f>IF(B425="","",IFERROR(VLOOKUP(B425, PLANTA_BASE!A:W, 2, FALSE), "NO ENCONTRADO EN PLANTA"))</f>
        <v/>
      </c>
      <c r="B425" s="6"/>
      <c r="C425" s="7" t="str">
        <f>IF(B425="","",IFERROR(VLOOKUP(B425, PLANTA_BASE!A:W, 3, FALSE), ""))</f>
        <v/>
      </c>
      <c r="D425" s="5" t="str">
        <f>IF(B425="","",IFERROR(VLOOKUP(B425, PLANTA_BASE!A:W, 5, FALSE), "NO ENCONTRADO EN PLANTA"))</f>
        <v/>
      </c>
      <c r="E425" s="5" t="str">
        <f>IF(B425="","",IFERROR(VLOOKUP(B425, PLANTA_BASE!A:W, 6, FALSE), "NO ENCONTRADO EN PLANTA"))</f>
        <v/>
      </c>
      <c r="F425" s="7" t="str">
        <f>IF(B425="","",IFERROR(VLOOKUP(B425, PLANTA_BASE!A:W, 8, FALSE), "DOCENTE / FACILITADOR"))</f>
        <v/>
      </c>
      <c r="G425" s="7" t="str">
        <f>IF(B425="","",IFERROR(VLOOKUP(B425, PLANTA_BASE!A:W, 9, FALSE), "GENERAL"))</f>
        <v/>
      </c>
      <c r="H425" s="5" t="str">
        <f>IF(B425="","",IFERROR(VLOOKUP(B425, PLANTA_BASE!A:W, 17, FALSE), "GENERAL"))</f>
        <v/>
      </c>
    </row>
    <row r="426" spans="1:8" ht="20.100000000000001" customHeight="1" x14ac:dyDescent="0.25">
      <c r="A426" s="2" t="str">
        <f>IF(B426="","",IFERROR(VLOOKUP(B426, PLANTA_BASE!A:W, 2, FALSE), "NO ENCONTRADO EN PLANTA"))</f>
        <v/>
      </c>
      <c r="B426" s="3"/>
      <c r="C426" s="4" t="str">
        <f>IF(B426="","",IFERROR(VLOOKUP(B426, PLANTA_BASE!A:W, 3, FALSE), ""))</f>
        <v/>
      </c>
      <c r="D426" s="2" t="str">
        <f>IF(B426="","",IFERROR(VLOOKUP(B426, PLANTA_BASE!A:W, 5, FALSE), "NO ENCONTRADO EN PLANTA"))</f>
        <v/>
      </c>
      <c r="E426" s="2" t="str">
        <f>IF(B426="","",IFERROR(VLOOKUP(B426, PLANTA_BASE!A:W, 6, FALSE), "NO ENCONTRADO EN PLANTA"))</f>
        <v/>
      </c>
      <c r="F426" s="4" t="str">
        <f>IF(B426="","",IFERROR(VLOOKUP(B426, PLANTA_BASE!A:W, 8, FALSE), "DOCENTE / FACILITADOR"))</f>
        <v/>
      </c>
      <c r="G426" s="4" t="str">
        <f>IF(B426="","",IFERROR(VLOOKUP(B426, PLANTA_BASE!A:W, 9, FALSE), "GENERAL"))</f>
        <v/>
      </c>
      <c r="H426" s="2" t="str">
        <f>IF(B426="","",IFERROR(VLOOKUP(B426, PLANTA_BASE!A:W, 17, FALSE), "GENERAL"))</f>
        <v/>
      </c>
    </row>
    <row r="427" spans="1:8" ht="20.100000000000001" customHeight="1" x14ac:dyDescent="0.25">
      <c r="A427" s="5" t="str">
        <f>IF(B427="","",IFERROR(VLOOKUP(B427, PLANTA_BASE!A:W, 2, FALSE), "NO ENCONTRADO EN PLANTA"))</f>
        <v/>
      </c>
      <c r="B427" s="6"/>
      <c r="C427" s="7" t="str">
        <f>IF(B427="","",IFERROR(VLOOKUP(B427, PLANTA_BASE!A:W, 3, FALSE), ""))</f>
        <v/>
      </c>
      <c r="D427" s="5" t="str">
        <f>IF(B427="","",IFERROR(VLOOKUP(B427, PLANTA_BASE!A:W, 5, FALSE), "NO ENCONTRADO EN PLANTA"))</f>
        <v/>
      </c>
      <c r="E427" s="5" t="str">
        <f>IF(B427="","",IFERROR(VLOOKUP(B427, PLANTA_BASE!A:W, 6, FALSE), "NO ENCONTRADO EN PLANTA"))</f>
        <v/>
      </c>
      <c r="F427" s="7" t="str">
        <f>IF(B427="","",IFERROR(VLOOKUP(B427, PLANTA_BASE!A:W, 8, FALSE), "DOCENTE / FACILITADOR"))</f>
        <v/>
      </c>
      <c r="G427" s="7" t="str">
        <f>IF(B427="","",IFERROR(VLOOKUP(B427, PLANTA_BASE!A:W, 9, FALSE), "GENERAL"))</f>
        <v/>
      </c>
      <c r="H427" s="5" t="str">
        <f>IF(B427="","",IFERROR(VLOOKUP(B427, PLANTA_BASE!A:W, 17, FALSE), "GENERAL"))</f>
        <v/>
      </c>
    </row>
    <row r="428" spans="1:8" ht="20.100000000000001" customHeight="1" x14ac:dyDescent="0.25">
      <c r="A428" s="2" t="str">
        <f>IF(B428="","",IFERROR(VLOOKUP(B428, PLANTA_BASE!A:W, 2, FALSE), "NO ENCONTRADO EN PLANTA"))</f>
        <v/>
      </c>
      <c r="B428" s="3"/>
      <c r="C428" s="4" t="str">
        <f>IF(B428="","",IFERROR(VLOOKUP(B428, PLANTA_BASE!A:W, 3, FALSE), ""))</f>
        <v/>
      </c>
      <c r="D428" s="2" t="str">
        <f>IF(B428="","",IFERROR(VLOOKUP(B428, PLANTA_BASE!A:W, 5, FALSE), "NO ENCONTRADO EN PLANTA"))</f>
        <v/>
      </c>
      <c r="E428" s="2" t="str">
        <f>IF(B428="","",IFERROR(VLOOKUP(B428, PLANTA_BASE!A:W, 6, FALSE), "NO ENCONTRADO EN PLANTA"))</f>
        <v/>
      </c>
      <c r="F428" s="4" t="str">
        <f>IF(B428="","",IFERROR(VLOOKUP(B428, PLANTA_BASE!A:W, 8, FALSE), "DOCENTE / FACILITADOR"))</f>
        <v/>
      </c>
      <c r="G428" s="4" t="str">
        <f>IF(B428="","",IFERROR(VLOOKUP(B428, PLANTA_BASE!A:W, 9, FALSE), "GENERAL"))</f>
        <v/>
      </c>
      <c r="H428" s="2" t="str">
        <f>IF(B428="","",IFERROR(VLOOKUP(B428, PLANTA_BASE!A:W, 17, FALSE), "GENERAL"))</f>
        <v/>
      </c>
    </row>
    <row r="429" spans="1:8" ht="20.100000000000001" customHeight="1" x14ac:dyDescent="0.25">
      <c r="A429" s="5" t="str">
        <f>IF(B429="","",IFERROR(VLOOKUP(B429, PLANTA_BASE!A:W, 2, FALSE), "NO ENCONTRADO EN PLANTA"))</f>
        <v/>
      </c>
      <c r="B429" s="6"/>
      <c r="C429" s="7" t="str">
        <f>IF(B429="","",IFERROR(VLOOKUP(B429, PLANTA_BASE!A:W, 3, FALSE), ""))</f>
        <v/>
      </c>
      <c r="D429" s="5" t="str">
        <f>IF(B429="","",IFERROR(VLOOKUP(B429, PLANTA_BASE!A:W, 5, FALSE), "NO ENCONTRADO EN PLANTA"))</f>
        <v/>
      </c>
      <c r="E429" s="5" t="str">
        <f>IF(B429="","",IFERROR(VLOOKUP(B429, PLANTA_BASE!A:W, 6, FALSE), "NO ENCONTRADO EN PLANTA"))</f>
        <v/>
      </c>
      <c r="F429" s="7" t="str">
        <f>IF(B429="","",IFERROR(VLOOKUP(B429, PLANTA_BASE!A:W, 8, FALSE), "DOCENTE / FACILITADOR"))</f>
        <v/>
      </c>
      <c r="G429" s="7" t="str">
        <f>IF(B429="","",IFERROR(VLOOKUP(B429, PLANTA_BASE!A:W, 9, FALSE), "GENERAL"))</f>
        <v/>
      </c>
      <c r="H429" s="5" t="str">
        <f>IF(B429="","",IFERROR(VLOOKUP(B429, PLANTA_BASE!A:W, 17, FALSE), "GENERAL"))</f>
        <v/>
      </c>
    </row>
    <row r="430" spans="1:8" ht="20.100000000000001" customHeight="1" x14ac:dyDescent="0.25">
      <c r="A430" s="2" t="str">
        <f>IF(B430="","",IFERROR(VLOOKUP(B430, PLANTA_BASE!A:W, 2, FALSE), "NO ENCONTRADO EN PLANTA"))</f>
        <v/>
      </c>
      <c r="B430" s="3"/>
      <c r="C430" s="4" t="str">
        <f>IF(B430="","",IFERROR(VLOOKUP(B430, PLANTA_BASE!A:W, 3, FALSE), ""))</f>
        <v/>
      </c>
      <c r="D430" s="2" t="str">
        <f>IF(B430="","",IFERROR(VLOOKUP(B430, PLANTA_BASE!A:W, 5, FALSE), "NO ENCONTRADO EN PLANTA"))</f>
        <v/>
      </c>
      <c r="E430" s="2" t="str">
        <f>IF(B430="","",IFERROR(VLOOKUP(B430, PLANTA_BASE!A:W, 6, FALSE), "NO ENCONTRADO EN PLANTA"))</f>
        <v/>
      </c>
      <c r="F430" s="4" t="str">
        <f>IF(B430="","",IFERROR(VLOOKUP(B430, PLANTA_BASE!A:W, 8, FALSE), "DOCENTE / FACILITADOR"))</f>
        <v/>
      </c>
      <c r="G430" s="4" t="str">
        <f>IF(B430="","",IFERROR(VLOOKUP(B430, PLANTA_BASE!A:W, 9, FALSE), "GENERAL"))</f>
        <v/>
      </c>
      <c r="H430" s="2" t="str">
        <f>IF(B430="","",IFERROR(VLOOKUP(B430, PLANTA_BASE!A:W, 17, FALSE), "GENERAL"))</f>
        <v/>
      </c>
    </row>
    <row r="431" spans="1:8" ht="20.100000000000001" customHeight="1" x14ac:dyDescent="0.25">
      <c r="A431" s="5" t="str">
        <f>IF(B431="","",IFERROR(VLOOKUP(B431, PLANTA_BASE!A:W, 2, FALSE), "NO ENCONTRADO EN PLANTA"))</f>
        <v/>
      </c>
      <c r="B431" s="6"/>
      <c r="C431" s="7" t="str">
        <f>IF(B431="","",IFERROR(VLOOKUP(B431, PLANTA_BASE!A:W, 3, FALSE), ""))</f>
        <v/>
      </c>
      <c r="D431" s="5" t="str">
        <f>IF(B431="","",IFERROR(VLOOKUP(B431, PLANTA_BASE!A:W, 5, FALSE), "NO ENCONTRADO EN PLANTA"))</f>
        <v/>
      </c>
      <c r="E431" s="5" t="str">
        <f>IF(B431="","",IFERROR(VLOOKUP(B431, PLANTA_BASE!A:W, 6, FALSE), "NO ENCONTRADO EN PLANTA"))</f>
        <v/>
      </c>
      <c r="F431" s="7" t="str">
        <f>IF(B431="","",IFERROR(VLOOKUP(B431, PLANTA_BASE!A:W, 8, FALSE), "DOCENTE / FACILITADOR"))</f>
        <v/>
      </c>
      <c r="G431" s="7" t="str">
        <f>IF(B431="","",IFERROR(VLOOKUP(B431, PLANTA_BASE!A:W, 9, FALSE), "GENERAL"))</f>
        <v/>
      </c>
      <c r="H431" s="5" t="str">
        <f>IF(B431="","",IFERROR(VLOOKUP(B431, PLANTA_BASE!A:W, 17, FALSE), "GENERAL"))</f>
        <v/>
      </c>
    </row>
    <row r="432" spans="1:8" ht="20.100000000000001" customHeight="1" x14ac:dyDescent="0.25">
      <c r="A432" s="2" t="str">
        <f>IF(B432="","",IFERROR(VLOOKUP(B432, PLANTA_BASE!A:W, 2, FALSE), "NO ENCONTRADO EN PLANTA"))</f>
        <v/>
      </c>
      <c r="B432" s="3"/>
      <c r="C432" s="4" t="str">
        <f>IF(B432="","",IFERROR(VLOOKUP(B432, PLANTA_BASE!A:W, 3, FALSE), ""))</f>
        <v/>
      </c>
      <c r="D432" s="2" t="str">
        <f>IF(B432="","",IFERROR(VLOOKUP(B432, PLANTA_BASE!A:W, 5, FALSE), "NO ENCONTRADO EN PLANTA"))</f>
        <v/>
      </c>
      <c r="E432" s="2" t="str">
        <f>IF(B432="","",IFERROR(VLOOKUP(B432, PLANTA_BASE!A:W, 6, FALSE), "NO ENCONTRADO EN PLANTA"))</f>
        <v/>
      </c>
      <c r="F432" s="4" t="str">
        <f>IF(B432="","",IFERROR(VLOOKUP(B432, PLANTA_BASE!A:W, 8, FALSE), "DOCENTE / FACILITADOR"))</f>
        <v/>
      </c>
      <c r="G432" s="4" t="str">
        <f>IF(B432="","",IFERROR(VLOOKUP(B432, PLANTA_BASE!A:W, 9, FALSE), "GENERAL"))</f>
        <v/>
      </c>
      <c r="H432" s="2" t="str">
        <f>IF(B432="","",IFERROR(VLOOKUP(B432, PLANTA_BASE!A:W, 17, FALSE), "GENERAL"))</f>
        <v/>
      </c>
    </row>
    <row r="433" spans="1:8" ht="20.100000000000001" customHeight="1" x14ac:dyDescent="0.25">
      <c r="A433" s="5" t="str">
        <f>IF(B433="","",IFERROR(VLOOKUP(B433, PLANTA_BASE!A:W, 2, FALSE), "NO ENCONTRADO EN PLANTA"))</f>
        <v/>
      </c>
      <c r="B433" s="6"/>
      <c r="C433" s="7" t="str">
        <f>IF(B433="","",IFERROR(VLOOKUP(B433, PLANTA_BASE!A:W, 3, FALSE), ""))</f>
        <v/>
      </c>
      <c r="D433" s="5" t="str">
        <f>IF(B433="","",IFERROR(VLOOKUP(B433, PLANTA_BASE!A:W, 5, FALSE), "NO ENCONTRADO EN PLANTA"))</f>
        <v/>
      </c>
      <c r="E433" s="5" t="str">
        <f>IF(B433="","",IFERROR(VLOOKUP(B433, PLANTA_BASE!A:W, 6, FALSE), "NO ENCONTRADO EN PLANTA"))</f>
        <v/>
      </c>
      <c r="F433" s="7" t="str">
        <f>IF(B433="","",IFERROR(VLOOKUP(B433, PLANTA_BASE!A:W, 8, FALSE), "DOCENTE / FACILITADOR"))</f>
        <v/>
      </c>
      <c r="G433" s="7" t="str">
        <f>IF(B433="","",IFERROR(VLOOKUP(B433, PLANTA_BASE!A:W, 9, FALSE), "GENERAL"))</f>
        <v/>
      </c>
      <c r="H433" s="5" t="str">
        <f>IF(B433="","",IFERROR(VLOOKUP(B433, PLANTA_BASE!A:W, 17, FALSE), "GENERAL"))</f>
        <v/>
      </c>
    </row>
    <row r="434" spans="1:8" ht="20.100000000000001" customHeight="1" x14ac:dyDescent="0.25">
      <c r="A434" s="2" t="str">
        <f>IF(B434="","",IFERROR(VLOOKUP(B434, PLANTA_BASE!A:W, 2, FALSE), "NO ENCONTRADO EN PLANTA"))</f>
        <v/>
      </c>
      <c r="B434" s="3"/>
      <c r="C434" s="4" t="str">
        <f>IF(B434="","",IFERROR(VLOOKUP(B434, PLANTA_BASE!A:W, 3, FALSE), ""))</f>
        <v/>
      </c>
      <c r="D434" s="2" t="str">
        <f>IF(B434="","",IFERROR(VLOOKUP(B434, PLANTA_BASE!A:W, 5, FALSE), "NO ENCONTRADO EN PLANTA"))</f>
        <v/>
      </c>
      <c r="E434" s="2" t="str">
        <f>IF(B434="","",IFERROR(VLOOKUP(B434, PLANTA_BASE!A:W, 6, FALSE), "NO ENCONTRADO EN PLANTA"))</f>
        <v/>
      </c>
      <c r="F434" s="4" t="str">
        <f>IF(B434="","",IFERROR(VLOOKUP(B434, PLANTA_BASE!A:W, 8, FALSE), "DOCENTE / FACILITADOR"))</f>
        <v/>
      </c>
      <c r="G434" s="4" t="str">
        <f>IF(B434="","",IFERROR(VLOOKUP(B434, PLANTA_BASE!A:W, 9, FALSE), "GENERAL"))</f>
        <v/>
      </c>
      <c r="H434" s="2" t="str">
        <f>IF(B434="","",IFERROR(VLOOKUP(B434, PLANTA_BASE!A:W, 17, FALSE), "GENERAL"))</f>
        <v/>
      </c>
    </row>
    <row r="435" spans="1:8" ht="20.100000000000001" customHeight="1" x14ac:dyDescent="0.25">
      <c r="A435" s="5" t="str">
        <f>IF(B435="","",IFERROR(VLOOKUP(B435, PLANTA_BASE!A:W, 2, FALSE), "NO ENCONTRADO EN PLANTA"))</f>
        <v/>
      </c>
      <c r="B435" s="6"/>
      <c r="C435" s="7" t="str">
        <f>IF(B435="","",IFERROR(VLOOKUP(B435, PLANTA_BASE!A:W, 3, FALSE), ""))</f>
        <v/>
      </c>
      <c r="D435" s="5" t="str">
        <f>IF(B435="","",IFERROR(VLOOKUP(B435, PLANTA_BASE!A:W, 5, FALSE), "NO ENCONTRADO EN PLANTA"))</f>
        <v/>
      </c>
      <c r="E435" s="5" t="str">
        <f>IF(B435="","",IFERROR(VLOOKUP(B435, PLANTA_BASE!A:W, 6, FALSE), "NO ENCONTRADO EN PLANTA"))</f>
        <v/>
      </c>
      <c r="F435" s="7" t="str">
        <f>IF(B435="","",IFERROR(VLOOKUP(B435, PLANTA_BASE!A:W, 8, FALSE), "DOCENTE / FACILITADOR"))</f>
        <v/>
      </c>
      <c r="G435" s="7" t="str">
        <f>IF(B435="","",IFERROR(VLOOKUP(B435, PLANTA_BASE!A:W, 9, FALSE), "GENERAL"))</f>
        <v/>
      </c>
      <c r="H435" s="5" t="str">
        <f>IF(B435="","",IFERROR(VLOOKUP(B435, PLANTA_BASE!A:W, 17, FALSE), "GENERAL"))</f>
        <v/>
      </c>
    </row>
    <row r="436" spans="1:8" ht="20.100000000000001" customHeight="1" x14ac:dyDescent="0.25">
      <c r="A436" s="2" t="str">
        <f>IF(B436="","",IFERROR(VLOOKUP(B436, PLANTA_BASE!A:W, 2, FALSE), "NO ENCONTRADO EN PLANTA"))</f>
        <v/>
      </c>
      <c r="B436" s="3"/>
      <c r="C436" s="4" t="str">
        <f>IF(B436="","",IFERROR(VLOOKUP(B436, PLANTA_BASE!A:W, 3, FALSE), ""))</f>
        <v/>
      </c>
      <c r="D436" s="2" t="str">
        <f>IF(B436="","",IFERROR(VLOOKUP(B436, PLANTA_BASE!A:W, 5, FALSE), "NO ENCONTRADO EN PLANTA"))</f>
        <v/>
      </c>
      <c r="E436" s="2" t="str">
        <f>IF(B436="","",IFERROR(VLOOKUP(B436, PLANTA_BASE!A:W, 6, FALSE), "NO ENCONTRADO EN PLANTA"))</f>
        <v/>
      </c>
      <c r="F436" s="4" t="str">
        <f>IF(B436="","",IFERROR(VLOOKUP(B436, PLANTA_BASE!A:W, 8, FALSE), "DOCENTE / FACILITADOR"))</f>
        <v/>
      </c>
      <c r="G436" s="4" t="str">
        <f>IF(B436="","",IFERROR(VLOOKUP(B436, PLANTA_BASE!A:W, 9, FALSE), "GENERAL"))</f>
        <v/>
      </c>
      <c r="H436" s="2" t="str">
        <f>IF(B436="","",IFERROR(VLOOKUP(B436, PLANTA_BASE!A:W, 17, FALSE), "GENERAL"))</f>
        <v/>
      </c>
    </row>
    <row r="437" spans="1:8" ht="20.100000000000001" customHeight="1" x14ac:dyDescent="0.25">
      <c r="A437" s="5" t="str">
        <f>IF(B437="","",IFERROR(VLOOKUP(B437, PLANTA_BASE!A:W, 2, FALSE), "NO ENCONTRADO EN PLANTA"))</f>
        <v/>
      </c>
      <c r="B437" s="6"/>
      <c r="C437" s="7" t="str">
        <f>IF(B437="","",IFERROR(VLOOKUP(B437, PLANTA_BASE!A:W, 3, FALSE), ""))</f>
        <v/>
      </c>
      <c r="D437" s="5" t="str">
        <f>IF(B437="","",IFERROR(VLOOKUP(B437, PLANTA_BASE!A:W, 5, FALSE), "NO ENCONTRADO EN PLANTA"))</f>
        <v/>
      </c>
      <c r="E437" s="5" t="str">
        <f>IF(B437="","",IFERROR(VLOOKUP(B437, PLANTA_BASE!A:W, 6, FALSE), "NO ENCONTRADO EN PLANTA"))</f>
        <v/>
      </c>
      <c r="F437" s="7" t="str">
        <f>IF(B437="","",IFERROR(VLOOKUP(B437, PLANTA_BASE!A:W, 8, FALSE), "DOCENTE / FACILITADOR"))</f>
        <v/>
      </c>
      <c r="G437" s="7" t="str">
        <f>IF(B437="","",IFERROR(VLOOKUP(B437, PLANTA_BASE!A:W, 9, FALSE), "GENERAL"))</f>
        <v/>
      </c>
      <c r="H437" s="5" t="str">
        <f>IF(B437="","",IFERROR(VLOOKUP(B437, PLANTA_BASE!A:W, 17, FALSE), "GENERAL"))</f>
        <v/>
      </c>
    </row>
    <row r="438" spans="1:8" ht="20.100000000000001" customHeight="1" x14ac:dyDescent="0.25">
      <c r="A438" s="2" t="str">
        <f>IF(B438="","",IFERROR(VLOOKUP(B438, PLANTA_BASE!A:W, 2, FALSE), "NO ENCONTRADO EN PLANTA"))</f>
        <v/>
      </c>
      <c r="B438" s="3"/>
      <c r="C438" s="4" t="str">
        <f>IF(B438="","",IFERROR(VLOOKUP(B438, PLANTA_BASE!A:W, 3, FALSE), ""))</f>
        <v/>
      </c>
      <c r="D438" s="2" t="str">
        <f>IF(B438="","",IFERROR(VLOOKUP(B438, PLANTA_BASE!A:W, 5, FALSE), "NO ENCONTRADO EN PLANTA"))</f>
        <v/>
      </c>
      <c r="E438" s="2" t="str">
        <f>IF(B438="","",IFERROR(VLOOKUP(B438, PLANTA_BASE!A:W, 6, FALSE), "NO ENCONTRADO EN PLANTA"))</f>
        <v/>
      </c>
      <c r="F438" s="4" t="str">
        <f>IF(B438="","",IFERROR(VLOOKUP(B438, PLANTA_BASE!A:W, 8, FALSE), "DOCENTE / FACILITADOR"))</f>
        <v/>
      </c>
      <c r="G438" s="4" t="str">
        <f>IF(B438="","",IFERROR(VLOOKUP(B438, PLANTA_BASE!A:W, 9, FALSE), "GENERAL"))</f>
        <v/>
      </c>
      <c r="H438" s="2" t="str">
        <f>IF(B438="","",IFERROR(VLOOKUP(B438, PLANTA_BASE!A:W, 17, FALSE), "GENERAL"))</f>
        <v/>
      </c>
    </row>
    <row r="439" spans="1:8" ht="20.100000000000001" customHeight="1" x14ac:dyDescent="0.25">
      <c r="A439" s="5" t="str">
        <f>IF(B439="","",IFERROR(VLOOKUP(B439, PLANTA_BASE!A:W, 2, FALSE), "NO ENCONTRADO EN PLANTA"))</f>
        <v/>
      </c>
      <c r="B439" s="6"/>
      <c r="C439" s="7" t="str">
        <f>IF(B439="","",IFERROR(VLOOKUP(B439, PLANTA_BASE!A:W, 3, FALSE), ""))</f>
        <v/>
      </c>
      <c r="D439" s="5" t="str">
        <f>IF(B439="","",IFERROR(VLOOKUP(B439, PLANTA_BASE!A:W, 5, FALSE), "NO ENCONTRADO EN PLANTA"))</f>
        <v/>
      </c>
      <c r="E439" s="5" t="str">
        <f>IF(B439="","",IFERROR(VLOOKUP(B439, PLANTA_BASE!A:W, 6, FALSE), "NO ENCONTRADO EN PLANTA"))</f>
        <v/>
      </c>
      <c r="F439" s="7" t="str">
        <f>IF(B439="","",IFERROR(VLOOKUP(B439, PLANTA_BASE!A:W, 8, FALSE), "DOCENTE / FACILITADOR"))</f>
        <v/>
      </c>
      <c r="G439" s="7" t="str">
        <f>IF(B439="","",IFERROR(VLOOKUP(B439, PLANTA_BASE!A:W, 9, FALSE), "GENERAL"))</f>
        <v/>
      </c>
      <c r="H439" s="5" t="str">
        <f>IF(B439="","",IFERROR(VLOOKUP(B439, PLANTA_BASE!A:W, 17, FALSE), "GENERAL"))</f>
        <v/>
      </c>
    </row>
    <row r="440" spans="1:8" ht="20.100000000000001" customHeight="1" x14ac:dyDescent="0.25">
      <c r="A440" s="2" t="str">
        <f>IF(B440="","",IFERROR(VLOOKUP(B440, PLANTA_BASE!A:W, 2, FALSE), "NO ENCONTRADO EN PLANTA"))</f>
        <v/>
      </c>
      <c r="B440" s="3"/>
      <c r="C440" s="4" t="str">
        <f>IF(B440="","",IFERROR(VLOOKUP(B440, PLANTA_BASE!A:W, 3, FALSE), ""))</f>
        <v/>
      </c>
      <c r="D440" s="2" t="str">
        <f>IF(B440="","",IFERROR(VLOOKUP(B440, PLANTA_BASE!A:W, 5, FALSE), "NO ENCONTRADO EN PLANTA"))</f>
        <v/>
      </c>
      <c r="E440" s="2" t="str">
        <f>IF(B440="","",IFERROR(VLOOKUP(B440, PLANTA_BASE!A:W, 6, FALSE), "NO ENCONTRADO EN PLANTA"))</f>
        <v/>
      </c>
      <c r="F440" s="4" t="str">
        <f>IF(B440="","",IFERROR(VLOOKUP(B440, PLANTA_BASE!A:W, 8, FALSE), "DOCENTE / FACILITADOR"))</f>
        <v/>
      </c>
      <c r="G440" s="4" t="str">
        <f>IF(B440="","",IFERROR(VLOOKUP(B440, PLANTA_BASE!A:W, 9, FALSE), "GENERAL"))</f>
        <v/>
      </c>
      <c r="H440" s="2" t="str">
        <f>IF(B440="","",IFERROR(VLOOKUP(B440, PLANTA_BASE!A:W, 17, FALSE), "GENERAL"))</f>
        <v/>
      </c>
    </row>
    <row r="441" spans="1:8" ht="20.100000000000001" customHeight="1" x14ac:dyDescent="0.25">
      <c r="A441" s="5" t="str">
        <f>IF(B441="","",IFERROR(VLOOKUP(B441, PLANTA_BASE!A:W, 2, FALSE), "NO ENCONTRADO EN PLANTA"))</f>
        <v/>
      </c>
      <c r="B441" s="6"/>
      <c r="C441" s="7" t="str">
        <f>IF(B441="","",IFERROR(VLOOKUP(B441, PLANTA_BASE!A:W, 3, FALSE), ""))</f>
        <v/>
      </c>
      <c r="D441" s="5" t="str">
        <f>IF(B441="","",IFERROR(VLOOKUP(B441, PLANTA_BASE!A:W, 5, FALSE), "NO ENCONTRADO EN PLANTA"))</f>
        <v/>
      </c>
      <c r="E441" s="5" t="str">
        <f>IF(B441="","",IFERROR(VLOOKUP(B441, PLANTA_BASE!A:W, 6, FALSE), "NO ENCONTRADO EN PLANTA"))</f>
        <v/>
      </c>
      <c r="F441" s="7" t="str">
        <f>IF(B441="","",IFERROR(VLOOKUP(B441, PLANTA_BASE!A:W, 8, FALSE), "DOCENTE / FACILITADOR"))</f>
        <v/>
      </c>
      <c r="G441" s="7" t="str">
        <f>IF(B441="","",IFERROR(VLOOKUP(B441, PLANTA_BASE!A:W, 9, FALSE), "GENERAL"))</f>
        <v/>
      </c>
      <c r="H441" s="5" t="str">
        <f>IF(B441="","",IFERROR(VLOOKUP(B441, PLANTA_BASE!A:W, 17, FALSE), "GENERAL"))</f>
        <v/>
      </c>
    </row>
    <row r="442" spans="1:8" ht="20.100000000000001" customHeight="1" x14ac:dyDescent="0.25">
      <c r="A442" s="2" t="str">
        <f>IF(B442="","",IFERROR(VLOOKUP(B442, PLANTA_BASE!A:W, 2, FALSE), "NO ENCONTRADO EN PLANTA"))</f>
        <v/>
      </c>
      <c r="B442" s="3"/>
      <c r="C442" s="4" t="str">
        <f>IF(B442="","",IFERROR(VLOOKUP(B442, PLANTA_BASE!A:W, 3, FALSE), ""))</f>
        <v/>
      </c>
      <c r="D442" s="2" t="str">
        <f>IF(B442="","",IFERROR(VLOOKUP(B442, PLANTA_BASE!A:W, 5, FALSE), "NO ENCONTRADO EN PLANTA"))</f>
        <v/>
      </c>
      <c r="E442" s="2" t="str">
        <f>IF(B442="","",IFERROR(VLOOKUP(B442, PLANTA_BASE!A:W, 6, FALSE), "NO ENCONTRADO EN PLANTA"))</f>
        <v/>
      </c>
      <c r="F442" s="4" t="str">
        <f>IF(B442="","",IFERROR(VLOOKUP(B442, PLANTA_BASE!A:W, 8, FALSE), "DOCENTE / FACILITADOR"))</f>
        <v/>
      </c>
      <c r="G442" s="4" t="str">
        <f>IF(B442="","",IFERROR(VLOOKUP(B442, PLANTA_BASE!A:W, 9, FALSE), "GENERAL"))</f>
        <v/>
      </c>
      <c r="H442" s="2" t="str">
        <f>IF(B442="","",IFERROR(VLOOKUP(B442, PLANTA_BASE!A:W, 17, FALSE), "GENERAL"))</f>
        <v/>
      </c>
    </row>
    <row r="443" spans="1:8" ht="20.100000000000001" customHeight="1" x14ac:dyDescent="0.25">
      <c r="A443" s="5" t="str">
        <f>IF(B443="","",IFERROR(VLOOKUP(B443, PLANTA_BASE!A:W, 2, FALSE), "NO ENCONTRADO EN PLANTA"))</f>
        <v/>
      </c>
      <c r="B443" s="6"/>
      <c r="C443" s="7" t="str">
        <f>IF(B443="","",IFERROR(VLOOKUP(B443, PLANTA_BASE!A:W, 3, FALSE), ""))</f>
        <v/>
      </c>
      <c r="D443" s="5" t="str">
        <f>IF(B443="","",IFERROR(VLOOKUP(B443, PLANTA_BASE!A:W, 5, FALSE), "NO ENCONTRADO EN PLANTA"))</f>
        <v/>
      </c>
      <c r="E443" s="5" t="str">
        <f>IF(B443="","",IFERROR(VLOOKUP(B443, PLANTA_BASE!A:W, 6, FALSE), "NO ENCONTRADO EN PLANTA"))</f>
        <v/>
      </c>
      <c r="F443" s="7" t="str">
        <f>IF(B443="","",IFERROR(VLOOKUP(B443, PLANTA_BASE!A:W, 8, FALSE), "DOCENTE / FACILITADOR"))</f>
        <v/>
      </c>
      <c r="G443" s="7" t="str">
        <f>IF(B443="","",IFERROR(VLOOKUP(B443, PLANTA_BASE!A:W, 9, FALSE), "GENERAL"))</f>
        <v/>
      </c>
      <c r="H443" s="5" t="str">
        <f>IF(B443="","",IFERROR(VLOOKUP(B443, PLANTA_BASE!A:W, 17, FALSE), "GENERAL"))</f>
        <v/>
      </c>
    </row>
    <row r="444" spans="1:8" ht="20.100000000000001" customHeight="1" x14ac:dyDescent="0.25">
      <c r="A444" s="2" t="str">
        <f>IF(B444="","",IFERROR(VLOOKUP(B444, PLANTA_BASE!A:W, 2, FALSE), "NO ENCONTRADO EN PLANTA"))</f>
        <v/>
      </c>
      <c r="B444" s="3"/>
      <c r="C444" s="4" t="str">
        <f>IF(B444="","",IFERROR(VLOOKUP(B444, PLANTA_BASE!A:W, 3, FALSE), ""))</f>
        <v/>
      </c>
      <c r="D444" s="2" t="str">
        <f>IF(B444="","",IFERROR(VLOOKUP(B444, PLANTA_BASE!A:W, 5, FALSE), "NO ENCONTRADO EN PLANTA"))</f>
        <v/>
      </c>
      <c r="E444" s="2" t="str">
        <f>IF(B444="","",IFERROR(VLOOKUP(B444, PLANTA_BASE!A:W, 6, FALSE), "NO ENCONTRADO EN PLANTA"))</f>
        <v/>
      </c>
      <c r="F444" s="4" t="str">
        <f>IF(B444="","",IFERROR(VLOOKUP(B444, PLANTA_BASE!A:W, 8, FALSE), "DOCENTE / FACILITADOR"))</f>
        <v/>
      </c>
      <c r="G444" s="4" t="str">
        <f>IF(B444="","",IFERROR(VLOOKUP(B444, PLANTA_BASE!A:W, 9, FALSE), "GENERAL"))</f>
        <v/>
      </c>
      <c r="H444" s="2" t="str">
        <f>IF(B444="","",IFERROR(VLOOKUP(B444, PLANTA_BASE!A:W, 17, FALSE), "GENERAL"))</f>
        <v/>
      </c>
    </row>
    <row r="445" spans="1:8" ht="20.100000000000001" customHeight="1" x14ac:dyDescent="0.25">
      <c r="A445" s="5" t="str">
        <f>IF(B445="","",IFERROR(VLOOKUP(B445, PLANTA_BASE!A:W, 2, FALSE), "NO ENCONTRADO EN PLANTA"))</f>
        <v/>
      </c>
      <c r="B445" s="6"/>
      <c r="C445" s="7" t="str">
        <f>IF(B445="","",IFERROR(VLOOKUP(B445, PLANTA_BASE!A:W, 3, FALSE), ""))</f>
        <v/>
      </c>
      <c r="D445" s="5" t="str">
        <f>IF(B445="","",IFERROR(VLOOKUP(B445, PLANTA_BASE!A:W, 5, FALSE), "NO ENCONTRADO EN PLANTA"))</f>
        <v/>
      </c>
      <c r="E445" s="5" t="str">
        <f>IF(B445="","",IFERROR(VLOOKUP(B445, PLANTA_BASE!A:W, 6, FALSE), "NO ENCONTRADO EN PLANTA"))</f>
        <v/>
      </c>
      <c r="F445" s="7" t="str">
        <f>IF(B445="","",IFERROR(VLOOKUP(B445, PLANTA_BASE!A:W, 8, FALSE), "DOCENTE / FACILITADOR"))</f>
        <v/>
      </c>
      <c r="G445" s="7" t="str">
        <f>IF(B445="","",IFERROR(VLOOKUP(B445, PLANTA_BASE!A:W, 9, FALSE), "GENERAL"))</f>
        <v/>
      </c>
      <c r="H445" s="5" t="str">
        <f>IF(B445="","",IFERROR(VLOOKUP(B445, PLANTA_BASE!A:W, 17, FALSE), "GENERAL"))</f>
        <v/>
      </c>
    </row>
    <row r="446" spans="1:8" ht="20.100000000000001" customHeight="1" x14ac:dyDescent="0.25">
      <c r="A446" s="2" t="str">
        <f>IF(B446="","",IFERROR(VLOOKUP(B446, PLANTA_BASE!A:W, 2, FALSE), "NO ENCONTRADO EN PLANTA"))</f>
        <v/>
      </c>
      <c r="B446" s="3"/>
      <c r="C446" s="4" t="str">
        <f>IF(B446="","",IFERROR(VLOOKUP(B446, PLANTA_BASE!A:W, 3, FALSE), ""))</f>
        <v/>
      </c>
      <c r="D446" s="2" t="str">
        <f>IF(B446="","",IFERROR(VLOOKUP(B446, PLANTA_BASE!A:W, 5, FALSE), "NO ENCONTRADO EN PLANTA"))</f>
        <v/>
      </c>
      <c r="E446" s="2" t="str">
        <f>IF(B446="","",IFERROR(VLOOKUP(B446, PLANTA_BASE!A:W, 6, FALSE), "NO ENCONTRADO EN PLANTA"))</f>
        <v/>
      </c>
      <c r="F446" s="4" t="str">
        <f>IF(B446="","",IFERROR(VLOOKUP(B446, PLANTA_BASE!A:W, 8, FALSE), "DOCENTE / FACILITADOR"))</f>
        <v/>
      </c>
      <c r="G446" s="4" t="str">
        <f>IF(B446="","",IFERROR(VLOOKUP(B446, PLANTA_BASE!A:W, 9, FALSE), "GENERAL"))</f>
        <v/>
      </c>
      <c r="H446" s="2" t="str">
        <f>IF(B446="","",IFERROR(VLOOKUP(B446, PLANTA_BASE!A:W, 17, FALSE), "GENERAL"))</f>
        <v/>
      </c>
    </row>
    <row r="447" spans="1:8" ht="20.100000000000001" customHeight="1" x14ac:dyDescent="0.25">
      <c r="A447" s="5" t="str">
        <f>IF(B447="","",IFERROR(VLOOKUP(B447, PLANTA_BASE!A:W, 2, FALSE), "NO ENCONTRADO EN PLANTA"))</f>
        <v/>
      </c>
      <c r="B447" s="6"/>
      <c r="C447" s="7" t="str">
        <f>IF(B447="","",IFERROR(VLOOKUP(B447, PLANTA_BASE!A:W, 3, FALSE), ""))</f>
        <v/>
      </c>
      <c r="D447" s="5" t="str">
        <f>IF(B447="","",IFERROR(VLOOKUP(B447, PLANTA_BASE!A:W, 5, FALSE), "NO ENCONTRADO EN PLANTA"))</f>
        <v/>
      </c>
      <c r="E447" s="5" t="str">
        <f>IF(B447="","",IFERROR(VLOOKUP(B447, PLANTA_BASE!A:W, 6, FALSE), "NO ENCONTRADO EN PLANTA"))</f>
        <v/>
      </c>
      <c r="F447" s="7" t="str">
        <f>IF(B447="","",IFERROR(VLOOKUP(B447, PLANTA_BASE!A:W, 8, FALSE), "DOCENTE / FACILITADOR"))</f>
        <v/>
      </c>
      <c r="G447" s="7" t="str">
        <f>IF(B447="","",IFERROR(VLOOKUP(B447, PLANTA_BASE!A:W, 9, FALSE), "GENERAL"))</f>
        <v/>
      </c>
      <c r="H447" s="5" t="str">
        <f>IF(B447="","",IFERROR(VLOOKUP(B447, PLANTA_BASE!A:W, 17, FALSE), "GENERAL"))</f>
        <v/>
      </c>
    </row>
    <row r="448" spans="1:8" ht="20.100000000000001" customHeight="1" x14ac:dyDescent="0.25">
      <c r="A448" s="2" t="str">
        <f>IF(B448="","",IFERROR(VLOOKUP(B448, PLANTA_BASE!A:W, 2, FALSE), "NO ENCONTRADO EN PLANTA"))</f>
        <v/>
      </c>
      <c r="B448" s="3"/>
      <c r="C448" s="4" t="str">
        <f>IF(B448="","",IFERROR(VLOOKUP(B448, PLANTA_BASE!A:W, 3, FALSE), ""))</f>
        <v/>
      </c>
      <c r="D448" s="2" t="str">
        <f>IF(B448="","",IFERROR(VLOOKUP(B448, PLANTA_BASE!A:W, 5, FALSE), "NO ENCONTRADO EN PLANTA"))</f>
        <v/>
      </c>
      <c r="E448" s="2" t="str">
        <f>IF(B448="","",IFERROR(VLOOKUP(B448, PLANTA_BASE!A:W, 6, FALSE), "NO ENCONTRADO EN PLANTA"))</f>
        <v/>
      </c>
      <c r="F448" s="4" t="str">
        <f>IF(B448="","",IFERROR(VLOOKUP(B448, PLANTA_BASE!A:W, 8, FALSE), "DOCENTE / FACILITADOR"))</f>
        <v/>
      </c>
      <c r="G448" s="4" t="str">
        <f>IF(B448="","",IFERROR(VLOOKUP(B448, PLANTA_BASE!A:W, 9, FALSE), "GENERAL"))</f>
        <v/>
      </c>
      <c r="H448" s="2" t="str">
        <f>IF(B448="","",IFERROR(VLOOKUP(B448, PLANTA_BASE!A:W, 17, FALSE), "GENERAL"))</f>
        <v/>
      </c>
    </row>
    <row r="449" spans="1:8" ht="20.100000000000001" customHeight="1" x14ac:dyDescent="0.25">
      <c r="A449" s="5" t="str">
        <f>IF(B449="","",IFERROR(VLOOKUP(B449, PLANTA_BASE!A:W, 2, FALSE), "NO ENCONTRADO EN PLANTA"))</f>
        <v/>
      </c>
      <c r="B449" s="6"/>
      <c r="C449" s="7" t="str">
        <f>IF(B449="","",IFERROR(VLOOKUP(B449, PLANTA_BASE!A:W, 3, FALSE), ""))</f>
        <v/>
      </c>
      <c r="D449" s="5" t="str">
        <f>IF(B449="","",IFERROR(VLOOKUP(B449, PLANTA_BASE!A:W, 5, FALSE), "NO ENCONTRADO EN PLANTA"))</f>
        <v/>
      </c>
      <c r="E449" s="5" t="str">
        <f>IF(B449="","",IFERROR(VLOOKUP(B449, PLANTA_BASE!A:W, 6, FALSE), "NO ENCONTRADO EN PLANTA"))</f>
        <v/>
      </c>
      <c r="F449" s="7" t="str">
        <f>IF(B449="","",IFERROR(VLOOKUP(B449, PLANTA_BASE!A:W, 8, FALSE), "DOCENTE / FACILITADOR"))</f>
        <v/>
      </c>
      <c r="G449" s="7" t="str">
        <f>IF(B449="","",IFERROR(VLOOKUP(B449, PLANTA_BASE!A:W, 9, FALSE), "GENERAL"))</f>
        <v/>
      </c>
      <c r="H449" s="5" t="str">
        <f>IF(B449="","",IFERROR(VLOOKUP(B449, PLANTA_BASE!A:W, 17, FALSE), "GENERAL"))</f>
        <v/>
      </c>
    </row>
    <row r="450" spans="1:8" ht="20.100000000000001" customHeight="1" x14ac:dyDescent="0.25">
      <c r="A450" s="2" t="str">
        <f>IF(B450="","",IFERROR(VLOOKUP(B450, PLANTA_BASE!A:W, 2, FALSE), "NO ENCONTRADO EN PLANTA"))</f>
        <v/>
      </c>
      <c r="B450" s="3"/>
      <c r="C450" s="4" t="str">
        <f>IF(B450="","",IFERROR(VLOOKUP(B450, PLANTA_BASE!A:W, 3, FALSE), ""))</f>
        <v/>
      </c>
      <c r="D450" s="2" t="str">
        <f>IF(B450="","",IFERROR(VLOOKUP(B450, PLANTA_BASE!A:W, 5, FALSE), "NO ENCONTRADO EN PLANTA"))</f>
        <v/>
      </c>
      <c r="E450" s="2" t="str">
        <f>IF(B450="","",IFERROR(VLOOKUP(B450, PLANTA_BASE!A:W, 6, FALSE), "NO ENCONTRADO EN PLANTA"))</f>
        <v/>
      </c>
      <c r="F450" s="4" t="str">
        <f>IF(B450="","",IFERROR(VLOOKUP(B450, PLANTA_BASE!A:W, 8, FALSE), "DOCENTE / FACILITADOR"))</f>
        <v/>
      </c>
      <c r="G450" s="4" t="str">
        <f>IF(B450="","",IFERROR(VLOOKUP(B450, PLANTA_BASE!A:W, 9, FALSE), "GENERAL"))</f>
        <v/>
      </c>
      <c r="H450" s="2" t="str">
        <f>IF(B450="","",IFERROR(VLOOKUP(B450, PLANTA_BASE!A:W, 17, FALSE), "GENERAL"))</f>
        <v/>
      </c>
    </row>
    <row r="451" spans="1:8" ht="20.100000000000001" customHeight="1" x14ac:dyDescent="0.25">
      <c r="A451" s="5" t="str">
        <f>IF(B451="","",IFERROR(VLOOKUP(B451, PLANTA_BASE!A:W, 2, FALSE), "NO ENCONTRADO EN PLANTA"))</f>
        <v/>
      </c>
      <c r="B451" s="6"/>
      <c r="C451" s="7" t="str">
        <f>IF(B451="","",IFERROR(VLOOKUP(B451, PLANTA_BASE!A:W, 3, FALSE), ""))</f>
        <v/>
      </c>
      <c r="D451" s="5" t="str">
        <f>IF(B451="","",IFERROR(VLOOKUP(B451, PLANTA_BASE!A:W, 5, FALSE), "NO ENCONTRADO EN PLANTA"))</f>
        <v/>
      </c>
      <c r="E451" s="5" t="str">
        <f>IF(B451="","",IFERROR(VLOOKUP(B451, PLANTA_BASE!A:W, 6, FALSE), "NO ENCONTRADO EN PLANTA"))</f>
        <v/>
      </c>
      <c r="F451" s="7" t="str">
        <f>IF(B451="","",IFERROR(VLOOKUP(B451, PLANTA_BASE!A:W, 8, FALSE), "DOCENTE / FACILITADOR"))</f>
        <v/>
      </c>
      <c r="G451" s="7" t="str">
        <f>IF(B451="","",IFERROR(VLOOKUP(B451, PLANTA_BASE!A:W, 9, FALSE), "GENERAL"))</f>
        <v/>
      </c>
      <c r="H451" s="5" t="str">
        <f>IF(B451="","",IFERROR(VLOOKUP(B451, PLANTA_BASE!A:W, 17, FALSE), "GENERAL"))</f>
        <v/>
      </c>
    </row>
    <row r="452" spans="1:8" ht="20.100000000000001" customHeight="1" x14ac:dyDescent="0.25">
      <c r="A452" s="2" t="str">
        <f>IF(B452="","",IFERROR(VLOOKUP(B452, PLANTA_BASE!A:W, 2, FALSE), "NO ENCONTRADO EN PLANTA"))</f>
        <v/>
      </c>
      <c r="B452" s="3"/>
      <c r="C452" s="4" t="str">
        <f>IF(B452="","",IFERROR(VLOOKUP(B452, PLANTA_BASE!A:W, 3, FALSE), ""))</f>
        <v/>
      </c>
      <c r="D452" s="2" t="str">
        <f>IF(B452="","",IFERROR(VLOOKUP(B452, PLANTA_BASE!A:W, 5, FALSE), "NO ENCONTRADO EN PLANTA"))</f>
        <v/>
      </c>
      <c r="E452" s="2" t="str">
        <f>IF(B452="","",IFERROR(VLOOKUP(B452, PLANTA_BASE!A:W, 6, FALSE), "NO ENCONTRADO EN PLANTA"))</f>
        <v/>
      </c>
      <c r="F452" s="4" t="str">
        <f>IF(B452="","",IFERROR(VLOOKUP(B452, PLANTA_BASE!A:W, 8, FALSE), "DOCENTE / FACILITADOR"))</f>
        <v/>
      </c>
      <c r="G452" s="4" t="str">
        <f>IF(B452="","",IFERROR(VLOOKUP(B452, PLANTA_BASE!A:W, 9, FALSE), "GENERAL"))</f>
        <v/>
      </c>
      <c r="H452" s="2" t="str">
        <f>IF(B452="","",IFERROR(VLOOKUP(B452, PLANTA_BASE!A:W, 17, FALSE), "GENERAL"))</f>
        <v/>
      </c>
    </row>
    <row r="453" spans="1:8" ht="20.100000000000001" customHeight="1" x14ac:dyDescent="0.25">
      <c r="A453" s="5" t="str">
        <f>IF(B453="","",IFERROR(VLOOKUP(B453, PLANTA_BASE!A:W, 2, FALSE), "NO ENCONTRADO EN PLANTA"))</f>
        <v/>
      </c>
      <c r="B453" s="6"/>
      <c r="C453" s="7" t="str">
        <f>IF(B453="","",IFERROR(VLOOKUP(B453, PLANTA_BASE!A:W, 3, FALSE), ""))</f>
        <v/>
      </c>
      <c r="D453" s="5" t="str">
        <f>IF(B453="","",IFERROR(VLOOKUP(B453, PLANTA_BASE!A:W, 5, FALSE), "NO ENCONTRADO EN PLANTA"))</f>
        <v/>
      </c>
      <c r="E453" s="5" t="str">
        <f>IF(B453="","",IFERROR(VLOOKUP(B453, PLANTA_BASE!A:W, 6, FALSE), "NO ENCONTRADO EN PLANTA"))</f>
        <v/>
      </c>
      <c r="F453" s="7" t="str">
        <f>IF(B453="","",IFERROR(VLOOKUP(B453, PLANTA_BASE!A:W, 8, FALSE), "DOCENTE / FACILITADOR"))</f>
        <v/>
      </c>
      <c r="G453" s="7" t="str">
        <f>IF(B453="","",IFERROR(VLOOKUP(B453, PLANTA_BASE!A:W, 9, FALSE), "GENERAL"))</f>
        <v/>
      </c>
      <c r="H453" s="5" t="str">
        <f>IF(B453="","",IFERROR(VLOOKUP(B453, PLANTA_BASE!A:W, 17, FALSE), "GENERAL"))</f>
        <v/>
      </c>
    </row>
    <row r="454" spans="1:8" ht="20.100000000000001" customHeight="1" x14ac:dyDescent="0.25">
      <c r="A454" s="2" t="str">
        <f>IF(B454="","",IFERROR(VLOOKUP(B454, PLANTA_BASE!A:W, 2, FALSE), "NO ENCONTRADO EN PLANTA"))</f>
        <v/>
      </c>
      <c r="B454" s="3"/>
      <c r="C454" s="4" t="str">
        <f>IF(B454="","",IFERROR(VLOOKUP(B454, PLANTA_BASE!A:W, 3, FALSE), ""))</f>
        <v/>
      </c>
      <c r="D454" s="2" t="str">
        <f>IF(B454="","",IFERROR(VLOOKUP(B454, PLANTA_BASE!A:W, 5, FALSE), "NO ENCONTRADO EN PLANTA"))</f>
        <v/>
      </c>
      <c r="E454" s="2" t="str">
        <f>IF(B454="","",IFERROR(VLOOKUP(B454, PLANTA_BASE!A:W, 6, FALSE), "NO ENCONTRADO EN PLANTA"))</f>
        <v/>
      </c>
      <c r="F454" s="4" t="str">
        <f>IF(B454="","",IFERROR(VLOOKUP(B454, PLANTA_BASE!A:W, 8, FALSE), "DOCENTE / FACILITADOR"))</f>
        <v/>
      </c>
      <c r="G454" s="4" t="str">
        <f>IF(B454="","",IFERROR(VLOOKUP(B454, PLANTA_BASE!A:W, 9, FALSE), "GENERAL"))</f>
        <v/>
      </c>
      <c r="H454" s="2" t="str">
        <f>IF(B454="","",IFERROR(VLOOKUP(B454, PLANTA_BASE!A:W, 17, FALSE), "GENERAL"))</f>
        <v/>
      </c>
    </row>
    <row r="455" spans="1:8" ht="20.100000000000001" customHeight="1" x14ac:dyDescent="0.25">
      <c r="A455" s="5" t="str">
        <f>IF(B455="","",IFERROR(VLOOKUP(B455, PLANTA_BASE!A:W, 2, FALSE), "NO ENCONTRADO EN PLANTA"))</f>
        <v/>
      </c>
      <c r="B455" s="6"/>
      <c r="C455" s="7" t="str">
        <f>IF(B455="","",IFERROR(VLOOKUP(B455, PLANTA_BASE!A:W, 3, FALSE), ""))</f>
        <v/>
      </c>
      <c r="D455" s="5" t="str">
        <f>IF(B455="","",IFERROR(VLOOKUP(B455, PLANTA_BASE!A:W, 5, FALSE), "NO ENCONTRADO EN PLANTA"))</f>
        <v/>
      </c>
      <c r="E455" s="5" t="str">
        <f>IF(B455="","",IFERROR(VLOOKUP(B455, PLANTA_BASE!A:W, 6, FALSE), "NO ENCONTRADO EN PLANTA"))</f>
        <v/>
      </c>
      <c r="F455" s="7" t="str">
        <f>IF(B455="","",IFERROR(VLOOKUP(B455, PLANTA_BASE!A:W, 8, FALSE), "DOCENTE / FACILITADOR"))</f>
        <v/>
      </c>
      <c r="G455" s="7" t="str">
        <f>IF(B455="","",IFERROR(VLOOKUP(B455, PLANTA_BASE!A:W, 9, FALSE), "GENERAL"))</f>
        <v/>
      </c>
      <c r="H455" s="5" t="str">
        <f>IF(B455="","",IFERROR(VLOOKUP(B455, PLANTA_BASE!A:W, 17, FALSE), "GENERAL"))</f>
        <v/>
      </c>
    </row>
    <row r="456" spans="1:8" ht="20.100000000000001" customHeight="1" x14ac:dyDescent="0.25">
      <c r="A456" s="2" t="str">
        <f>IF(B456="","",IFERROR(VLOOKUP(B456, PLANTA_BASE!A:W, 2, FALSE), "NO ENCONTRADO EN PLANTA"))</f>
        <v/>
      </c>
      <c r="B456" s="3"/>
      <c r="C456" s="4" t="str">
        <f>IF(B456="","",IFERROR(VLOOKUP(B456, PLANTA_BASE!A:W, 3, FALSE), ""))</f>
        <v/>
      </c>
      <c r="D456" s="2" t="str">
        <f>IF(B456="","",IFERROR(VLOOKUP(B456, PLANTA_BASE!A:W, 5, FALSE), "NO ENCONTRADO EN PLANTA"))</f>
        <v/>
      </c>
      <c r="E456" s="2" t="str">
        <f>IF(B456="","",IFERROR(VLOOKUP(B456, PLANTA_BASE!A:W, 6, FALSE), "NO ENCONTRADO EN PLANTA"))</f>
        <v/>
      </c>
      <c r="F456" s="4" t="str">
        <f>IF(B456="","",IFERROR(VLOOKUP(B456, PLANTA_BASE!A:W, 8, FALSE), "DOCENTE / FACILITADOR"))</f>
        <v/>
      </c>
      <c r="G456" s="4" t="str">
        <f>IF(B456="","",IFERROR(VLOOKUP(B456, PLANTA_BASE!A:W, 9, FALSE), "GENERAL"))</f>
        <v/>
      </c>
      <c r="H456" s="2" t="str">
        <f>IF(B456="","",IFERROR(VLOOKUP(B456, PLANTA_BASE!A:W, 17, FALSE), "GENERAL"))</f>
        <v/>
      </c>
    </row>
    <row r="457" spans="1:8" ht="20.100000000000001" customHeight="1" x14ac:dyDescent="0.25">
      <c r="A457" s="5" t="str">
        <f>IF(B457="","",IFERROR(VLOOKUP(B457, PLANTA_BASE!A:W, 2, FALSE), "NO ENCONTRADO EN PLANTA"))</f>
        <v/>
      </c>
      <c r="B457" s="6"/>
      <c r="C457" s="7" t="str">
        <f>IF(B457="","",IFERROR(VLOOKUP(B457, PLANTA_BASE!A:W, 3, FALSE), ""))</f>
        <v/>
      </c>
      <c r="D457" s="5" t="str">
        <f>IF(B457="","",IFERROR(VLOOKUP(B457, PLANTA_BASE!A:W, 5, FALSE), "NO ENCONTRADO EN PLANTA"))</f>
        <v/>
      </c>
      <c r="E457" s="5" t="str">
        <f>IF(B457="","",IFERROR(VLOOKUP(B457, PLANTA_BASE!A:W, 6, FALSE), "NO ENCONTRADO EN PLANTA"))</f>
        <v/>
      </c>
      <c r="F457" s="7" t="str">
        <f>IF(B457="","",IFERROR(VLOOKUP(B457, PLANTA_BASE!A:W, 8, FALSE), "DOCENTE / FACILITADOR"))</f>
        <v/>
      </c>
      <c r="G457" s="7" t="str">
        <f>IF(B457="","",IFERROR(VLOOKUP(B457, PLANTA_BASE!A:W, 9, FALSE), "GENERAL"))</f>
        <v/>
      </c>
      <c r="H457" s="5" t="str">
        <f>IF(B457="","",IFERROR(VLOOKUP(B457, PLANTA_BASE!A:W, 17, FALSE), "GENERAL"))</f>
        <v/>
      </c>
    </row>
    <row r="458" spans="1:8" ht="20.100000000000001" customHeight="1" x14ac:dyDescent="0.25">
      <c r="A458" s="2" t="str">
        <f>IF(B458="","",IFERROR(VLOOKUP(B458, PLANTA_BASE!A:W, 2, FALSE), "NO ENCONTRADO EN PLANTA"))</f>
        <v/>
      </c>
      <c r="B458" s="3"/>
      <c r="C458" s="4" t="str">
        <f>IF(B458="","",IFERROR(VLOOKUP(B458, PLANTA_BASE!A:W, 3, FALSE), ""))</f>
        <v/>
      </c>
      <c r="D458" s="2" t="str">
        <f>IF(B458="","",IFERROR(VLOOKUP(B458, PLANTA_BASE!A:W, 5, FALSE), "NO ENCONTRADO EN PLANTA"))</f>
        <v/>
      </c>
      <c r="E458" s="2" t="str">
        <f>IF(B458="","",IFERROR(VLOOKUP(B458, PLANTA_BASE!A:W, 6, FALSE), "NO ENCONTRADO EN PLANTA"))</f>
        <v/>
      </c>
      <c r="F458" s="4" t="str">
        <f>IF(B458="","",IFERROR(VLOOKUP(B458, PLANTA_BASE!A:W, 8, FALSE), "DOCENTE / FACILITADOR"))</f>
        <v/>
      </c>
      <c r="G458" s="4" t="str">
        <f>IF(B458="","",IFERROR(VLOOKUP(B458, PLANTA_BASE!A:W, 9, FALSE), "GENERAL"))</f>
        <v/>
      </c>
      <c r="H458" s="2" t="str">
        <f>IF(B458="","",IFERROR(VLOOKUP(B458, PLANTA_BASE!A:W, 17, FALSE), "GENERAL"))</f>
        <v/>
      </c>
    </row>
    <row r="459" spans="1:8" ht="20.100000000000001" customHeight="1" x14ac:dyDescent="0.25">
      <c r="A459" s="5" t="str">
        <f>IF(B459="","",IFERROR(VLOOKUP(B459, PLANTA_BASE!A:W, 2, FALSE), "NO ENCONTRADO EN PLANTA"))</f>
        <v/>
      </c>
      <c r="B459" s="6"/>
      <c r="C459" s="7" t="str">
        <f>IF(B459="","",IFERROR(VLOOKUP(B459, PLANTA_BASE!A:W, 3, FALSE), ""))</f>
        <v/>
      </c>
      <c r="D459" s="5" t="str">
        <f>IF(B459="","",IFERROR(VLOOKUP(B459, PLANTA_BASE!A:W, 5, FALSE), "NO ENCONTRADO EN PLANTA"))</f>
        <v/>
      </c>
      <c r="E459" s="5" t="str">
        <f>IF(B459="","",IFERROR(VLOOKUP(B459, PLANTA_BASE!A:W, 6, FALSE), "NO ENCONTRADO EN PLANTA"))</f>
        <v/>
      </c>
      <c r="F459" s="7" t="str">
        <f>IF(B459="","",IFERROR(VLOOKUP(B459, PLANTA_BASE!A:W, 8, FALSE), "DOCENTE / FACILITADOR"))</f>
        <v/>
      </c>
      <c r="G459" s="7" t="str">
        <f>IF(B459="","",IFERROR(VLOOKUP(B459, PLANTA_BASE!A:W, 9, FALSE), "GENERAL"))</f>
        <v/>
      </c>
      <c r="H459" s="5" t="str">
        <f>IF(B459="","",IFERROR(VLOOKUP(B459, PLANTA_BASE!A:W, 17, FALSE), "GENERAL"))</f>
        <v/>
      </c>
    </row>
    <row r="460" spans="1:8" ht="20.100000000000001" customHeight="1" x14ac:dyDescent="0.25">
      <c r="A460" s="2" t="str">
        <f>IF(B460="","",IFERROR(VLOOKUP(B460, PLANTA_BASE!A:W, 2, FALSE), "NO ENCONTRADO EN PLANTA"))</f>
        <v/>
      </c>
      <c r="B460" s="3"/>
      <c r="C460" s="4" t="str">
        <f>IF(B460="","",IFERROR(VLOOKUP(B460, PLANTA_BASE!A:W, 3, FALSE), ""))</f>
        <v/>
      </c>
      <c r="D460" s="2" t="str">
        <f>IF(B460="","",IFERROR(VLOOKUP(B460, PLANTA_BASE!A:W, 5, FALSE), "NO ENCONTRADO EN PLANTA"))</f>
        <v/>
      </c>
      <c r="E460" s="2" t="str">
        <f>IF(B460="","",IFERROR(VLOOKUP(B460, PLANTA_BASE!A:W, 6, FALSE), "NO ENCONTRADO EN PLANTA"))</f>
        <v/>
      </c>
      <c r="F460" s="4" t="str">
        <f>IF(B460="","",IFERROR(VLOOKUP(B460, PLANTA_BASE!A:W, 8, FALSE), "DOCENTE / FACILITADOR"))</f>
        <v/>
      </c>
      <c r="G460" s="4" t="str">
        <f>IF(B460="","",IFERROR(VLOOKUP(B460, PLANTA_BASE!A:W, 9, FALSE), "GENERAL"))</f>
        <v/>
      </c>
      <c r="H460" s="2" t="str">
        <f>IF(B460="","",IFERROR(VLOOKUP(B460, PLANTA_BASE!A:W, 17, FALSE), "GENERAL"))</f>
        <v/>
      </c>
    </row>
    <row r="461" spans="1:8" ht="20.100000000000001" customHeight="1" x14ac:dyDescent="0.25">
      <c r="A461" s="5" t="str">
        <f>IF(B461="","",IFERROR(VLOOKUP(B461, PLANTA_BASE!A:W, 2, FALSE), "NO ENCONTRADO EN PLANTA"))</f>
        <v/>
      </c>
      <c r="B461" s="6"/>
      <c r="C461" s="7" t="str">
        <f>IF(B461="","",IFERROR(VLOOKUP(B461, PLANTA_BASE!A:W, 3, FALSE), ""))</f>
        <v/>
      </c>
      <c r="D461" s="5" t="str">
        <f>IF(B461="","",IFERROR(VLOOKUP(B461, PLANTA_BASE!A:W, 5, FALSE), "NO ENCONTRADO EN PLANTA"))</f>
        <v/>
      </c>
      <c r="E461" s="5" t="str">
        <f>IF(B461="","",IFERROR(VLOOKUP(B461, PLANTA_BASE!A:W, 6, FALSE), "NO ENCONTRADO EN PLANTA"))</f>
        <v/>
      </c>
      <c r="F461" s="7" t="str">
        <f>IF(B461="","",IFERROR(VLOOKUP(B461, PLANTA_BASE!A:W, 8, FALSE), "DOCENTE / FACILITADOR"))</f>
        <v/>
      </c>
      <c r="G461" s="7" t="str">
        <f>IF(B461="","",IFERROR(VLOOKUP(B461, PLANTA_BASE!A:W, 9, FALSE), "GENERAL"))</f>
        <v/>
      </c>
      <c r="H461" s="5" t="str">
        <f>IF(B461="","",IFERROR(VLOOKUP(B461, PLANTA_BASE!A:W, 17, FALSE), "GENERAL"))</f>
        <v/>
      </c>
    </row>
    <row r="462" spans="1:8" ht="20.100000000000001" customHeight="1" x14ac:dyDescent="0.25">
      <c r="A462" s="2" t="str">
        <f>IF(B462="","",IFERROR(VLOOKUP(B462, PLANTA_BASE!A:W, 2, FALSE), "NO ENCONTRADO EN PLANTA"))</f>
        <v/>
      </c>
      <c r="B462" s="3"/>
      <c r="C462" s="4" t="str">
        <f>IF(B462="","",IFERROR(VLOOKUP(B462, PLANTA_BASE!A:W, 3, FALSE), ""))</f>
        <v/>
      </c>
      <c r="D462" s="2" t="str">
        <f>IF(B462="","",IFERROR(VLOOKUP(B462, PLANTA_BASE!A:W, 5, FALSE), "NO ENCONTRADO EN PLANTA"))</f>
        <v/>
      </c>
      <c r="E462" s="2" t="str">
        <f>IF(B462="","",IFERROR(VLOOKUP(B462, PLANTA_BASE!A:W, 6, FALSE), "NO ENCONTRADO EN PLANTA"))</f>
        <v/>
      </c>
      <c r="F462" s="4" t="str">
        <f>IF(B462="","",IFERROR(VLOOKUP(B462, PLANTA_BASE!A:W, 8, FALSE), "DOCENTE / FACILITADOR"))</f>
        <v/>
      </c>
      <c r="G462" s="4" t="str">
        <f>IF(B462="","",IFERROR(VLOOKUP(B462, PLANTA_BASE!A:W, 9, FALSE), "GENERAL"))</f>
        <v/>
      </c>
      <c r="H462" s="2" t="str">
        <f>IF(B462="","",IFERROR(VLOOKUP(B462, PLANTA_BASE!A:W, 17, FALSE), "GENERAL"))</f>
        <v/>
      </c>
    </row>
    <row r="463" spans="1:8" ht="20.100000000000001" customHeight="1" x14ac:dyDescent="0.25">
      <c r="A463" s="5" t="str">
        <f>IF(B463="","",IFERROR(VLOOKUP(B463, PLANTA_BASE!A:W, 2, FALSE), "NO ENCONTRADO EN PLANTA"))</f>
        <v/>
      </c>
      <c r="B463" s="6"/>
      <c r="C463" s="7" t="str">
        <f>IF(B463="","",IFERROR(VLOOKUP(B463, PLANTA_BASE!A:W, 3, FALSE), ""))</f>
        <v/>
      </c>
      <c r="D463" s="5" t="str">
        <f>IF(B463="","",IFERROR(VLOOKUP(B463, PLANTA_BASE!A:W, 5, FALSE), "NO ENCONTRADO EN PLANTA"))</f>
        <v/>
      </c>
      <c r="E463" s="5" t="str">
        <f>IF(B463="","",IFERROR(VLOOKUP(B463, PLANTA_BASE!A:W, 6, FALSE), "NO ENCONTRADO EN PLANTA"))</f>
        <v/>
      </c>
      <c r="F463" s="7" t="str">
        <f>IF(B463="","",IFERROR(VLOOKUP(B463, PLANTA_BASE!A:W, 8, FALSE), "DOCENTE / FACILITADOR"))</f>
        <v/>
      </c>
      <c r="G463" s="7" t="str">
        <f>IF(B463="","",IFERROR(VLOOKUP(B463, PLANTA_BASE!A:W, 9, FALSE), "GENERAL"))</f>
        <v/>
      </c>
      <c r="H463" s="5" t="str">
        <f>IF(B463="","",IFERROR(VLOOKUP(B463, PLANTA_BASE!A:W, 17, FALSE), "GENERAL"))</f>
        <v/>
      </c>
    </row>
    <row r="464" spans="1:8" ht="20.100000000000001" customHeight="1" x14ac:dyDescent="0.25">
      <c r="A464" s="2" t="str">
        <f>IF(B464="","",IFERROR(VLOOKUP(B464, PLANTA_BASE!A:W, 2, FALSE), "NO ENCONTRADO EN PLANTA"))</f>
        <v/>
      </c>
      <c r="B464" s="3"/>
      <c r="C464" s="4" t="str">
        <f>IF(B464="","",IFERROR(VLOOKUP(B464, PLANTA_BASE!A:W, 3, FALSE), ""))</f>
        <v/>
      </c>
      <c r="D464" s="2" t="str">
        <f>IF(B464="","",IFERROR(VLOOKUP(B464, PLANTA_BASE!A:W, 5, FALSE), "NO ENCONTRADO EN PLANTA"))</f>
        <v/>
      </c>
      <c r="E464" s="2" t="str">
        <f>IF(B464="","",IFERROR(VLOOKUP(B464, PLANTA_BASE!A:W, 6, FALSE), "NO ENCONTRADO EN PLANTA"))</f>
        <v/>
      </c>
      <c r="F464" s="4" t="str">
        <f>IF(B464="","",IFERROR(VLOOKUP(B464, PLANTA_BASE!A:W, 8, FALSE), "DOCENTE / FACILITADOR"))</f>
        <v/>
      </c>
      <c r="G464" s="4" t="str">
        <f>IF(B464="","",IFERROR(VLOOKUP(B464, PLANTA_BASE!A:W, 9, FALSE), "GENERAL"))</f>
        <v/>
      </c>
      <c r="H464" s="2" t="str">
        <f>IF(B464="","",IFERROR(VLOOKUP(B464, PLANTA_BASE!A:W, 17, FALSE), "GENERAL"))</f>
        <v/>
      </c>
    </row>
    <row r="465" spans="1:8" ht="20.100000000000001" customHeight="1" x14ac:dyDescent="0.25">
      <c r="A465" s="5" t="str">
        <f>IF(B465="","",IFERROR(VLOOKUP(B465, PLANTA_BASE!A:W, 2, FALSE), "NO ENCONTRADO EN PLANTA"))</f>
        <v/>
      </c>
      <c r="B465" s="6"/>
      <c r="C465" s="7" t="str">
        <f>IF(B465="","",IFERROR(VLOOKUP(B465, PLANTA_BASE!A:W, 3, FALSE), ""))</f>
        <v/>
      </c>
      <c r="D465" s="5" t="str">
        <f>IF(B465="","",IFERROR(VLOOKUP(B465, PLANTA_BASE!A:W, 5, FALSE), "NO ENCONTRADO EN PLANTA"))</f>
        <v/>
      </c>
      <c r="E465" s="5" t="str">
        <f>IF(B465="","",IFERROR(VLOOKUP(B465, PLANTA_BASE!A:W, 6, FALSE), "NO ENCONTRADO EN PLANTA"))</f>
        <v/>
      </c>
      <c r="F465" s="7" t="str">
        <f>IF(B465="","",IFERROR(VLOOKUP(B465, PLANTA_BASE!A:W, 8, FALSE), "DOCENTE / FACILITADOR"))</f>
        <v/>
      </c>
      <c r="G465" s="7" t="str">
        <f>IF(B465="","",IFERROR(VLOOKUP(B465, PLANTA_BASE!A:W, 9, FALSE), "GENERAL"))</f>
        <v/>
      </c>
      <c r="H465" s="5" t="str">
        <f>IF(B465="","",IFERROR(VLOOKUP(B465, PLANTA_BASE!A:W, 17, FALSE), "GENERAL"))</f>
        <v/>
      </c>
    </row>
    <row r="466" spans="1:8" ht="20.100000000000001" customHeight="1" x14ac:dyDescent="0.25">
      <c r="A466" s="2" t="str">
        <f>IF(B466="","",IFERROR(VLOOKUP(B466, PLANTA_BASE!A:W, 2, FALSE), "NO ENCONTRADO EN PLANTA"))</f>
        <v/>
      </c>
      <c r="B466" s="3"/>
      <c r="C466" s="4" t="str">
        <f>IF(B466="","",IFERROR(VLOOKUP(B466, PLANTA_BASE!A:W, 3, FALSE), ""))</f>
        <v/>
      </c>
      <c r="D466" s="2" t="str">
        <f>IF(B466="","",IFERROR(VLOOKUP(B466, PLANTA_BASE!A:W, 5, FALSE), "NO ENCONTRADO EN PLANTA"))</f>
        <v/>
      </c>
      <c r="E466" s="2" t="str">
        <f>IF(B466="","",IFERROR(VLOOKUP(B466, PLANTA_BASE!A:W, 6, FALSE), "NO ENCONTRADO EN PLANTA"))</f>
        <v/>
      </c>
      <c r="F466" s="4" t="str">
        <f>IF(B466="","",IFERROR(VLOOKUP(B466, PLANTA_BASE!A:W, 8, FALSE), "DOCENTE / FACILITADOR"))</f>
        <v/>
      </c>
      <c r="G466" s="4" t="str">
        <f>IF(B466="","",IFERROR(VLOOKUP(B466, PLANTA_BASE!A:W, 9, FALSE), "GENERAL"))</f>
        <v/>
      </c>
      <c r="H466" s="2" t="str">
        <f>IF(B466="","",IFERROR(VLOOKUP(B466, PLANTA_BASE!A:W, 17, FALSE), "GENERAL"))</f>
        <v/>
      </c>
    </row>
    <row r="467" spans="1:8" ht="20.100000000000001" customHeight="1" x14ac:dyDescent="0.25">
      <c r="A467" s="5" t="str">
        <f>IF(B467="","",IFERROR(VLOOKUP(B467, PLANTA_BASE!A:W, 2, FALSE), "NO ENCONTRADO EN PLANTA"))</f>
        <v/>
      </c>
      <c r="B467" s="6"/>
      <c r="C467" s="7" t="str">
        <f>IF(B467="","",IFERROR(VLOOKUP(B467, PLANTA_BASE!A:W, 3, FALSE), ""))</f>
        <v/>
      </c>
      <c r="D467" s="5" t="str">
        <f>IF(B467="","",IFERROR(VLOOKUP(B467, PLANTA_BASE!A:W, 5, FALSE), "NO ENCONTRADO EN PLANTA"))</f>
        <v/>
      </c>
      <c r="E467" s="5" t="str">
        <f>IF(B467="","",IFERROR(VLOOKUP(B467, PLANTA_BASE!A:W, 6, FALSE), "NO ENCONTRADO EN PLANTA"))</f>
        <v/>
      </c>
      <c r="F467" s="7" t="str">
        <f>IF(B467="","",IFERROR(VLOOKUP(B467, PLANTA_BASE!A:W, 8, FALSE), "DOCENTE / FACILITADOR"))</f>
        <v/>
      </c>
      <c r="G467" s="7" t="str">
        <f>IF(B467="","",IFERROR(VLOOKUP(B467, PLANTA_BASE!A:W, 9, FALSE), "GENERAL"))</f>
        <v/>
      </c>
      <c r="H467" s="5" t="str">
        <f>IF(B467="","",IFERROR(VLOOKUP(B467, PLANTA_BASE!A:W, 17, FALSE), "GENERAL"))</f>
        <v/>
      </c>
    </row>
    <row r="468" spans="1:8" ht="20.100000000000001" customHeight="1" x14ac:dyDescent="0.25">
      <c r="A468" s="2" t="str">
        <f>IF(B468="","",IFERROR(VLOOKUP(B468, PLANTA_BASE!A:W, 2, FALSE), "NO ENCONTRADO EN PLANTA"))</f>
        <v/>
      </c>
      <c r="B468" s="3"/>
      <c r="C468" s="4" t="str">
        <f>IF(B468="","",IFERROR(VLOOKUP(B468, PLANTA_BASE!A:W, 3, FALSE), ""))</f>
        <v/>
      </c>
      <c r="D468" s="2" t="str">
        <f>IF(B468="","",IFERROR(VLOOKUP(B468, PLANTA_BASE!A:W, 5, FALSE), "NO ENCONTRADO EN PLANTA"))</f>
        <v/>
      </c>
      <c r="E468" s="2" t="str">
        <f>IF(B468="","",IFERROR(VLOOKUP(B468, PLANTA_BASE!A:W, 6, FALSE), "NO ENCONTRADO EN PLANTA"))</f>
        <v/>
      </c>
      <c r="F468" s="4" t="str">
        <f>IF(B468="","",IFERROR(VLOOKUP(B468, PLANTA_BASE!A:W, 8, FALSE), "DOCENTE / FACILITADOR"))</f>
        <v/>
      </c>
      <c r="G468" s="4" t="str">
        <f>IF(B468="","",IFERROR(VLOOKUP(B468, PLANTA_BASE!A:W, 9, FALSE), "GENERAL"))</f>
        <v/>
      </c>
      <c r="H468" s="2" t="str">
        <f>IF(B468="","",IFERROR(VLOOKUP(B468, PLANTA_BASE!A:W, 17, FALSE), "GENERAL"))</f>
        <v/>
      </c>
    </row>
    <row r="469" spans="1:8" ht="20.100000000000001" customHeight="1" x14ac:dyDescent="0.25">
      <c r="A469" s="5" t="str">
        <f>IF(B469="","",IFERROR(VLOOKUP(B469, PLANTA_BASE!A:W, 2, FALSE), "NO ENCONTRADO EN PLANTA"))</f>
        <v/>
      </c>
      <c r="B469" s="6"/>
      <c r="C469" s="7" t="str">
        <f>IF(B469="","",IFERROR(VLOOKUP(B469, PLANTA_BASE!A:W, 3, FALSE), ""))</f>
        <v/>
      </c>
      <c r="D469" s="5" t="str">
        <f>IF(B469="","",IFERROR(VLOOKUP(B469, PLANTA_BASE!A:W, 5, FALSE), "NO ENCONTRADO EN PLANTA"))</f>
        <v/>
      </c>
      <c r="E469" s="5" t="str">
        <f>IF(B469="","",IFERROR(VLOOKUP(B469, PLANTA_BASE!A:W, 6, FALSE), "NO ENCONTRADO EN PLANTA"))</f>
        <v/>
      </c>
      <c r="F469" s="7" t="str">
        <f>IF(B469="","",IFERROR(VLOOKUP(B469, PLANTA_BASE!A:W, 8, FALSE), "DOCENTE / FACILITADOR"))</f>
        <v/>
      </c>
      <c r="G469" s="7" t="str">
        <f>IF(B469="","",IFERROR(VLOOKUP(B469, PLANTA_BASE!A:W, 9, FALSE), "GENERAL"))</f>
        <v/>
      </c>
      <c r="H469" s="5" t="str">
        <f>IF(B469="","",IFERROR(VLOOKUP(B469, PLANTA_BASE!A:W, 17, FALSE), "GENERAL"))</f>
        <v/>
      </c>
    </row>
    <row r="470" spans="1:8" ht="20.100000000000001" customHeight="1" x14ac:dyDescent="0.25">
      <c r="A470" s="2" t="str">
        <f>IF(B470="","",IFERROR(VLOOKUP(B470, PLANTA_BASE!A:W, 2, FALSE), "NO ENCONTRADO EN PLANTA"))</f>
        <v/>
      </c>
      <c r="B470" s="3"/>
      <c r="C470" s="4" t="str">
        <f>IF(B470="","",IFERROR(VLOOKUP(B470, PLANTA_BASE!A:W, 3, FALSE), ""))</f>
        <v/>
      </c>
      <c r="D470" s="2" t="str">
        <f>IF(B470="","",IFERROR(VLOOKUP(B470, PLANTA_BASE!A:W, 5, FALSE), "NO ENCONTRADO EN PLANTA"))</f>
        <v/>
      </c>
      <c r="E470" s="2" t="str">
        <f>IF(B470="","",IFERROR(VLOOKUP(B470, PLANTA_BASE!A:W, 6, FALSE), "NO ENCONTRADO EN PLANTA"))</f>
        <v/>
      </c>
      <c r="F470" s="4" t="str">
        <f>IF(B470="","",IFERROR(VLOOKUP(B470, PLANTA_BASE!A:W, 8, FALSE), "DOCENTE / FACILITADOR"))</f>
        <v/>
      </c>
      <c r="G470" s="4" t="str">
        <f>IF(B470="","",IFERROR(VLOOKUP(B470, PLANTA_BASE!A:W, 9, FALSE), "GENERAL"))</f>
        <v/>
      </c>
      <c r="H470" s="2" t="str">
        <f>IF(B470="","",IFERROR(VLOOKUP(B470, PLANTA_BASE!A:W, 17, FALSE), "GENERAL"))</f>
        <v/>
      </c>
    </row>
    <row r="471" spans="1:8" ht="20.100000000000001" customHeight="1" x14ac:dyDescent="0.25">
      <c r="A471" s="5" t="str">
        <f>IF(B471="","",IFERROR(VLOOKUP(B471, PLANTA_BASE!A:W, 2, FALSE), "NO ENCONTRADO EN PLANTA"))</f>
        <v/>
      </c>
      <c r="B471" s="6"/>
      <c r="C471" s="7" t="str">
        <f>IF(B471="","",IFERROR(VLOOKUP(B471, PLANTA_BASE!A:W, 3, FALSE), ""))</f>
        <v/>
      </c>
      <c r="D471" s="5" t="str">
        <f>IF(B471="","",IFERROR(VLOOKUP(B471, PLANTA_BASE!A:W, 5, FALSE), "NO ENCONTRADO EN PLANTA"))</f>
        <v/>
      </c>
      <c r="E471" s="5" t="str">
        <f>IF(B471="","",IFERROR(VLOOKUP(B471, PLANTA_BASE!A:W, 6, FALSE), "NO ENCONTRADO EN PLANTA"))</f>
        <v/>
      </c>
      <c r="F471" s="7" t="str">
        <f>IF(B471="","",IFERROR(VLOOKUP(B471, PLANTA_BASE!A:W, 8, FALSE), "DOCENTE / FACILITADOR"))</f>
        <v/>
      </c>
      <c r="G471" s="7" t="str">
        <f>IF(B471="","",IFERROR(VLOOKUP(B471, PLANTA_BASE!A:W, 9, FALSE), "GENERAL"))</f>
        <v/>
      </c>
      <c r="H471" s="5" t="str">
        <f>IF(B471="","",IFERROR(VLOOKUP(B471, PLANTA_BASE!A:W, 17, FALSE), "GENERAL"))</f>
        <v/>
      </c>
    </row>
    <row r="472" spans="1:8" ht="20.100000000000001" customHeight="1" x14ac:dyDescent="0.25">
      <c r="A472" s="2" t="str">
        <f>IF(B472="","",IFERROR(VLOOKUP(B472, PLANTA_BASE!A:W, 2, FALSE), "NO ENCONTRADO EN PLANTA"))</f>
        <v/>
      </c>
      <c r="B472" s="3"/>
      <c r="C472" s="4" t="str">
        <f>IF(B472="","",IFERROR(VLOOKUP(B472, PLANTA_BASE!A:W, 3, FALSE), ""))</f>
        <v/>
      </c>
      <c r="D472" s="2" t="str">
        <f>IF(B472="","",IFERROR(VLOOKUP(B472, PLANTA_BASE!A:W, 5, FALSE), "NO ENCONTRADO EN PLANTA"))</f>
        <v/>
      </c>
      <c r="E472" s="2" t="str">
        <f>IF(B472="","",IFERROR(VLOOKUP(B472, PLANTA_BASE!A:W, 6, FALSE), "NO ENCONTRADO EN PLANTA"))</f>
        <v/>
      </c>
      <c r="F472" s="4" t="str">
        <f>IF(B472="","",IFERROR(VLOOKUP(B472, PLANTA_BASE!A:W, 8, FALSE), "DOCENTE / FACILITADOR"))</f>
        <v/>
      </c>
      <c r="G472" s="4" t="str">
        <f>IF(B472="","",IFERROR(VLOOKUP(B472, PLANTA_BASE!A:W, 9, FALSE), "GENERAL"))</f>
        <v/>
      </c>
      <c r="H472" s="2" t="str">
        <f>IF(B472="","",IFERROR(VLOOKUP(B472, PLANTA_BASE!A:W, 17, FALSE), "GENERAL"))</f>
        <v/>
      </c>
    </row>
    <row r="473" spans="1:8" ht="20.100000000000001" customHeight="1" x14ac:dyDescent="0.25">
      <c r="A473" s="5" t="str">
        <f>IF(B473="","",IFERROR(VLOOKUP(B473, PLANTA_BASE!A:W, 2, FALSE), "NO ENCONTRADO EN PLANTA"))</f>
        <v/>
      </c>
      <c r="B473" s="6"/>
      <c r="C473" s="7" t="str">
        <f>IF(B473="","",IFERROR(VLOOKUP(B473, PLANTA_BASE!A:W, 3, FALSE), ""))</f>
        <v/>
      </c>
      <c r="D473" s="5" t="str">
        <f>IF(B473="","",IFERROR(VLOOKUP(B473, PLANTA_BASE!A:W, 5, FALSE), "NO ENCONTRADO EN PLANTA"))</f>
        <v/>
      </c>
      <c r="E473" s="5" t="str">
        <f>IF(B473="","",IFERROR(VLOOKUP(B473, PLANTA_BASE!A:W, 6, FALSE), "NO ENCONTRADO EN PLANTA"))</f>
        <v/>
      </c>
      <c r="F473" s="7" t="str">
        <f>IF(B473="","",IFERROR(VLOOKUP(B473, PLANTA_BASE!A:W, 8, FALSE), "DOCENTE / FACILITADOR"))</f>
        <v/>
      </c>
      <c r="G473" s="7" t="str">
        <f>IF(B473="","",IFERROR(VLOOKUP(B473, PLANTA_BASE!A:W, 9, FALSE), "GENERAL"))</f>
        <v/>
      </c>
      <c r="H473" s="5" t="str">
        <f>IF(B473="","",IFERROR(VLOOKUP(B473, PLANTA_BASE!A:W, 17, FALSE), "GENERAL"))</f>
        <v/>
      </c>
    </row>
    <row r="474" spans="1:8" ht="20.100000000000001" customHeight="1" x14ac:dyDescent="0.25">
      <c r="A474" s="2" t="str">
        <f>IF(B474="","",IFERROR(VLOOKUP(B474, PLANTA_BASE!A:W, 2, FALSE), "NO ENCONTRADO EN PLANTA"))</f>
        <v/>
      </c>
      <c r="B474" s="3"/>
      <c r="C474" s="4" t="str">
        <f>IF(B474="","",IFERROR(VLOOKUP(B474, PLANTA_BASE!A:W, 3, FALSE), ""))</f>
        <v/>
      </c>
      <c r="D474" s="2" t="str">
        <f>IF(B474="","",IFERROR(VLOOKUP(B474, PLANTA_BASE!A:W, 5, FALSE), "NO ENCONTRADO EN PLANTA"))</f>
        <v/>
      </c>
      <c r="E474" s="2" t="str">
        <f>IF(B474="","",IFERROR(VLOOKUP(B474, PLANTA_BASE!A:W, 6, FALSE), "NO ENCONTRADO EN PLANTA"))</f>
        <v/>
      </c>
      <c r="F474" s="4" t="str">
        <f>IF(B474="","",IFERROR(VLOOKUP(B474, PLANTA_BASE!A:W, 8, FALSE), "DOCENTE / FACILITADOR"))</f>
        <v/>
      </c>
      <c r="G474" s="4" t="str">
        <f>IF(B474="","",IFERROR(VLOOKUP(B474, PLANTA_BASE!A:W, 9, FALSE), "GENERAL"))</f>
        <v/>
      </c>
      <c r="H474" s="2" t="str">
        <f>IF(B474="","",IFERROR(VLOOKUP(B474, PLANTA_BASE!A:W, 17, FALSE), "GENERAL"))</f>
        <v/>
      </c>
    </row>
    <row r="475" spans="1:8" ht="20.100000000000001" customHeight="1" x14ac:dyDescent="0.25">
      <c r="A475" s="5" t="str">
        <f>IF(B475="","",IFERROR(VLOOKUP(B475, PLANTA_BASE!A:W, 2, FALSE), "NO ENCONTRADO EN PLANTA"))</f>
        <v/>
      </c>
      <c r="B475" s="6"/>
      <c r="C475" s="7" t="str">
        <f>IF(B475="","",IFERROR(VLOOKUP(B475, PLANTA_BASE!A:W, 3, FALSE), ""))</f>
        <v/>
      </c>
      <c r="D475" s="5" t="str">
        <f>IF(B475="","",IFERROR(VLOOKUP(B475, PLANTA_BASE!A:W, 5, FALSE), "NO ENCONTRADO EN PLANTA"))</f>
        <v/>
      </c>
      <c r="E475" s="5" t="str">
        <f>IF(B475="","",IFERROR(VLOOKUP(B475, PLANTA_BASE!A:W, 6, FALSE), "NO ENCONTRADO EN PLANTA"))</f>
        <v/>
      </c>
      <c r="F475" s="7" t="str">
        <f>IF(B475="","",IFERROR(VLOOKUP(B475, PLANTA_BASE!A:W, 8, FALSE), "DOCENTE / FACILITADOR"))</f>
        <v/>
      </c>
      <c r="G475" s="7" t="str">
        <f>IF(B475="","",IFERROR(VLOOKUP(B475, PLANTA_BASE!A:W, 9, FALSE), "GENERAL"))</f>
        <v/>
      </c>
      <c r="H475" s="5" t="str">
        <f>IF(B475="","",IFERROR(VLOOKUP(B475, PLANTA_BASE!A:W, 17, FALSE), "GENERAL"))</f>
        <v/>
      </c>
    </row>
    <row r="476" spans="1:8" ht="20.100000000000001" customHeight="1" x14ac:dyDescent="0.25">
      <c r="A476" s="2" t="str">
        <f>IF(B476="","",IFERROR(VLOOKUP(B476, PLANTA_BASE!A:W, 2, FALSE), "NO ENCONTRADO EN PLANTA"))</f>
        <v/>
      </c>
      <c r="B476" s="3"/>
      <c r="C476" s="4" t="str">
        <f>IF(B476="","",IFERROR(VLOOKUP(B476, PLANTA_BASE!A:W, 3, FALSE), ""))</f>
        <v/>
      </c>
      <c r="D476" s="2" t="str">
        <f>IF(B476="","",IFERROR(VLOOKUP(B476, PLANTA_BASE!A:W, 5, FALSE), "NO ENCONTRADO EN PLANTA"))</f>
        <v/>
      </c>
      <c r="E476" s="2" t="str">
        <f>IF(B476="","",IFERROR(VLOOKUP(B476, PLANTA_BASE!A:W, 6, FALSE), "NO ENCONTRADO EN PLANTA"))</f>
        <v/>
      </c>
      <c r="F476" s="4" t="str">
        <f>IF(B476="","",IFERROR(VLOOKUP(B476, PLANTA_BASE!A:W, 8, FALSE), "DOCENTE / FACILITADOR"))</f>
        <v/>
      </c>
      <c r="G476" s="4" t="str">
        <f>IF(B476="","",IFERROR(VLOOKUP(B476, PLANTA_BASE!A:W, 9, FALSE), "GENERAL"))</f>
        <v/>
      </c>
      <c r="H476" s="2" t="str">
        <f>IF(B476="","",IFERROR(VLOOKUP(B476, PLANTA_BASE!A:W, 17, FALSE), "GENERAL"))</f>
        <v/>
      </c>
    </row>
    <row r="477" spans="1:8" ht="20.100000000000001" customHeight="1" x14ac:dyDescent="0.25">
      <c r="A477" s="5" t="str">
        <f>IF(B477="","",IFERROR(VLOOKUP(B477, PLANTA_BASE!A:W, 2, FALSE), "NO ENCONTRADO EN PLANTA"))</f>
        <v/>
      </c>
      <c r="B477" s="6"/>
      <c r="C477" s="7" t="str">
        <f>IF(B477="","",IFERROR(VLOOKUP(B477, PLANTA_BASE!A:W, 3, FALSE), ""))</f>
        <v/>
      </c>
      <c r="D477" s="5" t="str">
        <f>IF(B477="","",IFERROR(VLOOKUP(B477, PLANTA_BASE!A:W, 5, FALSE), "NO ENCONTRADO EN PLANTA"))</f>
        <v/>
      </c>
      <c r="E477" s="5" t="str">
        <f>IF(B477="","",IFERROR(VLOOKUP(B477, PLANTA_BASE!A:W, 6, FALSE), "NO ENCONTRADO EN PLANTA"))</f>
        <v/>
      </c>
      <c r="F477" s="7" t="str">
        <f>IF(B477="","",IFERROR(VLOOKUP(B477, PLANTA_BASE!A:W, 8, FALSE), "DOCENTE / FACILITADOR"))</f>
        <v/>
      </c>
      <c r="G477" s="7" t="str">
        <f>IF(B477="","",IFERROR(VLOOKUP(B477, PLANTA_BASE!A:W, 9, FALSE), "GENERAL"))</f>
        <v/>
      </c>
      <c r="H477" s="5" t="str">
        <f>IF(B477="","",IFERROR(VLOOKUP(B477, PLANTA_BASE!A:W, 17, FALSE), "GENERAL"))</f>
        <v/>
      </c>
    </row>
    <row r="478" spans="1:8" ht="20.100000000000001" customHeight="1" x14ac:dyDescent="0.25">
      <c r="A478" s="2" t="str">
        <f>IF(B478="","",IFERROR(VLOOKUP(B478, PLANTA_BASE!A:W, 2, FALSE), "NO ENCONTRADO EN PLANTA"))</f>
        <v/>
      </c>
      <c r="B478" s="3"/>
      <c r="C478" s="4" t="str">
        <f>IF(B478="","",IFERROR(VLOOKUP(B478, PLANTA_BASE!A:W, 3, FALSE), ""))</f>
        <v/>
      </c>
      <c r="D478" s="2" t="str">
        <f>IF(B478="","",IFERROR(VLOOKUP(B478, PLANTA_BASE!A:W, 5, FALSE), "NO ENCONTRADO EN PLANTA"))</f>
        <v/>
      </c>
      <c r="E478" s="2" t="str">
        <f>IF(B478="","",IFERROR(VLOOKUP(B478, PLANTA_BASE!A:W, 6, FALSE), "NO ENCONTRADO EN PLANTA"))</f>
        <v/>
      </c>
      <c r="F478" s="4" t="str">
        <f>IF(B478="","",IFERROR(VLOOKUP(B478, PLANTA_BASE!A:W, 8, FALSE), "DOCENTE / FACILITADOR"))</f>
        <v/>
      </c>
      <c r="G478" s="4" t="str">
        <f>IF(B478="","",IFERROR(VLOOKUP(B478, PLANTA_BASE!A:W, 9, FALSE), "GENERAL"))</f>
        <v/>
      </c>
      <c r="H478" s="2" t="str">
        <f>IF(B478="","",IFERROR(VLOOKUP(B478, PLANTA_BASE!A:W, 17, FALSE), "GENERAL"))</f>
        <v/>
      </c>
    </row>
    <row r="479" spans="1:8" ht="20.100000000000001" customHeight="1" x14ac:dyDescent="0.25">
      <c r="A479" s="5" t="str">
        <f>IF(B479="","",IFERROR(VLOOKUP(B479, PLANTA_BASE!A:W, 2, FALSE), "NO ENCONTRADO EN PLANTA"))</f>
        <v/>
      </c>
      <c r="B479" s="6"/>
      <c r="C479" s="7" t="str">
        <f>IF(B479="","",IFERROR(VLOOKUP(B479, PLANTA_BASE!A:W, 3, FALSE), ""))</f>
        <v/>
      </c>
      <c r="D479" s="5" t="str">
        <f>IF(B479="","",IFERROR(VLOOKUP(B479, PLANTA_BASE!A:W, 5, FALSE), "NO ENCONTRADO EN PLANTA"))</f>
        <v/>
      </c>
      <c r="E479" s="5" t="str">
        <f>IF(B479="","",IFERROR(VLOOKUP(B479, PLANTA_BASE!A:W, 6, FALSE), "NO ENCONTRADO EN PLANTA"))</f>
        <v/>
      </c>
      <c r="F479" s="7" t="str">
        <f>IF(B479="","",IFERROR(VLOOKUP(B479, PLANTA_BASE!A:W, 8, FALSE), "DOCENTE / FACILITADOR"))</f>
        <v/>
      </c>
      <c r="G479" s="7" t="str">
        <f>IF(B479="","",IFERROR(VLOOKUP(B479, PLANTA_BASE!A:W, 9, FALSE), "GENERAL"))</f>
        <v/>
      </c>
      <c r="H479" s="5" t="str">
        <f>IF(B479="","",IFERROR(VLOOKUP(B479, PLANTA_BASE!A:W, 17, FALSE), "GENERAL"))</f>
        <v/>
      </c>
    </row>
    <row r="480" spans="1:8" ht="20.100000000000001" customHeight="1" x14ac:dyDescent="0.25">
      <c r="A480" s="2" t="str">
        <f>IF(B480="","",IFERROR(VLOOKUP(B480, PLANTA_BASE!A:W, 2, FALSE), "NO ENCONTRADO EN PLANTA"))</f>
        <v/>
      </c>
      <c r="B480" s="3"/>
      <c r="C480" s="4" t="str">
        <f>IF(B480="","",IFERROR(VLOOKUP(B480, PLANTA_BASE!A:W, 3, FALSE), ""))</f>
        <v/>
      </c>
      <c r="D480" s="2" t="str">
        <f>IF(B480="","",IFERROR(VLOOKUP(B480, PLANTA_BASE!A:W, 5, FALSE), "NO ENCONTRADO EN PLANTA"))</f>
        <v/>
      </c>
      <c r="E480" s="2" t="str">
        <f>IF(B480="","",IFERROR(VLOOKUP(B480, PLANTA_BASE!A:W, 6, FALSE), "NO ENCONTRADO EN PLANTA"))</f>
        <v/>
      </c>
      <c r="F480" s="4" t="str">
        <f>IF(B480="","",IFERROR(VLOOKUP(B480, PLANTA_BASE!A:W, 8, FALSE), "DOCENTE / FACILITADOR"))</f>
        <v/>
      </c>
      <c r="G480" s="4" t="str">
        <f>IF(B480="","",IFERROR(VLOOKUP(B480, PLANTA_BASE!A:W, 9, FALSE), "GENERAL"))</f>
        <v/>
      </c>
      <c r="H480" s="2" t="str">
        <f>IF(B480="","",IFERROR(VLOOKUP(B480, PLANTA_BASE!A:W, 17, FALSE), "GENERAL"))</f>
        <v/>
      </c>
    </row>
    <row r="481" spans="1:8" ht="20.100000000000001" customHeight="1" x14ac:dyDescent="0.25">
      <c r="A481" s="5" t="str">
        <f>IF(B481="","",IFERROR(VLOOKUP(B481, PLANTA_BASE!A:W, 2, FALSE), "NO ENCONTRADO EN PLANTA"))</f>
        <v/>
      </c>
      <c r="B481" s="6"/>
      <c r="C481" s="7" t="str">
        <f>IF(B481="","",IFERROR(VLOOKUP(B481, PLANTA_BASE!A:W, 3, FALSE), ""))</f>
        <v/>
      </c>
      <c r="D481" s="5" t="str">
        <f>IF(B481="","",IFERROR(VLOOKUP(B481, PLANTA_BASE!A:W, 5, FALSE), "NO ENCONTRADO EN PLANTA"))</f>
        <v/>
      </c>
      <c r="E481" s="5" t="str">
        <f>IF(B481="","",IFERROR(VLOOKUP(B481, PLANTA_BASE!A:W, 6, FALSE), "NO ENCONTRADO EN PLANTA"))</f>
        <v/>
      </c>
      <c r="F481" s="7" t="str">
        <f>IF(B481="","",IFERROR(VLOOKUP(B481, PLANTA_BASE!A:W, 8, FALSE), "DOCENTE / FACILITADOR"))</f>
        <v/>
      </c>
      <c r="G481" s="7" t="str">
        <f>IF(B481="","",IFERROR(VLOOKUP(B481, PLANTA_BASE!A:W, 9, FALSE), "GENERAL"))</f>
        <v/>
      </c>
      <c r="H481" s="5" t="str">
        <f>IF(B481="","",IFERROR(VLOOKUP(B481, PLANTA_BASE!A:W, 17, FALSE), "GENERAL"))</f>
        <v/>
      </c>
    </row>
    <row r="482" spans="1:8" ht="20.100000000000001" customHeight="1" x14ac:dyDescent="0.25">
      <c r="A482" s="2" t="str">
        <f>IF(B482="","",IFERROR(VLOOKUP(B482, PLANTA_BASE!A:W, 2, FALSE), "NO ENCONTRADO EN PLANTA"))</f>
        <v/>
      </c>
      <c r="B482" s="3"/>
      <c r="C482" s="4" t="str">
        <f>IF(B482="","",IFERROR(VLOOKUP(B482, PLANTA_BASE!A:W, 3, FALSE), ""))</f>
        <v/>
      </c>
      <c r="D482" s="2" t="str">
        <f>IF(B482="","",IFERROR(VLOOKUP(B482, PLANTA_BASE!A:W, 5, FALSE), "NO ENCONTRADO EN PLANTA"))</f>
        <v/>
      </c>
      <c r="E482" s="2" t="str">
        <f>IF(B482="","",IFERROR(VLOOKUP(B482, PLANTA_BASE!A:W, 6, FALSE), "NO ENCONTRADO EN PLANTA"))</f>
        <v/>
      </c>
      <c r="F482" s="4" t="str">
        <f>IF(B482="","",IFERROR(VLOOKUP(B482, PLANTA_BASE!A:W, 8, FALSE), "DOCENTE / FACILITADOR"))</f>
        <v/>
      </c>
      <c r="G482" s="4" t="str">
        <f>IF(B482="","",IFERROR(VLOOKUP(B482, PLANTA_BASE!A:W, 9, FALSE), "GENERAL"))</f>
        <v/>
      </c>
      <c r="H482" s="2" t="str">
        <f>IF(B482="","",IFERROR(VLOOKUP(B482, PLANTA_BASE!A:W, 17, FALSE), "GENERAL"))</f>
        <v/>
      </c>
    </row>
    <row r="483" spans="1:8" ht="20.100000000000001" customHeight="1" x14ac:dyDescent="0.25">
      <c r="A483" s="5" t="str">
        <f>IF(B483="","",IFERROR(VLOOKUP(B483, PLANTA_BASE!A:W, 2, FALSE), "NO ENCONTRADO EN PLANTA"))</f>
        <v/>
      </c>
      <c r="B483" s="6"/>
      <c r="C483" s="7" t="str">
        <f>IF(B483="","",IFERROR(VLOOKUP(B483, PLANTA_BASE!A:W, 3, FALSE), ""))</f>
        <v/>
      </c>
      <c r="D483" s="5" t="str">
        <f>IF(B483="","",IFERROR(VLOOKUP(B483, PLANTA_BASE!A:W, 5, FALSE), "NO ENCONTRADO EN PLANTA"))</f>
        <v/>
      </c>
      <c r="E483" s="5" t="str">
        <f>IF(B483="","",IFERROR(VLOOKUP(B483, PLANTA_BASE!A:W, 6, FALSE), "NO ENCONTRADO EN PLANTA"))</f>
        <v/>
      </c>
      <c r="F483" s="7" t="str">
        <f>IF(B483="","",IFERROR(VLOOKUP(B483, PLANTA_BASE!A:W, 8, FALSE), "DOCENTE / FACILITADOR"))</f>
        <v/>
      </c>
      <c r="G483" s="7" t="str">
        <f>IF(B483="","",IFERROR(VLOOKUP(B483, PLANTA_BASE!A:W, 9, FALSE), "GENERAL"))</f>
        <v/>
      </c>
      <c r="H483" s="5" t="str">
        <f>IF(B483="","",IFERROR(VLOOKUP(B483, PLANTA_BASE!A:W, 17, FALSE), "GENERAL"))</f>
        <v/>
      </c>
    </row>
    <row r="484" spans="1:8" ht="20.100000000000001" customHeight="1" x14ac:dyDescent="0.25">
      <c r="A484" s="2" t="str">
        <f>IF(B484="","",IFERROR(VLOOKUP(B484, PLANTA_BASE!A:W, 2, FALSE), "NO ENCONTRADO EN PLANTA"))</f>
        <v/>
      </c>
      <c r="B484" s="3"/>
      <c r="C484" s="4" t="str">
        <f>IF(B484="","",IFERROR(VLOOKUP(B484, PLANTA_BASE!A:W, 3, FALSE), ""))</f>
        <v/>
      </c>
      <c r="D484" s="2" t="str">
        <f>IF(B484="","",IFERROR(VLOOKUP(B484, PLANTA_BASE!A:W, 5, FALSE), "NO ENCONTRADO EN PLANTA"))</f>
        <v/>
      </c>
      <c r="E484" s="2" t="str">
        <f>IF(B484="","",IFERROR(VLOOKUP(B484, PLANTA_BASE!A:W, 6, FALSE), "NO ENCONTRADO EN PLANTA"))</f>
        <v/>
      </c>
      <c r="F484" s="4" t="str">
        <f>IF(B484="","",IFERROR(VLOOKUP(B484, PLANTA_BASE!A:W, 8, FALSE), "DOCENTE / FACILITADOR"))</f>
        <v/>
      </c>
      <c r="G484" s="4" t="str">
        <f>IF(B484="","",IFERROR(VLOOKUP(B484, PLANTA_BASE!A:W, 9, FALSE), "GENERAL"))</f>
        <v/>
      </c>
      <c r="H484" s="2" t="str">
        <f>IF(B484="","",IFERROR(VLOOKUP(B484, PLANTA_BASE!A:W, 17, FALSE), "GENERAL"))</f>
        <v/>
      </c>
    </row>
    <row r="485" spans="1:8" ht="20.100000000000001" customHeight="1" x14ac:dyDescent="0.25">
      <c r="A485" s="5" t="str">
        <f>IF(B485="","",IFERROR(VLOOKUP(B485, PLANTA_BASE!A:W, 2, FALSE), "NO ENCONTRADO EN PLANTA"))</f>
        <v/>
      </c>
      <c r="B485" s="6"/>
      <c r="C485" s="7" t="str">
        <f>IF(B485="","",IFERROR(VLOOKUP(B485, PLANTA_BASE!A:W, 3, FALSE), ""))</f>
        <v/>
      </c>
      <c r="D485" s="5" t="str">
        <f>IF(B485="","",IFERROR(VLOOKUP(B485, PLANTA_BASE!A:W, 5, FALSE), "NO ENCONTRADO EN PLANTA"))</f>
        <v/>
      </c>
      <c r="E485" s="5" t="str">
        <f>IF(B485="","",IFERROR(VLOOKUP(B485, PLANTA_BASE!A:W, 6, FALSE), "NO ENCONTRADO EN PLANTA"))</f>
        <v/>
      </c>
      <c r="F485" s="7" t="str">
        <f>IF(B485="","",IFERROR(VLOOKUP(B485, PLANTA_BASE!A:W, 8, FALSE), "DOCENTE / FACILITADOR"))</f>
        <v/>
      </c>
      <c r="G485" s="7" t="str">
        <f>IF(B485="","",IFERROR(VLOOKUP(B485, PLANTA_BASE!A:W, 9, FALSE), "GENERAL"))</f>
        <v/>
      </c>
      <c r="H485" s="5" t="str">
        <f>IF(B485="","",IFERROR(VLOOKUP(B485, PLANTA_BASE!A:W, 17, FALSE), "GENERAL"))</f>
        <v/>
      </c>
    </row>
    <row r="486" spans="1:8" ht="20.100000000000001" customHeight="1" x14ac:dyDescent="0.25">
      <c r="A486" s="2" t="str">
        <f>IF(B486="","",IFERROR(VLOOKUP(B486, PLANTA_BASE!A:W, 2, FALSE), "NO ENCONTRADO EN PLANTA"))</f>
        <v/>
      </c>
      <c r="B486" s="3"/>
      <c r="C486" s="4" t="str">
        <f>IF(B486="","",IFERROR(VLOOKUP(B486, PLANTA_BASE!A:W, 3, FALSE), ""))</f>
        <v/>
      </c>
      <c r="D486" s="2" t="str">
        <f>IF(B486="","",IFERROR(VLOOKUP(B486, PLANTA_BASE!A:W, 5, FALSE), "NO ENCONTRADO EN PLANTA"))</f>
        <v/>
      </c>
      <c r="E486" s="2" t="str">
        <f>IF(B486="","",IFERROR(VLOOKUP(B486, PLANTA_BASE!A:W, 6, FALSE), "NO ENCONTRADO EN PLANTA"))</f>
        <v/>
      </c>
      <c r="F486" s="4" t="str">
        <f>IF(B486="","",IFERROR(VLOOKUP(B486, PLANTA_BASE!A:W, 8, FALSE), "DOCENTE / FACILITADOR"))</f>
        <v/>
      </c>
      <c r="G486" s="4" t="str">
        <f>IF(B486="","",IFERROR(VLOOKUP(B486, PLANTA_BASE!A:W, 9, FALSE), "GENERAL"))</f>
        <v/>
      </c>
      <c r="H486" s="2" t="str">
        <f>IF(B486="","",IFERROR(VLOOKUP(B486, PLANTA_BASE!A:W, 17, FALSE), "GENERAL"))</f>
        <v/>
      </c>
    </row>
    <row r="487" spans="1:8" ht="20.100000000000001" customHeight="1" x14ac:dyDescent="0.25">
      <c r="A487" s="5" t="str">
        <f>IF(B487="","",IFERROR(VLOOKUP(B487, PLANTA_BASE!A:W, 2, FALSE), "NO ENCONTRADO EN PLANTA"))</f>
        <v/>
      </c>
      <c r="B487" s="6"/>
      <c r="C487" s="7" t="str">
        <f>IF(B487="","",IFERROR(VLOOKUP(B487, PLANTA_BASE!A:W, 3, FALSE), ""))</f>
        <v/>
      </c>
      <c r="D487" s="5" t="str">
        <f>IF(B487="","",IFERROR(VLOOKUP(B487, PLANTA_BASE!A:W, 5, FALSE), "NO ENCONTRADO EN PLANTA"))</f>
        <v/>
      </c>
      <c r="E487" s="5" t="str">
        <f>IF(B487="","",IFERROR(VLOOKUP(B487, PLANTA_BASE!A:W, 6, FALSE), "NO ENCONTRADO EN PLANTA"))</f>
        <v/>
      </c>
      <c r="F487" s="7" t="str">
        <f>IF(B487="","",IFERROR(VLOOKUP(B487, PLANTA_BASE!A:W, 8, FALSE), "DOCENTE / FACILITADOR"))</f>
        <v/>
      </c>
      <c r="G487" s="7" t="str">
        <f>IF(B487="","",IFERROR(VLOOKUP(B487, PLANTA_BASE!A:W, 9, FALSE), "GENERAL"))</f>
        <v/>
      </c>
      <c r="H487" s="5" t="str">
        <f>IF(B487="","",IFERROR(VLOOKUP(B487, PLANTA_BASE!A:W, 17, FALSE), "GENERAL"))</f>
        <v/>
      </c>
    </row>
    <row r="488" spans="1:8" ht="20.100000000000001" customHeight="1" x14ac:dyDescent="0.25">
      <c r="A488" s="2" t="str">
        <f>IF(B488="","",IFERROR(VLOOKUP(B488, PLANTA_BASE!A:W, 2, FALSE), "NO ENCONTRADO EN PLANTA"))</f>
        <v/>
      </c>
      <c r="B488" s="3"/>
      <c r="C488" s="4" t="str">
        <f>IF(B488="","",IFERROR(VLOOKUP(B488, PLANTA_BASE!A:W, 3, FALSE), ""))</f>
        <v/>
      </c>
      <c r="D488" s="2" t="str">
        <f>IF(B488="","",IFERROR(VLOOKUP(B488, PLANTA_BASE!A:W, 5, FALSE), "NO ENCONTRADO EN PLANTA"))</f>
        <v/>
      </c>
      <c r="E488" s="2" t="str">
        <f>IF(B488="","",IFERROR(VLOOKUP(B488, PLANTA_BASE!A:W, 6, FALSE), "NO ENCONTRADO EN PLANTA"))</f>
        <v/>
      </c>
      <c r="F488" s="4" t="str">
        <f>IF(B488="","",IFERROR(VLOOKUP(B488, PLANTA_BASE!A:W, 8, FALSE), "DOCENTE / FACILITADOR"))</f>
        <v/>
      </c>
      <c r="G488" s="4" t="str">
        <f>IF(B488="","",IFERROR(VLOOKUP(B488, PLANTA_BASE!A:W, 9, FALSE), "GENERAL"))</f>
        <v/>
      </c>
      <c r="H488" s="2" t="str">
        <f>IF(B488="","",IFERROR(VLOOKUP(B488, PLANTA_BASE!A:W, 17, FALSE), "GENERAL"))</f>
        <v/>
      </c>
    </row>
    <row r="489" spans="1:8" ht="20.100000000000001" customHeight="1" x14ac:dyDescent="0.25">
      <c r="A489" s="5" t="str">
        <f>IF(B489="","",IFERROR(VLOOKUP(B489, PLANTA_BASE!A:W, 2, FALSE), "NO ENCONTRADO EN PLANTA"))</f>
        <v/>
      </c>
      <c r="B489" s="6"/>
      <c r="C489" s="7" t="str">
        <f>IF(B489="","",IFERROR(VLOOKUP(B489, PLANTA_BASE!A:W, 3, FALSE), ""))</f>
        <v/>
      </c>
      <c r="D489" s="5" t="str">
        <f>IF(B489="","",IFERROR(VLOOKUP(B489, PLANTA_BASE!A:W, 5, FALSE), "NO ENCONTRADO EN PLANTA"))</f>
        <v/>
      </c>
      <c r="E489" s="5" t="str">
        <f>IF(B489="","",IFERROR(VLOOKUP(B489, PLANTA_BASE!A:W, 6, FALSE), "NO ENCONTRADO EN PLANTA"))</f>
        <v/>
      </c>
      <c r="F489" s="7" t="str">
        <f>IF(B489="","",IFERROR(VLOOKUP(B489, PLANTA_BASE!A:W, 8, FALSE), "DOCENTE / FACILITADOR"))</f>
        <v/>
      </c>
      <c r="G489" s="7" t="str">
        <f>IF(B489="","",IFERROR(VLOOKUP(B489, PLANTA_BASE!A:W, 9, FALSE), "GENERAL"))</f>
        <v/>
      </c>
      <c r="H489" s="5" t="str">
        <f>IF(B489="","",IFERROR(VLOOKUP(B489, PLANTA_BASE!A:W, 17, FALSE), "GENERAL"))</f>
        <v/>
      </c>
    </row>
    <row r="490" spans="1:8" ht="20.100000000000001" customHeight="1" x14ac:dyDescent="0.25">
      <c r="A490" s="2" t="str">
        <f>IF(B490="","",IFERROR(VLOOKUP(B490, PLANTA_BASE!A:W, 2, FALSE), "NO ENCONTRADO EN PLANTA"))</f>
        <v/>
      </c>
      <c r="B490" s="3"/>
      <c r="C490" s="4" t="str">
        <f>IF(B490="","",IFERROR(VLOOKUP(B490, PLANTA_BASE!A:W, 3, FALSE), ""))</f>
        <v/>
      </c>
      <c r="D490" s="2" t="str">
        <f>IF(B490="","",IFERROR(VLOOKUP(B490, PLANTA_BASE!A:W, 5, FALSE), "NO ENCONTRADO EN PLANTA"))</f>
        <v/>
      </c>
      <c r="E490" s="2" t="str">
        <f>IF(B490="","",IFERROR(VLOOKUP(B490, PLANTA_BASE!A:W, 6, FALSE), "NO ENCONTRADO EN PLANTA"))</f>
        <v/>
      </c>
      <c r="F490" s="4" t="str">
        <f>IF(B490="","",IFERROR(VLOOKUP(B490, PLANTA_BASE!A:W, 8, FALSE), "DOCENTE / FACILITADOR"))</f>
        <v/>
      </c>
      <c r="G490" s="4" t="str">
        <f>IF(B490="","",IFERROR(VLOOKUP(B490, PLANTA_BASE!A:W, 9, FALSE), "GENERAL"))</f>
        <v/>
      </c>
      <c r="H490" s="2" t="str">
        <f>IF(B490="","",IFERROR(VLOOKUP(B490, PLANTA_BASE!A:W, 17, FALSE), "GENERAL"))</f>
        <v/>
      </c>
    </row>
    <row r="491" spans="1:8" ht="20.100000000000001" customHeight="1" x14ac:dyDescent="0.25">
      <c r="A491" s="5" t="str">
        <f>IF(B491="","",IFERROR(VLOOKUP(B491, PLANTA_BASE!A:W, 2, FALSE), "NO ENCONTRADO EN PLANTA"))</f>
        <v/>
      </c>
      <c r="B491" s="6"/>
      <c r="C491" s="7" t="str">
        <f>IF(B491="","",IFERROR(VLOOKUP(B491, PLANTA_BASE!A:W, 3, FALSE), ""))</f>
        <v/>
      </c>
      <c r="D491" s="5" t="str">
        <f>IF(B491="","",IFERROR(VLOOKUP(B491, PLANTA_BASE!A:W, 5, FALSE), "NO ENCONTRADO EN PLANTA"))</f>
        <v/>
      </c>
      <c r="E491" s="5" t="str">
        <f>IF(B491="","",IFERROR(VLOOKUP(B491, PLANTA_BASE!A:W, 6, FALSE), "NO ENCONTRADO EN PLANTA"))</f>
        <v/>
      </c>
      <c r="F491" s="7" t="str">
        <f>IF(B491="","",IFERROR(VLOOKUP(B491, PLANTA_BASE!A:W, 8, FALSE), "DOCENTE / FACILITADOR"))</f>
        <v/>
      </c>
      <c r="G491" s="7" t="str">
        <f>IF(B491="","",IFERROR(VLOOKUP(B491, PLANTA_BASE!A:W, 9, FALSE), "GENERAL"))</f>
        <v/>
      </c>
      <c r="H491" s="5" t="str">
        <f>IF(B491="","",IFERROR(VLOOKUP(B491, PLANTA_BASE!A:W, 17, FALSE), "GENERAL"))</f>
        <v/>
      </c>
    </row>
    <row r="492" spans="1:8" ht="20.100000000000001" customHeight="1" x14ac:dyDescent="0.25">
      <c r="A492" s="2" t="str">
        <f>IF(B492="","",IFERROR(VLOOKUP(B492, PLANTA_BASE!A:W, 2, FALSE), "NO ENCONTRADO EN PLANTA"))</f>
        <v/>
      </c>
      <c r="B492" s="3"/>
      <c r="C492" s="4" t="str">
        <f>IF(B492="","",IFERROR(VLOOKUP(B492, PLANTA_BASE!A:W, 3, FALSE), ""))</f>
        <v/>
      </c>
      <c r="D492" s="2" t="str">
        <f>IF(B492="","",IFERROR(VLOOKUP(B492, PLANTA_BASE!A:W, 5, FALSE), "NO ENCONTRADO EN PLANTA"))</f>
        <v/>
      </c>
      <c r="E492" s="2" t="str">
        <f>IF(B492="","",IFERROR(VLOOKUP(B492, PLANTA_BASE!A:W, 6, FALSE), "NO ENCONTRADO EN PLANTA"))</f>
        <v/>
      </c>
      <c r="F492" s="4" t="str">
        <f>IF(B492="","",IFERROR(VLOOKUP(B492, PLANTA_BASE!A:W, 8, FALSE), "DOCENTE / FACILITADOR"))</f>
        <v/>
      </c>
      <c r="G492" s="4" t="str">
        <f>IF(B492="","",IFERROR(VLOOKUP(B492, PLANTA_BASE!A:W, 9, FALSE), "GENERAL"))</f>
        <v/>
      </c>
      <c r="H492" s="2" t="str">
        <f>IF(B492="","",IFERROR(VLOOKUP(B492, PLANTA_BASE!A:W, 17, FALSE), "GENERAL"))</f>
        <v/>
      </c>
    </row>
    <row r="493" spans="1:8" ht="20.100000000000001" customHeight="1" x14ac:dyDescent="0.25">
      <c r="A493" s="5" t="str">
        <f>IF(B493="","",IFERROR(VLOOKUP(B493, PLANTA_BASE!A:W, 2, FALSE), "NO ENCONTRADO EN PLANTA"))</f>
        <v/>
      </c>
      <c r="B493" s="6"/>
      <c r="C493" s="7" t="str">
        <f>IF(B493="","",IFERROR(VLOOKUP(B493, PLANTA_BASE!A:W, 3, FALSE), ""))</f>
        <v/>
      </c>
      <c r="D493" s="5" t="str">
        <f>IF(B493="","",IFERROR(VLOOKUP(B493, PLANTA_BASE!A:W, 5, FALSE), "NO ENCONTRADO EN PLANTA"))</f>
        <v/>
      </c>
      <c r="E493" s="5" t="str">
        <f>IF(B493="","",IFERROR(VLOOKUP(B493, PLANTA_BASE!A:W, 6, FALSE), "NO ENCONTRADO EN PLANTA"))</f>
        <v/>
      </c>
      <c r="F493" s="7" t="str">
        <f>IF(B493="","",IFERROR(VLOOKUP(B493, PLANTA_BASE!A:W, 8, FALSE), "DOCENTE / FACILITADOR"))</f>
        <v/>
      </c>
      <c r="G493" s="7" t="str">
        <f>IF(B493="","",IFERROR(VLOOKUP(B493, PLANTA_BASE!A:W, 9, FALSE), "GENERAL"))</f>
        <v/>
      </c>
      <c r="H493" s="5" t="str">
        <f>IF(B493="","",IFERROR(VLOOKUP(B493, PLANTA_BASE!A:W, 17, FALSE), "GENERAL"))</f>
        <v/>
      </c>
    </row>
    <row r="494" spans="1:8" ht="20.100000000000001" customHeight="1" x14ac:dyDescent="0.25">
      <c r="A494" s="2" t="str">
        <f>IF(B494="","",IFERROR(VLOOKUP(B494, PLANTA_BASE!A:W, 2, FALSE), "NO ENCONTRADO EN PLANTA"))</f>
        <v/>
      </c>
      <c r="B494" s="3"/>
      <c r="C494" s="4" t="str">
        <f>IF(B494="","",IFERROR(VLOOKUP(B494, PLANTA_BASE!A:W, 3, FALSE), ""))</f>
        <v/>
      </c>
      <c r="D494" s="2" t="str">
        <f>IF(B494="","",IFERROR(VLOOKUP(B494, PLANTA_BASE!A:W, 5, FALSE), "NO ENCONTRADO EN PLANTA"))</f>
        <v/>
      </c>
      <c r="E494" s="2" t="str">
        <f>IF(B494="","",IFERROR(VLOOKUP(B494, PLANTA_BASE!A:W, 6, FALSE), "NO ENCONTRADO EN PLANTA"))</f>
        <v/>
      </c>
      <c r="F494" s="4" t="str">
        <f>IF(B494="","",IFERROR(VLOOKUP(B494, PLANTA_BASE!A:W, 8, FALSE), "DOCENTE / FACILITADOR"))</f>
        <v/>
      </c>
      <c r="G494" s="4" t="str">
        <f>IF(B494="","",IFERROR(VLOOKUP(B494, PLANTA_BASE!A:W, 9, FALSE), "GENERAL"))</f>
        <v/>
      </c>
      <c r="H494" s="2" t="str">
        <f>IF(B494="","",IFERROR(VLOOKUP(B494, PLANTA_BASE!A:W, 17, FALSE), "GENERAL"))</f>
        <v/>
      </c>
    </row>
    <row r="495" spans="1:8" ht="20.100000000000001" customHeight="1" x14ac:dyDescent="0.25">
      <c r="A495" s="5" t="str">
        <f>IF(B495="","",IFERROR(VLOOKUP(B495, PLANTA_BASE!A:W, 2, FALSE), "NO ENCONTRADO EN PLANTA"))</f>
        <v/>
      </c>
      <c r="B495" s="6"/>
      <c r="C495" s="7" t="str">
        <f>IF(B495="","",IFERROR(VLOOKUP(B495, PLANTA_BASE!A:W, 3, FALSE), ""))</f>
        <v/>
      </c>
      <c r="D495" s="5" t="str">
        <f>IF(B495="","",IFERROR(VLOOKUP(B495, PLANTA_BASE!A:W, 5, FALSE), "NO ENCONTRADO EN PLANTA"))</f>
        <v/>
      </c>
      <c r="E495" s="5" t="str">
        <f>IF(B495="","",IFERROR(VLOOKUP(B495, PLANTA_BASE!A:W, 6, FALSE), "NO ENCONTRADO EN PLANTA"))</f>
        <v/>
      </c>
      <c r="F495" s="7" t="str">
        <f>IF(B495="","",IFERROR(VLOOKUP(B495, PLANTA_BASE!A:W, 8, FALSE), "DOCENTE / FACILITADOR"))</f>
        <v/>
      </c>
      <c r="G495" s="7" t="str">
        <f>IF(B495="","",IFERROR(VLOOKUP(B495, PLANTA_BASE!A:W, 9, FALSE), "GENERAL"))</f>
        <v/>
      </c>
      <c r="H495" s="5" t="str">
        <f>IF(B495="","",IFERROR(VLOOKUP(B495, PLANTA_BASE!A:W, 17, FALSE), "GENERAL"))</f>
        <v/>
      </c>
    </row>
    <row r="496" spans="1:8" ht="20.100000000000001" customHeight="1" x14ac:dyDescent="0.25">
      <c r="A496" s="2" t="str">
        <f>IF(B496="","",IFERROR(VLOOKUP(B496, PLANTA_BASE!A:W, 2, FALSE), "NO ENCONTRADO EN PLANTA"))</f>
        <v/>
      </c>
      <c r="B496" s="3"/>
      <c r="C496" s="4" t="str">
        <f>IF(B496="","",IFERROR(VLOOKUP(B496, PLANTA_BASE!A:W, 3, FALSE), ""))</f>
        <v/>
      </c>
      <c r="D496" s="2" t="str">
        <f>IF(B496="","",IFERROR(VLOOKUP(B496, PLANTA_BASE!A:W, 5, FALSE), "NO ENCONTRADO EN PLANTA"))</f>
        <v/>
      </c>
      <c r="E496" s="2" t="str">
        <f>IF(B496="","",IFERROR(VLOOKUP(B496, PLANTA_BASE!A:W, 6, FALSE), "NO ENCONTRADO EN PLANTA"))</f>
        <v/>
      </c>
      <c r="F496" s="4" t="str">
        <f>IF(B496="","",IFERROR(VLOOKUP(B496, PLANTA_BASE!A:W, 8, FALSE), "DOCENTE / FACILITADOR"))</f>
        <v/>
      </c>
      <c r="G496" s="4" t="str">
        <f>IF(B496="","",IFERROR(VLOOKUP(B496, PLANTA_BASE!A:W, 9, FALSE), "GENERAL"))</f>
        <v/>
      </c>
      <c r="H496" s="2" t="str">
        <f>IF(B496="","",IFERROR(VLOOKUP(B496, PLANTA_BASE!A:W, 17, FALSE), "GENERAL"))</f>
        <v/>
      </c>
    </row>
    <row r="497" spans="1:8" ht="20.100000000000001" customHeight="1" x14ac:dyDescent="0.25">
      <c r="A497" s="5" t="str">
        <f>IF(B497="","",IFERROR(VLOOKUP(B497, PLANTA_BASE!A:W, 2, FALSE), "NO ENCONTRADO EN PLANTA"))</f>
        <v/>
      </c>
      <c r="B497" s="6"/>
      <c r="C497" s="7" t="str">
        <f>IF(B497="","",IFERROR(VLOOKUP(B497, PLANTA_BASE!A:W, 3, FALSE), ""))</f>
        <v/>
      </c>
      <c r="D497" s="5" t="str">
        <f>IF(B497="","",IFERROR(VLOOKUP(B497, PLANTA_BASE!A:W, 5, FALSE), "NO ENCONTRADO EN PLANTA"))</f>
        <v/>
      </c>
      <c r="E497" s="5" t="str">
        <f>IF(B497="","",IFERROR(VLOOKUP(B497, PLANTA_BASE!A:W, 6, FALSE), "NO ENCONTRADO EN PLANTA"))</f>
        <v/>
      </c>
      <c r="F497" s="7" t="str">
        <f>IF(B497="","",IFERROR(VLOOKUP(B497, PLANTA_BASE!A:W, 8, FALSE), "DOCENTE / FACILITADOR"))</f>
        <v/>
      </c>
      <c r="G497" s="7" t="str">
        <f>IF(B497="","",IFERROR(VLOOKUP(B497, PLANTA_BASE!A:W, 9, FALSE), "GENERAL"))</f>
        <v/>
      </c>
      <c r="H497" s="5" t="str">
        <f>IF(B497="","",IFERROR(VLOOKUP(B497, PLANTA_BASE!A:W, 17, FALSE), "GENERAL"))</f>
        <v/>
      </c>
    </row>
    <row r="498" spans="1:8" ht="20.100000000000001" customHeight="1" x14ac:dyDescent="0.25">
      <c r="A498" s="2" t="str">
        <f>IF(B498="","",IFERROR(VLOOKUP(B498, PLANTA_BASE!A:W, 2, FALSE), "NO ENCONTRADO EN PLANTA"))</f>
        <v/>
      </c>
      <c r="B498" s="3"/>
      <c r="C498" s="4" t="str">
        <f>IF(B498="","",IFERROR(VLOOKUP(B498, PLANTA_BASE!A:W, 3, FALSE), ""))</f>
        <v/>
      </c>
      <c r="D498" s="2" t="str">
        <f>IF(B498="","",IFERROR(VLOOKUP(B498, PLANTA_BASE!A:W, 5, FALSE), "NO ENCONTRADO EN PLANTA"))</f>
        <v/>
      </c>
      <c r="E498" s="2" t="str">
        <f>IF(B498="","",IFERROR(VLOOKUP(B498, PLANTA_BASE!A:W, 6, FALSE), "NO ENCONTRADO EN PLANTA"))</f>
        <v/>
      </c>
      <c r="F498" s="4" t="str">
        <f>IF(B498="","",IFERROR(VLOOKUP(B498, PLANTA_BASE!A:W, 8, FALSE), "DOCENTE / FACILITADOR"))</f>
        <v/>
      </c>
      <c r="G498" s="4" t="str">
        <f>IF(B498="","",IFERROR(VLOOKUP(B498, PLANTA_BASE!A:W, 9, FALSE), "GENERAL"))</f>
        <v/>
      </c>
      <c r="H498" s="2" t="str">
        <f>IF(B498="","",IFERROR(VLOOKUP(B498, PLANTA_BASE!A:W, 17, FALSE), "GENERAL"))</f>
        <v/>
      </c>
    </row>
    <row r="499" spans="1:8" ht="20.100000000000001" customHeight="1" x14ac:dyDescent="0.25">
      <c r="A499" s="5" t="str">
        <f>IF(B499="","",IFERROR(VLOOKUP(B499, PLANTA_BASE!A:W, 2, FALSE), "NO ENCONTRADO EN PLANTA"))</f>
        <v/>
      </c>
      <c r="B499" s="6"/>
      <c r="C499" s="7" t="str">
        <f>IF(B499="","",IFERROR(VLOOKUP(B499, PLANTA_BASE!A:W, 3, FALSE), ""))</f>
        <v/>
      </c>
      <c r="D499" s="5" t="str">
        <f>IF(B499="","",IFERROR(VLOOKUP(B499, PLANTA_BASE!A:W, 5, FALSE), "NO ENCONTRADO EN PLANTA"))</f>
        <v/>
      </c>
      <c r="E499" s="5" t="str">
        <f>IF(B499="","",IFERROR(VLOOKUP(B499, PLANTA_BASE!A:W, 6, FALSE), "NO ENCONTRADO EN PLANTA"))</f>
        <v/>
      </c>
      <c r="F499" s="7" t="str">
        <f>IF(B499="","",IFERROR(VLOOKUP(B499, PLANTA_BASE!A:W, 8, FALSE), "DOCENTE / FACILITADOR"))</f>
        <v/>
      </c>
      <c r="G499" s="7" t="str">
        <f>IF(B499="","",IFERROR(VLOOKUP(B499, PLANTA_BASE!A:W, 9, FALSE), "GENERAL"))</f>
        <v/>
      </c>
      <c r="H499" s="5" t="str">
        <f>IF(B499="","",IFERROR(VLOOKUP(B499, PLANTA_BASE!A:W, 17, FALSE), "GENERAL"))</f>
        <v/>
      </c>
    </row>
    <row r="500" spans="1:8" ht="20.100000000000001" customHeight="1" x14ac:dyDescent="0.25">
      <c r="A500" s="2" t="str">
        <f>IF(B500="","",IFERROR(VLOOKUP(B500, PLANTA_BASE!A:W, 2, FALSE), "NO ENCONTRADO EN PLANTA"))</f>
        <v/>
      </c>
      <c r="B500" s="3"/>
      <c r="C500" s="4" t="str">
        <f>IF(B500="","",IFERROR(VLOOKUP(B500, PLANTA_BASE!A:W, 3, FALSE), ""))</f>
        <v/>
      </c>
      <c r="D500" s="2" t="str">
        <f>IF(B500="","",IFERROR(VLOOKUP(B500, PLANTA_BASE!A:W, 5, FALSE), "NO ENCONTRADO EN PLANTA"))</f>
        <v/>
      </c>
      <c r="E500" s="2" t="str">
        <f>IF(B500="","",IFERROR(VLOOKUP(B500, PLANTA_BASE!A:W, 6, FALSE), "NO ENCONTRADO EN PLANTA"))</f>
        <v/>
      </c>
      <c r="F500" s="4" t="str">
        <f>IF(B500="","",IFERROR(VLOOKUP(B500, PLANTA_BASE!A:W, 8, FALSE), "DOCENTE / FACILITADOR"))</f>
        <v/>
      </c>
      <c r="G500" s="4" t="str">
        <f>IF(B500="","",IFERROR(VLOOKUP(B500, PLANTA_BASE!A:W, 9, FALSE), "GENERAL"))</f>
        <v/>
      </c>
      <c r="H500" s="2" t="str">
        <f>IF(B500="","",IFERROR(VLOOKUP(B500, PLANTA_BASE!A:W, 17, FALSE), "GENERAL"))</f>
        <v/>
      </c>
    </row>
    <row r="501" spans="1:8" ht="20.100000000000001" customHeight="1" x14ac:dyDescent="0.25">
      <c r="A501" s="5" t="str">
        <f>IF(B501="","",IFERROR(VLOOKUP(B501, PLANTA_BASE!A:W, 2, FALSE), "NO ENCONTRADO EN PLANTA"))</f>
        <v/>
      </c>
      <c r="B501" s="6"/>
      <c r="C501" s="7" t="str">
        <f>IF(B501="","",IFERROR(VLOOKUP(B501, PLANTA_BASE!A:W, 3, FALSE), ""))</f>
        <v/>
      </c>
      <c r="D501" s="5" t="str">
        <f>IF(B501="","",IFERROR(VLOOKUP(B501, PLANTA_BASE!A:W, 5, FALSE), "NO ENCONTRADO EN PLANTA"))</f>
        <v/>
      </c>
      <c r="E501" s="5" t="str">
        <f>IF(B501="","",IFERROR(VLOOKUP(B501, PLANTA_BASE!A:W, 6, FALSE), "NO ENCONTRADO EN PLANTA"))</f>
        <v/>
      </c>
      <c r="F501" s="7" t="str">
        <f>IF(B501="","",IFERROR(VLOOKUP(B501, PLANTA_BASE!A:W, 8, FALSE), "DOCENTE / FACILITADOR"))</f>
        <v/>
      </c>
      <c r="G501" s="7" t="str">
        <f>IF(B501="","",IFERROR(VLOOKUP(B501, PLANTA_BASE!A:W, 9, FALSE), "GENERAL"))</f>
        <v/>
      </c>
      <c r="H501" s="5" t="str">
        <f>IF(B501="","",IFERROR(VLOOKUP(B501, PLANTA_BASE!A:W, 17, FALSE), "GENERAL"))</f>
        <v/>
      </c>
    </row>
    <row r="502" spans="1:8" ht="20.100000000000001" customHeight="1" x14ac:dyDescent="0.25">
      <c r="A502" s="2" t="str">
        <f>IF(B502="","",IFERROR(VLOOKUP(B502, PLANTA_BASE!A:W, 2, FALSE), "NO ENCONTRADO EN PLANTA"))</f>
        <v/>
      </c>
      <c r="B502" s="3"/>
      <c r="C502" s="4" t="str">
        <f>IF(B502="","",IFERROR(VLOOKUP(B502, PLANTA_BASE!A:W, 3, FALSE), ""))</f>
        <v/>
      </c>
      <c r="D502" s="2" t="str">
        <f>IF(B502="","",IFERROR(VLOOKUP(B502, PLANTA_BASE!A:W, 5, FALSE), "NO ENCONTRADO EN PLANTA"))</f>
        <v/>
      </c>
      <c r="E502" s="2" t="str">
        <f>IF(B502="","",IFERROR(VLOOKUP(B502, PLANTA_BASE!A:W, 6, FALSE), "NO ENCONTRADO EN PLANTA"))</f>
        <v/>
      </c>
      <c r="F502" s="4" t="str">
        <f>IF(B502="","",IFERROR(VLOOKUP(B502, PLANTA_BASE!A:W, 8, FALSE), "DOCENTE / FACILITADOR"))</f>
        <v/>
      </c>
      <c r="G502" s="4" t="str">
        <f>IF(B502="","",IFERROR(VLOOKUP(B502, PLANTA_BASE!A:W, 9, FALSE), "GENERAL"))</f>
        <v/>
      </c>
      <c r="H502" s="2" t="str">
        <f>IF(B502="","",IFERROR(VLOOKUP(B502, PLANTA_BASE!A:W, 17, FALSE), "GENERAL"))</f>
        <v/>
      </c>
    </row>
    <row r="503" spans="1:8" ht="20.100000000000001" customHeight="1" x14ac:dyDescent="0.25">
      <c r="A503" s="5" t="str">
        <f>IF(B503="","",IFERROR(VLOOKUP(B503, PLANTA_BASE!A:W, 2, FALSE), "NO ENCONTRADO EN PLANTA"))</f>
        <v/>
      </c>
      <c r="B503" s="6"/>
      <c r="C503" s="7" t="str">
        <f>IF(B503="","",IFERROR(VLOOKUP(B503, PLANTA_BASE!A:W, 3, FALSE), ""))</f>
        <v/>
      </c>
      <c r="D503" s="5" t="str">
        <f>IF(B503="","",IFERROR(VLOOKUP(B503, PLANTA_BASE!A:W, 5, FALSE), "NO ENCONTRADO EN PLANTA"))</f>
        <v/>
      </c>
      <c r="E503" s="5" t="str">
        <f>IF(B503="","",IFERROR(VLOOKUP(B503, PLANTA_BASE!A:W, 6, FALSE), "NO ENCONTRADO EN PLANTA"))</f>
        <v/>
      </c>
      <c r="F503" s="7" t="str">
        <f>IF(B503="","",IFERROR(VLOOKUP(B503, PLANTA_BASE!A:W, 8, FALSE), "DOCENTE / FACILITADOR"))</f>
        <v/>
      </c>
      <c r="G503" s="7" t="str">
        <f>IF(B503="","",IFERROR(VLOOKUP(B503, PLANTA_BASE!A:W, 9, FALSE), "GENERAL"))</f>
        <v/>
      </c>
      <c r="H503" s="5" t="str">
        <f>IF(B503="","",IFERROR(VLOOKUP(B503, PLANTA_BASE!A:W, 17, FALSE), "GENERAL"))</f>
        <v/>
      </c>
    </row>
    <row r="504" spans="1:8" ht="20.100000000000001" customHeight="1" x14ac:dyDescent="0.25">
      <c r="A504" s="2" t="str">
        <f>IF(B504="","",IFERROR(VLOOKUP(B504, PLANTA_BASE!A:W, 2, FALSE), "NO ENCONTRADO EN PLANTA"))</f>
        <v/>
      </c>
      <c r="B504" s="3"/>
      <c r="C504" s="4" t="str">
        <f>IF(B504="","",IFERROR(VLOOKUP(B504, PLANTA_BASE!A:W, 3, FALSE), ""))</f>
        <v/>
      </c>
      <c r="D504" s="2" t="str">
        <f>IF(B504="","",IFERROR(VLOOKUP(B504, PLANTA_BASE!A:W, 5, FALSE), "NO ENCONTRADO EN PLANTA"))</f>
        <v/>
      </c>
      <c r="E504" s="2" t="str">
        <f>IF(B504="","",IFERROR(VLOOKUP(B504, PLANTA_BASE!A:W, 6, FALSE), "NO ENCONTRADO EN PLANTA"))</f>
        <v/>
      </c>
      <c r="F504" s="4" t="str">
        <f>IF(B504="","",IFERROR(VLOOKUP(B504, PLANTA_BASE!A:W, 8, FALSE), "DOCENTE / FACILITADOR"))</f>
        <v/>
      </c>
      <c r="G504" s="4" t="str">
        <f>IF(B504="","",IFERROR(VLOOKUP(B504, PLANTA_BASE!A:W, 9, FALSE), "GENERAL"))</f>
        <v/>
      </c>
      <c r="H504" s="2" t="str">
        <f>IF(B504="","",IFERROR(VLOOKUP(B504, PLANTA_BASE!A:W, 17, FALSE), "GENERAL"))</f>
        <v/>
      </c>
    </row>
    <row r="505" spans="1:8" ht="20.100000000000001" customHeight="1" x14ac:dyDescent="0.25">
      <c r="A505" s="5" t="str">
        <f>IF(B505="","",IFERROR(VLOOKUP(B505, PLANTA_BASE!A:W, 2, FALSE), "NO ENCONTRADO EN PLANTA"))</f>
        <v/>
      </c>
      <c r="B505" s="6"/>
      <c r="C505" s="7" t="str">
        <f>IF(B505="","",IFERROR(VLOOKUP(B505, PLANTA_BASE!A:W, 3, FALSE), ""))</f>
        <v/>
      </c>
      <c r="D505" s="5" t="str">
        <f>IF(B505="","",IFERROR(VLOOKUP(B505, PLANTA_BASE!A:W, 5, FALSE), "NO ENCONTRADO EN PLANTA"))</f>
        <v/>
      </c>
      <c r="E505" s="5" t="str">
        <f>IF(B505="","",IFERROR(VLOOKUP(B505, PLANTA_BASE!A:W, 6, FALSE), "NO ENCONTRADO EN PLANTA"))</f>
        <v/>
      </c>
      <c r="F505" s="7" t="str">
        <f>IF(B505="","",IFERROR(VLOOKUP(B505, PLANTA_BASE!A:W, 8, FALSE), "DOCENTE / FACILITADOR"))</f>
        <v/>
      </c>
      <c r="G505" s="7" t="str">
        <f>IF(B505="","",IFERROR(VLOOKUP(B505, PLANTA_BASE!A:W, 9, FALSE), "GENERAL"))</f>
        <v/>
      </c>
      <c r="H505" s="5" t="str">
        <f>IF(B505="","",IFERROR(VLOOKUP(B505, PLANTA_BASE!A:W, 17, FALSE), "GENERAL"))</f>
        <v/>
      </c>
    </row>
    <row r="506" spans="1:8" ht="20.100000000000001" customHeight="1" x14ac:dyDescent="0.25">
      <c r="A506" s="2" t="str">
        <f>IF(B506="","",IFERROR(VLOOKUP(B506, PLANTA_BASE!A:W, 2, FALSE), "NO ENCONTRADO EN PLANTA"))</f>
        <v/>
      </c>
      <c r="B506" s="3"/>
      <c r="C506" s="4" t="str">
        <f>IF(B506="","",IFERROR(VLOOKUP(B506, PLANTA_BASE!A:W, 3, FALSE), ""))</f>
        <v/>
      </c>
      <c r="D506" s="2" t="str">
        <f>IF(B506="","",IFERROR(VLOOKUP(B506, PLANTA_BASE!A:W, 5, FALSE), "NO ENCONTRADO EN PLANTA"))</f>
        <v/>
      </c>
      <c r="E506" s="2" t="str">
        <f>IF(B506="","",IFERROR(VLOOKUP(B506, PLANTA_BASE!A:W, 6, FALSE), "NO ENCONTRADO EN PLANTA"))</f>
        <v/>
      </c>
      <c r="F506" s="4" t="str">
        <f>IF(B506="","",IFERROR(VLOOKUP(B506, PLANTA_BASE!A:W, 8, FALSE), "DOCENTE / FACILITADOR"))</f>
        <v/>
      </c>
      <c r="G506" s="4" t="str">
        <f>IF(B506="","",IFERROR(VLOOKUP(B506, PLANTA_BASE!A:W, 9, FALSE), "GENERAL"))</f>
        <v/>
      </c>
      <c r="H506" s="2" t="str">
        <f>IF(B506="","",IFERROR(VLOOKUP(B506, PLANTA_BASE!A:W, 17, FALSE), "GENERAL"))</f>
        <v/>
      </c>
    </row>
    <row r="507" spans="1:8" ht="20.100000000000001" customHeight="1" x14ac:dyDescent="0.25">
      <c r="A507" s="5" t="str">
        <f>IF(B507="","",IFERROR(VLOOKUP(B507, PLANTA_BASE!A:W, 2, FALSE), "NO ENCONTRADO EN PLANTA"))</f>
        <v/>
      </c>
      <c r="B507" s="6"/>
      <c r="C507" s="7" t="str">
        <f>IF(B507="","",IFERROR(VLOOKUP(B507, PLANTA_BASE!A:W, 3, FALSE), ""))</f>
        <v/>
      </c>
      <c r="D507" s="5" t="str">
        <f>IF(B507="","",IFERROR(VLOOKUP(B507, PLANTA_BASE!A:W, 5, FALSE), "NO ENCONTRADO EN PLANTA"))</f>
        <v/>
      </c>
      <c r="E507" s="5" t="str">
        <f>IF(B507="","",IFERROR(VLOOKUP(B507, PLANTA_BASE!A:W, 6, FALSE), "NO ENCONTRADO EN PLANTA"))</f>
        <v/>
      </c>
      <c r="F507" s="7" t="str">
        <f>IF(B507="","",IFERROR(VLOOKUP(B507, PLANTA_BASE!A:W, 8, FALSE), "DOCENTE / FACILITADOR"))</f>
        <v/>
      </c>
      <c r="G507" s="7" t="str">
        <f>IF(B507="","",IFERROR(VLOOKUP(B507, PLANTA_BASE!A:W, 9, FALSE), "GENERAL"))</f>
        <v/>
      </c>
      <c r="H507" s="5" t="str">
        <f>IF(B507="","",IFERROR(VLOOKUP(B507, PLANTA_BASE!A:W, 17, FALSE), "GENERAL"))</f>
        <v/>
      </c>
    </row>
    <row r="508" spans="1:8" ht="20.100000000000001" customHeight="1" x14ac:dyDescent="0.25">
      <c r="A508" s="2" t="str">
        <f>IF(B508="","",IFERROR(VLOOKUP(B508, PLANTA_BASE!A:W, 2, FALSE), "NO ENCONTRADO EN PLANTA"))</f>
        <v/>
      </c>
      <c r="B508" s="3"/>
      <c r="C508" s="4" t="str">
        <f>IF(B508="","",IFERROR(VLOOKUP(B508, PLANTA_BASE!A:W, 3, FALSE), ""))</f>
        <v/>
      </c>
      <c r="D508" s="2" t="str">
        <f>IF(B508="","",IFERROR(VLOOKUP(B508, PLANTA_BASE!A:W, 5, FALSE), "NO ENCONTRADO EN PLANTA"))</f>
        <v/>
      </c>
      <c r="E508" s="2" t="str">
        <f>IF(B508="","",IFERROR(VLOOKUP(B508, PLANTA_BASE!A:W, 6, FALSE), "NO ENCONTRADO EN PLANTA"))</f>
        <v/>
      </c>
      <c r="F508" s="4" t="str">
        <f>IF(B508="","",IFERROR(VLOOKUP(B508, PLANTA_BASE!A:W, 8, FALSE), "DOCENTE / FACILITADOR"))</f>
        <v/>
      </c>
      <c r="G508" s="4" t="str">
        <f>IF(B508="","",IFERROR(VLOOKUP(B508, PLANTA_BASE!A:W, 9, FALSE), "GENERAL"))</f>
        <v/>
      </c>
      <c r="H508" s="2" t="str">
        <f>IF(B508="","",IFERROR(VLOOKUP(B508, PLANTA_BASE!A:W, 17, FALSE), "GENERAL"))</f>
        <v/>
      </c>
    </row>
    <row r="509" spans="1:8" ht="20.100000000000001" customHeight="1" x14ac:dyDescent="0.25">
      <c r="A509" s="5" t="str">
        <f>IF(B509="","",IFERROR(VLOOKUP(B509, PLANTA_BASE!A:W, 2, FALSE), "NO ENCONTRADO EN PLANTA"))</f>
        <v/>
      </c>
      <c r="B509" s="6"/>
      <c r="C509" s="7" t="str">
        <f>IF(B509="","",IFERROR(VLOOKUP(B509, PLANTA_BASE!A:W, 3, FALSE), ""))</f>
        <v/>
      </c>
      <c r="D509" s="5" t="str">
        <f>IF(B509="","",IFERROR(VLOOKUP(B509, PLANTA_BASE!A:W, 5, FALSE), "NO ENCONTRADO EN PLANTA"))</f>
        <v/>
      </c>
      <c r="E509" s="5" t="str">
        <f>IF(B509="","",IFERROR(VLOOKUP(B509, PLANTA_BASE!A:W, 6, FALSE), "NO ENCONTRADO EN PLANTA"))</f>
        <v/>
      </c>
      <c r="F509" s="7" t="str">
        <f>IF(B509="","",IFERROR(VLOOKUP(B509, PLANTA_BASE!A:W, 8, FALSE), "DOCENTE / FACILITADOR"))</f>
        <v/>
      </c>
      <c r="G509" s="7" t="str">
        <f>IF(B509="","",IFERROR(VLOOKUP(B509, PLANTA_BASE!A:W, 9, FALSE), "GENERAL"))</f>
        <v/>
      </c>
      <c r="H509" s="5" t="str">
        <f>IF(B509="","",IFERROR(VLOOKUP(B509, PLANTA_BASE!A:W, 17, FALSE), "GENERAL"))</f>
        <v/>
      </c>
    </row>
    <row r="510" spans="1:8" ht="20.100000000000001" customHeight="1" x14ac:dyDescent="0.25">
      <c r="A510" s="2" t="str">
        <f>IF(B510="","",IFERROR(VLOOKUP(B510, PLANTA_BASE!A:W, 2, FALSE), "NO ENCONTRADO EN PLANTA"))</f>
        <v/>
      </c>
      <c r="B510" s="3"/>
      <c r="C510" s="4" t="str">
        <f>IF(B510="","",IFERROR(VLOOKUP(B510, PLANTA_BASE!A:W, 3, FALSE), ""))</f>
        <v/>
      </c>
      <c r="D510" s="2" t="str">
        <f>IF(B510="","",IFERROR(VLOOKUP(B510, PLANTA_BASE!A:W, 5, FALSE), "NO ENCONTRADO EN PLANTA"))</f>
        <v/>
      </c>
      <c r="E510" s="2" t="str">
        <f>IF(B510="","",IFERROR(VLOOKUP(B510, PLANTA_BASE!A:W, 6, FALSE), "NO ENCONTRADO EN PLANTA"))</f>
        <v/>
      </c>
      <c r="F510" s="4" t="str">
        <f>IF(B510="","",IFERROR(VLOOKUP(B510, PLANTA_BASE!A:W, 8, FALSE), "DOCENTE / FACILITADOR"))</f>
        <v/>
      </c>
      <c r="G510" s="4" t="str">
        <f>IF(B510="","",IFERROR(VLOOKUP(B510, PLANTA_BASE!A:W, 9, FALSE), "GENERAL"))</f>
        <v/>
      </c>
      <c r="H510" s="2" t="str">
        <f>IF(B510="","",IFERROR(VLOOKUP(B510, PLANTA_BASE!A:W, 17, FALSE), "GENERAL"))</f>
        <v/>
      </c>
    </row>
    <row r="511" spans="1:8" ht="20.100000000000001" customHeight="1" x14ac:dyDescent="0.25">
      <c r="A511" s="5" t="str">
        <f>IF(B511="","",IFERROR(VLOOKUP(B511, PLANTA_BASE!A:W, 2, FALSE), "NO ENCONTRADO EN PLANTA"))</f>
        <v/>
      </c>
      <c r="B511" s="6"/>
      <c r="C511" s="7" t="str">
        <f>IF(B511="","",IFERROR(VLOOKUP(B511, PLANTA_BASE!A:W, 3, FALSE), ""))</f>
        <v/>
      </c>
      <c r="D511" s="5" t="str">
        <f>IF(B511="","",IFERROR(VLOOKUP(B511, PLANTA_BASE!A:W, 5, FALSE), "NO ENCONTRADO EN PLANTA"))</f>
        <v/>
      </c>
      <c r="E511" s="5" t="str">
        <f>IF(B511="","",IFERROR(VLOOKUP(B511, PLANTA_BASE!A:W, 6, FALSE), "NO ENCONTRADO EN PLANTA"))</f>
        <v/>
      </c>
      <c r="F511" s="7" t="str">
        <f>IF(B511="","",IFERROR(VLOOKUP(B511, PLANTA_BASE!A:W, 8, FALSE), "DOCENTE / FACILITADOR"))</f>
        <v/>
      </c>
      <c r="G511" s="7" t="str">
        <f>IF(B511="","",IFERROR(VLOOKUP(B511, PLANTA_BASE!A:W, 9, FALSE), "GENERAL"))</f>
        <v/>
      </c>
      <c r="H511" s="5" t="str">
        <f>IF(B511="","",IFERROR(VLOOKUP(B511, PLANTA_BASE!A:W, 17, FALSE), "GENERAL"))</f>
        <v/>
      </c>
    </row>
    <row r="512" spans="1:8" ht="20.100000000000001" customHeight="1" x14ac:dyDescent="0.25">
      <c r="A512" s="2" t="str">
        <f>IF(B512="","",IFERROR(VLOOKUP(B512, PLANTA_BASE!A:W, 2, FALSE), "NO ENCONTRADO EN PLANTA"))</f>
        <v/>
      </c>
      <c r="B512" s="3"/>
      <c r="C512" s="4" t="str">
        <f>IF(B512="","",IFERROR(VLOOKUP(B512, PLANTA_BASE!A:W, 3, FALSE), ""))</f>
        <v/>
      </c>
      <c r="D512" s="2" t="str">
        <f>IF(B512="","",IFERROR(VLOOKUP(B512, PLANTA_BASE!A:W, 5, FALSE), "NO ENCONTRADO EN PLANTA"))</f>
        <v/>
      </c>
      <c r="E512" s="2" t="str">
        <f>IF(B512="","",IFERROR(VLOOKUP(B512, PLANTA_BASE!A:W, 6, FALSE), "NO ENCONTRADO EN PLANTA"))</f>
        <v/>
      </c>
      <c r="F512" s="4" t="str">
        <f>IF(B512="","",IFERROR(VLOOKUP(B512, PLANTA_BASE!A:W, 8, FALSE), "DOCENTE / FACILITADOR"))</f>
        <v/>
      </c>
      <c r="G512" s="4" t="str">
        <f>IF(B512="","",IFERROR(VLOOKUP(B512, PLANTA_BASE!A:W, 9, FALSE), "GENERAL"))</f>
        <v/>
      </c>
      <c r="H512" s="2" t="str">
        <f>IF(B512="","",IFERROR(VLOOKUP(B512, PLANTA_BASE!A:W, 17, FALSE), "GENERAL"))</f>
        <v/>
      </c>
    </row>
    <row r="513" spans="1:8" ht="20.100000000000001" customHeight="1" x14ac:dyDescent="0.25">
      <c r="A513" s="5" t="str">
        <f>IF(B513="","",IFERROR(VLOOKUP(B513, PLANTA_BASE!A:W, 2, FALSE), "NO ENCONTRADO EN PLANTA"))</f>
        <v/>
      </c>
      <c r="B513" s="6"/>
      <c r="C513" s="7" t="str">
        <f>IF(B513="","",IFERROR(VLOOKUP(B513, PLANTA_BASE!A:W, 3, FALSE), ""))</f>
        <v/>
      </c>
      <c r="D513" s="5" t="str">
        <f>IF(B513="","",IFERROR(VLOOKUP(B513, PLANTA_BASE!A:W, 5, FALSE), "NO ENCONTRADO EN PLANTA"))</f>
        <v/>
      </c>
      <c r="E513" s="5" t="str">
        <f>IF(B513="","",IFERROR(VLOOKUP(B513, PLANTA_BASE!A:W, 6, FALSE), "NO ENCONTRADO EN PLANTA"))</f>
        <v/>
      </c>
      <c r="F513" s="7" t="str">
        <f>IF(B513="","",IFERROR(VLOOKUP(B513, PLANTA_BASE!A:W, 8, FALSE), "DOCENTE / FACILITADOR"))</f>
        <v/>
      </c>
      <c r="G513" s="7" t="str">
        <f>IF(B513="","",IFERROR(VLOOKUP(B513, PLANTA_BASE!A:W, 9, FALSE), "GENERAL"))</f>
        <v/>
      </c>
      <c r="H513" s="5" t="str">
        <f>IF(B513="","",IFERROR(VLOOKUP(B513, PLANTA_BASE!A:W, 17, FALSE), "GENERAL"))</f>
        <v/>
      </c>
    </row>
    <row r="514" spans="1:8" ht="20.100000000000001" customHeight="1" x14ac:dyDescent="0.25">
      <c r="A514" s="2" t="str">
        <f>IF(B514="","",IFERROR(VLOOKUP(B514, PLANTA_BASE!A:W, 2, FALSE), "NO ENCONTRADO EN PLANTA"))</f>
        <v/>
      </c>
      <c r="B514" s="3"/>
      <c r="C514" s="4" t="str">
        <f>IF(B514="","",IFERROR(VLOOKUP(B514, PLANTA_BASE!A:W, 3, FALSE), ""))</f>
        <v/>
      </c>
      <c r="D514" s="2" t="str">
        <f>IF(B514="","",IFERROR(VLOOKUP(B514, PLANTA_BASE!A:W, 5, FALSE), "NO ENCONTRADO EN PLANTA"))</f>
        <v/>
      </c>
      <c r="E514" s="2" t="str">
        <f>IF(B514="","",IFERROR(VLOOKUP(B514, PLANTA_BASE!A:W, 6, FALSE), "NO ENCONTRADO EN PLANTA"))</f>
        <v/>
      </c>
      <c r="F514" s="4" t="str">
        <f>IF(B514="","",IFERROR(VLOOKUP(B514, PLANTA_BASE!A:W, 8, FALSE), "DOCENTE / FACILITADOR"))</f>
        <v/>
      </c>
      <c r="G514" s="4" t="str">
        <f>IF(B514="","",IFERROR(VLOOKUP(B514, PLANTA_BASE!A:W, 9, FALSE), "GENERAL"))</f>
        <v/>
      </c>
      <c r="H514" s="2" t="str">
        <f>IF(B514="","",IFERROR(VLOOKUP(B514, PLANTA_BASE!A:W, 17, FALSE), "GENERAL"))</f>
        <v/>
      </c>
    </row>
    <row r="515" spans="1:8" ht="20.100000000000001" customHeight="1" x14ac:dyDescent="0.25">
      <c r="A515" s="5" t="str">
        <f>IF(B515="","",IFERROR(VLOOKUP(B515, PLANTA_BASE!A:W, 2, FALSE), "NO ENCONTRADO EN PLANTA"))</f>
        <v/>
      </c>
      <c r="B515" s="6"/>
      <c r="C515" s="7" t="str">
        <f>IF(B515="","",IFERROR(VLOOKUP(B515, PLANTA_BASE!A:W, 3, FALSE), ""))</f>
        <v/>
      </c>
      <c r="D515" s="5" t="str">
        <f>IF(B515="","",IFERROR(VLOOKUP(B515, PLANTA_BASE!A:W, 5, FALSE), "NO ENCONTRADO EN PLANTA"))</f>
        <v/>
      </c>
      <c r="E515" s="5" t="str">
        <f>IF(B515="","",IFERROR(VLOOKUP(B515, PLANTA_BASE!A:W, 6, FALSE), "NO ENCONTRADO EN PLANTA"))</f>
        <v/>
      </c>
      <c r="F515" s="7" t="str">
        <f>IF(B515="","",IFERROR(VLOOKUP(B515, PLANTA_BASE!A:W, 8, FALSE), "DOCENTE / FACILITADOR"))</f>
        <v/>
      </c>
      <c r="G515" s="7" t="str">
        <f>IF(B515="","",IFERROR(VLOOKUP(B515, PLANTA_BASE!A:W, 9, FALSE), "GENERAL"))</f>
        <v/>
      </c>
      <c r="H515" s="5" t="str">
        <f>IF(B515="","",IFERROR(VLOOKUP(B515, PLANTA_BASE!A:W, 17, FALSE), "GENERAL"))</f>
        <v/>
      </c>
    </row>
    <row r="516" spans="1:8" ht="20.100000000000001" customHeight="1" x14ac:dyDescent="0.25">
      <c r="A516" s="2" t="str">
        <f>IF(B516="","",IFERROR(VLOOKUP(B516, PLANTA_BASE!A:W, 2, FALSE), "NO ENCONTRADO EN PLANTA"))</f>
        <v/>
      </c>
      <c r="B516" s="3"/>
      <c r="C516" s="4" t="str">
        <f>IF(B516="","",IFERROR(VLOOKUP(B516, PLANTA_BASE!A:W, 3, FALSE), ""))</f>
        <v/>
      </c>
      <c r="D516" s="2" t="str">
        <f>IF(B516="","",IFERROR(VLOOKUP(B516, PLANTA_BASE!A:W, 5, FALSE), "NO ENCONTRADO EN PLANTA"))</f>
        <v/>
      </c>
      <c r="E516" s="2" t="str">
        <f>IF(B516="","",IFERROR(VLOOKUP(B516, PLANTA_BASE!A:W, 6, FALSE), "NO ENCONTRADO EN PLANTA"))</f>
        <v/>
      </c>
      <c r="F516" s="4" t="str">
        <f>IF(B516="","",IFERROR(VLOOKUP(B516, PLANTA_BASE!A:W, 8, FALSE), "DOCENTE / FACILITADOR"))</f>
        <v/>
      </c>
      <c r="G516" s="4" t="str">
        <f>IF(B516="","",IFERROR(VLOOKUP(B516, PLANTA_BASE!A:W, 9, FALSE), "GENERAL"))</f>
        <v/>
      </c>
      <c r="H516" s="2" t="str">
        <f>IF(B516="","",IFERROR(VLOOKUP(B516, PLANTA_BASE!A:W, 17, FALSE), "GENERAL"))</f>
        <v/>
      </c>
    </row>
    <row r="517" spans="1:8" ht="20.100000000000001" customHeight="1" x14ac:dyDescent="0.25">
      <c r="A517" s="5" t="str">
        <f>IF(B517="","",IFERROR(VLOOKUP(B517, PLANTA_BASE!A:W, 2, FALSE), "NO ENCONTRADO EN PLANTA"))</f>
        <v/>
      </c>
      <c r="B517" s="6"/>
      <c r="C517" s="7" t="str">
        <f>IF(B517="","",IFERROR(VLOOKUP(B517, PLANTA_BASE!A:W, 3, FALSE), ""))</f>
        <v/>
      </c>
      <c r="D517" s="5" t="str">
        <f>IF(B517="","",IFERROR(VLOOKUP(B517, PLANTA_BASE!A:W, 5, FALSE), "NO ENCONTRADO EN PLANTA"))</f>
        <v/>
      </c>
      <c r="E517" s="5" t="str">
        <f>IF(B517="","",IFERROR(VLOOKUP(B517, PLANTA_BASE!A:W, 6, FALSE), "NO ENCONTRADO EN PLANTA"))</f>
        <v/>
      </c>
      <c r="F517" s="7" t="str">
        <f>IF(B517="","",IFERROR(VLOOKUP(B517, PLANTA_BASE!A:W, 8, FALSE), "DOCENTE / FACILITADOR"))</f>
        <v/>
      </c>
      <c r="G517" s="7" t="str">
        <f>IF(B517="","",IFERROR(VLOOKUP(B517, PLANTA_BASE!A:W, 9, FALSE), "GENERAL"))</f>
        <v/>
      </c>
      <c r="H517" s="5" t="str">
        <f>IF(B517="","",IFERROR(VLOOKUP(B517, PLANTA_BASE!A:W, 17, FALSE), "GENERAL"))</f>
        <v/>
      </c>
    </row>
    <row r="518" spans="1:8" ht="20.100000000000001" customHeight="1" x14ac:dyDescent="0.25">
      <c r="A518" s="2" t="str">
        <f>IF(B518="","",IFERROR(VLOOKUP(B518, PLANTA_BASE!A:W, 2, FALSE), "NO ENCONTRADO EN PLANTA"))</f>
        <v/>
      </c>
      <c r="B518" s="3"/>
      <c r="C518" s="4" t="str">
        <f>IF(B518="","",IFERROR(VLOOKUP(B518, PLANTA_BASE!A:W, 3, FALSE), ""))</f>
        <v/>
      </c>
      <c r="D518" s="2" t="str">
        <f>IF(B518="","",IFERROR(VLOOKUP(B518, PLANTA_BASE!A:W, 5, FALSE), "NO ENCONTRADO EN PLANTA"))</f>
        <v/>
      </c>
      <c r="E518" s="2" t="str">
        <f>IF(B518="","",IFERROR(VLOOKUP(B518, PLANTA_BASE!A:W, 6, FALSE), "NO ENCONTRADO EN PLANTA"))</f>
        <v/>
      </c>
      <c r="F518" s="4" t="str">
        <f>IF(B518="","",IFERROR(VLOOKUP(B518, PLANTA_BASE!A:W, 8, FALSE), "DOCENTE / FACILITADOR"))</f>
        <v/>
      </c>
      <c r="G518" s="4" t="str">
        <f>IF(B518="","",IFERROR(VLOOKUP(B518, PLANTA_BASE!A:W, 9, FALSE), "GENERAL"))</f>
        <v/>
      </c>
      <c r="H518" s="2" t="str">
        <f>IF(B518="","",IFERROR(VLOOKUP(B518, PLANTA_BASE!A:W, 17, FALSE), "GENERAL"))</f>
        <v/>
      </c>
    </row>
    <row r="519" spans="1:8" ht="20.100000000000001" customHeight="1" x14ac:dyDescent="0.25">
      <c r="A519" s="5" t="str">
        <f>IF(B519="","",IFERROR(VLOOKUP(B519, PLANTA_BASE!A:W, 2, FALSE), "NO ENCONTRADO EN PLANTA"))</f>
        <v/>
      </c>
      <c r="B519" s="6"/>
      <c r="C519" s="7" t="str">
        <f>IF(B519="","",IFERROR(VLOOKUP(B519, PLANTA_BASE!A:W, 3, FALSE), ""))</f>
        <v/>
      </c>
      <c r="D519" s="5" t="str">
        <f>IF(B519="","",IFERROR(VLOOKUP(B519, PLANTA_BASE!A:W, 5, FALSE), "NO ENCONTRADO EN PLANTA"))</f>
        <v/>
      </c>
      <c r="E519" s="5" t="str">
        <f>IF(B519="","",IFERROR(VLOOKUP(B519, PLANTA_BASE!A:W, 6, FALSE), "NO ENCONTRADO EN PLANTA"))</f>
        <v/>
      </c>
      <c r="F519" s="7" t="str">
        <f>IF(B519="","",IFERROR(VLOOKUP(B519, PLANTA_BASE!A:W, 8, FALSE), "DOCENTE / FACILITADOR"))</f>
        <v/>
      </c>
      <c r="G519" s="7" t="str">
        <f>IF(B519="","",IFERROR(VLOOKUP(B519, PLANTA_BASE!A:W, 9, FALSE), "GENERAL"))</f>
        <v/>
      </c>
      <c r="H519" s="5" t="str">
        <f>IF(B519="","",IFERROR(VLOOKUP(B519, PLANTA_BASE!A:W, 17, FALSE), "GENERAL"))</f>
        <v/>
      </c>
    </row>
    <row r="520" spans="1:8" ht="20.100000000000001" customHeight="1" x14ac:dyDescent="0.25">
      <c r="A520" s="2" t="str">
        <f>IF(B520="","",IFERROR(VLOOKUP(B520, PLANTA_BASE!A:W, 2, FALSE), "NO ENCONTRADO EN PLANTA"))</f>
        <v/>
      </c>
      <c r="B520" s="3"/>
      <c r="C520" s="4" t="str">
        <f>IF(B520="","",IFERROR(VLOOKUP(B520, PLANTA_BASE!A:W, 3, FALSE), ""))</f>
        <v/>
      </c>
      <c r="D520" s="2" t="str">
        <f>IF(B520="","",IFERROR(VLOOKUP(B520, PLANTA_BASE!A:W, 5, FALSE), "NO ENCONTRADO EN PLANTA"))</f>
        <v/>
      </c>
      <c r="E520" s="2" t="str">
        <f>IF(B520="","",IFERROR(VLOOKUP(B520, PLANTA_BASE!A:W, 6, FALSE), "NO ENCONTRADO EN PLANTA"))</f>
        <v/>
      </c>
      <c r="F520" s="4" t="str">
        <f>IF(B520="","",IFERROR(VLOOKUP(B520, PLANTA_BASE!A:W, 8, FALSE), "DOCENTE / FACILITADOR"))</f>
        <v/>
      </c>
      <c r="G520" s="4" t="str">
        <f>IF(B520="","",IFERROR(VLOOKUP(B520, PLANTA_BASE!A:W, 9, FALSE), "GENERAL"))</f>
        <v/>
      </c>
      <c r="H520" s="2" t="str">
        <f>IF(B520="","",IFERROR(VLOOKUP(B520, PLANTA_BASE!A:W, 17, FALSE), "GENERAL"))</f>
        <v/>
      </c>
    </row>
    <row r="521" spans="1:8" ht="20.100000000000001" customHeight="1" x14ac:dyDescent="0.25">
      <c r="A521" s="5" t="str">
        <f>IF(B521="","",IFERROR(VLOOKUP(B521, PLANTA_BASE!A:W, 2, FALSE), "NO ENCONTRADO EN PLANTA"))</f>
        <v/>
      </c>
      <c r="B521" s="6"/>
      <c r="C521" s="7" t="str">
        <f>IF(B521="","",IFERROR(VLOOKUP(B521, PLANTA_BASE!A:W, 3, FALSE), ""))</f>
        <v/>
      </c>
      <c r="D521" s="5" t="str">
        <f>IF(B521="","",IFERROR(VLOOKUP(B521, PLANTA_BASE!A:W, 5, FALSE), "NO ENCONTRADO EN PLANTA"))</f>
        <v/>
      </c>
      <c r="E521" s="5" t="str">
        <f>IF(B521="","",IFERROR(VLOOKUP(B521, PLANTA_BASE!A:W, 6, FALSE), "NO ENCONTRADO EN PLANTA"))</f>
        <v/>
      </c>
      <c r="F521" s="7" t="str">
        <f>IF(B521="","",IFERROR(VLOOKUP(B521, PLANTA_BASE!A:W, 8, FALSE), "DOCENTE / FACILITADOR"))</f>
        <v/>
      </c>
      <c r="G521" s="7" t="str">
        <f>IF(B521="","",IFERROR(VLOOKUP(B521, PLANTA_BASE!A:W, 9, FALSE), "GENERAL"))</f>
        <v/>
      </c>
      <c r="H521" s="5" t="str">
        <f>IF(B521="","",IFERROR(VLOOKUP(B521, PLANTA_BASE!A:W, 17, FALSE), "GENERAL"))</f>
        <v/>
      </c>
    </row>
    <row r="522" spans="1:8" ht="20.100000000000001" customHeight="1" x14ac:dyDescent="0.25">
      <c r="A522" s="2" t="str">
        <f>IF(B522="","",IFERROR(VLOOKUP(B522, PLANTA_BASE!A:W, 2, FALSE), "NO ENCONTRADO EN PLANTA"))</f>
        <v/>
      </c>
      <c r="B522" s="3"/>
      <c r="C522" s="4" t="str">
        <f>IF(B522="","",IFERROR(VLOOKUP(B522, PLANTA_BASE!A:W, 3, FALSE), ""))</f>
        <v/>
      </c>
      <c r="D522" s="2" t="str">
        <f>IF(B522="","",IFERROR(VLOOKUP(B522, PLANTA_BASE!A:W, 5, FALSE), "NO ENCONTRADO EN PLANTA"))</f>
        <v/>
      </c>
      <c r="E522" s="2" t="str">
        <f>IF(B522="","",IFERROR(VLOOKUP(B522, PLANTA_BASE!A:W, 6, FALSE), "NO ENCONTRADO EN PLANTA"))</f>
        <v/>
      </c>
      <c r="F522" s="4" t="str">
        <f>IF(B522="","",IFERROR(VLOOKUP(B522, PLANTA_BASE!A:W, 8, FALSE), "DOCENTE / FACILITADOR"))</f>
        <v/>
      </c>
      <c r="G522" s="4" t="str">
        <f>IF(B522="","",IFERROR(VLOOKUP(B522, PLANTA_BASE!A:W, 9, FALSE), "GENERAL"))</f>
        <v/>
      </c>
      <c r="H522" s="2" t="str">
        <f>IF(B522="","",IFERROR(VLOOKUP(B522, PLANTA_BASE!A:W, 17, FALSE), "GENERAL"))</f>
        <v/>
      </c>
    </row>
    <row r="523" spans="1:8" ht="20.100000000000001" customHeight="1" x14ac:dyDescent="0.25">
      <c r="A523" s="5" t="str">
        <f>IF(B523="","",IFERROR(VLOOKUP(B523, PLANTA_BASE!A:W, 2, FALSE), "NO ENCONTRADO EN PLANTA"))</f>
        <v/>
      </c>
      <c r="B523" s="6"/>
      <c r="C523" s="7" t="str">
        <f>IF(B523="","",IFERROR(VLOOKUP(B523, PLANTA_BASE!A:W, 3, FALSE), ""))</f>
        <v/>
      </c>
      <c r="D523" s="5" t="str">
        <f>IF(B523="","",IFERROR(VLOOKUP(B523, PLANTA_BASE!A:W, 5, FALSE), "NO ENCONTRADO EN PLANTA"))</f>
        <v/>
      </c>
      <c r="E523" s="5" t="str">
        <f>IF(B523="","",IFERROR(VLOOKUP(B523, PLANTA_BASE!A:W, 6, FALSE), "NO ENCONTRADO EN PLANTA"))</f>
        <v/>
      </c>
      <c r="F523" s="7" t="str">
        <f>IF(B523="","",IFERROR(VLOOKUP(B523, PLANTA_BASE!A:W, 8, FALSE), "DOCENTE / FACILITADOR"))</f>
        <v/>
      </c>
      <c r="G523" s="7" t="str">
        <f>IF(B523="","",IFERROR(VLOOKUP(B523, PLANTA_BASE!A:W, 9, FALSE), "GENERAL"))</f>
        <v/>
      </c>
      <c r="H523" s="5" t="str">
        <f>IF(B523="","",IFERROR(VLOOKUP(B523, PLANTA_BASE!A:W, 17, FALSE), "GENERAL"))</f>
        <v/>
      </c>
    </row>
    <row r="524" spans="1:8" ht="20.100000000000001" customHeight="1" x14ac:dyDescent="0.25">
      <c r="A524" s="2" t="str">
        <f>IF(B524="","",IFERROR(VLOOKUP(B524, PLANTA_BASE!A:W, 2, FALSE), "NO ENCONTRADO EN PLANTA"))</f>
        <v/>
      </c>
      <c r="B524" s="3"/>
      <c r="C524" s="4" t="str">
        <f>IF(B524="","",IFERROR(VLOOKUP(B524, PLANTA_BASE!A:W, 3, FALSE), ""))</f>
        <v/>
      </c>
      <c r="D524" s="2" t="str">
        <f>IF(B524="","",IFERROR(VLOOKUP(B524, PLANTA_BASE!A:W, 5, FALSE), "NO ENCONTRADO EN PLANTA"))</f>
        <v/>
      </c>
      <c r="E524" s="2" t="str">
        <f>IF(B524="","",IFERROR(VLOOKUP(B524, PLANTA_BASE!A:W, 6, FALSE), "NO ENCONTRADO EN PLANTA"))</f>
        <v/>
      </c>
      <c r="F524" s="4" t="str">
        <f>IF(B524="","",IFERROR(VLOOKUP(B524, PLANTA_BASE!A:W, 8, FALSE), "DOCENTE / FACILITADOR"))</f>
        <v/>
      </c>
      <c r="G524" s="4" t="str">
        <f>IF(B524="","",IFERROR(VLOOKUP(B524, PLANTA_BASE!A:W, 9, FALSE), "GENERAL"))</f>
        <v/>
      </c>
      <c r="H524" s="2" t="str">
        <f>IF(B524="","",IFERROR(VLOOKUP(B524, PLANTA_BASE!A:W, 17, FALSE), "GENERAL"))</f>
        <v/>
      </c>
    </row>
    <row r="525" spans="1:8" ht="20.100000000000001" customHeight="1" x14ac:dyDescent="0.25">
      <c r="A525" s="5" t="str">
        <f>IF(B525="","",IFERROR(VLOOKUP(B525, PLANTA_BASE!A:W, 2, FALSE), "NO ENCONTRADO EN PLANTA"))</f>
        <v/>
      </c>
      <c r="B525" s="6"/>
      <c r="C525" s="7" t="str">
        <f>IF(B525="","",IFERROR(VLOOKUP(B525, PLANTA_BASE!A:W, 3, FALSE), ""))</f>
        <v/>
      </c>
      <c r="D525" s="5" t="str">
        <f>IF(B525="","",IFERROR(VLOOKUP(B525, PLANTA_BASE!A:W, 5, FALSE), "NO ENCONTRADO EN PLANTA"))</f>
        <v/>
      </c>
      <c r="E525" s="5" t="str">
        <f>IF(B525="","",IFERROR(VLOOKUP(B525, PLANTA_BASE!A:W, 6, FALSE), "NO ENCONTRADO EN PLANTA"))</f>
        <v/>
      </c>
      <c r="F525" s="7" t="str">
        <f>IF(B525="","",IFERROR(VLOOKUP(B525, PLANTA_BASE!A:W, 8, FALSE), "DOCENTE / FACILITADOR"))</f>
        <v/>
      </c>
      <c r="G525" s="7" t="str">
        <f>IF(B525="","",IFERROR(VLOOKUP(B525, PLANTA_BASE!A:W, 9, FALSE), "GENERAL"))</f>
        <v/>
      </c>
      <c r="H525" s="5" t="str">
        <f>IF(B525="","",IFERROR(VLOOKUP(B525, PLANTA_BASE!A:W, 17, FALSE), "GENERAL"))</f>
        <v/>
      </c>
    </row>
    <row r="526" spans="1:8" ht="20.100000000000001" customHeight="1" x14ac:dyDescent="0.25">
      <c r="A526" s="2" t="str">
        <f>IF(B526="","",IFERROR(VLOOKUP(B526, PLANTA_BASE!A:W, 2, FALSE), "NO ENCONTRADO EN PLANTA"))</f>
        <v/>
      </c>
      <c r="B526" s="3"/>
      <c r="C526" s="4" t="str">
        <f>IF(B526="","",IFERROR(VLOOKUP(B526, PLANTA_BASE!A:W, 3, FALSE), ""))</f>
        <v/>
      </c>
      <c r="D526" s="2" t="str">
        <f>IF(B526="","",IFERROR(VLOOKUP(B526, PLANTA_BASE!A:W, 5, FALSE), "NO ENCONTRADO EN PLANTA"))</f>
        <v/>
      </c>
      <c r="E526" s="2" t="str">
        <f>IF(B526="","",IFERROR(VLOOKUP(B526, PLANTA_BASE!A:W, 6, FALSE), "NO ENCONTRADO EN PLANTA"))</f>
        <v/>
      </c>
      <c r="F526" s="4" t="str">
        <f>IF(B526="","",IFERROR(VLOOKUP(B526, PLANTA_BASE!A:W, 8, FALSE), "DOCENTE / FACILITADOR"))</f>
        <v/>
      </c>
      <c r="G526" s="4" t="str">
        <f>IF(B526="","",IFERROR(VLOOKUP(B526, PLANTA_BASE!A:W, 9, FALSE), "GENERAL"))</f>
        <v/>
      </c>
      <c r="H526" s="2" t="str">
        <f>IF(B526="","",IFERROR(VLOOKUP(B526, PLANTA_BASE!A:W, 17, FALSE), "GENERAL"))</f>
        <v/>
      </c>
    </row>
    <row r="527" spans="1:8" ht="20.100000000000001" customHeight="1" x14ac:dyDescent="0.25">
      <c r="A527" s="5" t="str">
        <f>IF(B527="","",IFERROR(VLOOKUP(B527, PLANTA_BASE!A:W, 2, FALSE), "NO ENCONTRADO EN PLANTA"))</f>
        <v/>
      </c>
      <c r="B527" s="6"/>
      <c r="C527" s="7" t="str">
        <f>IF(B527="","",IFERROR(VLOOKUP(B527, PLANTA_BASE!A:W, 3, FALSE), ""))</f>
        <v/>
      </c>
      <c r="D527" s="5" t="str">
        <f>IF(B527="","",IFERROR(VLOOKUP(B527, PLANTA_BASE!A:W, 5, FALSE), "NO ENCONTRADO EN PLANTA"))</f>
        <v/>
      </c>
      <c r="E527" s="5" t="str">
        <f>IF(B527="","",IFERROR(VLOOKUP(B527, PLANTA_BASE!A:W, 6, FALSE), "NO ENCONTRADO EN PLANTA"))</f>
        <v/>
      </c>
      <c r="F527" s="7" t="str">
        <f>IF(B527="","",IFERROR(VLOOKUP(B527, PLANTA_BASE!A:W, 8, FALSE), "DOCENTE / FACILITADOR"))</f>
        <v/>
      </c>
      <c r="G527" s="7" t="str">
        <f>IF(B527="","",IFERROR(VLOOKUP(B527, PLANTA_BASE!A:W, 9, FALSE), "GENERAL"))</f>
        <v/>
      </c>
      <c r="H527" s="5" t="str">
        <f>IF(B527="","",IFERROR(VLOOKUP(B527, PLANTA_BASE!A:W, 17, FALSE), "GENERAL"))</f>
        <v/>
      </c>
    </row>
    <row r="528" spans="1:8" ht="20.100000000000001" customHeight="1" x14ac:dyDescent="0.25">
      <c r="A528" s="2" t="str">
        <f>IF(B528="","",IFERROR(VLOOKUP(B528, PLANTA_BASE!A:W, 2, FALSE), "NO ENCONTRADO EN PLANTA"))</f>
        <v/>
      </c>
      <c r="B528" s="3"/>
      <c r="C528" s="4" t="str">
        <f>IF(B528="","",IFERROR(VLOOKUP(B528, PLANTA_BASE!A:W, 3, FALSE), ""))</f>
        <v/>
      </c>
      <c r="D528" s="2" t="str">
        <f>IF(B528="","",IFERROR(VLOOKUP(B528, PLANTA_BASE!A:W, 5, FALSE), "NO ENCONTRADO EN PLANTA"))</f>
        <v/>
      </c>
      <c r="E528" s="2" t="str">
        <f>IF(B528="","",IFERROR(VLOOKUP(B528, PLANTA_BASE!A:W, 6, FALSE), "NO ENCONTRADO EN PLANTA"))</f>
        <v/>
      </c>
      <c r="F528" s="4" t="str">
        <f>IF(B528="","",IFERROR(VLOOKUP(B528, PLANTA_BASE!A:W, 8, FALSE), "DOCENTE / FACILITADOR"))</f>
        <v/>
      </c>
      <c r="G528" s="4" t="str">
        <f>IF(B528="","",IFERROR(VLOOKUP(B528, PLANTA_BASE!A:W, 9, FALSE), "GENERAL"))</f>
        <v/>
      </c>
      <c r="H528" s="2" t="str">
        <f>IF(B528="","",IFERROR(VLOOKUP(B528, PLANTA_BASE!A:W, 17, FALSE), "GENERAL"))</f>
        <v/>
      </c>
    </row>
    <row r="529" spans="1:8" ht="20.100000000000001" customHeight="1" x14ac:dyDescent="0.25">
      <c r="A529" s="5" t="str">
        <f>IF(B529="","",IFERROR(VLOOKUP(B529, PLANTA_BASE!A:W, 2, FALSE), "NO ENCONTRADO EN PLANTA"))</f>
        <v/>
      </c>
      <c r="B529" s="6"/>
      <c r="C529" s="7" t="str">
        <f>IF(B529="","",IFERROR(VLOOKUP(B529, PLANTA_BASE!A:W, 3, FALSE), ""))</f>
        <v/>
      </c>
      <c r="D529" s="5" t="str">
        <f>IF(B529="","",IFERROR(VLOOKUP(B529, PLANTA_BASE!A:W, 5, FALSE), "NO ENCONTRADO EN PLANTA"))</f>
        <v/>
      </c>
      <c r="E529" s="5" t="str">
        <f>IF(B529="","",IFERROR(VLOOKUP(B529, PLANTA_BASE!A:W, 6, FALSE), "NO ENCONTRADO EN PLANTA"))</f>
        <v/>
      </c>
      <c r="F529" s="7" t="str">
        <f>IF(B529="","",IFERROR(VLOOKUP(B529, PLANTA_BASE!A:W, 8, FALSE), "DOCENTE / FACILITADOR"))</f>
        <v/>
      </c>
      <c r="G529" s="7" t="str">
        <f>IF(B529="","",IFERROR(VLOOKUP(B529, PLANTA_BASE!A:W, 9, FALSE), "GENERAL"))</f>
        <v/>
      </c>
      <c r="H529" s="5" t="str">
        <f>IF(B529="","",IFERROR(VLOOKUP(B529, PLANTA_BASE!A:W, 17, FALSE), "GENERAL"))</f>
        <v/>
      </c>
    </row>
    <row r="530" spans="1:8" ht="20.100000000000001" customHeight="1" x14ac:dyDescent="0.25">
      <c r="A530" s="2" t="str">
        <f>IF(B530="","",IFERROR(VLOOKUP(B530, PLANTA_BASE!A:W, 2, FALSE), "NO ENCONTRADO EN PLANTA"))</f>
        <v/>
      </c>
      <c r="B530" s="3"/>
      <c r="C530" s="4" t="str">
        <f>IF(B530="","",IFERROR(VLOOKUP(B530, PLANTA_BASE!A:W, 3, FALSE), ""))</f>
        <v/>
      </c>
      <c r="D530" s="2" t="str">
        <f>IF(B530="","",IFERROR(VLOOKUP(B530, PLANTA_BASE!A:W, 5, FALSE), "NO ENCONTRADO EN PLANTA"))</f>
        <v/>
      </c>
      <c r="E530" s="2" t="str">
        <f>IF(B530="","",IFERROR(VLOOKUP(B530, PLANTA_BASE!A:W, 6, FALSE), "NO ENCONTRADO EN PLANTA"))</f>
        <v/>
      </c>
      <c r="F530" s="4" t="str">
        <f>IF(B530="","",IFERROR(VLOOKUP(B530, PLANTA_BASE!A:W, 8, FALSE), "DOCENTE / FACILITADOR"))</f>
        <v/>
      </c>
      <c r="G530" s="4" t="str">
        <f>IF(B530="","",IFERROR(VLOOKUP(B530, PLANTA_BASE!A:W, 9, FALSE), "GENERAL"))</f>
        <v/>
      </c>
      <c r="H530" s="2" t="str">
        <f>IF(B530="","",IFERROR(VLOOKUP(B530, PLANTA_BASE!A:W, 17, FALSE), "GENERAL"))</f>
        <v/>
      </c>
    </row>
    <row r="531" spans="1:8" ht="20.100000000000001" customHeight="1" x14ac:dyDescent="0.25">
      <c r="A531" s="5" t="str">
        <f>IF(B531="","",IFERROR(VLOOKUP(B531, PLANTA_BASE!A:W, 2, FALSE), "NO ENCONTRADO EN PLANTA"))</f>
        <v/>
      </c>
      <c r="B531" s="6"/>
      <c r="C531" s="7" t="str">
        <f>IF(B531="","",IFERROR(VLOOKUP(B531, PLANTA_BASE!A:W, 3, FALSE), ""))</f>
        <v/>
      </c>
      <c r="D531" s="5" t="str">
        <f>IF(B531="","",IFERROR(VLOOKUP(B531, PLANTA_BASE!A:W, 5, FALSE), "NO ENCONTRADO EN PLANTA"))</f>
        <v/>
      </c>
      <c r="E531" s="5" t="str">
        <f>IF(B531="","",IFERROR(VLOOKUP(B531, PLANTA_BASE!A:W, 6, FALSE), "NO ENCONTRADO EN PLANTA"))</f>
        <v/>
      </c>
      <c r="F531" s="7" t="str">
        <f>IF(B531="","",IFERROR(VLOOKUP(B531, PLANTA_BASE!A:W, 8, FALSE), "DOCENTE / FACILITADOR"))</f>
        <v/>
      </c>
      <c r="G531" s="7" t="str">
        <f>IF(B531="","",IFERROR(VLOOKUP(B531, PLANTA_BASE!A:W, 9, FALSE), "GENERAL"))</f>
        <v/>
      </c>
      <c r="H531" s="5" t="str">
        <f>IF(B531="","",IFERROR(VLOOKUP(B531, PLANTA_BASE!A:W, 17, FALSE), "GENERAL"))</f>
        <v/>
      </c>
    </row>
    <row r="532" spans="1:8" ht="20.100000000000001" customHeight="1" x14ac:dyDescent="0.25">
      <c r="A532" s="2" t="str">
        <f>IF(B532="","",IFERROR(VLOOKUP(B532, PLANTA_BASE!A:W, 2, FALSE), "NO ENCONTRADO EN PLANTA"))</f>
        <v/>
      </c>
      <c r="B532" s="3"/>
      <c r="C532" s="4" t="str">
        <f>IF(B532="","",IFERROR(VLOOKUP(B532, PLANTA_BASE!A:W, 3, FALSE), ""))</f>
        <v/>
      </c>
      <c r="D532" s="2" t="str">
        <f>IF(B532="","",IFERROR(VLOOKUP(B532, PLANTA_BASE!A:W, 5, FALSE), "NO ENCONTRADO EN PLANTA"))</f>
        <v/>
      </c>
      <c r="E532" s="2" t="str">
        <f>IF(B532="","",IFERROR(VLOOKUP(B532, PLANTA_BASE!A:W, 6, FALSE), "NO ENCONTRADO EN PLANTA"))</f>
        <v/>
      </c>
      <c r="F532" s="4" t="str">
        <f>IF(B532="","",IFERROR(VLOOKUP(B532, PLANTA_BASE!A:W, 8, FALSE), "DOCENTE / FACILITADOR"))</f>
        <v/>
      </c>
      <c r="G532" s="4" t="str">
        <f>IF(B532="","",IFERROR(VLOOKUP(B532, PLANTA_BASE!A:W, 9, FALSE), "GENERAL"))</f>
        <v/>
      </c>
      <c r="H532" s="2" t="str">
        <f>IF(B532="","",IFERROR(VLOOKUP(B532, PLANTA_BASE!A:W, 17, FALSE), "GENERAL"))</f>
        <v/>
      </c>
    </row>
    <row r="533" spans="1:8" ht="20.100000000000001" customHeight="1" x14ac:dyDescent="0.25">
      <c r="A533" s="5" t="str">
        <f>IF(B533="","",IFERROR(VLOOKUP(B533, PLANTA_BASE!A:W, 2, FALSE), "NO ENCONTRADO EN PLANTA"))</f>
        <v/>
      </c>
      <c r="B533" s="6"/>
      <c r="C533" s="7" t="str">
        <f>IF(B533="","",IFERROR(VLOOKUP(B533, PLANTA_BASE!A:W, 3, FALSE), ""))</f>
        <v/>
      </c>
      <c r="D533" s="5" t="str">
        <f>IF(B533="","",IFERROR(VLOOKUP(B533, PLANTA_BASE!A:W, 5, FALSE), "NO ENCONTRADO EN PLANTA"))</f>
        <v/>
      </c>
      <c r="E533" s="5" t="str">
        <f>IF(B533="","",IFERROR(VLOOKUP(B533, PLANTA_BASE!A:W, 6, FALSE), "NO ENCONTRADO EN PLANTA"))</f>
        <v/>
      </c>
      <c r="F533" s="7" t="str">
        <f>IF(B533="","",IFERROR(VLOOKUP(B533, PLANTA_BASE!A:W, 8, FALSE), "DOCENTE / FACILITADOR"))</f>
        <v/>
      </c>
      <c r="G533" s="7" t="str">
        <f>IF(B533="","",IFERROR(VLOOKUP(B533, PLANTA_BASE!A:W, 9, FALSE), "GENERAL"))</f>
        <v/>
      </c>
      <c r="H533" s="5" t="str">
        <f>IF(B533="","",IFERROR(VLOOKUP(B533, PLANTA_BASE!A:W, 17, FALSE), "GENERAL"))</f>
        <v/>
      </c>
    </row>
    <row r="534" spans="1:8" ht="20.100000000000001" customHeight="1" x14ac:dyDescent="0.25">
      <c r="A534" s="2" t="str">
        <f>IF(B534="","",IFERROR(VLOOKUP(B534, PLANTA_BASE!A:W, 2, FALSE), "NO ENCONTRADO EN PLANTA"))</f>
        <v/>
      </c>
      <c r="B534" s="3"/>
      <c r="C534" s="4" t="str">
        <f>IF(B534="","",IFERROR(VLOOKUP(B534, PLANTA_BASE!A:W, 3, FALSE), ""))</f>
        <v/>
      </c>
      <c r="D534" s="2" t="str">
        <f>IF(B534="","",IFERROR(VLOOKUP(B534, PLANTA_BASE!A:W, 5, FALSE), "NO ENCONTRADO EN PLANTA"))</f>
        <v/>
      </c>
      <c r="E534" s="2" t="str">
        <f>IF(B534="","",IFERROR(VLOOKUP(B534, PLANTA_BASE!A:W, 6, FALSE), "NO ENCONTRADO EN PLANTA"))</f>
        <v/>
      </c>
      <c r="F534" s="4" t="str">
        <f>IF(B534="","",IFERROR(VLOOKUP(B534, PLANTA_BASE!A:W, 8, FALSE), "DOCENTE / FACILITADOR"))</f>
        <v/>
      </c>
      <c r="G534" s="4" t="str">
        <f>IF(B534="","",IFERROR(VLOOKUP(B534, PLANTA_BASE!A:W, 9, FALSE), "GENERAL"))</f>
        <v/>
      </c>
      <c r="H534" s="2" t="str">
        <f>IF(B534="","",IFERROR(VLOOKUP(B534, PLANTA_BASE!A:W, 17, FALSE), "GENERAL"))</f>
        <v/>
      </c>
    </row>
    <row r="535" spans="1:8" ht="20.100000000000001" customHeight="1" x14ac:dyDescent="0.25">
      <c r="A535" s="5" t="str">
        <f>IF(B535="","",IFERROR(VLOOKUP(B535, PLANTA_BASE!A:W, 2, FALSE), "NO ENCONTRADO EN PLANTA"))</f>
        <v/>
      </c>
      <c r="B535" s="6"/>
      <c r="C535" s="7" t="str">
        <f>IF(B535="","",IFERROR(VLOOKUP(B535, PLANTA_BASE!A:W, 3, FALSE), ""))</f>
        <v/>
      </c>
      <c r="D535" s="5" t="str">
        <f>IF(B535="","",IFERROR(VLOOKUP(B535, PLANTA_BASE!A:W, 5, FALSE), "NO ENCONTRADO EN PLANTA"))</f>
        <v/>
      </c>
      <c r="E535" s="5" t="str">
        <f>IF(B535="","",IFERROR(VLOOKUP(B535, PLANTA_BASE!A:W, 6, FALSE), "NO ENCONTRADO EN PLANTA"))</f>
        <v/>
      </c>
      <c r="F535" s="7" t="str">
        <f>IF(B535="","",IFERROR(VLOOKUP(B535, PLANTA_BASE!A:W, 8, FALSE), "DOCENTE / FACILITADOR"))</f>
        <v/>
      </c>
      <c r="G535" s="7" t="str">
        <f>IF(B535="","",IFERROR(VLOOKUP(B535, PLANTA_BASE!A:W, 9, FALSE), "GENERAL"))</f>
        <v/>
      </c>
      <c r="H535" s="5" t="str">
        <f>IF(B535="","",IFERROR(VLOOKUP(B535, PLANTA_BASE!A:W, 17, FALSE), "GENERAL"))</f>
        <v/>
      </c>
    </row>
    <row r="536" spans="1:8" ht="20.100000000000001" customHeight="1" x14ac:dyDescent="0.25">
      <c r="A536" s="2" t="str">
        <f>IF(B536="","",IFERROR(VLOOKUP(B536, PLANTA_BASE!A:W, 2, FALSE), "NO ENCONTRADO EN PLANTA"))</f>
        <v/>
      </c>
      <c r="B536" s="3"/>
      <c r="C536" s="4" t="str">
        <f>IF(B536="","",IFERROR(VLOOKUP(B536, PLANTA_BASE!A:W, 3, FALSE), ""))</f>
        <v/>
      </c>
      <c r="D536" s="2" t="str">
        <f>IF(B536="","",IFERROR(VLOOKUP(B536, PLANTA_BASE!A:W, 5, FALSE), "NO ENCONTRADO EN PLANTA"))</f>
        <v/>
      </c>
      <c r="E536" s="2" t="str">
        <f>IF(B536="","",IFERROR(VLOOKUP(B536, PLANTA_BASE!A:W, 6, FALSE), "NO ENCONTRADO EN PLANTA"))</f>
        <v/>
      </c>
      <c r="F536" s="4" t="str">
        <f>IF(B536="","",IFERROR(VLOOKUP(B536, PLANTA_BASE!A:W, 8, FALSE), "DOCENTE / FACILITADOR"))</f>
        <v/>
      </c>
      <c r="G536" s="4" t="str">
        <f>IF(B536="","",IFERROR(VLOOKUP(B536, PLANTA_BASE!A:W, 9, FALSE), "GENERAL"))</f>
        <v/>
      </c>
      <c r="H536" s="2" t="str">
        <f>IF(B536="","",IFERROR(VLOOKUP(B536, PLANTA_BASE!A:W, 17, FALSE), "GENERAL"))</f>
        <v/>
      </c>
    </row>
    <row r="537" spans="1:8" ht="20.100000000000001" customHeight="1" x14ac:dyDescent="0.25">
      <c r="A537" s="5" t="str">
        <f>IF(B537="","",IFERROR(VLOOKUP(B537, PLANTA_BASE!A:W, 2, FALSE), "NO ENCONTRADO EN PLANTA"))</f>
        <v/>
      </c>
      <c r="B537" s="6"/>
      <c r="C537" s="7" t="str">
        <f>IF(B537="","",IFERROR(VLOOKUP(B537, PLANTA_BASE!A:W, 3, FALSE), ""))</f>
        <v/>
      </c>
      <c r="D537" s="5" t="str">
        <f>IF(B537="","",IFERROR(VLOOKUP(B537, PLANTA_BASE!A:W, 5, FALSE), "NO ENCONTRADO EN PLANTA"))</f>
        <v/>
      </c>
      <c r="E537" s="5" t="str">
        <f>IF(B537="","",IFERROR(VLOOKUP(B537, PLANTA_BASE!A:W, 6, FALSE), "NO ENCONTRADO EN PLANTA"))</f>
        <v/>
      </c>
      <c r="F537" s="7" t="str">
        <f>IF(B537="","",IFERROR(VLOOKUP(B537, PLANTA_BASE!A:W, 8, FALSE), "DOCENTE / FACILITADOR"))</f>
        <v/>
      </c>
      <c r="G537" s="7" t="str">
        <f>IF(B537="","",IFERROR(VLOOKUP(B537, PLANTA_BASE!A:W, 9, FALSE), "GENERAL"))</f>
        <v/>
      </c>
      <c r="H537" s="5" t="str">
        <f>IF(B537="","",IFERROR(VLOOKUP(B537, PLANTA_BASE!A:W, 17, FALSE), "GENERAL"))</f>
        <v/>
      </c>
    </row>
    <row r="538" spans="1:8" ht="20.100000000000001" customHeight="1" x14ac:dyDescent="0.25">
      <c r="A538" s="2" t="str">
        <f>IF(B538="","",IFERROR(VLOOKUP(B538, PLANTA_BASE!A:W, 2, FALSE), "NO ENCONTRADO EN PLANTA"))</f>
        <v/>
      </c>
      <c r="B538" s="3"/>
      <c r="C538" s="4" t="str">
        <f>IF(B538="","",IFERROR(VLOOKUP(B538, PLANTA_BASE!A:W, 3, FALSE), ""))</f>
        <v/>
      </c>
      <c r="D538" s="2" t="str">
        <f>IF(B538="","",IFERROR(VLOOKUP(B538, PLANTA_BASE!A:W, 5, FALSE), "NO ENCONTRADO EN PLANTA"))</f>
        <v/>
      </c>
      <c r="E538" s="2" t="str">
        <f>IF(B538="","",IFERROR(VLOOKUP(B538, PLANTA_BASE!A:W, 6, FALSE), "NO ENCONTRADO EN PLANTA"))</f>
        <v/>
      </c>
      <c r="F538" s="4" t="str">
        <f>IF(B538="","",IFERROR(VLOOKUP(B538, PLANTA_BASE!A:W, 8, FALSE), "DOCENTE / FACILITADOR"))</f>
        <v/>
      </c>
      <c r="G538" s="4" t="str">
        <f>IF(B538="","",IFERROR(VLOOKUP(B538, PLANTA_BASE!A:W, 9, FALSE), "GENERAL"))</f>
        <v/>
      </c>
      <c r="H538" s="2" t="str">
        <f>IF(B538="","",IFERROR(VLOOKUP(B538, PLANTA_BASE!A:W, 17, FALSE), "GENERAL"))</f>
        <v/>
      </c>
    </row>
    <row r="539" spans="1:8" ht="20.100000000000001" customHeight="1" x14ac:dyDescent="0.25">
      <c r="A539" s="5" t="str">
        <f>IF(B539="","",IFERROR(VLOOKUP(B539, PLANTA_BASE!A:W, 2, FALSE), "NO ENCONTRADO EN PLANTA"))</f>
        <v/>
      </c>
      <c r="B539" s="6"/>
      <c r="C539" s="7" t="str">
        <f>IF(B539="","",IFERROR(VLOOKUP(B539, PLANTA_BASE!A:W, 3, FALSE), ""))</f>
        <v/>
      </c>
      <c r="D539" s="5" t="str">
        <f>IF(B539="","",IFERROR(VLOOKUP(B539, PLANTA_BASE!A:W, 5, FALSE), "NO ENCONTRADO EN PLANTA"))</f>
        <v/>
      </c>
      <c r="E539" s="5" t="str">
        <f>IF(B539="","",IFERROR(VLOOKUP(B539, PLANTA_BASE!A:W, 6, FALSE), "NO ENCONTRADO EN PLANTA"))</f>
        <v/>
      </c>
      <c r="F539" s="7" t="str">
        <f>IF(B539="","",IFERROR(VLOOKUP(B539, PLANTA_BASE!A:W, 8, FALSE), "DOCENTE / FACILITADOR"))</f>
        <v/>
      </c>
      <c r="G539" s="7" t="str">
        <f>IF(B539="","",IFERROR(VLOOKUP(B539, PLANTA_BASE!A:W, 9, FALSE), "GENERAL"))</f>
        <v/>
      </c>
      <c r="H539" s="5" t="str">
        <f>IF(B539="","",IFERROR(VLOOKUP(B539, PLANTA_BASE!A:W, 17, FALSE), "GENERAL"))</f>
        <v/>
      </c>
    </row>
    <row r="540" spans="1:8" ht="20.100000000000001" customHeight="1" x14ac:dyDescent="0.25">
      <c r="A540" s="2" t="str">
        <f>IF(B540="","",IFERROR(VLOOKUP(B540, PLANTA_BASE!A:W, 2, FALSE), "NO ENCONTRADO EN PLANTA"))</f>
        <v/>
      </c>
      <c r="B540" s="3"/>
      <c r="C540" s="4" t="str">
        <f>IF(B540="","",IFERROR(VLOOKUP(B540, PLANTA_BASE!A:W, 3, FALSE), ""))</f>
        <v/>
      </c>
      <c r="D540" s="2" t="str">
        <f>IF(B540="","",IFERROR(VLOOKUP(B540, PLANTA_BASE!A:W, 5, FALSE), "NO ENCONTRADO EN PLANTA"))</f>
        <v/>
      </c>
      <c r="E540" s="2" t="str">
        <f>IF(B540="","",IFERROR(VLOOKUP(B540, PLANTA_BASE!A:W, 6, FALSE), "NO ENCONTRADO EN PLANTA"))</f>
        <v/>
      </c>
      <c r="F540" s="4" t="str">
        <f>IF(B540="","",IFERROR(VLOOKUP(B540, PLANTA_BASE!A:W, 8, FALSE), "DOCENTE / FACILITADOR"))</f>
        <v/>
      </c>
      <c r="G540" s="4" t="str">
        <f>IF(B540="","",IFERROR(VLOOKUP(B540, PLANTA_BASE!A:W, 9, FALSE), "GENERAL"))</f>
        <v/>
      </c>
      <c r="H540" s="2" t="str">
        <f>IF(B540="","",IFERROR(VLOOKUP(B540, PLANTA_BASE!A:W, 17, FALSE), "GENERAL"))</f>
        <v/>
      </c>
    </row>
    <row r="541" spans="1:8" ht="20.100000000000001" customHeight="1" x14ac:dyDescent="0.25">
      <c r="A541" s="5" t="str">
        <f>IF(B541="","",IFERROR(VLOOKUP(B541, PLANTA_BASE!A:W, 2, FALSE), "NO ENCONTRADO EN PLANTA"))</f>
        <v/>
      </c>
      <c r="B541" s="6"/>
      <c r="C541" s="7" t="str">
        <f>IF(B541="","",IFERROR(VLOOKUP(B541, PLANTA_BASE!A:W, 3, FALSE), ""))</f>
        <v/>
      </c>
      <c r="D541" s="5" t="str">
        <f>IF(B541="","",IFERROR(VLOOKUP(B541, PLANTA_BASE!A:W, 5, FALSE), "NO ENCONTRADO EN PLANTA"))</f>
        <v/>
      </c>
      <c r="E541" s="5" t="str">
        <f>IF(B541="","",IFERROR(VLOOKUP(B541, PLANTA_BASE!A:W, 6, FALSE), "NO ENCONTRADO EN PLANTA"))</f>
        <v/>
      </c>
      <c r="F541" s="7" t="str">
        <f>IF(B541="","",IFERROR(VLOOKUP(B541, PLANTA_BASE!A:W, 8, FALSE), "DOCENTE / FACILITADOR"))</f>
        <v/>
      </c>
      <c r="G541" s="7" t="str">
        <f>IF(B541="","",IFERROR(VLOOKUP(B541, PLANTA_BASE!A:W, 9, FALSE), "GENERAL"))</f>
        <v/>
      </c>
      <c r="H541" s="5" t="str">
        <f>IF(B541="","",IFERROR(VLOOKUP(B541, PLANTA_BASE!A:W, 17, FALSE), "GENERAL"))</f>
        <v/>
      </c>
    </row>
    <row r="542" spans="1:8" ht="20.100000000000001" customHeight="1" x14ac:dyDescent="0.25">
      <c r="A542" s="2" t="str">
        <f>IF(B542="","",IFERROR(VLOOKUP(B542, PLANTA_BASE!A:W, 2, FALSE), "NO ENCONTRADO EN PLANTA"))</f>
        <v/>
      </c>
      <c r="B542" s="3"/>
      <c r="C542" s="4" t="str">
        <f>IF(B542="","",IFERROR(VLOOKUP(B542, PLANTA_BASE!A:W, 3, FALSE), ""))</f>
        <v/>
      </c>
      <c r="D542" s="2" t="str">
        <f>IF(B542="","",IFERROR(VLOOKUP(B542, PLANTA_BASE!A:W, 5, FALSE), "NO ENCONTRADO EN PLANTA"))</f>
        <v/>
      </c>
      <c r="E542" s="2" t="str">
        <f>IF(B542="","",IFERROR(VLOOKUP(B542, PLANTA_BASE!A:W, 6, FALSE), "NO ENCONTRADO EN PLANTA"))</f>
        <v/>
      </c>
      <c r="F542" s="4" t="str">
        <f>IF(B542="","",IFERROR(VLOOKUP(B542, PLANTA_BASE!A:W, 8, FALSE), "DOCENTE / FACILITADOR"))</f>
        <v/>
      </c>
      <c r="G542" s="4" t="str">
        <f>IF(B542="","",IFERROR(VLOOKUP(B542, PLANTA_BASE!A:W, 9, FALSE), "GENERAL"))</f>
        <v/>
      </c>
      <c r="H542" s="2" t="str">
        <f>IF(B542="","",IFERROR(VLOOKUP(B542, PLANTA_BASE!A:W, 17, FALSE), "GENERAL"))</f>
        <v/>
      </c>
    </row>
    <row r="543" spans="1:8" ht="20.100000000000001" customHeight="1" x14ac:dyDescent="0.25">
      <c r="A543" s="5" t="str">
        <f>IF(B543="","",IFERROR(VLOOKUP(B543, PLANTA_BASE!A:W, 2, FALSE), "NO ENCONTRADO EN PLANTA"))</f>
        <v/>
      </c>
      <c r="B543" s="6"/>
      <c r="C543" s="7" t="str">
        <f>IF(B543="","",IFERROR(VLOOKUP(B543, PLANTA_BASE!A:W, 3, FALSE), ""))</f>
        <v/>
      </c>
      <c r="D543" s="5" t="str">
        <f>IF(B543="","",IFERROR(VLOOKUP(B543, PLANTA_BASE!A:W, 5, FALSE), "NO ENCONTRADO EN PLANTA"))</f>
        <v/>
      </c>
      <c r="E543" s="5" t="str">
        <f>IF(B543="","",IFERROR(VLOOKUP(B543, PLANTA_BASE!A:W, 6, FALSE), "NO ENCONTRADO EN PLANTA"))</f>
        <v/>
      </c>
      <c r="F543" s="7" t="str">
        <f>IF(B543="","",IFERROR(VLOOKUP(B543, PLANTA_BASE!A:W, 8, FALSE), "DOCENTE / FACILITADOR"))</f>
        <v/>
      </c>
      <c r="G543" s="7" t="str">
        <f>IF(B543="","",IFERROR(VLOOKUP(B543, PLANTA_BASE!A:W, 9, FALSE), "GENERAL"))</f>
        <v/>
      </c>
      <c r="H543" s="5" t="str">
        <f>IF(B543="","",IFERROR(VLOOKUP(B543, PLANTA_BASE!A:W, 17, FALSE), "GENERAL"))</f>
        <v/>
      </c>
    </row>
    <row r="544" spans="1:8" ht="20.100000000000001" customHeight="1" x14ac:dyDescent="0.25">
      <c r="A544" s="2" t="str">
        <f>IF(B544="","",IFERROR(VLOOKUP(B544, PLANTA_BASE!A:W, 2, FALSE), "NO ENCONTRADO EN PLANTA"))</f>
        <v/>
      </c>
      <c r="B544" s="3"/>
      <c r="C544" s="4" t="str">
        <f>IF(B544="","",IFERROR(VLOOKUP(B544, PLANTA_BASE!A:W, 3, FALSE), ""))</f>
        <v/>
      </c>
      <c r="D544" s="2" t="str">
        <f>IF(B544="","",IFERROR(VLOOKUP(B544, PLANTA_BASE!A:W, 5, FALSE), "NO ENCONTRADO EN PLANTA"))</f>
        <v/>
      </c>
      <c r="E544" s="2" t="str">
        <f>IF(B544="","",IFERROR(VLOOKUP(B544, PLANTA_BASE!A:W, 6, FALSE), "NO ENCONTRADO EN PLANTA"))</f>
        <v/>
      </c>
      <c r="F544" s="4" t="str">
        <f>IF(B544="","",IFERROR(VLOOKUP(B544, PLANTA_BASE!A:W, 8, FALSE), "DOCENTE / FACILITADOR"))</f>
        <v/>
      </c>
      <c r="G544" s="4" t="str">
        <f>IF(B544="","",IFERROR(VLOOKUP(B544, PLANTA_BASE!A:W, 9, FALSE), "GENERAL"))</f>
        <v/>
      </c>
      <c r="H544" s="2" t="str">
        <f>IF(B544="","",IFERROR(VLOOKUP(B544, PLANTA_BASE!A:W, 17, FALSE), "GENERAL"))</f>
        <v/>
      </c>
    </row>
    <row r="545" spans="1:8" ht="20.100000000000001" customHeight="1" x14ac:dyDescent="0.25">
      <c r="A545" s="5" t="str">
        <f>IF(B545="","",IFERROR(VLOOKUP(B545, PLANTA_BASE!A:W, 2, FALSE), "NO ENCONTRADO EN PLANTA"))</f>
        <v/>
      </c>
      <c r="B545" s="6"/>
      <c r="C545" s="7" t="str">
        <f>IF(B545="","",IFERROR(VLOOKUP(B545, PLANTA_BASE!A:W, 3, FALSE), ""))</f>
        <v/>
      </c>
      <c r="D545" s="5" t="str">
        <f>IF(B545="","",IFERROR(VLOOKUP(B545, PLANTA_BASE!A:W, 5, FALSE), "NO ENCONTRADO EN PLANTA"))</f>
        <v/>
      </c>
      <c r="E545" s="5" t="str">
        <f>IF(B545="","",IFERROR(VLOOKUP(B545, PLANTA_BASE!A:W, 6, FALSE), "NO ENCONTRADO EN PLANTA"))</f>
        <v/>
      </c>
      <c r="F545" s="7" t="str">
        <f>IF(B545="","",IFERROR(VLOOKUP(B545, PLANTA_BASE!A:W, 8, FALSE), "DOCENTE / FACILITADOR"))</f>
        <v/>
      </c>
      <c r="G545" s="7" t="str">
        <f>IF(B545="","",IFERROR(VLOOKUP(B545, PLANTA_BASE!A:W, 9, FALSE), "GENERAL"))</f>
        <v/>
      </c>
      <c r="H545" s="5" t="str">
        <f>IF(B545="","",IFERROR(VLOOKUP(B545, PLANTA_BASE!A:W, 17, FALSE), "GENERAL"))</f>
        <v/>
      </c>
    </row>
    <row r="546" spans="1:8" ht="20.100000000000001" customHeight="1" x14ac:dyDescent="0.25">
      <c r="A546" s="2" t="str">
        <f>IF(B546="","",IFERROR(VLOOKUP(B546, PLANTA_BASE!A:W, 2, FALSE), "NO ENCONTRADO EN PLANTA"))</f>
        <v/>
      </c>
      <c r="B546" s="3"/>
      <c r="C546" s="4" t="str">
        <f>IF(B546="","",IFERROR(VLOOKUP(B546, PLANTA_BASE!A:W, 3, FALSE), ""))</f>
        <v/>
      </c>
      <c r="D546" s="2" t="str">
        <f>IF(B546="","",IFERROR(VLOOKUP(B546, PLANTA_BASE!A:W, 5, FALSE), "NO ENCONTRADO EN PLANTA"))</f>
        <v/>
      </c>
      <c r="E546" s="2" t="str">
        <f>IF(B546="","",IFERROR(VLOOKUP(B546, PLANTA_BASE!A:W, 6, FALSE), "NO ENCONTRADO EN PLANTA"))</f>
        <v/>
      </c>
      <c r="F546" s="4" t="str">
        <f>IF(B546="","",IFERROR(VLOOKUP(B546, PLANTA_BASE!A:W, 8, FALSE), "DOCENTE / FACILITADOR"))</f>
        <v/>
      </c>
      <c r="G546" s="4" t="str">
        <f>IF(B546="","",IFERROR(VLOOKUP(B546, PLANTA_BASE!A:W, 9, FALSE), "GENERAL"))</f>
        <v/>
      </c>
      <c r="H546" s="2" t="str">
        <f>IF(B546="","",IFERROR(VLOOKUP(B546, PLANTA_BASE!A:W, 17, FALSE), "GENERAL"))</f>
        <v/>
      </c>
    </row>
    <row r="547" spans="1:8" ht="20.100000000000001" customHeight="1" x14ac:dyDescent="0.25">
      <c r="A547" s="5" t="str">
        <f>IF(B547="","",IFERROR(VLOOKUP(B547, PLANTA_BASE!A:W, 2, FALSE), "NO ENCONTRADO EN PLANTA"))</f>
        <v/>
      </c>
      <c r="B547" s="6"/>
      <c r="C547" s="7" t="str">
        <f>IF(B547="","",IFERROR(VLOOKUP(B547, PLANTA_BASE!A:W, 3, FALSE), ""))</f>
        <v/>
      </c>
      <c r="D547" s="5" t="str">
        <f>IF(B547="","",IFERROR(VLOOKUP(B547, PLANTA_BASE!A:W, 5, FALSE), "NO ENCONTRADO EN PLANTA"))</f>
        <v/>
      </c>
      <c r="E547" s="5" t="str">
        <f>IF(B547="","",IFERROR(VLOOKUP(B547, PLANTA_BASE!A:W, 6, FALSE), "NO ENCONTRADO EN PLANTA"))</f>
        <v/>
      </c>
      <c r="F547" s="7" t="str">
        <f>IF(B547="","",IFERROR(VLOOKUP(B547, PLANTA_BASE!A:W, 8, FALSE), "DOCENTE / FACILITADOR"))</f>
        <v/>
      </c>
      <c r="G547" s="7" t="str">
        <f>IF(B547="","",IFERROR(VLOOKUP(B547, PLANTA_BASE!A:W, 9, FALSE), "GENERAL"))</f>
        <v/>
      </c>
      <c r="H547" s="5" t="str">
        <f>IF(B547="","",IFERROR(VLOOKUP(B547, PLANTA_BASE!A:W, 17, FALSE), "GENERAL"))</f>
        <v/>
      </c>
    </row>
    <row r="548" spans="1:8" ht="20.100000000000001" customHeight="1" x14ac:dyDescent="0.25">
      <c r="A548" s="2" t="str">
        <f>IF(B548="","",IFERROR(VLOOKUP(B548, PLANTA_BASE!A:W, 2, FALSE), "NO ENCONTRADO EN PLANTA"))</f>
        <v/>
      </c>
      <c r="B548" s="3"/>
      <c r="C548" s="4" t="str">
        <f>IF(B548="","",IFERROR(VLOOKUP(B548, PLANTA_BASE!A:W, 3, FALSE), ""))</f>
        <v/>
      </c>
      <c r="D548" s="2" t="str">
        <f>IF(B548="","",IFERROR(VLOOKUP(B548, PLANTA_BASE!A:W, 5, FALSE), "NO ENCONTRADO EN PLANTA"))</f>
        <v/>
      </c>
      <c r="E548" s="2" t="str">
        <f>IF(B548="","",IFERROR(VLOOKUP(B548, PLANTA_BASE!A:W, 6, FALSE), "NO ENCONTRADO EN PLANTA"))</f>
        <v/>
      </c>
      <c r="F548" s="4" t="str">
        <f>IF(B548="","",IFERROR(VLOOKUP(B548, PLANTA_BASE!A:W, 8, FALSE), "DOCENTE / FACILITADOR"))</f>
        <v/>
      </c>
      <c r="G548" s="4" t="str">
        <f>IF(B548="","",IFERROR(VLOOKUP(B548, PLANTA_BASE!A:W, 9, FALSE), "GENERAL"))</f>
        <v/>
      </c>
      <c r="H548" s="2" t="str">
        <f>IF(B548="","",IFERROR(VLOOKUP(B548, PLANTA_BASE!A:W, 17, FALSE), "GENERAL"))</f>
        <v/>
      </c>
    </row>
    <row r="549" spans="1:8" ht="20.100000000000001" customHeight="1" x14ac:dyDescent="0.25">
      <c r="A549" s="5" t="str">
        <f>IF(B549="","",IFERROR(VLOOKUP(B549, PLANTA_BASE!A:W, 2, FALSE), "NO ENCONTRADO EN PLANTA"))</f>
        <v/>
      </c>
      <c r="B549" s="6"/>
      <c r="C549" s="7" t="str">
        <f>IF(B549="","",IFERROR(VLOOKUP(B549, PLANTA_BASE!A:W, 3, FALSE), ""))</f>
        <v/>
      </c>
      <c r="D549" s="5" t="str">
        <f>IF(B549="","",IFERROR(VLOOKUP(B549, PLANTA_BASE!A:W, 5, FALSE), "NO ENCONTRADO EN PLANTA"))</f>
        <v/>
      </c>
      <c r="E549" s="5" t="str">
        <f>IF(B549="","",IFERROR(VLOOKUP(B549, PLANTA_BASE!A:W, 6, FALSE), "NO ENCONTRADO EN PLANTA"))</f>
        <v/>
      </c>
      <c r="F549" s="7" t="str">
        <f>IF(B549="","",IFERROR(VLOOKUP(B549, PLANTA_BASE!A:W, 8, FALSE), "DOCENTE / FACILITADOR"))</f>
        <v/>
      </c>
      <c r="G549" s="7" t="str">
        <f>IF(B549="","",IFERROR(VLOOKUP(B549, PLANTA_BASE!A:W, 9, FALSE), "GENERAL"))</f>
        <v/>
      </c>
      <c r="H549" s="5" t="str">
        <f>IF(B549="","",IFERROR(VLOOKUP(B549, PLANTA_BASE!A:W, 17, FALSE), "GENERAL"))</f>
        <v/>
      </c>
    </row>
    <row r="550" spans="1:8" ht="20.100000000000001" customHeight="1" x14ac:dyDescent="0.25">
      <c r="A550" s="2" t="str">
        <f>IF(B550="","",IFERROR(VLOOKUP(B550, PLANTA_BASE!A:W, 2, FALSE), "NO ENCONTRADO EN PLANTA"))</f>
        <v/>
      </c>
      <c r="B550" s="3"/>
      <c r="C550" s="4" t="str">
        <f>IF(B550="","",IFERROR(VLOOKUP(B550, PLANTA_BASE!A:W, 3, FALSE), ""))</f>
        <v/>
      </c>
      <c r="D550" s="2" t="str">
        <f>IF(B550="","",IFERROR(VLOOKUP(B550, PLANTA_BASE!A:W, 5, FALSE), "NO ENCONTRADO EN PLANTA"))</f>
        <v/>
      </c>
      <c r="E550" s="2" t="str">
        <f>IF(B550="","",IFERROR(VLOOKUP(B550, PLANTA_BASE!A:W, 6, FALSE), "NO ENCONTRADO EN PLANTA"))</f>
        <v/>
      </c>
      <c r="F550" s="4" t="str">
        <f>IF(B550="","",IFERROR(VLOOKUP(B550, PLANTA_BASE!A:W, 8, FALSE), "DOCENTE / FACILITADOR"))</f>
        <v/>
      </c>
      <c r="G550" s="4" t="str">
        <f>IF(B550="","",IFERROR(VLOOKUP(B550, PLANTA_BASE!A:W, 9, FALSE), "GENERAL"))</f>
        <v/>
      </c>
      <c r="H550" s="2" t="str">
        <f>IF(B550="","",IFERROR(VLOOKUP(B550, PLANTA_BASE!A:W, 17, FALSE), "GENERAL"))</f>
        <v/>
      </c>
    </row>
    <row r="551" spans="1:8" ht="20.100000000000001" customHeight="1" x14ac:dyDescent="0.25">
      <c r="A551" s="5" t="str">
        <f>IF(B551="","",IFERROR(VLOOKUP(B551, PLANTA_BASE!A:W, 2, FALSE), "NO ENCONTRADO EN PLANTA"))</f>
        <v/>
      </c>
      <c r="B551" s="6"/>
      <c r="C551" s="7" t="str">
        <f>IF(B551="","",IFERROR(VLOOKUP(B551, PLANTA_BASE!A:W, 3, FALSE), ""))</f>
        <v/>
      </c>
      <c r="D551" s="5" t="str">
        <f>IF(B551="","",IFERROR(VLOOKUP(B551, PLANTA_BASE!A:W, 5, FALSE), "NO ENCONTRADO EN PLANTA"))</f>
        <v/>
      </c>
      <c r="E551" s="5" t="str">
        <f>IF(B551="","",IFERROR(VLOOKUP(B551, PLANTA_BASE!A:W, 6, FALSE), "NO ENCONTRADO EN PLANTA"))</f>
        <v/>
      </c>
      <c r="F551" s="7" t="str">
        <f>IF(B551="","",IFERROR(VLOOKUP(B551, PLANTA_BASE!A:W, 8, FALSE), "DOCENTE / FACILITADOR"))</f>
        <v/>
      </c>
      <c r="G551" s="7" t="str">
        <f>IF(B551="","",IFERROR(VLOOKUP(B551, PLANTA_BASE!A:W, 9, FALSE), "GENERAL"))</f>
        <v/>
      </c>
      <c r="H551" s="5" t="str">
        <f>IF(B551="","",IFERROR(VLOOKUP(B551, PLANTA_BASE!A:W, 17, FALSE), "GENERAL"))</f>
        <v/>
      </c>
    </row>
    <row r="552" spans="1:8" ht="20.100000000000001" customHeight="1" x14ac:dyDescent="0.25">
      <c r="A552" s="2" t="str">
        <f>IF(B552="","",IFERROR(VLOOKUP(B552, PLANTA_BASE!A:W, 2, FALSE), "NO ENCONTRADO EN PLANTA"))</f>
        <v/>
      </c>
      <c r="B552" s="3"/>
      <c r="C552" s="4" t="str">
        <f>IF(B552="","",IFERROR(VLOOKUP(B552, PLANTA_BASE!A:W, 3, FALSE), ""))</f>
        <v/>
      </c>
      <c r="D552" s="2" t="str">
        <f>IF(B552="","",IFERROR(VLOOKUP(B552, PLANTA_BASE!A:W, 5, FALSE), "NO ENCONTRADO EN PLANTA"))</f>
        <v/>
      </c>
      <c r="E552" s="2" t="str">
        <f>IF(B552="","",IFERROR(VLOOKUP(B552, PLANTA_BASE!A:W, 6, FALSE), "NO ENCONTRADO EN PLANTA"))</f>
        <v/>
      </c>
      <c r="F552" s="4" t="str">
        <f>IF(B552="","",IFERROR(VLOOKUP(B552, PLANTA_BASE!A:W, 8, FALSE), "DOCENTE / FACILITADOR"))</f>
        <v/>
      </c>
      <c r="G552" s="4" t="str">
        <f>IF(B552="","",IFERROR(VLOOKUP(B552, PLANTA_BASE!A:W, 9, FALSE), "GENERAL"))</f>
        <v/>
      </c>
      <c r="H552" s="2" t="str">
        <f>IF(B552="","",IFERROR(VLOOKUP(B552, PLANTA_BASE!A:W, 17, FALSE), "GENERAL"))</f>
        <v/>
      </c>
    </row>
    <row r="553" spans="1:8" ht="20.100000000000001" customHeight="1" x14ac:dyDescent="0.25">
      <c r="A553" s="5" t="str">
        <f>IF(B553="","",IFERROR(VLOOKUP(B553, PLANTA_BASE!A:W, 2, FALSE), "NO ENCONTRADO EN PLANTA"))</f>
        <v/>
      </c>
      <c r="B553" s="6"/>
      <c r="C553" s="7" t="str">
        <f>IF(B553="","",IFERROR(VLOOKUP(B553, PLANTA_BASE!A:W, 3, FALSE), ""))</f>
        <v/>
      </c>
      <c r="D553" s="5" t="str">
        <f>IF(B553="","",IFERROR(VLOOKUP(B553, PLANTA_BASE!A:W, 5, FALSE), "NO ENCONTRADO EN PLANTA"))</f>
        <v/>
      </c>
      <c r="E553" s="5" t="str">
        <f>IF(B553="","",IFERROR(VLOOKUP(B553, PLANTA_BASE!A:W, 6, FALSE), "NO ENCONTRADO EN PLANTA"))</f>
        <v/>
      </c>
      <c r="F553" s="7" t="str">
        <f>IF(B553="","",IFERROR(VLOOKUP(B553, PLANTA_BASE!A:W, 8, FALSE), "DOCENTE / FACILITADOR"))</f>
        <v/>
      </c>
      <c r="G553" s="7" t="str">
        <f>IF(B553="","",IFERROR(VLOOKUP(B553, PLANTA_BASE!A:W, 9, FALSE), "GENERAL"))</f>
        <v/>
      </c>
      <c r="H553" s="5" t="str">
        <f>IF(B553="","",IFERROR(VLOOKUP(B553, PLANTA_BASE!A:W, 17, FALSE), "GENERAL"))</f>
        <v/>
      </c>
    </row>
    <row r="554" spans="1:8" ht="20.100000000000001" customHeight="1" x14ac:dyDescent="0.25">
      <c r="A554" s="2" t="str">
        <f>IF(B554="","",IFERROR(VLOOKUP(B554, PLANTA_BASE!A:W, 2, FALSE), "NO ENCONTRADO EN PLANTA"))</f>
        <v/>
      </c>
      <c r="B554" s="3"/>
      <c r="C554" s="4" t="str">
        <f>IF(B554="","",IFERROR(VLOOKUP(B554, PLANTA_BASE!A:W, 3, FALSE), ""))</f>
        <v/>
      </c>
      <c r="D554" s="2" t="str">
        <f>IF(B554="","",IFERROR(VLOOKUP(B554, PLANTA_BASE!A:W, 5, FALSE), "NO ENCONTRADO EN PLANTA"))</f>
        <v/>
      </c>
      <c r="E554" s="2" t="str">
        <f>IF(B554="","",IFERROR(VLOOKUP(B554, PLANTA_BASE!A:W, 6, FALSE), "NO ENCONTRADO EN PLANTA"))</f>
        <v/>
      </c>
      <c r="F554" s="4" t="str">
        <f>IF(B554="","",IFERROR(VLOOKUP(B554, PLANTA_BASE!A:W, 8, FALSE), "DOCENTE / FACILITADOR"))</f>
        <v/>
      </c>
      <c r="G554" s="4" t="str">
        <f>IF(B554="","",IFERROR(VLOOKUP(B554, PLANTA_BASE!A:W, 9, FALSE), "GENERAL"))</f>
        <v/>
      </c>
      <c r="H554" s="2" t="str">
        <f>IF(B554="","",IFERROR(VLOOKUP(B554, PLANTA_BASE!A:W, 17, FALSE), "GENERAL"))</f>
        <v/>
      </c>
    </row>
    <row r="555" spans="1:8" ht="20.100000000000001" customHeight="1" x14ac:dyDescent="0.25">
      <c r="A555" s="5" t="str">
        <f>IF(B555="","",IFERROR(VLOOKUP(B555, PLANTA_BASE!A:W, 2, FALSE), "NO ENCONTRADO EN PLANTA"))</f>
        <v/>
      </c>
      <c r="B555" s="6"/>
      <c r="C555" s="7" t="str">
        <f>IF(B555="","",IFERROR(VLOOKUP(B555, PLANTA_BASE!A:W, 3, FALSE), ""))</f>
        <v/>
      </c>
      <c r="D555" s="5" t="str">
        <f>IF(B555="","",IFERROR(VLOOKUP(B555, PLANTA_BASE!A:W, 5, FALSE), "NO ENCONTRADO EN PLANTA"))</f>
        <v/>
      </c>
      <c r="E555" s="5" t="str">
        <f>IF(B555="","",IFERROR(VLOOKUP(B555, PLANTA_BASE!A:W, 6, FALSE), "NO ENCONTRADO EN PLANTA"))</f>
        <v/>
      </c>
      <c r="F555" s="7" t="str">
        <f>IF(B555="","",IFERROR(VLOOKUP(B555, PLANTA_BASE!A:W, 8, FALSE), "DOCENTE / FACILITADOR"))</f>
        <v/>
      </c>
      <c r="G555" s="7" t="str">
        <f>IF(B555="","",IFERROR(VLOOKUP(B555, PLANTA_BASE!A:W, 9, FALSE), "GENERAL"))</f>
        <v/>
      </c>
      <c r="H555" s="5" t="str">
        <f>IF(B555="","",IFERROR(VLOOKUP(B555, PLANTA_BASE!A:W, 17, FALSE), "GENERAL"))</f>
        <v/>
      </c>
    </row>
    <row r="556" spans="1:8" ht="20.100000000000001" customHeight="1" x14ac:dyDescent="0.25">
      <c r="A556" s="2" t="str">
        <f>IF(B556="","",IFERROR(VLOOKUP(B556, PLANTA_BASE!A:W, 2, FALSE), "NO ENCONTRADO EN PLANTA"))</f>
        <v/>
      </c>
      <c r="B556" s="3"/>
      <c r="C556" s="4" t="str">
        <f>IF(B556="","",IFERROR(VLOOKUP(B556, PLANTA_BASE!A:W, 3, FALSE), ""))</f>
        <v/>
      </c>
      <c r="D556" s="2" t="str">
        <f>IF(B556="","",IFERROR(VLOOKUP(B556, PLANTA_BASE!A:W, 5, FALSE), "NO ENCONTRADO EN PLANTA"))</f>
        <v/>
      </c>
      <c r="E556" s="2" t="str">
        <f>IF(B556="","",IFERROR(VLOOKUP(B556, PLANTA_BASE!A:W, 6, FALSE), "NO ENCONTRADO EN PLANTA"))</f>
        <v/>
      </c>
      <c r="F556" s="4" t="str">
        <f>IF(B556="","",IFERROR(VLOOKUP(B556, PLANTA_BASE!A:W, 8, FALSE), "DOCENTE / FACILITADOR"))</f>
        <v/>
      </c>
      <c r="G556" s="4" t="str">
        <f>IF(B556="","",IFERROR(VLOOKUP(B556, PLANTA_BASE!A:W, 9, FALSE), "GENERAL"))</f>
        <v/>
      </c>
      <c r="H556" s="2" t="str">
        <f>IF(B556="","",IFERROR(VLOOKUP(B556, PLANTA_BASE!A:W, 17, FALSE), "GENERAL"))</f>
        <v/>
      </c>
    </row>
    <row r="557" spans="1:8" ht="20.100000000000001" customHeight="1" x14ac:dyDescent="0.25">
      <c r="A557" s="5" t="str">
        <f>IF(B557="","",IFERROR(VLOOKUP(B557, PLANTA_BASE!A:W, 2, FALSE), "NO ENCONTRADO EN PLANTA"))</f>
        <v/>
      </c>
      <c r="B557" s="6"/>
      <c r="C557" s="7" t="str">
        <f>IF(B557="","",IFERROR(VLOOKUP(B557, PLANTA_BASE!A:W, 3, FALSE), ""))</f>
        <v/>
      </c>
      <c r="D557" s="5" t="str">
        <f>IF(B557="","",IFERROR(VLOOKUP(B557, PLANTA_BASE!A:W, 5, FALSE), "NO ENCONTRADO EN PLANTA"))</f>
        <v/>
      </c>
      <c r="E557" s="5" t="str">
        <f>IF(B557="","",IFERROR(VLOOKUP(B557, PLANTA_BASE!A:W, 6, FALSE), "NO ENCONTRADO EN PLANTA"))</f>
        <v/>
      </c>
      <c r="F557" s="7" t="str">
        <f>IF(B557="","",IFERROR(VLOOKUP(B557, PLANTA_BASE!A:W, 8, FALSE), "DOCENTE / FACILITADOR"))</f>
        <v/>
      </c>
      <c r="G557" s="7" t="str">
        <f>IF(B557="","",IFERROR(VLOOKUP(B557, PLANTA_BASE!A:W, 9, FALSE), "GENERAL"))</f>
        <v/>
      </c>
      <c r="H557" s="5" t="str">
        <f>IF(B557="","",IFERROR(VLOOKUP(B557, PLANTA_BASE!A:W, 17, FALSE), "GENERAL"))</f>
        <v/>
      </c>
    </row>
    <row r="558" spans="1:8" ht="20.100000000000001" customHeight="1" x14ac:dyDescent="0.25">
      <c r="A558" s="2" t="str">
        <f>IF(B558="","",IFERROR(VLOOKUP(B558, PLANTA_BASE!A:W, 2, FALSE), "NO ENCONTRADO EN PLANTA"))</f>
        <v/>
      </c>
      <c r="B558" s="3"/>
      <c r="C558" s="4" t="str">
        <f>IF(B558="","",IFERROR(VLOOKUP(B558, PLANTA_BASE!A:W, 3, FALSE), ""))</f>
        <v/>
      </c>
      <c r="D558" s="2" t="str">
        <f>IF(B558="","",IFERROR(VLOOKUP(B558, PLANTA_BASE!A:W, 5, FALSE), "NO ENCONTRADO EN PLANTA"))</f>
        <v/>
      </c>
      <c r="E558" s="2" t="str">
        <f>IF(B558="","",IFERROR(VLOOKUP(B558, PLANTA_BASE!A:W, 6, FALSE), "NO ENCONTRADO EN PLANTA"))</f>
        <v/>
      </c>
      <c r="F558" s="4" t="str">
        <f>IF(B558="","",IFERROR(VLOOKUP(B558, PLANTA_BASE!A:W, 8, FALSE), "DOCENTE / FACILITADOR"))</f>
        <v/>
      </c>
      <c r="G558" s="4" t="str">
        <f>IF(B558="","",IFERROR(VLOOKUP(B558, PLANTA_BASE!A:W, 9, FALSE), "GENERAL"))</f>
        <v/>
      </c>
      <c r="H558" s="2" t="str">
        <f>IF(B558="","",IFERROR(VLOOKUP(B558, PLANTA_BASE!A:W, 17, FALSE), "GENERAL"))</f>
        <v/>
      </c>
    </row>
    <row r="559" spans="1:8" ht="20.100000000000001" customHeight="1" x14ac:dyDescent="0.25">
      <c r="A559" s="5" t="str">
        <f>IF(B559="","",IFERROR(VLOOKUP(B559, PLANTA_BASE!A:W, 2, FALSE), "NO ENCONTRADO EN PLANTA"))</f>
        <v/>
      </c>
      <c r="B559" s="6"/>
      <c r="C559" s="7" t="str">
        <f>IF(B559="","",IFERROR(VLOOKUP(B559, PLANTA_BASE!A:W, 3, FALSE), ""))</f>
        <v/>
      </c>
      <c r="D559" s="5" t="str">
        <f>IF(B559="","",IFERROR(VLOOKUP(B559, PLANTA_BASE!A:W, 5, FALSE), "NO ENCONTRADO EN PLANTA"))</f>
        <v/>
      </c>
      <c r="E559" s="5" t="str">
        <f>IF(B559="","",IFERROR(VLOOKUP(B559, PLANTA_BASE!A:W, 6, FALSE), "NO ENCONTRADO EN PLANTA"))</f>
        <v/>
      </c>
      <c r="F559" s="7" t="str">
        <f>IF(B559="","",IFERROR(VLOOKUP(B559, PLANTA_BASE!A:W, 8, FALSE), "DOCENTE / FACILITADOR"))</f>
        <v/>
      </c>
      <c r="G559" s="7" t="str">
        <f>IF(B559="","",IFERROR(VLOOKUP(B559, PLANTA_BASE!A:W, 9, FALSE), "GENERAL"))</f>
        <v/>
      </c>
      <c r="H559" s="5" t="str">
        <f>IF(B559="","",IFERROR(VLOOKUP(B559, PLANTA_BASE!A:W, 17, FALSE), "GENERAL"))</f>
        <v/>
      </c>
    </row>
    <row r="560" spans="1:8" ht="20.100000000000001" customHeight="1" x14ac:dyDescent="0.25">
      <c r="A560" s="2" t="str">
        <f>IF(B560="","",IFERROR(VLOOKUP(B560, PLANTA_BASE!A:W, 2, FALSE), "NO ENCONTRADO EN PLANTA"))</f>
        <v/>
      </c>
      <c r="B560" s="3"/>
      <c r="C560" s="4" t="str">
        <f>IF(B560="","",IFERROR(VLOOKUP(B560, PLANTA_BASE!A:W, 3, FALSE), ""))</f>
        <v/>
      </c>
      <c r="D560" s="2" t="str">
        <f>IF(B560="","",IFERROR(VLOOKUP(B560, PLANTA_BASE!A:W, 5, FALSE), "NO ENCONTRADO EN PLANTA"))</f>
        <v/>
      </c>
      <c r="E560" s="2" t="str">
        <f>IF(B560="","",IFERROR(VLOOKUP(B560, PLANTA_BASE!A:W, 6, FALSE), "NO ENCONTRADO EN PLANTA"))</f>
        <v/>
      </c>
      <c r="F560" s="4" t="str">
        <f>IF(B560="","",IFERROR(VLOOKUP(B560, PLANTA_BASE!A:W, 8, FALSE), "DOCENTE / FACILITADOR"))</f>
        <v/>
      </c>
      <c r="G560" s="4" t="str">
        <f>IF(B560="","",IFERROR(VLOOKUP(B560, PLANTA_BASE!A:W, 9, FALSE), "GENERAL"))</f>
        <v/>
      </c>
      <c r="H560" s="2" t="str">
        <f>IF(B560="","",IFERROR(VLOOKUP(B560, PLANTA_BASE!A:W, 17, FALSE), "GENERAL"))</f>
        <v/>
      </c>
    </row>
    <row r="561" spans="1:8" ht="20.100000000000001" customHeight="1" x14ac:dyDescent="0.25">
      <c r="A561" s="5" t="str">
        <f>IF(B561="","",IFERROR(VLOOKUP(B561, PLANTA_BASE!A:W, 2, FALSE), "NO ENCONTRADO EN PLANTA"))</f>
        <v/>
      </c>
      <c r="B561" s="6"/>
      <c r="C561" s="7" t="str">
        <f>IF(B561="","",IFERROR(VLOOKUP(B561, PLANTA_BASE!A:W, 3, FALSE), ""))</f>
        <v/>
      </c>
      <c r="D561" s="5" t="str">
        <f>IF(B561="","",IFERROR(VLOOKUP(B561, PLANTA_BASE!A:W, 5, FALSE), "NO ENCONTRADO EN PLANTA"))</f>
        <v/>
      </c>
      <c r="E561" s="5" t="str">
        <f>IF(B561="","",IFERROR(VLOOKUP(B561, PLANTA_BASE!A:W, 6, FALSE), "NO ENCONTRADO EN PLANTA"))</f>
        <v/>
      </c>
      <c r="F561" s="7" t="str">
        <f>IF(B561="","",IFERROR(VLOOKUP(B561, PLANTA_BASE!A:W, 8, FALSE), "DOCENTE / FACILITADOR"))</f>
        <v/>
      </c>
      <c r="G561" s="7" t="str">
        <f>IF(B561="","",IFERROR(VLOOKUP(B561, PLANTA_BASE!A:W, 9, FALSE), "GENERAL"))</f>
        <v/>
      </c>
      <c r="H561" s="5" t="str">
        <f>IF(B561="","",IFERROR(VLOOKUP(B561, PLANTA_BASE!A:W, 17, FALSE), "GENERAL"))</f>
        <v/>
      </c>
    </row>
    <row r="562" spans="1:8" ht="20.100000000000001" customHeight="1" x14ac:dyDescent="0.25">
      <c r="A562" s="2" t="str">
        <f>IF(B562="","",IFERROR(VLOOKUP(B562, PLANTA_BASE!A:W, 2, FALSE), "NO ENCONTRADO EN PLANTA"))</f>
        <v/>
      </c>
      <c r="B562" s="3"/>
      <c r="C562" s="4" t="str">
        <f>IF(B562="","",IFERROR(VLOOKUP(B562, PLANTA_BASE!A:W, 3, FALSE), ""))</f>
        <v/>
      </c>
      <c r="D562" s="2" t="str">
        <f>IF(B562="","",IFERROR(VLOOKUP(B562, PLANTA_BASE!A:W, 5, FALSE), "NO ENCONTRADO EN PLANTA"))</f>
        <v/>
      </c>
      <c r="E562" s="2" t="str">
        <f>IF(B562="","",IFERROR(VLOOKUP(B562, PLANTA_BASE!A:W, 6, FALSE), "NO ENCONTRADO EN PLANTA"))</f>
        <v/>
      </c>
      <c r="F562" s="4" t="str">
        <f>IF(B562="","",IFERROR(VLOOKUP(B562, PLANTA_BASE!A:W, 8, FALSE), "DOCENTE / FACILITADOR"))</f>
        <v/>
      </c>
      <c r="G562" s="4" t="str">
        <f>IF(B562="","",IFERROR(VLOOKUP(B562, PLANTA_BASE!A:W, 9, FALSE), "GENERAL"))</f>
        <v/>
      </c>
      <c r="H562" s="2" t="str">
        <f>IF(B562="","",IFERROR(VLOOKUP(B562, PLANTA_BASE!A:W, 17, FALSE), "GENERAL"))</f>
        <v/>
      </c>
    </row>
    <row r="563" spans="1:8" ht="20.100000000000001" customHeight="1" x14ac:dyDescent="0.25">
      <c r="A563" s="5" t="str">
        <f>IF(B563="","",IFERROR(VLOOKUP(B563, PLANTA_BASE!A:W, 2, FALSE), "NO ENCONTRADO EN PLANTA"))</f>
        <v/>
      </c>
      <c r="B563" s="6"/>
      <c r="C563" s="7" t="str">
        <f>IF(B563="","",IFERROR(VLOOKUP(B563, PLANTA_BASE!A:W, 3, FALSE), ""))</f>
        <v/>
      </c>
      <c r="D563" s="5" t="str">
        <f>IF(B563="","",IFERROR(VLOOKUP(B563, PLANTA_BASE!A:W, 5, FALSE), "NO ENCONTRADO EN PLANTA"))</f>
        <v/>
      </c>
      <c r="E563" s="5" t="str">
        <f>IF(B563="","",IFERROR(VLOOKUP(B563, PLANTA_BASE!A:W, 6, FALSE), "NO ENCONTRADO EN PLANTA"))</f>
        <v/>
      </c>
      <c r="F563" s="7" t="str">
        <f>IF(B563="","",IFERROR(VLOOKUP(B563, PLANTA_BASE!A:W, 8, FALSE), "DOCENTE / FACILITADOR"))</f>
        <v/>
      </c>
      <c r="G563" s="7" t="str">
        <f>IF(B563="","",IFERROR(VLOOKUP(B563, PLANTA_BASE!A:W, 9, FALSE), "GENERAL"))</f>
        <v/>
      </c>
      <c r="H563" s="5" t="str">
        <f>IF(B563="","",IFERROR(VLOOKUP(B563, PLANTA_BASE!A:W, 17, FALSE), "GENERAL"))</f>
        <v/>
      </c>
    </row>
    <row r="564" spans="1:8" ht="20.100000000000001" customHeight="1" x14ac:dyDescent="0.25">
      <c r="A564" s="2" t="str">
        <f>IF(B564="","",IFERROR(VLOOKUP(B564, PLANTA_BASE!A:W, 2, FALSE), "NO ENCONTRADO EN PLANTA"))</f>
        <v/>
      </c>
      <c r="B564" s="3"/>
      <c r="C564" s="4" t="str">
        <f>IF(B564="","",IFERROR(VLOOKUP(B564, PLANTA_BASE!A:W, 3, FALSE), ""))</f>
        <v/>
      </c>
      <c r="D564" s="2" t="str">
        <f>IF(B564="","",IFERROR(VLOOKUP(B564, PLANTA_BASE!A:W, 5, FALSE), "NO ENCONTRADO EN PLANTA"))</f>
        <v/>
      </c>
      <c r="E564" s="2" t="str">
        <f>IF(B564="","",IFERROR(VLOOKUP(B564, PLANTA_BASE!A:W, 6, FALSE), "NO ENCONTRADO EN PLANTA"))</f>
        <v/>
      </c>
      <c r="F564" s="4" t="str">
        <f>IF(B564="","",IFERROR(VLOOKUP(B564, PLANTA_BASE!A:W, 8, FALSE), "DOCENTE / FACILITADOR"))</f>
        <v/>
      </c>
      <c r="G564" s="4" t="str">
        <f>IF(B564="","",IFERROR(VLOOKUP(B564, PLANTA_BASE!A:W, 9, FALSE), "GENERAL"))</f>
        <v/>
      </c>
      <c r="H564" s="2" t="str">
        <f>IF(B564="","",IFERROR(VLOOKUP(B564, PLANTA_BASE!A:W, 17, FALSE), "GENERAL"))</f>
        <v/>
      </c>
    </row>
    <row r="565" spans="1:8" ht="20.100000000000001" customHeight="1" x14ac:dyDescent="0.25">
      <c r="A565" s="5" t="str">
        <f>IF(B565="","",IFERROR(VLOOKUP(B565, PLANTA_BASE!A:W, 2, FALSE), "NO ENCONTRADO EN PLANTA"))</f>
        <v/>
      </c>
      <c r="B565" s="6"/>
      <c r="C565" s="7" t="str">
        <f>IF(B565="","",IFERROR(VLOOKUP(B565, PLANTA_BASE!A:W, 3, FALSE), ""))</f>
        <v/>
      </c>
      <c r="D565" s="5" t="str">
        <f>IF(B565="","",IFERROR(VLOOKUP(B565, PLANTA_BASE!A:W, 5, FALSE), "NO ENCONTRADO EN PLANTA"))</f>
        <v/>
      </c>
      <c r="E565" s="5" t="str">
        <f>IF(B565="","",IFERROR(VLOOKUP(B565, PLANTA_BASE!A:W, 6, FALSE), "NO ENCONTRADO EN PLANTA"))</f>
        <v/>
      </c>
      <c r="F565" s="7" t="str">
        <f>IF(B565="","",IFERROR(VLOOKUP(B565, PLANTA_BASE!A:W, 8, FALSE), "DOCENTE / FACILITADOR"))</f>
        <v/>
      </c>
      <c r="G565" s="7" t="str">
        <f>IF(B565="","",IFERROR(VLOOKUP(B565, PLANTA_BASE!A:W, 9, FALSE), "GENERAL"))</f>
        <v/>
      </c>
      <c r="H565" s="5" t="str">
        <f>IF(B565="","",IFERROR(VLOOKUP(B565, PLANTA_BASE!A:W, 17, FALSE), "GENERAL"))</f>
        <v/>
      </c>
    </row>
    <row r="566" spans="1:8" ht="20.100000000000001" customHeight="1" x14ac:dyDescent="0.25">
      <c r="A566" s="2" t="str">
        <f>IF(B566="","",IFERROR(VLOOKUP(B566, PLANTA_BASE!A:W, 2, FALSE), "NO ENCONTRADO EN PLANTA"))</f>
        <v/>
      </c>
      <c r="B566" s="3"/>
      <c r="C566" s="4" t="str">
        <f>IF(B566="","",IFERROR(VLOOKUP(B566, PLANTA_BASE!A:W, 3, FALSE), ""))</f>
        <v/>
      </c>
      <c r="D566" s="2" t="str">
        <f>IF(B566="","",IFERROR(VLOOKUP(B566, PLANTA_BASE!A:W, 5, FALSE), "NO ENCONTRADO EN PLANTA"))</f>
        <v/>
      </c>
      <c r="E566" s="2" t="str">
        <f>IF(B566="","",IFERROR(VLOOKUP(B566, PLANTA_BASE!A:W, 6, FALSE), "NO ENCONTRADO EN PLANTA"))</f>
        <v/>
      </c>
      <c r="F566" s="4" t="str">
        <f>IF(B566="","",IFERROR(VLOOKUP(B566, PLANTA_BASE!A:W, 8, FALSE), "DOCENTE / FACILITADOR"))</f>
        <v/>
      </c>
      <c r="G566" s="4" t="str">
        <f>IF(B566="","",IFERROR(VLOOKUP(B566, PLANTA_BASE!A:W, 9, FALSE), "GENERAL"))</f>
        <v/>
      </c>
      <c r="H566" s="2" t="str">
        <f>IF(B566="","",IFERROR(VLOOKUP(B566, PLANTA_BASE!A:W, 17, FALSE), "GENERAL"))</f>
        <v/>
      </c>
    </row>
    <row r="567" spans="1:8" ht="20.100000000000001" customHeight="1" x14ac:dyDescent="0.25">
      <c r="A567" s="5" t="str">
        <f>IF(B567="","",IFERROR(VLOOKUP(B567, PLANTA_BASE!A:W, 2, FALSE), "NO ENCONTRADO EN PLANTA"))</f>
        <v/>
      </c>
      <c r="B567" s="6"/>
      <c r="C567" s="7" t="str">
        <f>IF(B567="","",IFERROR(VLOOKUP(B567, PLANTA_BASE!A:W, 3, FALSE), ""))</f>
        <v/>
      </c>
      <c r="D567" s="5" t="str">
        <f>IF(B567="","",IFERROR(VLOOKUP(B567, PLANTA_BASE!A:W, 5, FALSE), "NO ENCONTRADO EN PLANTA"))</f>
        <v/>
      </c>
      <c r="E567" s="5" t="str">
        <f>IF(B567="","",IFERROR(VLOOKUP(B567, PLANTA_BASE!A:W, 6, FALSE), "NO ENCONTRADO EN PLANTA"))</f>
        <v/>
      </c>
      <c r="F567" s="7" t="str">
        <f>IF(B567="","",IFERROR(VLOOKUP(B567, PLANTA_BASE!A:W, 8, FALSE), "DOCENTE / FACILITADOR"))</f>
        <v/>
      </c>
      <c r="G567" s="7" t="str">
        <f>IF(B567="","",IFERROR(VLOOKUP(B567, PLANTA_BASE!A:W, 9, FALSE), "GENERAL"))</f>
        <v/>
      </c>
      <c r="H567" s="5" t="str">
        <f>IF(B567="","",IFERROR(VLOOKUP(B567, PLANTA_BASE!A:W, 17, FALSE), "GENERAL"))</f>
        <v/>
      </c>
    </row>
    <row r="568" spans="1:8" ht="20.100000000000001" customHeight="1" x14ac:dyDescent="0.25">
      <c r="A568" s="2" t="str">
        <f>IF(B568="","",IFERROR(VLOOKUP(B568, PLANTA_BASE!A:W, 2, FALSE), "NO ENCONTRADO EN PLANTA"))</f>
        <v/>
      </c>
      <c r="B568" s="3"/>
      <c r="C568" s="4" t="str">
        <f>IF(B568="","",IFERROR(VLOOKUP(B568, PLANTA_BASE!A:W, 3, FALSE), ""))</f>
        <v/>
      </c>
      <c r="D568" s="2" t="str">
        <f>IF(B568="","",IFERROR(VLOOKUP(B568, PLANTA_BASE!A:W, 5, FALSE), "NO ENCONTRADO EN PLANTA"))</f>
        <v/>
      </c>
      <c r="E568" s="2" t="str">
        <f>IF(B568="","",IFERROR(VLOOKUP(B568, PLANTA_BASE!A:W, 6, FALSE), "NO ENCONTRADO EN PLANTA"))</f>
        <v/>
      </c>
      <c r="F568" s="4" t="str">
        <f>IF(B568="","",IFERROR(VLOOKUP(B568, PLANTA_BASE!A:W, 8, FALSE), "DOCENTE / FACILITADOR"))</f>
        <v/>
      </c>
      <c r="G568" s="4" t="str">
        <f>IF(B568="","",IFERROR(VLOOKUP(B568, PLANTA_BASE!A:W, 9, FALSE), "GENERAL"))</f>
        <v/>
      </c>
      <c r="H568" s="2" t="str">
        <f>IF(B568="","",IFERROR(VLOOKUP(B568, PLANTA_BASE!A:W, 17, FALSE), "GENERAL"))</f>
        <v/>
      </c>
    </row>
    <row r="569" spans="1:8" ht="20.100000000000001" customHeight="1" x14ac:dyDescent="0.25">
      <c r="A569" s="5" t="str">
        <f>IF(B569="","",IFERROR(VLOOKUP(B569, PLANTA_BASE!A:W, 2, FALSE), "NO ENCONTRADO EN PLANTA"))</f>
        <v/>
      </c>
      <c r="B569" s="6"/>
      <c r="C569" s="7" t="str">
        <f>IF(B569="","",IFERROR(VLOOKUP(B569, PLANTA_BASE!A:W, 3, FALSE), ""))</f>
        <v/>
      </c>
      <c r="D569" s="5" t="str">
        <f>IF(B569="","",IFERROR(VLOOKUP(B569, PLANTA_BASE!A:W, 5, FALSE), "NO ENCONTRADO EN PLANTA"))</f>
        <v/>
      </c>
      <c r="E569" s="5" t="str">
        <f>IF(B569="","",IFERROR(VLOOKUP(B569, PLANTA_BASE!A:W, 6, FALSE), "NO ENCONTRADO EN PLANTA"))</f>
        <v/>
      </c>
      <c r="F569" s="7" t="str">
        <f>IF(B569="","",IFERROR(VLOOKUP(B569, PLANTA_BASE!A:W, 8, FALSE), "DOCENTE / FACILITADOR"))</f>
        <v/>
      </c>
      <c r="G569" s="7" t="str">
        <f>IF(B569="","",IFERROR(VLOOKUP(B569, PLANTA_BASE!A:W, 9, FALSE), "GENERAL"))</f>
        <v/>
      </c>
      <c r="H569" s="5" t="str">
        <f>IF(B569="","",IFERROR(VLOOKUP(B569, PLANTA_BASE!A:W, 17, FALSE), "GENERAL"))</f>
        <v/>
      </c>
    </row>
    <row r="570" spans="1:8" ht="20.100000000000001" customHeight="1" x14ac:dyDescent="0.25">
      <c r="A570" s="2" t="str">
        <f>IF(B570="","",IFERROR(VLOOKUP(B570, PLANTA_BASE!A:W, 2, FALSE), "NO ENCONTRADO EN PLANTA"))</f>
        <v/>
      </c>
      <c r="B570" s="3"/>
      <c r="C570" s="4" t="str">
        <f>IF(B570="","",IFERROR(VLOOKUP(B570, PLANTA_BASE!A:W, 3, FALSE), ""))</f>
        <v/>
      </c>
      <c r="D570" s="2" t="str">
        <f>IF(B570="","",IFERROR(VLOOKUP(B570, PLANTA_BASE!A:W, 5, FALSE), "NO ENCONTRADO EN PLANTA"))</f>
        <v/>
      </c>
      <c r="E570" s="2" t="str">
        <f>IF(B570="","",IFERROR(VLOOKUP(B570, PLANTA_BASE!A:W, 6, FALSE), "NO ENCONTRADO EN PLANTA"))</f>
        <v/>
      </c>
      <c r="F570" s="4" t="str">
        <f>IF(B570="","",IFERROR(VLOOKUP(B570, PLANTA_BASE!A:W, 8, FALSE), "DOCENTE / FACILITADOR"))</f>
        <v/>
      </c>
      <c r="G570" s="4" t="str">
        <f>IF(B570="","",IFERROR(VLOOKUP(B570, PLANTA_BASE!A:W, 9, FALSE), "GENERAL"))</f>
        <v/>
      </c>
      <c r="H570" s="2" t="str">
        <f>IF(B570="","",IFERROR(VLOOKUP(B570, PLANTA_BASE!A:W, 17, FALSE), "GENERAL"))</f>
        <v/>
      </c>
    </row>
    <row r="571" spans="1:8" ht="20.100000000000001" customHeight="1" x14ac:dyDescent="0.25">
      <c r="A571" s="5" t="str">
        <f>IF(B571="","",IFERROR(VLOOKUP(B571, PLANTA_BASE!A:W, 2, FALSE), "NO ENCONTRADO EN PLANTA"))</f>
        <v/>
      </c>
      <c r="B571" s="6"/>
      <c r="C571" s="7" t="str">
        <f>IF(B571="","",IFERROR(VLOOKUP(B571, PLANTA_BASE!A:W, 3, FALSE), ""))</f>
        <v/>
      </c>
      <c r="D571" s="5" t="str">
        <f>IF(B571="","",IFERROR(VLOOKUP(B571, PLANTA_BASE!A:W, 5, FALSE), "NO ENCONTRADO EN PLANTA"))</f>
        <v/>
      </c>
      <c r="E571" s="5" t="str">
        <f>IF(B571="","",IFERROR(VLOOKUP(B571, PLANTA_BASE!A:W, 6, FALSE), "NO ENCONTRADO EN PLANTA"))</f>
        <v/>
      </c>
      <c r="F571" s="7" t="str">
        <f>IF(B571="","",IFERROR(VLOOKUP(B571, PLANTA_BASE!A:W, 8, FALSE), "DOCENTE / FACILITADOR"))</f>
        <v/>
      </c>
      <c r="G571" s="7" t="str">
        <f>IF(B571="","",IFERROR(VLOOKUP(B571, PLANTA_BASE!A:W, 9, FALSE), "GENERAL"))</f>
        <v/>
      </c>
      <c r="H571" s="5" t="str">
        <f>IF(B571="","",IFERROR(VLOOKUP(B571, PLANTA_BASE!A:W, 17, FALSE), "GENERAL"))</f>
        <v/>
      </c>
    </row>
    <row r="572" spans="1:8" ht="20.100000000000001" customHeight="1" x14ac:dyDescent="0.25">
      <c r="A572" s="2" t="str">
        <f>IF(B572="","",IFERROR(VLOOKUP(B572, PLANTA_BASE!A:W, 2, FALSE), "NO ENCONTRADO EN PLANTA"))</f>
        <v/>
      </c>
      <c r="B572" s="3"/>
      <c r="C572" s="4" t="str">
        <f>IF(B572="","",IFERROR(VLOOKUP(B572, PLANTA_BASE!A:W, 3, FALSE), ""))</f>
        <v/>
      </c>
      <c r="D572" s="2" t="str">
        <f>IF(B572="","",IFERROR(VLOOKUP(B572, PLANTA_BASE!A:W, 5, FALSE), "NO ENCONTRADO EN PLANTA"))</f>
        <v/>
      </c>
      <c r="E572" s="2" t="str">
        <f>IF(B572="","",IFERROR(VLOOKUP(B572, PLANTA_BASE!A:W, 6, FALSE), "NO ENCONTRADO EN PLANTA"))</f>
        <v/>
      </c>
      <c r="F572" s="4" t="str">
        <f>IF(B572="","",IFERROR(VLOOKUP(B572, PLANTA_BASE!A:W, 8, FALSE), "DOCENTE / FACILITADOR"))</f>
        <v/>
      </c>
      <c r="G572" s="4" t="str">
        <f>IF(B572="","",IFERROR(VLOOKUP(B572, PLANTA_BASE!A:W, 9, FALSE), "GENERAL"))</f>
        <v/>
      </c>
      <c r="H572" s="2" t="str">
        <f>IF(B572="","",IFERROR(VLOOKUP(B572, PLANTA_BASE!A:W, 17, FALSE), "GENERAL"))</f>
        <v/>
      </c>
    </row>
    <row r="573" spans="1:8" ht="20.100000000000001" customHeight="1" x14ac:dyDescent="0.25">
      <c r="A573" s="5" t="str">
        <f>IF(B573="","",IFERROR(VLOOKUP(B573, PLANTA_BASE!A:W, 2, FALSE), "NO ENCONTRADO EN PLANTA"))</f>
        <v/>
      </c>
      <c r="B573" s="6"/>
      <c r="C573" s="7" t="str">
        <f>IF(B573="","",IFERROR(VLOOKUP(B573, PLANTA_BASE!A:W, 3, FALSE), ""))</f>
        <v/>
      </c>
      <c r="D573" s="5" t="str">
        <f>IF(B573="","",IFERROR(VLOOKUP(B573, PLANTA_BASE!A:W, 5, FALSE), "NO ENCONTRADO EN PLANTA"))</f>
        <v/>
      </c>
      <c r="E573" s="5" t="str">
        <f>IF(B573="","",IFERROR(VLOOKUP(B573, PLANTA_BASE!A:W, 6, FALSE), "NO ENCONTRADO EN PLANTA"))</f>
        <v/>
      </c>
      <c r="F573" s="7" t="str">
        <f>IF(B573="","",IFERROR(VLOOKUP(B573, PLANTA_BASE!A:W, 8, FALSE), "DOCENTE / FACILITADOR"))</f>
        <v/>
      </c>
      <c r="G573" s="7" t="str">
        <f>IF(B573="","",IFERROR(VLOOKUP(B573, PLANTA_BASE!A:W, 9, FALSE), "GENERAL"))</f>
        <v/>
      </c>
      <c r="H573" s="5" t="str">
        <f>IF(B573="","",IFERROR(VLOOKUP(B573, PLANTA_BASE!A:W, 17, FALSE), "GENERAL"))</f>
        <v/>
      </c>
    </row>
    <row r="574" spans="1:8" ht="20.100000000000001" customHeight="1" x14ac:dyDescent="0.25">
      <c r="A574" s="2" t="str">
        <f>IF(B574="","",IFERROR(VLOOKUP(B574, PLANTA_BASE!A:W, 2, FALSE), "NO ENCONTRADO EN PLANTA"))</f>
        <v/>
      </c>
      <c r="B574" s="3"/>
      <c r="C574" s="4" t="str">
        <f>IF(B574="","",IFERROR(VLOOKUP(B574, PLANTA_BASE!A:W, 3, FALSE), ""))</f>
        <v/>
      </c>
      <c r="D574" s="2" t="str">
        <f>IF(B574="","",IFERROR(VLOOKUP(B574, PLANTA_BASE!A:W, 5, FALSE), "NO ENCONTRADO EN PLANTA"))</f>
        <v/>
      </c>
      <c r="E574" s="2" t="str">
        <f>IF(B574="","",IFERROR(VLOOKUP(B574, PLANTA_BASE!A:W, 6, FALSE), "NO ENCONTRADO EN PLANTA"))</f>
        <v/>
      </c>
      <c r="F574" s="4" t="str">
        <f>IF(B574="","",IFERROR(VLOOKUP(B574, PLANTA_BASE!A:W, 8, FALSE), "DOCENTE / FACILITADOR"))</f>
        <v/>
      </c>
      <c r="G574" s="4" t="str">
        <f>IF(B574="","",IFERROR(VLOOKUP(B574, PLANTA_BASE!A:W, 9, FALSE), "GENERAL"))</f>
        <v/>
      </c>
      <c r="H574" s="2" t="str">
        <f>IF(B574="","",IFERROR(VLOOKUP(B574, PLANTA_BASE!A:W, 17, FALSE), "GENERAL"))</f>
        <v/>
      </c>
    </row>
    <row r="575" spans="1:8" ht="20.100000000000001" customHeight="1" x14ac:dyDescent="0.25">
      <c r="A575" s="5" t="str">
        <f>IF(B575="","",IFERROR(VLOOKUP(B575, PLANTA_BASE!A:W, 2, FALSE), "NO ENCONTRADO EN PLANTA"))</f>
        <v/>
      </c>
      <c r="B575" s="6"/>
      <c r="C575" s="7" t="str">
        <f>IF(B575="","",IFERROR(VLOOKUP(B575, PLANTA_BASE!A:W, 3, FALSE), ""))</f>
        <v/>
      </c>
      <c r="D575" s="5" t="str">
        <f>IF(B575="","",IFERROR(VLOOKUP(B575, PLANTA_BASE!A:W, 5, FALSE), "NO ENCONTRADO EN PLANTA"))</f>
        <v/>
      </c>
      <c r="E575" s="5" t="str">
        <f>IF(B575="","",IFERROR(VLOOKUP(B575, PLANTA_BASE!A:W, 6, FALSE), "NO ENCONTRADO EN PLANTA"))</f>
        <v/>
      </c>
      <c r="F575" s="7" t="str">
        <f>IF(B575="","",IFERROR(VLOOKUP(B575, PLANTA_BASE!A:W, 8, FALSE), "DOCENTE / FACILITADOR"))</f>
        <v/>
      </c>
      <c r="G575" s="7" t="str">
        <f>IF(B575="","",IFERROR(VLOOKUP(B575, PLANTA_BASE!A:W, 9, FALSE), "GENERAL"))</f>
        <v/>
      </c>
      <c r="H575" s="5" t="str">
        <f>IF(B575="","",IFERROR(VLOOKUP(B575, PLANTA_BASE!A:W, 17, FALSE), "GENERAL"))</f>
        <v/>
      </c>
    </row>
    <row r="576" spans="1:8" ht="20.100000000000001" customHeight="1" x14ac:dyDescent="0.25">
      <c r="A576" s="2" t="str">
        <f>IF(B576="","",IFERROR(VLOOKUP(B576, PLANTA_BASE!A:W, 2, FALSE), "NO ENCONTRADO EN PLANTA"))</f>
        <v/>
      </c>
      <c r="B576" s="3"/>
      <c r="C576" s="4" t="str">
        <f>IF(B576="","",IFERROR(VLOOKUP(B576, PLANTA_BASE!A:W, 3, FALSE), ""))</f>
        <v/>
      </c>
      <c r="D576" s="2" t="str">
        <f>IF(B576="","",IFERROR(VLOOKUP(B576, PLANTA_BASE!A:W, 5, FALSE), "NO ENCONTRADO EN PLANTA"))</f>
        <v/>
      </c>
      <c r="E576" s="2" t="str">
        <f>IF(B576="","",IFERROR(VLOOKUP(B576, PLANTA_BASE!A:W, 6, FALSE), "NO ENCONTRADO EN PLANTA"))</f>
        <v/>
      </c>
      <c r="F576" s="4" t="str">
        <f>IF(B576="","",IFERROR(VLOOKUP(B576, PLANTA_BASE!A:W, 8, FALSE), "DOCENTE / FACILITADOR"))</f>
        <v/>
      </c>
      <c r="G576" s="4" t="str">
        <f>IF(B576="","",IFERROR(VLOOKUP(B576, PLANTA_BASE!A:W, 9, FALSE), "GENERAL"))</f>
        <v/>
      </c>
      <c r="H576" s="2" t="str">
        <f>IF(B576="","",IFERROR(VLOOKUP(B576, PLANTA_BASE!A:W, 17, FALSE), "GENERAL"))</f>
        <v/>
      </c>
    </row>
    <row r="577" spans="1:8" ht="20.100000000000001" customHeight="1" x14ac:dyDescent="0.25">
      <c r="A577" s="5" t="str">
        <f>IF(B577="","",IFERROR(VLOOKUP(B577, PLANTA_BASE!A:W, 2, FALSE), "NO ENCONTRADO EN PLANTA"))</f>
        <v/>
      </c>
      <c r="B577" s="6"/>
      <c r="C577" s="7" t="str">
        <f>IF(B577="","",IFERROR(VLOOKUP(B577, PLANTA_BASE!A:W, 3, FALSE), ""))</f>
        <v/>
      </c>
      <c r="D577" s="5" t="str">
        <f>IF(B577="","",IFERROR(VLOOKUP(B577, PLANTA_BASE!A:W, 5, FALSE), "NO ENCONTRADO EN PLANTA"))</f>
        <v/>
      </c>
      <c r="E577" s="5" t="str">
        <f>IF(B577="","",IFERROR(VLOOKUP(B577, PLANTA_BASE!A:W, 6, FALSE), "NO ENCONTRADO EN PLANTA"))</f>
        <v/>
      </c>
      <c r="F577" s="7" t="str">
        <f>IF(B577="","",IFERROR(VLOOKUP(B577, PLANTA_BASE!A:W, 8, FALSE), "DOCENTE / FACILITADOR"))</f>
        <v/>
      </c>
      <c r="G577" s="7" t="str">
        <f>IF(B577="","",IFERROR(VLOOKUP(B577, PLANTA_BASE!A:W, 9, FALSE), "GENERAL"))</f>
        <v/>
      </c>
      <c r="H577" s="5" t="str">
        <f>IF(B577="","",IFERROR(VLOOKUP(B577, PLANTA_BASE!A:W, 17, FALSE), "GENERAL"))</f>
        <v/>
      </c>
    </row>
    <row r="578" spans="1:8" ht="20.100000000000001" customHeight="1" x14ac:dyDescent="0.25">
      <c r="A578" s="2" t="str">
        <f>IF(B578="","",IFERROR(VLOOKUP(B578, PLANTA_BASE!A:W, 2, FALSE), "NO ENCONTRADO EN PLANTA"))</f>
        <v/>
      </c>
      <c r="B578" s="3"/>
      <c r="C578" s="4" t="str">
        <f>IF(B578="","",IFERROR(VLOOKUP(B578, PLANTA_BASE!A:W, 3, FALSE), ""))</f>
        <v/>
      </c>
      <c r="D578" s="2" t="str">
        <f>IF(B578="","",IFERROR(VLOOKUP(B578, PLANTA_BASE!A:W, 5, FALSE), "NO ENCONTRADO EN PLANTA"))</f>
        <v/>
      </c>
      <c r="E578" s="2" t="str">
        <f>IF(B578="","",IFERROR(VLOOKUP(B578, PLANTA_BASE!A:W, 6, FALSE), "NO ENCONTRADO EN PLANTA"))</f>
        <v/>
      </c>
      <c r="F578" s="4" t="str">
        <f>IF(B578="","",IFERROR(VLOOKUP(B578, PLANTA_BASE!A:W, 8, FALSE), "DOCENTE / FACILITADOR"))</f>
        <v/>
      </c>
      <c r="G578" s="4" t="str">
        <f>IF(B578="","",IFERROR(VLOOKUP(B578, PLANTA_BASE!A:W, 9, FALSE), "GENERAL"))</f>
        <v/>
      </c>
      <c r="H578" s="2" t="str">
        <f>IF(B578="","",IFERROR(VLOOKUP(B578, PLANTA_BASE!A:W, 17, FALSE), "GENERAL"))</f>
        <v/>
      </c>
    </row>
    <row r="579" spans="1:8" ht="20.100000000000001" customHeight="1" x14ac:dyDescent="0.25">
      <c r="A579" s="5" t="str">
        <f>IF(B579="","",IFERROR(VLOOKUP(B579, PLANTA_BASE!A:W, 2, FALSE), "NO ENCONTRADO EN PLANTA"))</f>
        <v/>
      </c>
      <c r="B579" s="6"/>
      <c r="C579" s="7" t="str">
        <f>IF(B579="","",IFERROR(VLOOKUP(B579, PLANTA_BASE!A:W, 3, FALSE), ""))</f>
        <v/>
      </c>
      <c r="D579" s="5" t="str">
        <f>IF(B579="","",IFERROR(VLOOKUP(B579, PLANTA_BASE!A:W, 5, FALSE), "NO ENCONTRADO EN PLANTA"))</f>
        <v/>
      </c>
      <c r="E579" s="5" t="str">
        <f>IF(B579="","",IFERROR(VLOOKUP(B579, PLANTA_BASE!A:W, 6, FALSE), "NO ENCONTRADO EN PLANTA"))</f>
        <v/>
      </c>
      <c r="F579" s="7" t="str">
        <f>IF(B579="","",IFERROR(VLOOKUP(B579, PLANTA_BASE!A:W, 8, FALSE), "DOCENTE / FACILITADOR"))</f>
        <v/>
      </c>
      <c r="G579" s="7" t="str">
        <f>IF(B579="","",IFERROR(VLOOKUP(B579, PLANTA_BASE!A:W, 9, FALSE), "GENERAL"))</f>
        <v/>
      </c>
      <c r="H579" s="5" t="str">
        <f>IF(B579="","",IFERROR(VLOOKUP(B579, PLANTA_BASE!A:W, 17, FALSE), "GENERAL"))</f>
        <v/>
      </c>
    </row>
    <row r="580" spans="1:8" ht="20.100000000000001" customHeight="1" x14ac:dyDescent="0.25">
      <c r="A580" s="2" t="str">
        <f>IF(B580="","",IFERROR(VLOOKUP(B580, PLANTA_BASE!A:W, 2, FALSE), "NO ENCONTRADO EN PLANTA"))</f>
        <v/>
      </c>
      <c r="B580" s="3"/>
      <c r="C580" s="4" t="str">
        <f>IF(B580="","",IFERROR(VLOOKUP(B580, PLANTA_BASE!A:W, 3, FALSE), ""))</f>
        <v/>
      </c>
      <c r="D580" s="2" t="str">
        <f>IF(B580="","",IFERROR(VLOOKUP(B580, PLANTA_BASE!A:W, 5, FALSE), "NO ENCONTRADO EN PLANTA"))</f>
        <v/>
      </c>
      <c r="E580" s="2" t="str">
        <f>IF(B580="","",IFERROR(VLOOKUP(B580, PLANTA_BASE!A:W, 6, FALSE), "NO ENCONTRADO EN PLANTA"))</f>
        <v/>
      </c>
      <c r="F580" s="4" t="str">
        <f>IF(B580="","",IFERROR(VLOOKUP(B580, PLANTA_BASE!A:W, 8, FALSE), "DOCENTE / FACILITADOR"))</f>
        <v/>
      </c>
      <c r="G580" s="4" t="str">
        <f>IF(B580="","",IFERROR(VLOOKUP(B580, PLANTA_BASE!A:W, 9, FALSE), "GENERAL"))</f>
        <v/>
      </c>
      <c r="H580" s="2" t="str">
        <f>IF(B580="","",IFERROR(VLOOKUP(B580, PLANTA_BASE!A:W, 17, FALSE), "GENERAL"))</f>
        <v/>
      </c>
    </row>
    <row r="581" spans="1:8" ht="20.100000000000001" customHeight="1" x14ac:dyDescent="0.25">
      <c r="A581" s="5" t="str">
        <f>IF(B581="","",IFERROR(VLOOKUP(B581, PLANTA_BASE!A:W, 2, FALSE), "NO ENCONTRADO EN PLANTA"))</f>
        <v/>
      </c>
      <c r="B581" s="6"/>
      <c r="C581" s="7" t="str">
        <f>IF(B581="","",IFERROR(VLOOKUP(B581, PLANTA_BASE!A:W, 3, FALSE), ""))</f>
        <v/>
      </c>
      <c r="D581" s="5" t="str">
        <f>IF(B581="","",IFERROR(VLOOKUP(B581, PLANTA_BASE!A:W, 5, FALSE), "NO ENCONTRADO EN PLANTA"))</f>
        <v/>
      </c>
      <c r="E581" s="5" t="str">
        <f>IF(B581="","",IFERROR(VLOOKUP(B581, PLANTA_BASE!A:W, 6, FALSE), "NO ENCONTRADO EN PLANTA"))</f>
        <v/>
      </c>
      <c r="F581" s="7" t="str">
        <f>IF(B581="","",IFERROR(VLOOKUP(B581, PLANTA_BASE!A:W, 8, FALSE), "DOCENTE / FACILITADOR"))</f>
        <v/>
      </c>
      <c r="G581" s="7" t="str">
        <f>IF(B581="","",IFERROR(VLOOKUP(B581, PLANTA_BASE!A:W, 9, FALSE), "GENERAL"))</f>
        <v/>
      </c>
      <c r="H581" s="5" t="str">
        <f>IF(B581="","",IFERROR(VLOOKUP(B581, PLANTA_BASE!A:W, 17, FALSE), "GENERAL"))</f>
        <v/>
      </c>
    </row>
    <row r="582" spans="1:8" ht="20.100000000000001" customHeight="1" x14ac:dyDescent="0.25">
      <c r="A582" s="2" t="str">
        <f>IF(B582="","",IFERROR(VLOOKUP(B582, PLANTA_BASE!A:W, 2, FALSE), "NO ENCONTRADO EN PLANTA"))</f>
        <v/>
      </c>
      <c r="B582" s="3"/>
      <c r="C582" s="4" t="str">
        <f>IF(B582="","",IFERROR(VLOOKUP(B582, PLANTA_BASE!A:W, 3, FALSE), ""))</f>
        <v/>
      </c>
      <c r="D582" s="2" t="str">
        <f>IF(B582="","",IFERROR(VLOOKUP(B582, PLANTA_BASE!A:W, 5, FALSE), "NO ENCONTRADO EN PLANTA"))</f>
        <v/>
      </c>
      <c r="E582" s="2" t="str">
        <f>IF(B582="","",IFERROR(VLOOKUP(B582, PLANTA_BASE!A:W, 6, FALSE), "NO ENCONTRADO EN PLANTA"))</f>
        <v/>
      </c>
      <c r="F582" s="4" t="str">
        <f>IF(B582="","",IFERROR(VLOOKUP(B582, PLANTA_BASE!A:W, 8, FALSE), "DOCENTE / FACILITADOR"))</f>
        <v/>
      </c>
      <c r="G582" s="4" t="str">
        <f>IF(B582="","",IFERROR(VLOOKUP(B582, PLANTA_BASE!A:W, 9, FALSE), "GENERAL"))</f>
        <v/>
      </c>
      <c r="H582" s="2" t="str">
        <f>IF(B582="","",IFERROR(VLOOKUP(B582, PLANTA_BASE!A:W, 17, FALSE), "GENERAL"))</f>
        <v/>
      </c>
    </row>
    <row r="583" spans="1:8" ht="20.100000000000001" customHeight="1" x14ac:dyDescent="0.25">
      <c r="A583" s="5" t="str">
        <f>IF(B583="","",IFERROR(VLOOKUP(B583, PLANTA_BASE!A:W, 2, FALSE), "NO ENCONTRADO EN PLANTA"))</f>
        <v/>
      </c>
      <c r="B583" s="6"/>
      <c r="C583" s="7" t="str">
        <f>IF(B583="","",IFERROR(VLOOKUP(B583, PLANTA_BASE!A:W, 3, FALSE), ""))</f>
        <v/>
      </c>
      <c r="D583" s="5" t="str">
        <f>IF(B583="","",IFERROR(VLOOKUP(B583, PLANTA_BASE!A:W, 5, FALSE), "NO ENCONTRADO EN PLANTA"))</f>
        <v/>
      </c>
      <c r="E583" s="5" t="str">
        <f>IF(B583="","",IFERROR(VLOOKUP(B583, PLANTA_BASE!A:W, 6, FALSE), "NO ENCONTRADO EN PLANTA"))</f>
        <v/>
      </c>
      <c r="F583" s="7" t="str">
        <f>IF(B583="","",IFERROR(VLOOKUP(B583, PLANTA_BASE!A:W, 8, FALSE), "DOCENTE / FACILITADOR"))</f>
        <v/>
      </c>
      <c r="G583" s="7" t="str">
        <f>IF(B583="","",IFERROR(VLOOKUP(B583, PLANTA_BASE!A:W, 9, FALSE), "GENERAL"))</f>
        <v/>
      </c>
      <c r="H583" s="5" t="str">
        <f>IF(B583="","",IFERROR(VLOOKUP(B583, PLANTA_BASE!A:W, 17, FALSE), "GENERAL"))</f>
        <v/>
      </c>
    </row>
    <row r="584" spans="1:8" ht="20.100000000000001" customHeight="1" x14ac:dyDescent="0.25">
      <c r="A584" s="2" t="str">
        <f>IF(B584="","",IFERROR(VLOOKUP(B584, PLANTA_BASE!A:W, 2, FALSE), "NO ENCONTRADO EN PLANTA"))</f>
        <v/>
      </c>
      <c r="B584" s="3"/>
      <c r="C584" s="4" t="str">
        <f>IF(B584="","",IFERROR(VLOOKUP(B584, PLANTA_BASE!A:W, 3, FALSE), ""))</f>
        <v/>
      </c>
      <c r="D584" s="2" t="str">
        <f>IF(B584="","",IFERROR(VLOOKUP(B584, PLANTA_BASE!A:W, 5, FALSE), "NO ENCONTRADO EN PLANTA"))</f>
        <v/>
      </c>
      <c r="E584" s="2" t="str">
        <f>IF(B584="","",IFERROR(VLOOKUP(B584, PLANTA_BASE!A:W, 6, FALSE), "NO ENCONTRADO EN PLANTA"))</f>
        <v/>
      </c>
      <c r="F584" s="4" t="str">
        <f>IF(B584="","",IFERROR(VLOOKUP(B584, PLANTA_BASE!A:W, 8, FALSE), "DOCENTE / FACILITADOR"))</f>
        <v/>
      </c>
      <c r="G584" s="4" t="str">
        <f>IF(B584="","",IFERROR(VLOOKUP(B584, PLANTA_BASE!A:W, 9, FALSE), "GENERAL"))</f>
        <v/>
      </c>
      <c r="H584" s="2" t="str">
        <f>IF(B584="","",IFERROR(VLOOKUP(B584, PLANTA_BASE!A:W, 17, FALSE), "GENERAL"))</f>
        <v/>
      </c>
    </row>
    <row r="585" spans="1:8" ht="20.100000000000001" customHeight="1" x14ac:dyDescent="0.25">
      <c r="A585" s="5" t="str">
        <f>IF(B585="","",IFERROR(VLOOKUP(B585, PLANTA_BASE!A:W, 2, FALSE), "NO ENCONTRADO EN PLANTA"))</f>
        <v/>
      </c>
      <c r="B585" s="6"/>
      <c r="C585" s="7" t="str">
        <f>IF(B585="","",IFERROR(VLOOKUP(B585, PLANTA_BASE!A:W, 3, FALSE), ""))</f>
        <v/>
      </c>
      <c r="D585" s="5" t="str">
        <f>IF(B585="","",IFERROR(VLOOKUP(B585, PLANTA_BASE!A:W, 5, FALSE), "NO ENCONTRADO EN PLANTA"))</f>
        <v/>
      </c>
      <c r="E585" s="5" t="str">
        <f>IF(B585="","",IFERROR(VLOOKUP(B585, PLANTA_BASE!A:W, 6, FALSE), "NO ENCONTRADO EN PLANTA"))</f>
        <v/>
      </c>
      <c r="F585" s="7" t="str">
        <f>IF(B585="","",IFERROR(VLOOKUP(B585, PLANTA_BASE!A:W, 8, FALSE), "DOCENTE / FACILITADOR"))</f>
        <v/>
      </c>
      <c r="G585" s="7" t="str">
        <f>IF(B585="","",IFERROR(VLOOKUP(B585, PLANTA_BASE!A:W, 9, FALSE), "GENERAL"))</f>
        <v/>
      </c>
      <c r="H585" s="5" t="str">
        <f>IF(B585="","",IFERROR(VLOOKUP(B585, PLANTA_BASE!A:W, 17, FALSE), "GENERAL"))</f>
        <v/>
      </c>
    </row>
    <row r="586" spans="1:8" ht="20.100000000000001" customHeight="1" x14ac:dyDescent="0.25">
      <c r="A586" s="2" t="str">
        <f>IF(B586="","",IFERROR(VLOOKUP(B586, PLANTA_BASE!A:W, 2, FALSE), "NO ENCONTRADO EN PLANTA"))</f>
        <v/>
      </c>
      <c r="B586" s="3"/>
      <c r="C586" s="4" t="str">
        <f>IF(B586="","",IFERROR(VLOOKUP(B586, PLANTA_BASE!A:W, 3, FALSE), ""))</f>
        <v/>
      </c>
      <c r="D586" s="2" t="str">
        <f>IF(B586="","",IFERROR(VLOOKUP(B586, PLANTA_BASE!A:W, 5, FALSE), "NO ENCONTRADO EN PLANTA"))</f>
        <v/>
      </c>
      <c r="E586" s="2" t="str">
        <f>IF(B586="","",IFERROR(VLOOKUP(B586, PLANTA_BASE!A:W, 6, FALSE), "NO ENCONTRADO EN PLANTA"))</f>
        <v/>
      </c>
      <c r="F586" s="4" t="str">
        <f>IF(B586="","",IFERROR(VLOOKUP(B586, PLANTA_BASE!A:W, 8, FALSE), "DOCENTE / FACILITADOR"))</f>
        <v/>
      </c>
      <c r="G586" s="4" t="str">
        <f>IF(B586="","",IFERROR(VLOOKUP(B586, PLANTA_BASE!A:W, 9, FALSE), "GENERAL"))</f>
        <v/>
      </c>
      <c r="H586" s="2" t="str">
        <f>IF(B586="","",IFERROR(VLOOKUP(B586, PLANTA_BASE!A:W, 17, FALSE), "GENERAL"))</f>
        <v/>
      </c>
    </row>
    <row r="587" spans="1:8" ht="20.100000000000001" customHeight="1" x14ac:dyDescent="0.25">
      <c r="A587" s="5" t="str">
        <f>IF(B587="","",IFERROR(VLOOKUP(B587, PLANTA_BASE!A:W, 2, FALSE), "NO ENCONTRADO EN PLANTA"))</f>
        <v/>
      </c>
      <c r="B587" s="6"/>
      <c r="C587" s="7" t="str">
        <f>IF(B587="","",IFERROR(VLOOKUP(B587, PLANTA_BASE!A:W, 3, FALSE), ""))</f>
        <v/>
      </c>
      <c r="D587" s="5" t="str">
        <f>IF(B587="","",IFERROR(VLOOKUP(B587, PLANTA_BASE!A:W, 5, FALSE), "NO ENCONTRADO EN PLANTA"))</f>
        <v/>
      </c>
      <c r="E587" s="5" t="str">
        <f>IF(B587="","",IFERROR(VLOOKUP(B587, PLANTA_BASE!A:W, 6, FALSE), "NO ENCONTRADO EN PLANTA"))</f>
        <v/>
      </c>
      <c r="F587" s="7" t="str">
        <f>IF(B587="","",IFERROR(VLOOKUP(B587, PLANTA_BASE!A:W, 8, FALSE), "DOCENTE / FACILITADOR"))</f>
        <v/>
      </c>
      <c r="G587" s="7" t="str">
        <f>IF(B587="","",IFERROR(VLOOKUP(B587, PLANTA_BASE!A:W, 9, FALSE), "GENERAL"))</f>
        <v/>
      </c>
      <c r="H587" s="5" t="str">
        <f>IF(B587="","",IFERROR(VLOOKUP(B587, PLANTA_BASE!A:W, 17, FALSE), "GENERAL"))</f>
        <v/>
      </c>
    </row>
    <row r="588" spans="1:8" ht="20.100000000000001" customHeight="1" x14ac:dyDescent="0.25">
      <c r="A588" s="2" t="str">
        <f>IF(B588="","",IFERROR(VLOOKUP(B588, PLANTA_BASE!A:W, 2, FALSE), "NO ENCONTRADO EN PLANTA"))</f>
        <v/>
      </c>
      <c r="B588" s="3"/>
      <c r="C588" s="4" t="str">
        <f>IF(B588="","",IFERROR(VLOOKUP(B588, PLANTA_BASE!A:W, 3, FALSE), ""))</f>
        <v/>
      </c>
      <c r="D588" s="2" t="str">
        <f>IF(B588="","",IFERROR(VLOOKUP(B588, PLANTA_BASE!A:W, 5, FALSE), "NO ENCONTRADO EN PLANTA"))</f>
        <v/>
      </c>
      <c r="E588" s="2" t="str">
        <f>IF(B588="","",IFERROR(VLOOKUP(B588, PLANTA_BASE!A:W, 6, FALSE), "NO ENCONTRADO EN PLANTA"))</f>
        <v/>
      </c>
      <c r="F588" s="4" t="str">
        <f>IF(B588="","",IFERROR(VLOOKUP(B588, PLANTA_BASE!A:W, 8, FALSE), "DOCENTE / FACILITADOR"))</f>
        <v/>
      </c>
      <c r="G588" s="4" t="str">
        <f>IF(B588="","",IFERROR(VLOOKUP(B588, PLANTA_BASE!A:W, 9, FALSE), "GENERAL"))</f>
        <v/>
      </c>
      <c r="H588" s="2" t="str">
        <f>IF(B588="","",IFERROR(VLOOKUP(B588, PLANTA_BASE!A:W, 17, FALSE), "GENERAL"))</f>
        <v/>
      </c>
    </row>
    <row r="589" spans="1:8" ht="20.100000000000001" customHeight="1" x14ac:dyDescent="0.25">
      <c r="A589" s="5" t="str">
        <f>IF(B589="","",IFERROR(VLOOKUP(B589, PLANTA_BASE!A:W, 2, FALSE), "NO ENCONTRADO EN PLANTA"))</f>
        <v/>
      </c>
      <c r="B589" s="6"/>
      <c r="C589" s="7" t="str">
        <f>IF(B589="","",IFERROR(VLOOKUP(B589, PLANTA_BASE!A:W, 3, FALSE), ""))</f>
        <v/>
      </c>
      <c r="D589" s="5" t="str">
        <f>IF(B589="","",IFERROR(VLOOKUP(B589, PLANTA_BASE!A:W, 5, FALSE), "NO ENCONTRADO EN PLANTA"))</f>
        <v/>
      </c>
      <c r="E589" s="5" t="str">
        <f>IF(B589="","",IFERROR(VLOOKUP(B589, PLANTA_BASE!A:W, 6, FALSE), "NO ENCONTRADO EN PLANTA"))</f>
        <v/>
      </c>
      <c r="F589" s="7" t="str">
        <f>IF(B589="","",IFERROR(VLOOKUP(B589, PLANTA_BASE!A:W, 8, FALSE), "DOCENTE / FACILITADOR"))</f>
        <v/>
      </c>
      <c r="G589" s="7" t="str">
        <f>IF(B589="","",IFERROR(VLOOKUP(B589, PLANTA_BASE!A:W, 9, FALSE), "GENERAL"))</f>
        <v/>
      </c>
      <c r="H589" s="5" t="str">
        <f>IF(B589="","",IFERROR(VLOOKUP(B589, PLANTA_BASE!A:W, 17, FALSE), "GENERAL"))</f>
        <v/>
      </c>
    </row>
    <row r="590" spans="1:8" ht="20.100000000000001" customHeight="1" x14ac:dyDescent="0.25">
      <c r="A590" s="2" t="str">
        <f>IF(B590="","",IFERROR(VLOOKUP(B590, PLANTA_BASE!A:W, 2, FALSE), "NO ENCONTRADO EN PLANTA"))</f>
        <v/>
      </c>
      <c r="B590" s="3"/>
      <c r="C590" s="4" t="str">
        <f>IF(B590="","",IFERROR(VLOOKUP(B590, PLANTA_BASE!A:W, 3, FALSE), ""))</f>
        <v/>
      </c>
      <c r="D590" s="2" t="str">
        <f>IF(B590="","",IFERROR(VLOOKUP(B590, PLANTA_BASE!A:W, 5, FALSE), "NO ENCONTRADO EN PLANTA"))</f>
        <v/>
      </c>
      <c r="E590" s="2" t="str">
        <f>IF(B590="","",IFERROR(VLOOKUP(B590, PLANTA_BASE!A:W, 6, FALSE), "NO ENCONTRADO EN PLANTA"))</f>
        <v/>
      </c>
      <c r="F590" s="4" t="str">
        <f>IF(B590="","",IFERROR(VLOOKUP(B590, PLANTA_BASE!A:W, 8, FALSE), "DOCENTE / FACILITADOR"))</f>
        <v/>
      </c>
      <c r="G590" s="4" t="str">
        <f>IF(B590="","",IFERROR(VLOOKUP(B590, PLANTA_BASE!A:W, 9, FALSE), "GENERAL"))</f>
        <v/>
      </c>
      <c r="H590" s="2" t="str">
        <f>IF(B590="","",IFERROR(VLOOKUP(B590, PLANTA_BASE!A:W, 17, FALSE), "GENERAL"))</f>
        <v/>
      </c>
    </row>
    <row r="591" spans="1:8" ht="20.100000000000001" customHeight="1" x14ac:dyDescent="0.25">
      <c r="A591" s="5" t="str">
        <f>IF(B591="","",IFERROR(VLOOKUP(B591, PLANTA_BASE!A:W, 2, FALSE), "NO ENCONTRADO EN PLANTA"))</f>
        <v/>
      </c>
      <c r="B591" s="6"/>
      <c r="C591" s="7" t="str">
        <f>IF(B591="","",IFERROR(VLOOKUP(B591, PLANTA_BASE!A:W, 3, FALSE), ""))</f>
        <v/>
      </c>
      <c r="D591" s="5" t="str">
        <f>IF(B591="","",IFERROR(VLOOKUP(B591, PLANTA_BASE!A:W, 5, FALSE), "NO ENCONTRADO EN PLANTA"))</f>
        <v/>
      </c>
      <c r="E591" s="5" t="str">
        <f>IF(B591="","",IFERROR(VLOOKUP(B591, PLANTA_BASE!A:W, 6, FALSE), "NO ENCONTRADO EN PLANTA"))</f>
        <v/>
      </c>
      <c r="F591" s="7" t="str">
        <f>IF(B591="","",IFERROR(VLOOKUP(B591, PLANTA_BASE!A:W, 8, FALSE), "DOCENTE / FACILITADOR"))</f>
        <v/>
      </c>
      <c r="G591" s="7" t="str">
        <f>IF(B591="","",IFERROR(VLOOKUP(B591, PLANTA_BASE!A:W, 9, FALSE), "GENERAL"))</f>
        <v/>
      </c>
      <c r="H591" s="5" t="str">
        <f>IF(B591="","",IFERROR(VLOOKUP(B591, PLANTA_BASE!A:W, 17, FALSE), "GENERAL"))</f>
        <v/>
      </c>
    </row>
    <row r="592" spans="1:8" ht="20.100000000000001" customHeight="1" x14ac:dyDescent="0.25">
      <c r="A592" s="2" t="str">
        <f>IF(B592="","",IFERROR(VLOOKUP(B592, PLANTA_BASE!A:W, 2, FALSE), "NO ENCONTRADO EN PLANTA"))</f>
        <v/>
      </c>
      <c r="B592" s="3"/>
      <c r="C592" s="4" t="str">
        <f>IF(B592="","",IFERROR(VLOOKUP(B592, PLANTA_BASE!A:W, 3, FALSE), ""))</f>
        <v/>
      </c>
      <c r="D592" s="2" t="str">
        <f>IF(B592="","",IFERROR(VLOOKUP(B592, PLANTA_BASE!A:W, 5, FALSE), "NO ENCONTRADO EN PLANTA"))</f>
        <v/>
      </c>
      <c r="E592" s="2" t="str">
        <f>IF(B592="","",IFERROR(VLOOKUP(B592, PLANTA_BASE!A:W, 6, FALSE), "NO ENCONTRADO EN PLANTA"))</f>
        <v/>
      </c>
      <c r="F592" s="4" t="str">
        <f>IF(B592="","",IFERROR(VLOOKUP(B592, PLANTA_BASE!A:W, 8, FALSE), "DOCENTE / FACILITADOR"))</f>
        <v/>
      </c>
      <c r="G592" s="4" t="str">
        <f>IF(B592="","",IFERROR(VLOOKUP(B592, PLANTA_BASE!A:W, 9, FALSE), "GENERAL"))</f>
        <v/>
      </c>
      <c r="H592" s="2" t="str">
        <f>IF(B592="","",IFERROR(VLOOKUP(B592, PLANTA_BASE!A:W, 17, FALSE), "GENERAL"))</f>
        <v/>
      </c>
    </row>
    <row r="593" spans="1:8" ht="20.100000000000001" customHeight="1" x14ac:dyDescent="0.25">
      <c r="A593" s="5" t="str">
        <f>IF(B593="","",IFERROR(VLOOKUP(B593, PLANTA_BASE!A:W, 2, FALSE), "NO ENCONTRADO EN PLANTA"))</f>
        <v/>
      </c>
      <c r="B593" s="6"/>
      <c r="C593" s="7" t="str">
        <f>IF(B593="","",IFERROR(VLOOKUP(B593, PLANTA_BASE!A:W, 3, FALSE), ""))</f>
        <v/>
      </c>
      <c r="D593" s="5" t="str">
        <f>IF(B593="","",IFERROR(VLOOKUP(B593, PLANTA_BASE!A:W, 5, FALSE), "NO ENCONTRADO EN PLANTA"))</f>
        <v/>
      </c>
      <c r="E593" s="5" t="str">
        <f>IF(B593="","",IFERROR(VLOOKUP(B593, PLANTA_BASE!A:W, 6, FALSE), "NO ENCONTRADO EN PLANTA"))</f>
        <v/>
      </c>
      <c r="F593" s="7" t="str">
        <f>IF(B593="","",IFERROR(VLOOKUP(B593, PLANTA_BASE!A:W, 8, FALSE), "DOCENTE / FACILITADOR"))</f>
        <v/>
      </c>
      <c r="G593" s="7" t="str">
        <f>IF(B593="","",IFERROR(VLOOKUP(B593, PLANTA_BASE!A:W, 9, FALSE), "GENERAL"))</f>
        <v/>
      </c>
      <c r="H593" s="5" t="str">
        <f>IF(B593="","",IFERROR(VLOOKUP(B593, PLANTA_BASE!A:W, 17, FALSE), "GENERAL"))</f>
        <v/>
      </c>
    </row>
    <row r="594" spans="1:8" ht="20.100000000000001" customHeight="1" x14ac:dyDescent="0.25">
      <c r="A594" s="2" t="str">
        <f>IF(B594="","",IFERROR(VLOOKUP(B594, PLANTA_BASE!A:W, 2, FALSE), "NO ENCONTRADO EN PLANTA"))</f>
        <v/>
      </c>
      <c r="B594" s="3"/>
      <c r="C594" s="4" t="str">
        <f>IF(B594="","",IFERROR(VLOOKUP(B594, PLANTA_BASE!A:W, 3, FALSE), ""))</f>
        <v/>
      </c>
      <c r="D594" s="2" t="str">
        <f>IF(B594="","",IFERROR(VLOOKUP(B594, PLANTA_BASE!A:W, 5, FALSE), "NO ENCONTRADO EN PLANTA"))</f>
        <v/>
      </c>
      <c r="E594" s="2" t="str">
        <f>IF(B594="","",IFERROR(VLOOKUP(B594, PLANTA_BASE!A:W, 6, FALSE), "NO ENCONTRADO EN PLANTA"))</f>
        <v/>
      </c>
      <c r="F594" s="4" t="str">
        <f>IF(B594="","",IFERROR(VLOOKUP(B594, PLANTA_BASE!A:W, 8, FALSE), "DOCENTE / FACILITADOR"))</f>
        <v/>
      </c>
      <c r="G594" s="4" t="str">
        <f>IF(B594="","",IFERROR(VLOOKUP(B594, PLANTA_BASE!A:W, 9, FALSE), "GENERAL"))</f>
        <v/>
      </c>
      <c r="H594" s="2" t="str">
        <f>IF(B594="","",IFERROR(VLOOKUP(B594, PLANTA_BASE!A:W, 17, FALSE), "GENERAL"))</f>
        <v/>
      </c>
    </row>
    <row r="595" spans="1:8" ht="20.100000000000001" customHeight="1" x14ac:dyDescent="0.25">
      <c r="A595" s="5" t="str">
        <f>IF(B595="","",IFERROR(VLOOKUP(B595, PLANTA_BASE!A:W, 2, FALSE), "NO ENCONTRADO EN PLANTA"))</f>
        <v/>
      </c>
      <c r="B595" s="6"/>
      <c r="C595" s="7" t="str">
        <f>IF(B595="","",IFERROR(VLOOKUP(B595, PLANTA_BASE!A:W, 3, FALSE), ""))</f>
        <v/>
      </c>
      <c r="D595" s="5" t="str">
        <f>IF(B595="","",IFERROR(VLOOKUP(B595, PLANTA_BASE!A:W, 5, FALSE), "NO ENCONTRADO EN PLANTA"))</f>
        <v/>
      </c>
      <c r="E595" s="5" t="str">
        <f>IF(B595="","",IFERROR(VLOOKUP(B595, PLANTA_BASE!A:W, 6, FALSE), "NO ENCONTRADO EN PLANTA"))</f>
        <v/>
      </c>
      <c r="F595" s="7" t="str">
        <f>IF(B595="","",IFERROR(VLOOKUP(B595, PLANTA_BASE!A:W, 8, FALSE), "DOCENTE / FACILITADOR"))</f>
        <v/>
      </c>
      <c r="G595" s="7" t="str">
        <f>IF(B595="","",IFERROR(VLOOKUP(B595, PLANTA_BASE!A:W, 9, FALSE), "GENERAL"))</f>
        <v/>
      </c>
      <c r="H595" s="5" t="str">
        <f>IF(B595="","",IFERROR(VLOOKUP(B595, PLANTA_BASE!A:W, 17, FALSE), "GENERAL"))</f>
        <v/>
      </c>
    </row>
    <row r="596" spans="1:8" ht="20.100000000000001" customHeight="1" x14ac:dyDescent="0.25">
      <c r="A596" s="2" t="str">
        <f>IF(B596="","",IFERROR(VLOOKUP(B596, PLANTA_BASE!A:W, 2, FALSE), "NO ENCONTRADO EN PLANTA"))</f>
        <v/>
      </c>
      <c r="B596" s="3"/>
      <c r="C596" s="4" t="str">
        <f>IF(B596="","",IFERROR(VLOOKUP(B596, PLANTA_BASE!A:W, 3, FALSE), ""))</f>
        <v/>
      </c>
      <c r="D596" s="2" t="str">
        <f>IF(B596="","",IFERROR(VLOOKUP(B596, PLANTA_BASE!A:W, 5, FALSE), "NO ENCONTRADO EN PLANTA"))</f>
        <v/>
      </c>
      <c r="E596" s="2" t="str">
        <f>IF(B596="","",IFERROR(VLOOKUP(B596, PLANTA_BASE!A:W, 6, FALSE), "NO ENCONTRADO EN PLANTA"))</f>
        <v/>
      </c>
      <c r="F596" s="4" t="str">
        <f>IF(B596="","",IFERROR(VLOOKUP(B596, PLANTA_BASE!A:W, 8, FALSE), "DOCENTE / FACILITADOR"))</f>
        <v/>
      </c>
      <c r="G596" s="4" t="str">
        <f>IF(B596="","",IFERROR(VLOOKUP(B596, PLANTA_BASE!A:W, 9, FALSE), "GENERAL"))</f>
        <v/>
      </c>
      <c r="H596" s="2" t="str">
        <f>IF(B596="","",IFERROR(VLOOKUP(B596, PLANTA_BASE!A:W, 17, FALSE), "GENERAL"))</f>
        <v/>
      </c>
    </row>
    <row r="597" spans="1:8" ht="20.100000000000001" customHeight="1" x14ac:dyDescent="0.25">
      <c r="A597" s="5" t="str">
        <f>IF(B597="","",IFERROR(VLOOKUP(B597, PLANTA_BASE!A:W, 2, FALSE), "NO ENCONTRADO EN PLANTA"))</f>
        <v/>
      </c>
      <c r="B597" s="6"/>
      <c r="C597" s="7" t="str">
        <f>IF(B597="","",IFERROR(VLOOKUP(B597, PLANTA_BASE!A:W, 3, FALSE), ""))</f>
        <v/>
      </c>
      <c r="D597" s="5" t="str">
        <f>IF(B597="","",IFERROR(VLOOKUP(B597, PLANTA_BASE!A:W, 5, FALSE), "NO ENCONTRADO EN PLANTA"))</f>
        <v/>
      </c>
      <c r="E597" s="5" t="str">
        <f>IF(B597="","",IFERROR(VLOOKUP(B597, PLANTA_BASE!A:W, 6, FALSE), "NO ENCONTRADO EN PLANTA"))</f>
        <v/>
      </c>
      <c r="F597" s="7" t="str">
        <f>IF(B597="","",IFERROR(VLOOKUP(B597, PLANTA_BASE!A:W, 8, FALSE), "DOCENTE / FACILITADOR"))</f>
        <v/>
      </c>
      <c r="G597" s="7" t="str">
        <f>IF(B597="","",IFERROR(VLOOKUP(B597, PLANTA_BASE!A:W, 9, FALSE), "GENERAL"))</f>
        <v/>
      </c>
      <c r="H597" s="5" t="str">
        <f>IF(B597="","",IFERROR(VLOOKUP(B597, PLANTA_BASE!A:W, 17, FALSE), "GENERAL"))</f>
        <v/>
      </c>
    </row>
    <row r="598" spans="1:8" ht="20.100000000000001" customHeight="1" x14ac:dyDescent="0.25">
      <c r="A598" s="2" t="str">
        <f>IF(B598="","",IFERROR(VLOOKUP(B598, PLANTA_BASE!A:W, 2, FALSE), "NO ENCONTRADO EN PLANTA"))</f>
        <v/>
      </c>
      <c r="B598" s="3"/>
      <c r="C598" s="4" t="str">
        <f>IF(B598="","",IFERROR(VLOOKUP(B598, PLANTA_BASE!A:W, 3, FALSE), ""))</f>
        <v/>
      </c>
      <c r="D598" s="2" t="str">
        <f>IF(B598="","",IFERROR(VLOOKUP(B598, PLANTA_BASE!A:W, 5, FALSE), "NO ENCONTRADO EN PLANTA"))</f>
        <v/>
      </c>
      <c r="E598" s="2" t="str">
        <f>IF(B598="","",IFERROR(VLOOKUP(B598, PLANTA_BASE!A:W, 6, FALSE), "NO ENCONTRADO EN PLANTA"))</f>
        <v/>
      </c>
      <c r="F598" s="4" t="str">
        <f>IF(B598="","",IFERROR(VLOOKUP(B598, PLANTA_BASE!A:W, 8, FALSE), "DOCENTE / FACILITADOR"))</f>
        <v/>
      </c>
      <c r="G598" s="4" t="str">
        <f>IF(B598="","",IFERROR(VLOOKUP(B598, PLANTA_BASE!A:W, 9, FALSE), "GENERAL"))</f>
        <v/>
      </c>
      <c r="H598" s="2" t="str">
        <f>IF(B598="","",IFERROR(VLOOKUP(B598, PLANTA_BASE!A:W, 17, FALSE), "GENERAL"))</f>
        <v/>
      </c>
    </row>
    <row r="599" spans="1:8" ht="20.100000000000001" customHeight="1" x14ac:dyDescent="0.25">
      <c r="A599" s="5" t="str">
        <f>IF(B599="","",IFERROR(VLOOKUP(B599, PLANTA_BASE!A:W, 2, FALSE), "NO ENCONTRADO EN PLANTA"))</f>
        <v/>
      </c>
      <c r="B599" s="6"/>
      <c r="C599" s="7" t="str">
        <f>IF(B599="","",IFERROR(VLOOKUP(B599, PLANTA_BASE!A:W, 3, FALSE), ""))</f>
        <v/>
      </c>
      <c r="D599" s="5" t="str">
        <f>IF(B599="","",IFERROR(VLOOKUP(B599, PLANTA_BASE!A:W, 5, FALSE), "NO ENCONTRADO EN PLANTA"))</f>
        <v/>
      </c>
      <c r="E599" s="5" t="str">
        <f>IF(B599="","",IFERROR(VLOOKUP(B599, PLANTA_BASE!A:W, 6, FALSE), "NO ENCONTRADO EN PLANTA"))</f>
        <v/>
      </c>
      <c r="F599" s="7" t="str">
        <f>IF(B599="","",IFERROR(VLOOKUP(B599, PLANTA_BASE!A:W, 8, FALSE), "DOCENTE / FACILITADOR"))</f>
        <v/>
      </c>
      <c r="G599" s="7" t="str">
        <f>IF(B599="","",IFERROR(VLOOKUP(B599, PLANTA_BASE!A:W, 9, FALSE), "GENERAL"))</f>
        <v/>
      </c>
      <c r="H599" s="5" t="str">
        <f>IF(B599="","",IFERROR(VLOOKUP(B599, PLANTA_BASE!A:W, 17, FALSE), "GENERAL"))</f>
        <v/>
      </c>
    </row>
    <row r="600" spans="1:8" ht="20.100000000000001" customHeight="1" x14ac:dyDescent="0.25">
      <c r="A600" s="2" t="str">
        <f>IF(B600="","",IFERROR(VLOOKUP(B600, PLANTA_BASE!A:W, 2, FALSE), "NO ENCONTRADO EN PLANTA"))</f>
        <v/>
      </c>
      <c r="B600" s="3"/>
      <c r="C600" s="4" t="str">
        <f>IF(B600="","",IFERROR(VLOOKUP(B600, PLANTA_BASE!A:W, 3, FALSE), ""))</f>
        <v/>
      </c>
      <c r="D600" s="2" t="str">
        <f>IF(B600="","",IFERROR(VLOOKUP(B600, PLANTA_BASE!A:W, 5, FALSE), "NO ENCONTRADO EN PLANTA"))</f>
        <v/>
      </c>
      <c r="E600" s="2" t="str">
        <f>IF(B600="","",IFERROR(VLOOKUP(B600, PLANTA_BASE!A:W, 6, FALSE), "NO ENCONTRADO EN PLANTA"))</f>
        <v/>
      </c>
      <c r="F600" s="4" t="str">
        <f>IF(B600="","",IFERROR(VLOOKUP(B600, PLANTA_BASE!A:W, 8, FALSE), "DOCENTE / FACILITADOR"))</f>
        <v/>
      </c>
      <c r="G600" s="4" t="str">
        <f>IF(B600="","",IFERROR(VLOOKUP(B600, PLANTA_BASE!A:W, 9, FALSE), "GENERAL"))</f>
        <v/>
      </c>
      <c r="H600" s="2" t="str">
        <f>IF(B600="","",IFERROR(VLOOKUP(B600, PLANTA_BASE!A:W, 17, FALSE), "GENERAL"))</f>
        <v/>
      </c>
    </row>
    <row r="601" spans="1:8" ht="20.100000000000001" customHeight="1" x14ac:dyDescent="0.25">
      <c r="A601" s="5" t="str">
        <f>IF(B601="","",IFERROR(VLOOKUP(B601, PLANTA_BASE!A:W, 2, FALSE), "NO ENCONTRADO EN PLANTA"))</f>
        <v/>
      </c>
      <c r="B601" s="6"/>
      <c r="C601" s="7" t="str">
        <f>IF(B601="","",IFERROR(VLOOKUP(B601, PLANTA_BASE!A:W, 3, FALSE), ""))</f>
        <v/>
      </c>
      <c r="D601" s="5" t="str">
        <f>IF(B601="","",IFERROR(VLOOKUP(B601, PLANTA_BASE!A:W, 5, FALSE), "NO ENCONTRADO EN PLANTA"))</f>
        <v/>
      </c>
      <c r="E601" s="5" t="str">
        <f>IF(B601="","",IFERROR(VLOOKUP(B601, PLANTA_BASE!A:W, 6, FALSE), "NO ENCONTRADO EN PLANTA"))</f>
        <v/>
      </c>
      <c r="F601" s="7" t="str">
        <f>IF(B601="","",IFERROR(VLOOKUP(B601, PLANTA_BASE!A:W, 8, FALSE), "DOCENTE / FACILITADOR"))</f>
        <v/>
      </c>
      <c r="G601" s="7" t="str">
        <f>IF(B601="","",IFERROR(VLOOKUP(B601, PLANTA_BASE!A:W, 9, FALSE), "GENERAL"))</f>
        <v/>
      </c>
      <c r="H601" s="5" t="str">
        <f>IF(B601="","",IFERROR(VLOOKUP(B601, PLANTA_BASE!A:W, 17, FALSE), "GENERAL"))</f>
        <v/>
      </c>
    </row>
    <row r="602" spans="1:8" ht="20.100000000000001" customHeight="1" x14ac:dyDescent="0.25">
      <c r="A602" s="2" t="str">
        <f>IF(B602="","",IFERROR(VLOOKUP(B602, PLANTA_BASE!A:W, 2, FALSE), "NO ENCONTRADO EN PLANTA"))</f>
        <v/>
      </c>
      <c r="B602" s="3"/>
      <c r="C602" s="4" t="str">
        <f>IF(B602="","",IFERROR(VLOOKUP(B602, PLANTA_BASE!A:W, 3, FALSE), ""))</f>
        <v/>
      </c>
      <c r="D602" s="2" t="str">
        <f>IF(B602="","",IFERROR(VLOOKUP(B602, PLANTA_BASE!A:W, 5, FALSE), "NO ENCONTRADO EN PLANTA"))</f>
        <v/>
      </c>
      <c r="E602" s="2" t="str">
        <f>IF(B602="","",IFERROR(VLOOKUP(B602, PLANTA_BASE!A:W, 6, FALSE), "NO ENCONTRADO EN PLANTA"))</f>
        <v/>
      </c>
      <c r="F602" s="4" t="str">
        <f>IF(B602="","",IFERROR(VLOOKUP(B602, PLANTA_BASE!A:W, 8, FALSE), "DOCENTE / FACILITADOR"))</f>
        <v/>
      </c>
      <c r="G602" s="4" t="str">
        <f>IF(B602="","",IFERROR(VLOOKUP(B602, PLANTA_BASE!A:W, 9, FALSE), "GENERAL"))</f>
        <v/>
      </c>
      <c r="H602" s="2" t="str">
        <f>IF(B602="","",IFERROR(VLOOKUP(B602, PLANTA_BASE!A:W, 17, FALSE), "GENERAL"))</f>
        <v/>
      </c>
    </row>
    <row r="603" spans="1:8" ht="20.100000000000001" customHeight="1" x14ac:dyDescent="0.25">
      <c r="A603" s="5" t="str">
        <f>IF(B603="","",IFERROR(VLOOKUP(B603, PLANTA_BASE!A:W, 2, FALSE), "NO ENCONTRADO EN PLANTA"))</f>
        <v/>
      </c>
      <c r="B603" s="6"/>
      <c r="C603" s="7" t="str">
        <f>IF(B603="","",IFERROR(VLOOKUP(B603, PLANTA_BASE!A:W, 3, FALSE), ""))</f>
        <v/>
      </c>
      <c r="D603" s="5" t="str">
        <f>IF(B603="","",IFERROR(VLOOKUP(B603, PLANTA_BASE!A:W, 5, FALSE), "NO ENCONTRADO EN PLANTA"))</f>
        <v/>
      </c>
      <c r="E603" s="5" t="str">
        <f>IF(B603="","",IFERROR(VLOOKUP(B603, PLANTA_BASE!A:W, 6, FALSE), "NO ENCONTRADO EN PLANTA"))</f>
        <v/>
      </c>
      <c r="F603" s="7" t="str">
        <f>IF(B603="","",IFERROR(VLOOKUP(B603, PLANTA_BASE!A:W, 8, FALSE), "DOCENTE / FACILITADOR"))</f>
        <v/>
      </c>
      <c r="G603" s="7" t="str">
        <f>IF(B603="","",IFERROR(VLOOKUP(B603, PLANTA_BASE!A:W, 9, FALSE), "GENERAL"))</f>
        <v/>
      </c>
      <c r="H603" s="5" t="str">
        <f>IF(B603="","",IFERROR(VLOOKUP(B603, PLANTA_BASE!A:W, 17, FALSE), "GENERAL"))</f>
        <v/>
      </c>
    </row>
    <row r="604" spans="1:8" ht="20.100000000000001" customHeight="1" x14ac:dyDescent="0.25">
      <c r="A604" s="2" t="str">
        <f>IF(B604="","",IFERROR(VLOOKUP(B604, PLANTA_BASE!A:W, 2, FALSE), "NO ENCONTRADO EN PLANTA"))</f>
        <v/>
      </c>
      <c r="B604" s="3"/>
      <c r="C604" s="4" t="str">
        <f>IF(B604="","",IFERROR(VLOOKUP(B604, PLANTA_BASE!A:W, 3, FALSE), ""))</f>
        <v/>
      </c>
      <c r="D604" s="2" t="str">
        <f>IF(B604="","",IFERROR(VLOOKUP(B604, PLANTA_BASE!A:W, 5, FALSE), "NO ENCONTRADO EN PLANTA"))</f>
        <v/>
      </c>
      <c r="E604" s="2" t="str">
        <f>IF(B604="","",IFERROR(VLOOKUP(B604, PLANTA_BASE!A:W, 6, FALSE), "NO ENCONTRADO EN PLANTA"))</f>
        <v/>
      </c>
      <c r="F604" s="4" t="str">
        <f>IF(B604="","",IFERROR(VLOOKUP(B604, PLANTA_BASE!A:W, 8, FALSE), "DOCENTE / FACILITADOR"))</f>
        <v/>
      </c>
      <c r="G604" s="4" t="str">
        <f>IF(B604="","",IFERROR(VLOOKUP(B604, PLANTA_BASE!A:W, 9, FALSE), "GENERAL"))</f>
        <v/>
      </c>
      <c r="H604" s="2" t="str">
        <f>IF(B604="","",IFERROR(VLOOKUP(B604, PLANTA_BASE!A:W, 17, FALSE), "GENERAL"))</f>
        <v/>
      </c>
    </row>
    <row r="605" spans="1:8" ht="20.100000000000001" customHeight="1" x14ac:dyDescent="0.25">
      <c r="A605" s="5" t="str">
        <f>IF(B605="","",IFERROR(VLOOKUP(B605, PLANTA_BASE!A:W, 2, FALSE), "NO ENCONTRADO EN PLANTA"))</f>
        <v/>
      </c>
      <c r="B605" s="6"/>
      <c r="C605" s="7" t="str">
        <f>IF(B605="","",IFERROR(VLOOKUP(B605, PLANTA_BASE!A:W, 3, FALSE), ""))</f>
        <v/>
      </c>
      <c r="D605" s="5" t="str">
        <f>IF(B605="","",IFERROR(VLOOKUP(B605, PLANTA_BASE!A:W, 5, FALSE), "NO ENCONTRADO EN PLANTA"))</f>
        <v/>
      </c>
      <c r="E605" s="5" t="str">
        <f>IF(B605="","",IFERROR(VLOOKUP(B605, PLANTA_BASE!A:W, 6, FALSE), "NO ENCONTRADO EN PLANTA"))</f>
        <v/>
      </c>
      <c r="F605" s="7" t="str">
        <f>IF(B605="","",IFERROR(VLOOKUP(B605, PLANTA_BASE!A:W, 8, FALSE), "DOCENTE / FACILITADOR"))</f>
        <v/>
      </c>
      <c r="G605" s="7" t="str">
        <f>IF(B605="","",IFERROR(VLOOKUP(B605, PLANTA_BASE!A:W, 9, FALSE), "GENERAL"))</f>
        <v/>
      </c>
      <c r="H605" s="5" t="str">
        <f>IF(B605="","",IFERROR(VLOOKUP(B605, PLANTA_BASE!A:W, 17, FALSE), "GENERAL"))</f>
        <v/>
      </c>
    </row>
    <row r="606" spans="1:8" ht="20.100000000000001" customHeight="1" x14ac:dyDescent="0.25">
      <c r="A606" s="2" t="str">
        <f>IF(B606="","",IFERROR(VLOOKUP(B606, PLANTA_BASE!A:W, 2, FALSE), "NO ENCONTRADO EN PLANTA"))</f>
        <v/>
      </c>
      <c r="B606" s="3"/>
      <c r="C606" s="4" t="str">
        <f>IF(B606="","",IFERROR(VLOOKUP(B606, PLANTA_BASE!A:W, 3, FALSE), ""))</f>
        <v/>
      </c>
      <c r="D606" s="2" t="str">
        <f>IF(B606="","",IFERROR(VLOOKUP(B606, PLANTA_BASE!A:W, 5, FALSE), "NO ENCONTRADO EN PLANTA"))</f>
        <v/>
      </c>
      <c r="E606" s="2" t="str">
        <f>IF(B606="","",IFERROR(VLOOKUP(B606, PLANTA_BASE!A:W, 6, FALSE), "NO ENCONTRADO EN PLANTA"))</f>
        <v/>
      </c>
      <c r="F606" s="4" t="str">
        <f>IF(B606="","",IFERROR(VLOOKUP(B606, PLANTA_BASE!A:W, 8, FALSE), "DOCENTE / FACILITADOR"))</f>
        <v/>
      </c>
      <c r="G606" s="4" t="str">
        <f>IF(B606="","",IFERROR(VLOOKUP(B606, PLANTA_BASE!A:W, 9, FALSE), "GENERAL"))</f>
        <v/>
      </c>
      <c r="H606" s="2" t="str">
        <f>IF(B606="","",IFERROR(VLOOKUP(B606, PLANTA_BASE!A:W, 17, FALSE), "GENERAL"))</f>
        <v/>
      </c>
    </row>
    <row r="607" spans="1:8" ht="20.100000000000001" customHeight="1" x14ac:dyDescent="0.25">
      <c r="A607" s="5" t="str">
        <f>IF(B607="","",IFERROR(VLOOKUP(B607, PLANTA_BASE!A:W, 2, FALSE), "NO ENCONTRADO EN PLANTA"))</f>
        <v/>
      </c>
      <c r="B607" s="6"/>
      <c r="C607" s="7" t="str">
        <f>IF(B607="","",IFERROR(VLOOKUP(B607, PLANTA_BASE!A:W, 3, FALSE), ""))</f>
        <v/>
      </c>
      <c r="D607" s="5" t="str">
        <f>IF(B607="","",IFERROR(VLOOKUP(B607, PLANTA_BASE!A:W, 5, FALSE), "NO ENCONTRADO EN PLANTA"))</f>
        <v/>
      </c>
      <c r="E607" s="5" t="str">
        <f>IF(B607="","",IFERROR(VLOOKUP(B607, PLANTA_BASE!A:W, 6, FALSE), "NO ENCONTRADO EN PLANTA"))</f>
        <v/>
      </c>
      <c r="F607" s="7" t="str">
        <f>IF(B607="","",IFERROR(VLOOKUP(B607, PLANTA_BASE!A:W, 8, FALSE), "DOCENTE / FACILITADOR"))</f>
        <v/>
      </c>
      <c r="G607" s="7" t="str">
        <f>IF(B607="","",IFERROR(VLOOKUP(B607, PLANTA_BASE!A:W, 9, FALSE), "GENERAL"))</f>
        <v/>
      </c>
      <c r="H607" s="5" t="str">
        <f>IF(B607="","",IFERROR(VLOOKUP(B607, PLANTA_BASE!A:W, 17, FALSE), "GENERAL"))</f>
        <v/>
      </c>
    </row>
    <row r="608" spans="1:8" ht="20.100000000000001" customHeight="1" x14ac:dyDescent="0.25">
      <c r="A608" s="2" t="str">
        <f>IF(B608="","",IFERROR(VLOOKUP(B608, PLANTA_BASE!A:W, 2, FALSE), "NO ENCONTRADO EN PLANTA"))</f>
        <v/>
      </c>
      <c r="B608" s="3"/>
      <c r="C608" s="4" t="str">
        <f>IF(B608="","",IFERROR(VLOOKUP(B608, PLANTA_BASE!A:W, 3, FALSE), ""))</f>
        <v/>
      </c>
      <c r="D608" s="2" t="str">
        <f>IF(B608="","",IFERROR(VLOOKUP(B608, PLANTA_BASE!A:W, 5, FALSE), "NO ENCONTRADO EN PLANTA"))</f>
        <v/>
      </c>
      <c r="E608" s="2" t="str">
        <f>IF(B608="","",IFERROR(VLOOKUP(B608, PLANTA_BASE!A:W, 6, FALSE), "NO ENCONTRADO EN PLANTA"))</f>
        <v/>
      </c>
      <c r="F608" s="4" t="str">
        <f>IF(B608="","",IFERROR(VLOOKUP(B608, PLANTA_BASE!A:W, 8, FALSE), "DOCENTE / FACILITADOR"))</f>
        <v/>
      </c>
      <c r="G608" s="4" t="str">
        <f>IF(B608="","",IFERROR(VLOOKUP(B608, PLANTA_BASE!A:W, 9, FALSE), "GENERAL"))</f>
        <v/>
      </c>
      <c r="H608" s="2" t="str">
        <f>IF(B608="","",IFERROR(VLOOKUP(B608, PLANTA_BASE!A:W, 17, FALSE), "GENERAL"))</f>
        <v/>
      </c>
    </row>
    <row r="609" spans="1:8" ht="20.100000000000001" customHeight="1" x14ac:dyDescent="0.25">
      <c r="A609" s="5" t="str">
        <f>IF(B609="","",IFERROR(VLOOKUP(B609, PLANTA_BASE!A:W, 2, FALSE), "NO ENCONTRADO EN PLANTA"))</f>
        <v/>
      </c>
      <c r="B609" s="6"/>
      <c r="C609" s="7" t="str">
        <f>IF(B609="","",IFERROR(VLOOKUP(B609, PLANTA_BASE!A:W, 3, FALSE), ""))</f>
        <v/>
      </c>
      <c r="D609" s="5" t="str">
        <f>IF(B609="","",IFERROR(VLOOKUP(B609, PLANTA_BASE!A:W, 5, FALSE), "NO ENCONTRADO EN PLANTA"))</f>
        <v/>
      </c>
      <c r="E609" s="5" t="str">
        <f>IF(B609="","",IFERROR(VLOOKUP(B609, PLANTA_BASE!A:W, 6, FALSE), "NO ENCONTRADO EN PLANTA"))</f>
        <v/>
      </c>
      <c r="F609" s="7" t="str">
        <f>IF(B609="","",IFERROR(VLOOKUP(B609, PLANTA_BASE!A:W, 8, FALSE), "DOCENTE / FACILITADOR"))</f>
        <v/>
      </c>
      <c r="G609" s="7" t="str">
        <f>IF(B609="","",IFERROR(VLOOKUP(B609, PLANTA_BASE!A:W, 9, FALSE), "GENERAL"))</f>
        <v/>
      </c>
      <c r="H609" s="5" t="str">
        <f>IF(B609="","",IFERROR(VLOOKUP(B609, PLANTA_BASE!A:W, 17, FALSE), "GENERAL"))</f>
        <v/>
      </c>
    </row>
    <row r="610" spans="1:8" ht="20.100000000000001" customHeight="1" x14ac:dyDescent="0.25">
      <c r="A610" s="2" t="str">
        <f>IF(B610="","",IFERROR(VLOOKUP(B610, PLANTA_BASE!A:W, 2, FALSE), "NO ENCONTRADO EN PLANTA"))</f>
        <v/>
      </c>
      <c r="B610" s="3"/>
      <c r="C610" s="4" t="str">
        <f>IF(B610="","",IFERROR(VLOOKUP(B610, PLANTA_BASE!A:W, 3, FALSE), ""))</f>
        <v/>
      </c>
      <c r="D610" s="2" t="str">
        <f>IF(B610="","",IFERROR(VLOOKUP(B610, PLANTA_BASE!A:W, 5, FALSE), "NO ENCONTRADO EN PLANTA"))</f>
        <v/>
      </c>
      <c r="E610" s="2" t="str">
        <f>IF(B610="","",IFERROR(VLOOKUP(B610, PLANTA_BASE!A:W, 6, FALSE), "NO ENCONTRADO EN PLANTA"))</f>
        <v/>
      </c>
      <c r="F610" s="4" t="str">
        <f>IF(B610="","",IFERROR(VLOOKUP(B610, PLANTA_BASE!A:W, 8, FALSE), "DOCENTE / FACILITADOR"))</f>
        <v/>
      </c>
      <c r="G610" s="4" t="str">
        <f>IF(B610="","",IFERROR(VLOOKUP(B610, PLANTA_BASE!A:W, 9, FALSE), "GENERAL"))</f>
        <v/>
      </c>
      <c r="H610" s="2" t="str">
        <f>IF(B610="","",IFERROR(VLOOKUP(B610, PLANTA_BASE!A:W, 17, FALSE), "GENERAL"))</f>
        <v/>
      </c>
    </row>
    <row r="611" spans="1:8" ht="20.100000000000001" customHeight="1" x14ac:dyDescent="0.25">
      <c r="A611" s="5" t="str">
        <f>IF(B611="","",IFERROR(VLOOKUP(B611, PLANTA_BASE!A:W, 2, FALSE), "NO ENCONTRADO EN PLANTA"))</f>
        <v/>
      </c>
      <c r="B611" s="6"/>
      <c r="C611" s="7" t="str">
        <f>IF(B611="","",IFERROR(VLOOKUP(B611, PLANTA_BASE!A:W, 3, FALSE), ""))</f>
        <v/>
      </c>
      <c r="D611" s="5" t="str">
        <f>IF(B611="","",IFERROR(VLOOKUP(B611, PLANTA_BASE!A:W, 5, FALSE), "NO ENCONTRADO EN PLANTA"))</f>
        <v/>
      </c>
      <c r="E611" s="5" t="str">
        <f>IF(B611="","",IFERROR(VLOOKUP(B611, PLANTA_BASE!A:W, 6, FALSE), "NO ENCONTRADO EN PLANTA"))</f>
        <v/>
      </c>
      <c r="F611" s="7" t="str">
        <f>IF(B611="","",IFERROR(VLOOKUP(B611, PLANTA_BASE!A:W, 8, FALSE), "DOCENTE / FACILITADOR"))</f>
        <v/>
      </c>
      <c r="G611" s="7" t="str">
        <f>IF(B611="","",IFERROR(VLOOKUP(B611, PLANTA_BASE!A:W, 9, FALSE), "GENERAL"))</f>
        <v/>
      </c>
      <c r="H611" s="5" t="str">
        <f>IF(B611="","",IFERROR(VLOOKUP(B611, PLANTA_BASE!A:W, 17, FALSE), "GENERAL"))</f>
        <v/>
      </c>
    </row>
    <row r="612" spans="1:8" ht="20.100000000000001" customHeight="1" x14ac:dyDescent="0.25">
      <c r="A612" s="2" t="str">
        <f>IF(B612="","",IFERROR(VLOOKUP(B612, PLANTA_BASE!A:W, 2, FALSE), "NO ENCONTRADO EN PLANTA"))</f>
        <v/>
      </c>
      <c r="B612" s="3"/>
      <c r="C612" s="4" t="str">
        <f>IF(B612="","",IFERROR(VLOOKUP(B612, PLANTA_BASE!A:W, 3, FALSE), ""))</f>
        <v/>
      </c>
      <c r="D612" s="2" t="str">
        <f>IF(B612="","",IFERROR(VLOOKUP(B612, PLANTA_BASE!A:W, 5, FALSE), "NO ENCONTRADO EN PLANTA"))</f>
        <v/>
      </c>
      <c r="E612" s="2" t="str">
        <f>IF(B612="","",IFERROR(VLOOKUP(B612, PLANTA_BASE!A:W, 6, FALSE), "NO ENCONTRADO EN PLANTA"))</f>
        <v/>
      </c>
      <c r="F612" s="4" t="str">
        <f>IF(B612="","",IFERROR(VLOOKUP(B612, PLANTA_BASE!A:W, 8, FALSE), "DOCENTE / FACILITADOR"))</f>
        <v/>
      </c>
      <c r="G612" s="4" t="str">
        <f>IF(B612="","",IFERROR(VLOOKUP(B612, PLANTA_BASE!A:W, 9, FALSE), "GENERAL"))</f>
        <v/>
      </c>
      <c r="H612" s="2" t="str">
        <f>IF(B612="","",IFERROR(VLOOKUP(B612, PLANTA_BASE!A:W, 17, FALSE), "GENERAL"))</f>
        <v/>
      </c>
    </row>
    <row r="613" spans="1:8" ht="20.100000000000001" customHeight="1" x14ac:dyDescent="0.25">
      <c r="A613" s="5" t="str">
        <f>IF(B613="","",IFERROR(VLOOKUP(B613, PLANTA_BASE!A:W, 2, FALSE), "NO ENCONTRADO EN PLANTA"))</f>
        <v/>
      </c>
      <c r="B613" s="6"/>
      <c r="C613" s="7" t="str">
        <f>IF(B613="","",IFERROR(VLOOKUP(B613, PLANTA_BASE!A:W, 3, FALSE), ""))</f>
        <v/>
      </c>
      <c r="D613" s="5" t="str">
        <f>IF(B613="","",IFERROR(VLOOKUP(B613, PLANTA_BASE!A:W, 5, FALSE), "NO ENCONTRADO EN PLANTA"))</f>
        <v/>
      </c>
      <c r="E613" s="5" t="str">
        <f>IF(B613="","",IFERROR(VLOOKUP(B613, PLANTA_BASE!A:W, 6, FALSE), "NO ENCONTRADO EN PLANTA"))</f>
        <v/>
      </c>
      <c r="F613" s="7" t="str">
        <f>IF(B613="","",IFERROR(VLOOKUP(B613, PLANTA_BASE!A:W, 8, FALSE), "DOCENTE / FACILITADOR"))</f>
        <v/>
      </c>
      <c r="G613" s="7" t="str">
        <f>IF(B613="","",IFERROR(VLOOKUP(B613, PLANTA_BASE!A:W, 9, FALSE), "GENERAL"))</f>
        <v/>
      </c>
      <c r="H613" s="5" t="str">
        <f>IF(B613="","",IFERROR(VLOOKUP(B613, PLANTA_BASE!A:W, 17, FALSE), "GENERAL"))</f>
        <v/>
      </c>
    </row>
    <row r="614" spans="1:8" ht="20.100000000000001" customHeight="1" x14ac:dyDescent="0.25">
      <c r="A614" s="2" t="str">
        <f>IF(B614="","",IFERROR(VLOOKUP(B614, PLANTA_BASE!A:W, 2, FALSE), "NO ENCONTRADO EN PLANTA"))</f>
        <v/>
      </c>
      <c r="B614" s="3"/>
      <c r="C614" s="4" t="str">
        <f>IF(B614="","",IFERROR(VLOOKUP(B614, PLANTA_BASE!A:W, 3, FALSE), ""))</f>
        <v/>
      </c>
      <c r="D614" s="2" t="str">
        <f>IF(B614="","",IFERROR(VLOOKUP(B614, PLANTA_BASE!A:W, 5, FALSE), "NO ENCONTRADO EN PLANTA"))</f>
        <v/>
      </c>
      <c r="E614" s="2" t="str">
        <f>IF(B614="","",IFERROR(VLOOKUP(B614, PLANTA_BASE!A:W, 6, FALSE), "NO ENCONTRADO EN PLANTA"))</f>
        <v/>
      </c>
      <c r="F614" s="4" t="str">
        <f>IF(B614="","",IFERROR(VLOOKUP(B614, PLANTA_BASE!A:W, 8, FALSE), "DOCENTE / FACILITADOR"))</f>
        <v/>
      </c>
      <c r="G614" s="4" t="str">
        <f>IF(B614="","",IFERROR(VLOOKUP(B614, PLANTA_BASE!A:W, 9, FALSE), "GENERAL"))</f>
        <v/>
      </c>
      <c r="H614" s="2" t="str">
        <f>IF(B614="","",IFERROR(VLOOKUP(B614, PLANTA_BASE!A:W, 17, FALSE), "GENERAL"))</f>
        <v/>
      </c>
    </row>
    <row r="615" spans="1:8" ht="20.100000000000001" customHeight="1" x14ac:dyDescent="0.25">
      <c r="A615" s="5" t="str">
        <f>IF(B615="","",IFERROR(VLOOKUP(B615, PLANTA_BASE!A:W, 2, FALSE), "NO ENCONTRADO EN PLANTA"))</f>
        <v/>
      </c>
      <c r="B615" s="6"/>
      <c r="C615" s="7" t="str">
        <f>IF(B615="","",IFERROR(VLOOKUP(B615, PLANTA_BASE!A:W, 3, FALSE), ""))</f>
        <v/>
      </c>
      <c r="D615" s="5" t="str">
        <f>IF(B615="","",IFERROR(VLOOKUP(B615, PLANTA_BASE!A:W, 5, FALSE), "NO ENCONTRADO EN PLANTA"))</f>
        <v/>
      </c>
      <c r="E615" s="5" t="str">
        <f>IF(B615="","",IFERROR(VLOOKUP(B615, PLANTA_BASE!A:W, 6, FALSE), "NO ENCONTRADO EN PLANTA"))</f>
        <v/>
      </c>
      <c r="F615" s="7" t="str">
        <f>IF(B615="","",IFERROR(VLOOKUP(B615, PLANTA_BASE!A:W, 8, FALSE), "DOCENTE / FACILITADOR"))</f>
        <v/>
      </c>
      <c r="G615" s="7" t="str">
        <f>IF(B615="","",IFERROR(VLOOKUP(B615, PLANTA_BASE!A:W, 9, FALSE), "GENERAL"))</f>
        <v/>
      </c>
      <c r="H615" s="5" t="str">
        <f>IF(B615="","",IFERROR(VLOOKUP(B615, PLANTA_BASE!A:W, 17, FALSE), "GENERAL"))</f>
        <v/>
      </c>
    </row>
    <row r="616" spans="1:8" ht="20.100000000000001" customHeight="1" x14ac:dyDescent="0.25">
      <c r="A616" s="2" t="str">
        <f>IF(B616="","",IFERROR(VLOOKUP(B616, PLANTA_BASE!A:W, 2, FALSE), "NO ENCONTRADO EN PLANTA"))</f>
        <v/>
      </c>
      <c r="B616" s="3"/>
      <c r="C616" s="4" t="str">
        <f>IF(B616="","",IFERROR(VLOOKUP(B616, PLANTA_BASE!A:W, 3, FALSE), ""))</f>
        <v/>
      </c>
      <c r="D616" s="2" t="str">
        <f>IF(B616="","",IFERROR(VLOOKUP(B616, PLANTA_BASE!A:W, 5, FALSE), "NO ENCONTRADO EN PLANTA"))</f>
        <v/>
      </c>
      <c r="E616" s="2" t="str">
        <f>IF(B616="","",IFERROR(VLOOKUP(B616, PLANTA_BASE!A:W, 6, FALSE), "NO ENCONTRADO EN PLANTA"))</f>
        <v/>
      </c>
      <c r="F616" s="4" t="str">
        <f>IF(B616="","",IFERROR(VLOOKUP(B616, PLANTA_BASE!A:W, 8, FALSE), "DOCENTE / FACILITADOR"))</f>
        <v/>
      </c>
      <c r="G616" s="4" t="str">
        <f>IF(B616="","",IFERROR(VLOOKUP(B616, PLANTA_BASE!A:W, 9, FALSE), "GENERAL"))</f>
        <v/>
      </c>
      <c r="H616" s="2" t="str">
        <f>IF(B616="","",IFERROR(VLOOKUP(B616, PLANTA_BASE!A:W, 17, FALSE), "GENERAL"))</f>
        <v/>
      </c>
    </row>
    <row r="617" spans="1:8" ht="20.100000000000001" customHeight="1" x14ac:dyDescent="0.25">
      <c r="A617" s="5" t="str">
        <f>IF(B617="","",IFERROR(VLOOKUP(B617, PLANTA_BASE!A:W, 2, FALSE), "NO ENCONTRADO EN PLANTA"))</f>
        <v/>
      </c>
      <c r="B617" s="6"/>
      <c r="C617" s="7" t="str">
        <f>IF(B617="","",IFERROR(VLOOKUP(B617, PLANTA_BASE!A:W, 3, FALSE), ""))</f>
        <v/>
      </c>
      <c r="D617" s="5" t="str">
        <f>IF(B617="","",IFERROR(VLOOKUP(B617, PLANTA_BASE!A:W, 5, FALSE), "NO ENCONTRADO EN PLANTA"))</f>
        <v/>
      </c>
      <c r="E617" s="5" t="str">
        <f>IF(B617="","",IFERROR(VLOOKUP(B617, PLANTA_BASE!A:W, 6, FALSE), "NO ENCONTRADO EN PLANTA"))</f>
        <v/>
      </c>
      <c r="F617" s="7" t="str">
        <f>IF(B617="","",IFERROR(VLOOKUP(B617, PLANTA_BASE!A:W, 8, FALSE), "DOCENTE / FACILITADOR"))</f>
        <v/>
      </c>
      <c r="G617" s="7" t="str">
        <f>IF(B617="","",IFERROR(VLOOKUP(B617, PLANTA_BASE!A:W, 9, FALSE), "GENERAL"))</f>
        <v/>
      </c>
      <c r="H617" s="5" t="str">
        <f>IF(B617="","",IFERROR(VLOOKUP(B617, PLANTA_BASE!A:W, 17, FALSE), "GENERAL"))</f>
        <v/>
      </c>
    </row>
    <row r="618" spans="1:8" ht="20.100000000000001" customHeight="1" x14ac:dyDescent="0.25">
      <c r="A618" s="2" t="str">
        <f>IF(B618="","",IFERROR(VLOOKUP(B618, PLANTA_BASE!A:W, 2, FALSE), "NO ENCONTRADO EN PLANTA"))</f>
        <v/>
      </c>
      <c r="B618" s="3"/>
      <c r="C618" s="4" t="str">
        <f>IF(B618="","",IFERROR(VLOOKUP(B618, PLANTA_BASE!A:W, 3, FALSE), ""))</f>
        <v/>
      </c>
      <c r="D618" s="2" t="str">
        <f>IF(B618="","",IFERROR(VLOOKUP(B618, PLANTA_BASE!A:W, 5, FALSE), "NO ENCONTRADO EN PLANTA"))</f>
        <v/>
      </c>
      <c r="E618" s="2" t="str">
        <f>IF(B618="","",IFERROR(VLOOKUP(B618, PLANTA_BASE!A:W, 6, FALSE), "NO ENCONTRADO EN PLANTA"))</f>
        <v/>
      </c>
      <c r="F618" s="4" t="str">
        <f>IF(B618="","",IFERROR(VLOOKUP(B618, PLANTA_BASE!A:W, 8, FALSE), "DOCENTE / FACILITADOR"))</f>
        <v/>
      </c>
      <c r="G618" s="4" t="str">
        <f>IF(B618="","",IFERROR(VLOOKUP(B618, PLANTA_BASE!A:W, 9, FALSE), "GENERAL"))</f>
        <v/>
      </c>
      <c r="H618" s="2" t="str">
        <f>IF(B618="","",IFERROR(VLOOKUP(B618, PLANTA_BASE!A:W, 17, FALSE), "GENERAL"))</f>
        <v/>
      </c>
    </row>
    <row r="619" spans="1:8" ht="20.100000000000001" customHeight="1" x14ac:dyDescent="0.25">
      <c r="A619" s="5" t="str">
        <f>IF(B619="","",IFERROR(VLOOKUP(B619, PLANTA_BASE!A:W, 2, FALSE), "NO ENCONTRADO EN PLANTA"))</f>
        <v/>
      </c>
      <c r="B619" s="6"/>
      <c r="C619" s="7" t="str">
        <f>IF(B619="","",IFERROR(VLOOKUP(B619, PLANTA_BASE!A:W, 3, FALSE), ""))</f>
        <v/>
      </c>
      <c r="D619" s="5" t="str">
        <f>IF(B619="","",IFERROR(VLOOKUP(B619, PLANTA_BASE!A:W, 5, FALSE), "NO ENCONTRADO EN PLANTA"))</f>
        <v/>
      </c>
      <c r="E619" s="5" t="str">
        <f>IF(B619="","",IFERROR(VLOOKUP(B619, PLANTA_BASE!A:W, 6, FALSE), "NO ENCONTRADO EN PLANTA"))</f>
        <v/>
      </c>
      <c r="F619" s="7" t="str">
        <f>IF(B619="","",IFERROR(VLOOKUP(B619, PLANTA_BASE!A:W, 8, FALSE), "DOCENTE / FACILITADOR"))</f>
        <v/>
      </c>
      <c r="G619" s="7" t="str">
        <f>IF(B619="","",IFERROR(VLOOKUP(B619, PLANTA_BASE!A:W, 9, FALSE), "GENERAL"))</f>
        <v/>
      </c>
      <c r="H619" s="5" t="str">
        <f>IF(B619="","",IFERROR(VLOOKUP(B619, PLANTA_BASE!A:W, 17, FALSE), "GENERAL"))</f>
        <v/>
      </c>
    </row>
    <row r="620" spans="1:8" ht="20.100000000000001" customHeight="1" x14ac:dyDescent="0.25">
      <c r="A620" s="2" t="str">
        <f>IF(B620="","",IFERROR(VLOOKUP(B620, PLANTA_BASE!A:W, 2, FALSE), "NO ENCONTRADO EN PLANTA"))</f>
        <v/>
      </c>
      <c r="B620" s="3"/>
      <c r="C620" s="4" t="str">
        <f>IF(B620="","",IFERROR(VLOOKUP(B620, PLANTA_BASE!A:W, 3, FALSE), ""))</f>
        <v/>
      </c>
      <c r="D620" s="2" t="str">
        <f>IF(B620="","",IFERROR(VLOOKUP(B620, PLANTA_BASE!A:W, 5, FALSE), "NO ENCONTRADO EN PLANTA"))</f>
        <v/>
      </c>
      <c r="E620" s="2" t="str">
        <f>IF(B620="","",IFERROR(VLOOKUP(B620, PLANTA_BASE!A:W, 6, FALSE), "NO ENCONTRADO EN PLANTA"))</f>
        <v/>
      </c>
      <c r="F620" s="4" t="str">
        <f>IF(B620="","",IFERROR(VLOOKUP(B620, PLANTA_BASE!A:W, 8, FALSE), "DOCENTE / FACILITADOR"))</f>
        <v/>
      </c>
      <c r="G620" s="4" t="str">
        <f>IF(B620="","",IFERROR(VLOOKUP(B620, PLANTA_BASE!A:W, 9, FALSE), "GENERAL"))</f>
        <v/>
      </c>
      <c r="H620" s="2" t="str">
        <f>IF(B620="","",IFERROR(VLOOKUP(B620, PLANTA_BASE!A:W, 17, FALSE), "GENERAL"))</f>
        <v/>
      </c>
    </row>
    <row r="621" spans="1:8" ht="20.100000000000001" customHeight="1" x14ac:dyDescent="0.25">
      <c r="A621" s="5" t="str">
        <f>IF(B621="","",IFERROR(VLOOKUP(B621, PLANTA_BASE!A:W, 2, FALSE), "NO ENCONTRADO EN PLANTA"))</f>
        <v/>
      </c>
      <c r="B621" s="6"/>
      <c r="C621" s="7" t="str">
        <f>IF(B621="","",IFERROR(VLOOKUP(B621, PLANTA_BASE!A:W, 3, FALSE), ""))</f>
        <v/>
      </c>
      <c r="D621" s="5" t="str">
        <f>IF(B621="","",IFERROR(VLOOKUP(B621, PLANTA_BASE!A:W, 5, FALSE), "NO ENCONTRADO EN PLANTA"))</f>
        <v/>
      </c>
      <c r="E621" s="5" t="str">
        <f>IF(B621="","",IFERROR(VLOOKUP(B621, PLANTA_BASE!A:W, 6, FALSE), "NO ENCONTRADO EN PLANTA"))</f>
        <v/>
      </c>
      <c r="F621" s="7" t="str">
        <f>IF(B621="","",IFERROR(VLOOKUP(B621, PLANTA_BASE!A:W, 8, FALSE), "DOCENTE / FACILITADOR"))</f>
        <v/>
      </c>
      <c r="G621" s="7" t="str">
        <f>IF(B621="","",IFERROR(VLOOKUP(B621, PLANTA_BASE!A:W, 9, FALSE), "GENERAL"))</f>
        <v/>
      </c>
      <c r="H621" s="5" t="str">
        <f>IF(B621="","",IFERROR(VLOOKUP(B621, PLANTA_BASE!A:W, 17, FALSE), "GENERAL"))</f>
        <v/>
      </c>
    </row>
    <row r="622" spans="1:8" ht="20.100000000000001" customHeight="1" x14ac:dyDescent="0.25">
      <c r="A622" s="2" t="str">
        <f>IF(B622="","",IFERROR(VLOOKUP(B622, PLANTA_BASE!A:W, 2, FALSE), "NO ENCONTRADO EN PLANTA"))</f>
        <v/>
      </c>
      <c r="B622" s="3"/>
      <c r="C622" s="4" t="str">
        <f>IF(B622="","",IFERROR(VLOOKUP(B622, PLANTA_BASE!A:W, 3, FALSE), ""))</f>
        <v/>
      </c>
      <c r="D622" s="2" t="str">
        <f>IF(B622="","",IFERROR(VLOOKUP(B622, PLANTA_BASE!A:W, 5, FALSE), "NO ENCONTRADO EN PLANTA"))</f>
        <v/>
      </c>
      <c r="E622" s="2" t="str">
        <f>IF(B622="","",IFERROR(VLOOKUP(B622, PLANTA_BASE!A:W, 6, FALSE), "NO ENCONTRADO EN PLANTA"))</f>
        <v/>
      </c>
      <c r="F622" s="4" t="str">
        <f>IF(B622="","",IFERROR(VLOOKUP(B622, PLANTA_BASE!A:W, 8, FALSE), "DOCENTE / FACILITADOR"))</f>
        <v/>
      </c>
      <c r="G622" s="4" t="str">
        <f>IF(B622="","",IFERROR(VLOOKUP(B622, PLANTA_BASE!A:W, 9, FALSE), "GENERAL"))</f>
        <v/>
      </c>
      <c r="H622" s="2" t="str">
        <f>IF(B622="","",IFERROR(VLOOKUP(B622, PLANTA_BASE!A:W, 17, FALSE), "GENERAL"))</f>
        <v/>
      </c>
    </row>
    <row r="623" spans="1:8" ht="20.100000000000001" customHeight="1" x14ac:dyDescent="0.25">
      <c r="A623" s="5" t="str">
        <f>IF(B623="","",IFERROR(VLOOKUP(B623, PLANTA_BASE!A:W, 2, FALSE), "NO ENCONTRADO EN PLANTA"))</f>
        <v/>
      </c>
      <c r="B623" s="6"/>
      <c r="C623" s="7" t="str">
        <f>IF(B623="","",IFERROR(VLOOKUP(B623, PLANTA_BASE!A:W, 3, FALSE), ""))</f>
        <v/>
      </c>
      <c r="D623" s="5" t="str">
        <f>IF(B623="","",IFERROR(VLOOKUP(B623, PLANTA_BASE!A:W, 5, FALSE), "NO ENCONTRADO EN PLANTA"))</f>
        <v/>
      </c>
      <c r="E623" s="5" t="str">
        <f>IF(B623="","",IFERROR(VLOOKUP(B623, PLANTA_BASE!A:W, 6, FALSE), "NO ENCONTRADO EN PLANTA"))</f>
        <v/>
      </c>
      <c r="F623" s="7" t="str">
        <f>IF(B623="","",IFERROR(VLOOKUP(B623, PLANTA_BASE!A:W, 8, FALSE), "DOCENTE / FACILITADOR"))</f>
        <v/>
      </c>
      <c r="G623" s="7" t="str">
        <f>IF(B623="","",IFERROR(VLOOKUP(B623, PLANTA_BASE!A:W, 9, FALSE), "GENERAL"))</f>
        <v/>
      </c>
      <c r="H623" s="5" t="str">
        <f>IF(B623="","",IFERROR(VLOOKUP(B623, PLANTA_BASE!A:W, 17, FALSE), "GENERAL"))</f>
        <v/>
      </c>
    </row>
    <row r="624" spans="1:8" ht="20.100000000000001" customHeight="1" x14ac:dyDescent="0.25">
      <c r="A624" s="2" t="str">
        <f>IF(B624="","",IFERROR(VLOOKUP(B624, PLANTA_BASE!A:W, 2, FALSE), "NO ENCONTRADO EN PLANTA"))</f>
        <v/>
      </c>
      <c r="B624" s="3"/>
      <c r="C624" s="4" t="str">
        <f>IF(B624="","",IFERROR(VLOOKUP(B624, PLANTA_BASE!A:W, 3, FALSE), ""))</f>
        <v/>
      </c>
      <c r="D624" s="2" t="str">
        <f>IF(B624="","",IFERROR(VLOOKUP(B624, PLANTA_BASE!A:W, 5, FALSE), "NO ENCONTRADO EN PLANTA"))</f>
        <v/>
      </c>
      <c r="E624" s="2" t="str">
        <f>IF(B624="","",IFERROR(VLOOKUP(B624, PLANTA_BASE!A:W, 6, FALSE), "NO ENCONTRADO EN PLANTA"))</f>
        <v/>
      </c>
      <c r="F624" s="4" t="str">
        <f>IF(B624="","",IFERROR(VLOOKUP(B624, PLANTA_BASE!A:W, 8, FALSE), "DOCENTE / FACILITADOR"))</f>
        <v/>
      </c>
      <c r="G624" s="4" t="str">
        <f>IF(B624="","",IFERROR(VLOOKUP(B624, PLANTA_BASE!A:W, 9, FALSE), "GENERAL"))</f>
        <v/>
      </c>
      <c r="H624" s="2" t="str">
        <f>IF(B624="","",IFERROR(VLOOKUP(B624, PLANTA_BASE!A:W, 17, FALSE), "GENERAL"))</f>
        <v/>
      </c>
    </row>
    <row r="625" spans="1:8" ht="20.100000000000001" customHeight="1" x14ac:dyDescent="0.25">
      <c r="A625" s="5" t="str">
        <f>IF(B625="","",IFERROR(VLOOKUP(B625, PLANTA_BASE!A:W, 2, FALSE), "NO ENCONTRADO EN PLANTA"))</f>
        <v/>
      </c>
      <c r="B625" s="6"/>
      <c r="C625" s="7" t="str">
        <f>IF(B625="","",IFERROR(VLOOKUP(B625, PLANTA_BASE!A:W, 3, FALSE), ""))</f>
        <v/>
      </c>
      <c r="D625" s="5" t="str">
        <f>IF(B625="","",IFERROR(VLOOKUP(B625, PLANTA_BASE!A:W, 5, FALSE), "NO ENCONTRADO EN PLANTA"))</f>
        <v/>
      </c>
      <c r="E625" s="5" t="str">
        <f>IF(B625="","",IFERROR(VLOOKUP(B625, PLANTA_BASE!A:W, 6, FALSE), "NO ENCONTRADO EN PLANTA"))</f>
        <v/>
      </c>
      <c r="F625" s="7" t="str">
        <f>IF(B625="","",IFERROR(VLOOKUP(B625, PLANTA_BASE!A:W, 8, FALSE), "DOCENTE / FACILITADOR"))</f>
        <v/>
      </c>
      <c r="G625" s="7" t="str">
        <f>IF(B625="","",IFERROR(VLOOKUP(B625, PLANTA_BASE!A:W, 9, FALSE), "GENERAL"))</f>
        <v/>
      </c>
      <c r="H625" s="5" t="str">
        <f>IF(B625="","",IFERROR(VLOOKUP(B625, PLANTA_BASE!A:W, 17, FALSE), "GENERAL"))</f>
        <v/>
      </c>
    </row>
    <row r="626" spans="1:8" ht="20.100000000000001" customHeight="1" x14ac:dyDescent="0.25">
      <c r="A626" s="2" t="str">
        <f>IF(B626="","",IFERROR(VLOOKUP(B626, PLANTA_BASE!A:W, 2, FALSE), "NO ENCONTRADO EN PLANTA"))</f>
        <v/>
      </c>
      <c r="B626" s="3"/>
      <c r="C626" s="4" t="str">
        <f>IF(B626="","",IFERROR(VLOOKUP(B626, PLANTA_BASE!A:W, 3, FALSE), ""))</f>
        <v/>
      </c>
      <c r="D626" s="2" t="str">
        <f>IF(B626="","",IFERROR(VLOOKUP(B626, PLANTA_BASE!A:W, 5, FALSE), "NO ENCONTRADO EN PLANTA"))</f>
        <v/>
      </c>
      <c r="E626" s="2" t="str">
        <f>IF(B626="","",IFERROR(VLOOKUP(B626, PLANTA_BASE!A:W, 6, FALSE), "NO ENCONTRADO EN PLANTA"))</f>
        <v/>
      </c>
      <c r="F626" s="4" t="str">
        <f>IF(B626="","",IFERROR(VLOOKUP(B626, PLANTA_BASE!A:W, 8, FALSE), "DOCENTE / FACILITADOR"))</f>
        <v/>
      </c>
      <c r="G626" s="4" t="str">
        <f>IF(B626="","",IFERROR(VLOOKUP(B626, PLANTA_BASE!A:W, 9, FALSE), "GENERAL"))</f>
        <v/>
      </c>
      <c r="H626" s="2" t="str">
        <f>IF(B626="","",IFERROR(VLOOKUP(B626, PLANTA_BASE!A:W, 17, FALSE), "GENERAL"))</f>
        <v/>
      </c>
    </row>
    <row r="627" spans="1:8" ht="20.100000000000001" customHeight="1" x14ac:dyDescent="0.25">
      <c r="A627" s="5" t="str">
        <f>IF(B627="","",IFERROR(VLOOKUP(B627, PLANTA_BASE!A:W, 2, FALSE), "NO ENCONTRADO EN PLANTA"))</f>
        <v/>
      </c>
      <c r="B627" s="6"/>
      <c r="C627" s="7" t="str">
        <f>IF(B627="","",IFERROR(VLOOKUP(B627, PLANTA_BASE!A:W, 3, FALSE), ""))</f>
        <v/>
      </c>
      <c r="D627" s="5" t="str">
        <f>IF(B627="","",IFERROR(VLOOKUP(B627, PLANTA_BASE!A:W, 5, FALSE), "NO ENCONTRADO EN PLANTA"))</f>
        <v/>
      </c>
      <c r="E627" s="5" t="str">
        <f>IF(B627="","",IFERROR(VLOOKUP(B627, PLANTA_BASE!A:W, 6, FALSE), "NO ENCONTRADO EN PLANTA"))</f>
        <v/>
      </c>
      <c r="F627" s="7" t="str">
        <f>IF(B627="","",IFERROR(VLOOKUP(B627, PLANTA_BASE!A:W, 8, FALSE), "DOCENTE / FACILITADOR"))</f>
        <v/>
      </c>
      <c r="G627" s="7" t="str">
        <f>IF(B627="","",IFERROR(VLOOKUP(B627, PLANTA_BASE!A:W, 9, FALSE), "GENERAL"))</f>
        <v/>
      </c>
      <c r="H627" s="5" t="str">
        <f>IF(B627="","",IFERROR(VLOOKUP(B627, PLANTA_BASE!A:W, 17, FALSE), "GENERAL"))</f>
        <v/>
      </c>
    </row>
    <row r="628" spans="1:8" ht="20.100000000000001" customHeight="1" x14ac:dyDescent="0.25">
      <c r="A628" s="2" t="str">
        <f>IF(B628="","",IFERROR(VLOOKUP(B628, PLANTA_BASE!A:W, 2, FALSE), "NO ENCONTRADO EN PLANTA"))</f>
        <v/>
      </c>
      <c r="B628" s="3"/>
      <c r="C628" s="4" t="str">
        <f>IF(B628="","",IFERROR(VLOOKUP(B628, PLANTA_BASE!A:W, 3, FALSE), ""))</f>
        <v/>
      </c>
      <c r="D628" s="2" t="str">
        <f>IF(B628="","",IFERROR(VLOOKUP(B628, PLANTA_BASE!A:W, 5, FALSE), "NO ENCONTRADO EN PLANTA"))</f>
        <v/>
      </c>
      <c r="E628" s="2" t="str">
        <f>IF(B628="","",IFERROR(VLOOKUP(B628, PLANTA_BASE!A:W, 6, FALSE), "NO ENCONTRADO EN PLANTA"))</f>
        <v/>
      </c>
      <c r="F628" s="4" t="str">
        <f>IF(B628="","",IFERROR(VLOOKUP(B628, PLANTA_BASE!A:W, 8, FALSE), "DOCENTE / FACILITADOR"))</f>
        <v/>
      </c>
      <c r="G628" s="4" t="str">
        <f>IF(B628="","",IFERROR(VLOOKUP(B628, PLANTA_BASE!A:W, 9, FALSE), "GENERAL"))</f>
        <v/>
      </c>
      <c r="H628" s="2" t="str">
        <f>IF(B628="","",IFERROR(VLOOKUP(B628, PLANTA_BASE!A:W, 17, FALSE), "GENERAL"))</f>
        <v/>
      </c>
    </row>
    <row r="629" spans="1:8" ht="20.100000000000001" customHeight="1" x14ac:dyDescent="0.25">
      <c r="A629" s="5" t="str">
        <f>IF(B629="","",IFERROR(VLOOKUP(B629, PLANTA_BASE!A:W, 2, FALSE), "NO ENCONTRADO EN PLANTA"))</f>
        <v/>
      </c>
      <c r="B629" s="6"/>
      <c r="C629" s="7" t="str">
        <f>IF(B629="","",IFERROR(VLOOKUP(B629, PLANTA_BASE!A:W, 3, FALSE), ""))</f>
        <v/>
      </c>
      <c r="D629" s="5" t="str">
        <f>IF(B629="","",IFERROR(VLOOKUP(B629, PLANTA_BASE!A:W, 5, FALSE), "NO ENCONTRADO EN PLANTA"))</f>
        <v/>
      </c>
      <c r="E629" s="5" t="str">
        <f>IF(B629="","",IFERROR(VLOOKUP(B629, PLANTA_BASE!A:W, 6, FALSE), "NO ENCONTRADO EN PLANTA"))</f>
        <v/>
      </c>
      <c r="F629" s="7" t="str">
        <f>IF(B629="","",IFERROR(VLOOKUP(B629, PLANTA_BASE!A:W, 8, FALSE), "DOCENTE / FACILITADOR"))</f>
        <v/>
      </c>
      <c r="G629" s="7" t="str">
        <f>IF(B629="","",IFERROR(VLOOKUP(B629, PLANTA_BASE!A:W, 9, FALSE), "GENERAL"))</f>
        <v/>
      </c>
      <c r="H629" s="5" t="str">
        <f>IF(B629="","",IFERROR(VLOOKUP(B629, PLANTA_BASE!A:W, 17, FALSE), "GENERAL"))</f>
        <v/>
      </c>
    </row>
    <row r="630" spans="1:8" ht="20.100000000000001" customHeight="1" x14ac:dyDescent="0.25">
      <c r="A630" s="2" t="str">
        <f>IF(B630="","",IFERROR(VLOOKUP(B630, PLANTA_BASE!A:W, 2, FALSE), "NO ENCONTRADO EN PLANTA"))</f>
        <v/>
      </c>
      <c r="B630" s="3"/>
      <c r="C630" s="4" t="str">
        <f>IF(B630="","",IFERROR(VLOOKUP(B630, PLANTA_BASE!A:W, 3, FALSE), ""))</f>
        <v/>
      </c>
      <c r="D630" s="2" t="str">
        <f>IF(B630="","",IFERROR(VLOOKUP(B630, PLANTA_BASE!A:W, 5, FALSE), "NO ENCONTRADO EN PLANTA"))</f>
        <v/>
      </c>
      <c r="E630" s="2" t="str">
        <f>IF(B630="","",IFERROR(VLOOKUP(B630, PLANTA_BASE!A:W, 6, FALSE), "NO ENCONTRADO EN PLANTA"))</f>
        <v/>
      </c>
      <c r="F630" s="4" t="str">
        <f>IF(B630="","",IFERROR(VLOOKUP(B630, PLANTA_BASE!A:W, 8, FALSE), "DOCENTE / FACILITADOR"))</f>
        <v/>
      </c>
      <c r="G630" s="4" t="str">
        <f>IF(B630="","",IFERROR(VLOOKUP(B630, PLANTA_BASE!A:W, 9, FALSE), "GENERAL"))</f>
        <v/>
      </c>
      <c r="H630" s="2" t="str">
        <f>IF(B630="","",IFERROR(VLOOKUP(B630, PLANTA_BASE!A:W, 17, FALSE), "GENERAL"))</f>
        <v/>
      </c>
    </row>
    <row r="631" spans="1:8" ht="20.100000000000001" customHeight="1" x14ac:dyDescent="0.25">
      <c r="A631" s="5" t="str">
        <f>IF(B631="","",IFERROR(VLOOKUP(B631, PLANTA_BASE!A:W, 2, FALSE), "NO ENCONTRADO EN PLANTA"))</f>
        <v/>
      </c>
      <c r="B631" s="6"/>
      <c r="C631" s="7" t="str">
        <f>IF(B631="","",IFERROR(VLOOKUP(B631, PLANTA_BASE!A:W, 3, FALSE), ""))</f>
        <v/>
      </c>
      <c r="D631" s="5" t="str">
        <f>IF(B631="","",IFERROR(VLOOKUP(B631, PLANTA_BASE!A:W, 5, FALSE), "NO ENCONTRADO EN PLANTA"))</f>
        <v/>
      </c>
      <c r="E631" s="5" t="str">
        <f>IF(B631="","",IFERROR(VLOOKUP(B631, PLANTA_BASE!A:W, 6, FALSE), "NO ENCONTRADO EN PLANTA"))</f>
        <v/>
      </c>
      <c r="F631" s="7" t="str">
        <f>IF(B631="","",IFERROR(VLOOKUP(B631, PLANTA_BASE!A:W, 8, FALSE), "DOCENTE / FACILITADOR"))</f>
        <v/>
      </c>
      <c r="G631" s="7" t="str">
        <f>IF(B631="","",IFERROR(VLOOKUP(B631, PLANTA_BASE!A:W, 9, FALSE), "GENERAL"))</f>
        <v/>
      </c>
      <c r="H631" s="5" t="str">
        <f>IF(B631="","",IFERROR(VLOOKUP(B631, PLANTA_BASE!A:W, 17, FALSE), "GENERAL"))</f>
        <v/>
      </c>
    </row>
    <row r="632" spans="1:8" ht="20.100000000000001" customHeight="1" x14ac:dyDescent="0.25">
      <c r="A632" s="2" t="str">
        <f>IF(B632="","",IFERROR(VLOOKUP(B632, PLANTA_BASE!A:W, 2, FALSE), "NO ENCONTRADO EN PLANTA"))</f>
        <v/>
      </c>
      <c r="B632" s="3"/>
      <c r="C632" s="4" t="str">
        <f>IF(B632="","",IFERROR(VLOOKUP(B632, PLANTA_BASE!A:W, 3, FALSE), ""))</f>
        <v/>
      </c>
      <c r="D632" s="2" t="str">
        <f>IF(B632="","",IFERROR(VLOOKUP(B632, PLANTA_BASE!A:W, 5, FALSE), "NO ENCONTRADO EN PLANTA"))</f>
        <v/>
      </c>
      <c r="E632" s="2" t="str">
        <f>IF(B632="","",IFERROR(VLOOKUP(B632, PLANTA_BASE!A:W, 6, FALSE), "NO ENCONTRADO EN PLANTA"))</f>
        <v/>
      </c>
      <c r="F632" s="4" t="str">
        <f>IF(B632="","",IFERROR(VLOOKUP(B632, PLANTA_BASE!A:W, 8, FALSE), "DOCENTE / FACILITADOR"))</f>
        <v/>
      </c>
      <c r="G632" s="4" t="str">
        <f>IF(B632="","",IFERROR(VLOOKUP(B632, PLANTA_BASE!A:W, 9, FALSE), "GENERAL"))</f>
        <v/>
      </c>
      <c r="H632" s="2" t="str">
        <f>IF(B632="","",IFERROR(VLOOKUP(B632, PLANTA_BASE!A:W, 17, FALSE), "GENERAL"))</f>
        <v/>
      </c>
    </row>
    <row r="633" spans="1:8" ht="20.100000000000001" customHeight="1" x14ac:dyDescent="0.25">
      <c r="A633" s="5" t="str">
        <f>IF(B633="","",IFERROR(VLOOKUP(B633, PLANTA_BASE!A:W, 2, FALSE), "NO ENCONTRADO EN PLANTA"))</f>
        <v/>
      </c>
      <c r="B633" s="6"/>
      <c r="C633" s="7" t="str">
        <f>IF(B633="","",IFERROR(VLOOKUP(B633, PLANTA_BASE!A:W, 3, FALSE), ""))</f>
        <v/>
      </c>
      <c r="D633" s="5" t="str">
        <f>IF(B633="","",IFERROR(VLOOKUP(B633, PLANTA_BASE!A:W, 5, FALSE), "NO ENCONTRADO EN PLANTA"))</f>
        <v/>
      </c>
      <c r="E633" s="5" t="str">
        <f>IF(B633="","",IFERROR(VLOOKUP(B633, PLANTA_BASE!A:W, 6, FALSE), "NO ENCONTRADO EN PLANTA"))</f>
        <v/>
      </c>
      <c r="F633" s="7" t="str">
        <f>IF(B633="","",IFERROR(VLOOKUP(B633, PLANTA_BASE!A:W, 8, FALSE), "DOCENTE / FACILITADOR"))</f>
        <v/>
      </c>
      <c r="G633" s="7" t="str">
        <f>IF(B633="","",IFERROR(VLOOKUP(B633, PLANTA_BASE!A:W, 9, FALSE), "GENERAL"))</f>
        <v/>
      </c>
      <c r="H633" s="5" t="str">
        <f>IF(B633="","",IFERROR(VLOOKUP(B633, PLANTA_BASE!A:W, 17, FALSE), "GENERAL"))</f>
        <v/>
      </c>
    </row>
    <row r="634" spans="1:8" ht="20.100000000000001" customHeight="1" x14ac:dyDescent="0.25">
      <c r="A634" s="2" t="str">
        <f>IF(B634="","",IFERROR(VLOOKUP(B634, PLANTA_BASE!A:W, 2, FALSE), "NO ENCONTRADO EN PLANTA"))</f>
        <v/>
      </c>
      <c r="B634" s="3"/>
      <c r="C634" s="4" t="str">
        <f>IF(B634="","",IFERROR(VLOOKUP(B634, PLANTA_BASE!A:W, 3, FALSE), ""))</f>
        <v/>
      </c>
      <c r="D634" s="2" t="str">
        <f>IF(B634="","",IFERROR(VLOOKUP(B634, PLANTA_BASE!A:W, 5, FALSE), "NO ENCONTRADO EN PLANTA"))</f>
        <v/>
      </c>
      <c r="E634" s="2" t="str">
        <f>IF(B634="","",IFERROR(VLOOKUP(B634, PLANTA_BASE!A:W, 6, FALSE), "NO ENCONTRADO EN PLANTA"))</f>
        <v/>
      </c>
      <c r="F634" s="4" t="str">
        <f>IF(B634="","",IFERROR(VLOOKUP(B634, PLANTA_BASE!A:W, 8, FALSE), "DOCENTE / FACILITADOR"))</f>
        <v/>
      </c>
      <c r="G634" s="4" t="str">
        <f>IF(B634="","",IFERROR(VLOOKUP(B634, PLANTA_BASE!A:W, 9, FALSE), "GENERAL"))</f>
        <v/>
      </c>
      <c r="H634" s="2" t="str">
        <f>IF(B634="","",IFERROR(VLOOKUP(B634, PLANTA_BASE!A:W, 17, FALSE), "GENERAL"))</f>
        <v/>
      </c>
    </row>
    <row r="635" spans="1:8" ht="20.100000000000001" customHeight="1" x14ac:dyDescent="0.25">
      <c r="A635" s="5" t="str">
        <f>IF(B635="","",IFERROR(VLOOKUP(B635, PLANTA_BASE!A:W, 2, FALSE), "NO ENCONTRADO EN PLANTA"))</f>
        <v/>
      </c>
      <c r="B635" s="6"/>
      <c r="C635" s="7" t="str">
        <f>IF(B635="","",IFERROR(VLOOKUP(B635, PLANTA_BASE!A:W, 3, FALSE), ""))</f>
        <v/>
      </c>
      <c r="D635" s="5" t="str">
        <f>IF(B635="","",IFERROR(VLOOKUP(B635, PLANTA_BASE!A:W, 5, FALSE), "NO ENCONTRADO EN PLANTA"))</f>
        <v/>
      </c>
      <c r="E635" s="5" t="str">
        <f>IF(B635="","",IFERROR(VLOOKUP(B635, PLANTA_BASE!A:W, 6, FALSE), "NO ENCONTRADO EN PLANTA"))</f>
        <v/>
      </c>
      <c r="F635" s="7" t="str">
        <f>IF(B635="","",IFERROR(VLOOKUP(B635, PLANTA_BASE!A:W, 8, FALSE), "DOCENTE / FACILITADOR"))</f>
        <v/>
      </c>
      <c r="G635" s="7" t="str">
        <f>IF(B635="","",IFERROR(VLOOKUP(B635, PLANTA_BASE!A:W, 9, FALSE), "GENERAL"))</f>
        <v/>
      </c>
      <c r="H635" s="5" t="str">
        <f>IF(B635="","",IFERROR(VLOOKUP(B635, PLANTA_BASE!A:W, 17, FALSE), "GENERAL"))</f>
        <v/>
      </c>
    </row>
    <row r="636" spans="1:8" ht="20.100000000000001" customHeight="1" x14ac:dyDescent="0.25">
      <c r="A636" s="2" t="str">
        <f>IF(B636="","",IFERROR(VLOOKUP(B636, PLANTA_BASE!A:W, 2, FALSE), "NO ENCONTRADO EN PLANTA"))</f>
        <v/>
      </c>
      <c r="B636" s="3"/>
      <c r="C636" s="4" t="str">
        <f>IF(B636="","",IFERROR(VLOOKUP(B636, PLANTA_BASE!A:W, 3, FALSE), ""))</f>
        <v/>
      </c>
      <c r="D636" s="2" t="str">
        <f>IF(B636="","",IFERROR(VLOOKUP(B636, PLANTA_BASE!A:W, 5, FALSE), "NO ENCONTRADO EN PLANTA"))</f>
        <v/>
      </c>
      <c r="E636" s="2" t="str">
        <f>IF(B636="","",IFERROR(VLOOKUP(B636, PLANTA_BASE!A:W, 6, FALSE), "NO ENCONTRADO EN PLANTA"))</f>
        <v/>
      </c>
      <c r="F636" s="4" t="str">
        <f>IF(B636="","",IFERROR(VLOOKUP(B636, PLANTA_BASE!A:W, 8, FALSE), "DOCENTE / FACILITADOR"))</f>
        <v/>
      </c>
      <c r="G636" s="4" t="str">
        <f>IF(B636="","",IFERROR(VLOOKUP(B636, PLANTA_BASE!A:W, 9, FALSE), "GENERAL"))</f>
        <v/>
      </c>
      <c r="H636" s="2" t="str">
        <f>IF(B636="","",IFERROR(VLOOKUP(B636, PLANTA_BASE!A:W, 17, FALSE), "GENERAL"))</f>
        <v/>
      </c>
    </row>
    <row r="637" spans="1:8" ht="20.100000000000001" customHeight="1" x14ac:dyDescent="0.25">
      <c r="A637" s="5" t="str">
        <f>IF(B637="","",IFERROR(VLOOKUP(B637, PLANTA_BASE!A:W, 2, FALSE), "NO ENCONTRADO EN PLANTA"))</f>
        <v/>
      </c>
      <c r="B637" s="6"/>
      <c r="C637" s="7" t="str">
        <f>IF(B637="","",IFERROR(VLOOKUP(B637, PLANTA_BASE!A:W, 3, FALSE), ""))</f>
        <v/>
      </c>
      <c r="D637" s="5" t="str">
        <f>IF(B637="","",IFERROR(VLOOKUP(B637, PLANTA_BASE!A:W, 5, FALSE), "NO ENCONTRADO EN PLANTA"))</f>
        <v/>
      </c>
      <c r="E637" s="5" t="str">
        <f>IF(B637="","",IFERROR(VLOOKUP(B637, PLANTA_BASE!A:W, 6, FALSE), "NO ENCONTRADO EN PLANTA"))</f>
        <v/>
      </c>
      <c r="F637" s="7" t="str">
        <f>IF(B637="","",IFERROR(VLOOKUP(B637, PLANTA_BASE!A:W, 8, FALSE), "DOCENTE / FACILITADOR"))</f>
        <v/>
      </c>
      <c r="G637" s="7" t="str">
        <f>IF(B637="","",IFERROR(VLOOKUP(B637, PLANTA_BASE!A:W, 9, FALSE), "GENERAL"))</f>
        <v/>
      </c>
      <c r="H637" s="5" t="str">
        <f>IF(B637="","",IFERROR(VLOOKUP(B637, PLANTA_BASE!A:W, 17, FALSE), "GENERAL"))</f>
        <v/>
      </c>
    </row>
    <row r="638" spans="1:8" ht="20.100000000000001" customHeight="1" x14ac:dyDescent="0.25">
      <c r="A638" s="2" t="str">
        <f>IF(B638="","",IFERROR(VLOOKUP(B638, PLANTA_BASE!A:W, 2, FALSE), "NO ENCONTRADO EN PLANTA"))</f>
        <v/>
      </c>
      <c r="B638" s="3"/>
      <c r="C638" s="4" t="str">
        <f>IF(B638="","",IFERROR(VLOOKUP(B638, PLANTA_BASE!A:W, 3, FALSE), ""))</f>
        <v/>
      </c>
      <c r="D638" s="2" t="str">
        <f>IF(B638="","",IFERROR(VLOOKUP(B638, PLANTA_BASE!A:W, 5, FALSE), "NO ENCONTRADO EN PLANTA"))</f>
        <v/>
      </c>
      <c r="E638" s="2" t="str">
        <f>IF(B638="","",IFERROR(VLOOKUP(B638, PLANTA_BASE!A:W, 6, FALSE), "NO ENCONTRADO EN PLANTA"))</f>
        <v/>
      </c>
      <c r="F638" s="4" t="str">
        <f>IF(B638="","",IFERROR(VLOOKUP(B638, PLANTA_BASE!A:W, 8, FALSE), "DOCENTE / FACILITADOR"))</f>
        <v/>
      </c>
      <c r="G638" s="4" t="str">
        <f>IF(B638="","",IFERROR(VLOOKUP(B638, PLANTA_BASE!A:W, 9, FALSE), "GENERAL"))</f>
        <v/>
      </c>
      <c r="H638" s="2" t="str">
        <f>IF(B638="","",IFERROR(VLOOKUP(B638, PLANTA_BASE!A:W, 17, FALSE), "GENERAL"))</f>
        <v/>
      </c>
    </row>
    <row r="639" spans="1:8" ht="20.100000000000001" customHeight="1" x14ac:dyDescent="0.25">
      <c r="A639" s="5" t="str">
        <f>IF(B639="","",IFERROR(VLOOKUP(B639, PLANTA_BASE!A:W, 2, FALSE), "NO ENCONTRADO EN PLANTA"))</f>
        <v/>
      </c>
      <c r="B639" s="6"/>
      <c r="C639" s="7" t="str">
        <f>IF(B639="","",IFERROR(VLOOKUP(B639, PLANTA_BASE!A:W, 3, FALSE), ""))</f>
        <v/>
      </c>
      <c r="D639" s="5" t="str">
        <f>IF(B639="","",IFERROR(VLOOKUP(B639, PLANTA_BASE!A:W, 5, FALSE), "NO ENCONTRADO EN PLANTA"))</f>
        <v/>
      </c>
      <c r="E639" s="5" t="str">
        <f>IF(B639="","",IFERROR(VLOOKUP(B639, PLANTA_BASE!A:W, 6, FALSE), "NO ENCONTRADO EN PLANTA"))</f>
        <v/>
      </c>
      <c r="F639" s="7" t="str">
        <f>IF(B639="","",IFERROR(VLOOKUP(B639, PLANTA_BASE!A:W, 8, FALSE), "DOCENTE / FACILITADOR"))</f>
        <v/>
      </c>
      <c r="G639" s="7" t="str">
        <f>IF(B639="","",IFERROR(VLOOKUP(B639, PLANTA_BASE!A:W, 9, FALSE), "GENERAL"))</f>
        <v/>
      </c>
      <c r="H639" s="5" t="str">
        <f>IF(B639="","",IFERROR(VLOOKUP(B639, PLANTA_BASE!A:W, 17, FALSE), "GENERAL"))</f>
        <v/>
      </c>
    </row>
    <row r="640" spans="1:8" ht="20.100000000000001" customHeight="1" x14ac:dyDescent="0.25">
      <c r="A640" s="2" t="str">
        <f>IF(B640="","",IFERROR(VLOOKUP(B640, PLANTA_BASE!A:W, 2, FALSE), "NO ENCONTRADO EN PLANTA"))</f>
        <v/>
      </c>
      <c r="B640" s="3"/>
      <c r="C640" s="4" t="str">
        <f>IF(B640="","",IFERROR(VLOOKUP(B640, PLANTA_BASE!A:W, 3, FALSE), ""))</f>
        <v/>
      </c>
      <c r="D640" s="2" t="str">
        <f>IF(B640="","",IFERROR(VLOOKUP(B640, PLANTA_BASE!A:W, 5, FALSE), "NO ENCONTRADO EN PLANTA"))</f>
        <v/>
      </c>
      <c r="E640" s="2" t="str">
        <f>IF(B640="","",IFERROR(VLOOKUP(B640, PLANTA_BASE!A:W, 6, FALSE), "NO ENCONTRADO EN PLANTA"))</f>
        <v/>
      </c>
      <c r="F640" s="4" t="str">
        <f>IF(B640="","",IFERROR(VLOOKUP(B640, PLANTA_BASE!A:W, 8, FALSE), "DOCENTE / FACILITADOR"))</f>
        <v/>
      </c>
      <c r="G640" s="4" t="str">
        <f>IF(B640="","",IFERROR(VLOOKUP(B640, PLANTA_BASE!A:W, 9, FALSE), "GENERAL"))</f>
        <v/>
      </c>
      <c r="H640" s="2" t="str">
        <f>IF(B640="","",IFERROR(VLOOKUP(B640, PLANTA_BASE!A:W, 17, FALSE), "GENERAL"))</f>
        <v/>
      </c>
    </row>
    <row r="641" spans="1:8" ht="20.100000000000001" customHeight="1" x14ac:dyDescent="0.25">
      <c r="A641" s="5" t="str">
        <f>IF(B641="","",IFERROR(VLOOKUP(B641, PLANTA_BASE!A:W, 2, FALSE), "NO ENCONTRADO EN PLANTA"))</f>
        <v/>
      </c>
      <c r="B641" s="6"/>
      <c r="C641" s="7" t="str">
        <f>IF(B641="","",IFERROR(VLOOKUP(B641, PLANTA_BASE!A:W, 3, FALSE), ""))</f>
        <v/>
      </c>
      <c r="D641" s="5" t="str">
        <f>IF(B641="","",IFERROR(VLOOKUP(B641, PLANTA_BASE!A:W, 5, FALSE), "NO ENCONTRADO EN PLANTA"))</f>
        <v/>
      </c>
      <c r="E641" s="5" t="str">
        <f>IF(B641="","",IFERROR(VLOOKUP(B641, PLANTA_BASE!A:W, 6, FALSE), "NO ENCONTRADO EN PLANTA"))</f>
        <v/>
      </c>
      <c r="F641" s="7" t="str">
        <f>IF(B641="","",IFERROR(VLOOKUP(B641, PLANTA_BASE!A:W, 8, FALSE), "DOCENTE / FACILITADOR"))</f>
        <v/>
      </c>
      <c r="G641" s="7" t="str">
        <f>IF(B641="","",IFERROR(VLOOKUP(B641, PLANTA_BASE!A:W, 9, FALSE), "GENERAL"))</f>
        <v/>
      </c>
      <c r="H641" s="5" t="str">
        <f>IF(B641="","",IFERROR(VLOOKUP(B641, PLANTA_BASE!A:W, 17, FALSE), "GENERAL"))</f>
        <v/>
      </c>
    </row>
    <row r="642" spans="1:8" ht="20.100000000000001" customHeight="1" x14ac:dyDescent="0.25">
      <c r="A642" s="2" t="str">
        <f>IF(B642="","",IFERROR(VLOOKUP(B642, PLANTA_BASE!A:W, 2, FALSE), "NO ENCONTRADO EN PLANTA"))</f>
        <v/>
      </c>
      <c r="B642" s="3"/>
      <c r="C642" s="4" t="str">
        <f>IF(B642="","",IFERROR(VLOOKUP(B642, PLANTA_BASE!A:W, 3, FALSE), ""))</f>
        <v/>
      </c>
      <c r="D642" s="2" t="str">
        <f>IF(B642="","",IFERROR(VLOOKUP(B642, PLANTA_BASE!A:W, 5, FALSE), "NO ENCONTRADO EN PLANTA"))</f>
        <v/>
      </c>
      <c r="E642" s="2" t="str">
        <f>IF(B642="","",IFERROR(VLOOKUP(B642, PLANTA_BASE!A:W, 6, FALSE), "NO ENCONTRADO EN PLANTA"))</f>
        <v/>
      </c>
      <c r="F642" s="4" t="str">
        <f>IF(B642="","",IFERROR(VLOOKUP(B642, PLANTA_BASE!A:W, 8, FALSE), "DOCENTE / FACILITADOR"))</f>
        <v/>
      </c>
      <c r="G642" s="4" t="str">
        <f>IF(B642="","",IFERROR(VLOOKUP(B642, PLANTA_BASE!A:W, 9, FALSE), "GENERAL"))</f>
        <v/>
      </c>
      <c r="H642" s="2" t="str">
        <f>IF(B642="","",IFERROR(VLOOKUP(B642, PLANTA_BASE!A:W, 17, FALSE), "GENERAL"))</f>
        <v/>
      </c>
    </row>
    <row r="643" spans="1:8" ht="20.100000000000001" customHeight="1" x14ac:dyDescent="0.25">
      <c r="A643" s="5" t="str">
        <f>IF(B643="","",IFERROR(VLOOKUP(B643, PLANTA_BASE!A:W, 2, FALSE), "NO ENCONTRADO EN PLANTA"))</f>
        <v/>
      </c>
      <c r="B643" s="6"/>
      <c r="C643" s="7" t="str">
        <f>IF(B643="","",IFERROR(VLOOKUP(B643, PLANTA_BASE!A:W, 3, FALSE), ""))</f>
        <v/>
      </c>
      <c r="D643" s="5" t="str">
        <f>IF(B643="","",IFERROR(VLOOKUP(B643, PLANTA_BASE!A:W, 5, FALSE), "NO ENCONTRADO EN PLANTA"))</f>
        <v/>
      </c>
      <c r="E643" s="5" t="str">
        <f>IF(B643="","",IFERROR(VLOOKUP(B643, PLANTA_BASE!A:W, 6, FALSE), "NO ENCONTRADO EN PLANTA"))</f>
        <v/>
      </c>
      <c r="F643" s="7" t="str">
        <f>IF(B643="","",IFERROR(VLOOKUP(B643, PLANTA_BASE!A:W, 8, FALSE), "DOCENTE / FACILITADOR"))</f>
        <v/>
      </c>
      <c r="G643" s="7" t="str">
        <f>IF(B643="","",IFERROR(VLOOKUP(B643, PLANTA_BASE!A:W, 9, FALSE), "GENERAL"))</f>
        <v/>
      </c>
      <c r="H643" s="5" t="str">
        <f>IF(B643="","",IFERROR(VLOOKUP(B643, PLANTA_BASE!A:W, 17, FALSE), "GENERAL"))</f>
        <v/>
      </c>
    </row>
    <row r="644" spans="1:8" ht="20.100000000000001" customHeight="1" x14ac:dyDescent="0.25">
      <c r="A644" s="2" t="str">
        <f>IF(B644="","",IFERROR(VLOOKUP(B644, PLANTA_BASE!A:W, 2, FALSE), "NO ENCONTRADO EN PLANTA"))</f>
        <v/>
      </c>
      <c r="B644" s="3"/>
      <c r="C644" s="4" t="str">
        <f>IF(B644="","",IFERROR(VLOOKUP(B644, PLANTA_BASE!A:W, 3, FALSE), ""))</f>
        <v/>
      </c>
      <c r="D644" s="2" t="str">
        <f>IF(B644="","",IFERROR(VLOOKUP(B644, PLANTA_BASE!A:W, 5, FALSE), "NO ENCONTRADO EN PLANTA"))</f>
        <v/>
      </c>
      <c r="E644" s="2" t="str">
        <f>IF(B644="","",IFERROR(VLOOKUP(B644, PLANTA_BASE!A:W, 6, FALSE), "NO ENCONTRADO EN PLANTA"))</f>
        <v/>
      </c>
      <c r="F644" s="4" t="str">
        <f>IF(B644="","",IFERROR(VLOOKUP(B644, PLANTA_BASE!A:W, 8, FALSE), "DOCENTE / FACILITADOR"))</f>
        <v/>
      </c>
      <c r="G644" s="4" t="str">
        <f>IF(B644="","",IFERROR(VLOOKUP(B644, PLANTA_BASE!A:W, 9, FALSE), "GENERAL"))</f>
        <v/>
      </c>
      <c r="H644" s="2" t="str">
        <f>IF(B644="","",IFERROR(VLOOKUP(B644, PLANTA_BASE!A:W, 17, FALSE), "GENERAL"))</f>
        <v/>
      </c>
    </row>
    <row r="645" spans="1:8" ht="20.100000000000001" customHeight="1" x14ac:dyDescent="0.25">
      <c r="A645" s="5" t="str">
        <f>IF(B645="","",IFERROR(VLOOKUP(B645, PLANTA_BASE!A:W, 2, FALSE), "NO ENCONTRADO EN PLANTA"))</f>
        <v/>
      </c>
      <c r="B645" s="6"/>
      <c r="C645" s="7" t="str">
        <f>IF(B645="","",IFERROR(VLOOKUP(B645, PLANTA_BASE!A:W, 3, FALSE), ""))</f>
        <v/>
      </c>
      <c r="D645" s="5" t="str">
        <f>IF(B645="","",IFERROR(VLOOKUP(B645, PLANTA_BASE!A:W, 5, FALSE), "NO ENCONTRADO EN PLANTA"))</f>
        <v/>
      </c>
      <c r="E645" s="5" t="str">
        <f>IF(B645="","",IFERROR(VLOOKUP(B645, PLANTA_BASE!A:W, 6, FALSE), "NO ENCONTRADO EN PLANTA"))</f>
        <v/>
      </c>
      <c r="F645" s="7" t="str">
        <f>IF(B645="","",IFERROR(VLOOKUP(B645, PLANTA_BASE!A:W, 8, FALSE), "DOCENTE / FACILITADOR"))</f>
        <v/>
      </c>
      <c r="G645" s="7" t="str">
        <f>IF(B645="","",IFERROR(VLOOKUP(B645, PLANTA_BASE!A:W, 9, FALSE), "GENERAL"))</f>
        <v/>
      </c>
      <c r="H645" s="5" t="str">
        <f>IF(B645="","",IFERROR(VLOOKUP(B645, PLANTA_BASE!A:W, 17, FALSE), "GENERAL"))</f>
        <v/>
      </c>
    </row>
    <row r="646" spans="1:8" ht="20.100000000000001" customHeight="1" x14ac:dyDescent="0.25">
      <c r="A646" s="2" t="str">
        <f>IF(B646="","",IFERROR(VLOOKUP(B646, PLANTA_BASE!A:W, 2, FALSE), "NO ENCONTRADO EN PLANTA"))</f>
        <v/>
      </c>
      <c r="B646" s="3"/>
      <c r="C646" s="4" t="str">
        <f>IF(B646="","",IFERROR(VLOOKUP(B646, PLANTA_BASE!A:W, 3, FALSE), ""))</f>
        <v/>
      </c>
      <c r="D646" s="2" t="str">
        <f>IF(B646="","",IFERROR(VLOOKUP(B646, PLANTA_BASE!A:W, 5, FALSE), "NO ENCONTRADO EN PLANTA"))</f>
        <v/>
      </c>
      <c r="E646" s="2" t="str">
        <f>IF(B646="","",IFERROR(VLOOKUP(B646, PLANTA_BASE!A:W, 6, FALSE), "NO ENCONTRADO EN PLANTA"))</f>
        <v/>
      </c>
      <c r="F646" s="4" t="str">
        <f>IF(B646="","",IFERROR(VLOOKUP(B646, PLANTA_BASE!A:W, 8, FALSE), "DOCENTE / FACILITADOR"))</f>
        <v/>
      </c>
      <c r="G646" s="4" t="str">
        <f>IF(B646="","",IFERROR(VLOOKUP(B646, PLANTA_BASE!A:W, 9, FALSE), "GENERAL"))</f>
        <v/>
      </c>
      <c r="H646" s="2" t="str">
        <f>IF(B646="","",IFERROR(VLOOKUP(B646, PLANTA_BASE!A:W, 17, FALSE), "GENERAL"))</f>
        <v/>
      </c>
    </row>
    <row r="647" spans="1:8" ht="20.100000000000001" customHeight="1" x14ac:dyDescent="0.25">
      <c r="A647" s="5" t="str">
        <f>IF(B647="","",IFERROR(VLOOKUP(B647, PLANTA_BASE!A:W, 2, FALSE), "NO ENCONTRADO EN PLANTA"))</f>
        <v/>
      </c>
      <c r="B647" s="6"/>
      <c r="C647" s="7" t="str">
        <f>IF(B647="","",IFERROR(VLOOKUP(B647, PLANTA_BASE!A:W, 3, FALSE), ""))</f>
        <v/>
      </c>
      <c r="D647" s="5" t="str">
        <f>IF(B647="","",IFERROR(VLOOKUP(B647, PLANTA_BASE!A:W, 5, FALSE), "NO ENCONTRADO EN PLANTA"))</f>
        <v/>
      </c>
      <c r="E647" s="5" t="str">
        <f>IF(B647="","",IFERROR(VLOOKUP(B647, PLANTA_BASE!A:W, 6, FALSE), "NO ENCONTRADO EN PLANTA"))</f>
        <v/>
      </c>
      <c r="F647" s="7" t="str">
        <f>IF(B647="","",IFERROR(VLOOKUP(B647, PLANTA_BASE!A:W, 8, FALSE), "DOCENTE / FACILITADOR"))</f>
        <v/>
      </c>
      <c r="G647" s="7" t="str">
        <f>IF(B647="","",IFERROR(VLOOKUP(B647, PLANTA_BASE!A:W, 9, FALSE), "GENERAL"))</f>
        <v/>
      </c>
      <c r="H647" s="5" t="str">
        <f>IF(B647="","",IFERROR(VLOOKUP(B647, PLANTA_BASE!A:W, 17, FALSE), "GENERAL"))</f>
        <v/>
      </c>
    </row>
    <row r="648" spans="1:8" ht="20.100000000000001" customHeight="1" x14ac:dyDescent="0.25">
      <c r="A648" s="2" t="str">
        <f>IF(B648="","",IFERROR(VLOOKUP(B648, PLANTA_BASE!A:W, 2, FALSE), "NO ENCONTRADO EN PLANTA"))</f>
        <v/>
      </c>
      <c r="B648" s="3"/>
      <c r="C648" s="4" t="str">
        <f>IF(B648="","",IFERROR(VLOOKUP(B648, PLANTA_BASE!A:W, 3, FALSE), ""))</f>
        <v/>
      </c>
      <c r="D648" s="2" t="str">
        <f>IF(B648="","",IFERROR(VLOOKUP(B648, PLANTA_BASE!A:W, 5, FALSE), "NO ENCONTRADO EN PLANTA"))</f>
        <v/>
      </c>
      <c r="E648" s="2" t="str">
        <f>IF(B648="","",IFERROR(VLOOKUP(B648, PLANTA_BASE!A:W, 6, FALSE), "NO ENCONTRADO EN PLANTA"))</f>
        <v/>
      </c>
      <c r="F648" s="4" t="str">
        <f>IF(B648="","",IFERROR(VLOOKUP(B648, PLANTA_BASE!A:W, 8, FALSE), "DOCENTE / FACILITADOR"))</f>
        <v/>
      </c>
      <c r="G648" s="4" t="str">
        <f>IF(B648="","",IFERROR(VLOOKUP(B648, PLANTA_BASE!A:W, 9, FALSE), "GENERAL"))</f>
        <v/>
      </c>
      <c r="H648" s="2" t="str">
        <f>IF(B648="","",IFERROR(VLOOKUP(B648, PLANTA_BASE!A:W, 17, FALSE), "GENERAL"))</f>
        <v/>
      </c>
    </row>
    <row r="649" spans="1:8" ht="20.100000000000001" customHeight="1" x14ac:dyDescent="0.25">
      <c r="A649" s="5" t="str">
        <f>IF(B649="","",IFERROR(VLOOKUP(B649, PLANTA_BASE!A:W, 2, FALSE), "NO ENCONTRADO EN PLANTA"))</f>
        <v/>
      </c>
      <c r="B649" s="6"/>
      <c r="C649" s="7" t="str">
        <f>IF(B649="","",IFERROR(VLOOKUP(B649, PLANTA_BASE!A:W, 3, FALSE), ""))</f>
        <v/>
      </c>
      <c r="D649" s="5" t="str">
        <f>IF(B649="","",IFERROR(VLOOKUP(B649, PLANTA_BASE!A:W, 5, FALSE), "NO ENCONTRADO EN PLANTA"))</f>
        <v/>
      </c>
      <c r="E649" s="5" t="str">
        <f>IF(B649="","",IFERROR(VLOOKUP(B649, PLANTA_BASE!A:W, 6, FALSE), "NO ENCONTRADO EN PLANTA"))</f>
        <v/>
      </c>
      <c r="F649" s="7" t="str">
        <f>IF(B649="","",IFERROR(VLOOKUP(B649, PLANTA_BASE!A:W, 8, FALSE), "DOCENTE / FACILITADOR"))</f>
        <v/>
      </c>
      <c r="G649" s="7" t="str">
        <f>IF(B649="","",IFERROR(VLOOKUP(B649, PLANTA_BASE!A:W, 9, FALSE), "GENERAL"))</f>
        <v/>
      </c>
      <c r="H649" s="5" t="str">
        <f>IF(B649="","",IFERROR(VLOOKUP(B649, PLANTA_BASE!A:W, 17, FALSE), "GENERAL"))</f>
        <v/>
      </c>
    </row>
    <row r="650" spans="1:8" ht="20.100000000000001" customHeight="1" x14ac:dyDescent="0.25">
      <c r="A650" s="2" t="str">
        <f>IF(B650="","",IFERROR(VLOOKUP(B650, PLANTA_BASE!A:W, 2, FALSE), "NO ENCONTRADO EN PLANTA"))</f>
        <v/>
      </c>
      <c r="B650" s="3"/>
      <c r="C650" s="4" t="str">
        <f>IF(B650="","",IFERROR(VLOOKUP(B650, PLANTA_BASE!A:W, 3, FALSE), ""))</f>
        <v/>
      </c>
      <c r="D650" s="2" t="str">
        <f>IF(B650="","",IFERROR(VLOOKUP(B650, PLANTA_BASE!A:W, 5, FALSE), "NO ENCONTRADO EN PLANTA"))</f>
        <v/>
      </c>
      <c r="E650" s="2" t="str">
        <f>IF(B650="","",IFERROR(VLOOKUP(B650, PLANTA_BASE!A:W, 6, FALSE), "NO ENCONTRADO EN PLANTA"))</f>
        <v/>
      </c>
      <c r="F650" s="4" t="str">
        <f>IF(B650="","",IFERROR(VLOOKUP(B650, PLANTA_BASE!A:W, 8, FALSE), "DOCENTE / FACILITADOR"))</f>
        <v/>
      </c>
      <c r="G650" s="4" t="str">
        <f>IF(B650="","",IFERROR(VLOOKUP(B650, PLANTA_BASE!A:W, 9, FALSE), "GENERAL"))</f>
        <v/>
      </c>
      <c r="H650" s="2" t="str">
        <f>IF(B650="","",IFERROR(VLOOKUP(B650, PLANTA_BASE!A:W, 17, FALSE), "GENERAL"))</f>
        <v/>
      </c>
    </row>
    <row r="651" spans="1:8" ht="20.100000000000001" customHeight="1" x14ac:dyDescent="0.25">
      <c r="A651" s="5" t="str">
        <f>IF(B651="","",IFERROR(VLOOKUP(B651, PLANTA_BASE!A:W, 2, FALSE), "NO ENCONTRADO EN PLANTA"))</f>
        <v/>
      </c>
      <c r="B651" s="6"/>
      <c r="C651" s="7" t="str">
        <f>IF(B651="","",IFERROR(VLOOKUP(B651, PLANTA_BASE!A:W, 3, FALSE), ""))</f>
        <v/>
      </c>
      <c r="D651" s="5" t="str">
        <f>IF(B651="","",IFERROR(VLOOKUP(B651, PLANTA_BASE!A:W, 5, FALSE), "NO ENCONTRADO EN PLANTA"))</f>
        <v/>
      </c>
      <c r="E651" s="5" t="str">
        <f>IF(B651="","",IFERROR(VLOOKUP(B651, PLANTA_BASE!A:W, 6, FALSE), "NO ENCONTRADO EN PLANTA"))</f>
        <v/>
      </c>
      <c r="F651" s="7" t="str">
        <f>IF(B651="","",IFERROR(VLOOKUP(B651, PLANTA_BASE!A:W, 8, FALSE), "DOCENTE / FACILITADOR"))</f>
        <v/>
      </c>
      <c r="G651" s="7" t="str">
        <f>IF(B651="","",IFERROR(VLOOKUP(B651, PLANTA_BASE!A:W, 9, FALSE), "GENERAL"))</f>
        <v/>
      </c>
      <c r="H651" s="5" t="str">
        <f>IF(B651="","",IFERROR(VLOOKUP(B651, PLANTA_BASE!A:W, 17, FALSE), "GENERAL"))</f>
        <v/>
      </c>
    </row>
    <row r="652" spans="1:8" ht="20.100000000000001" customHeight="1" x14ac:dyDescent="0.25">
      <c r="A652" s="2" t="str">
        <f>IF(B652="","",IFERROR(VLOOKUP(B652, PLANTA_BASE!A:W, 2, FALSE), "NO ENCONTRADO EN PLANTA"))</f>
        <v/>
      </c>
      <c r="B652" s="3"/>
      <c r="C652" s="4" t="str">
        <f>IF(B652="","",IFERROR(VLOOKUP(B652, PLANTA_BASE!A:W, 3, FALSE), ""))</f>
        <v/>
      </c>
      <c r="D652" s="2" t="str">
        <f>IF(B652="","",IFERROR(VLOOKUP(B652, PLANTA_BASE!A:W, 5, FALSE), "NO ENCONTRADO EN PLANTA"))</f>
        <v/>
      </c>
      <c r="E652" s="2" t="str">
        <f>IF(B652="","",IFERROR(VLOOKUP(B652, PLANTA_BASE!A:W, 6, FALSE), "NO ENCONTRADO EN PLANTA"))</f>
        <v/>
      </c>
      <c r="F652" s="4" t="str">
        <f>IF(B652="","",IFERROR(VLOOKUP(B652, PLANTA_BASE!A:W, 8, FALSE), "DOCENTE / FACILITADOR"))</f>
        <v/>
      </c>
      <c r="G652" s="4" t="str">
        <f>IF(B652="","",IFERROR(VLOOKUP(B652, PLANTA_BASE!A:W, 9, FALSE), "GENERAL"))</f>
        <v/>
      </c>
      <c r="H652" s="2" t="str">
        <f>IF(B652="","",IFERROR(VLOOKUP(B652, PLANTA_BASE!A:W, 17, FALSE), "GENERAL"))</f>
        <v/>
      </c>
    </row>
    <row r="653" spans="1:8" ht="20.100000000000001" customHeight="1" x14ac:dyDescent="0.25">
      <c r="A653" s="5" t="str">
        <f>IF(B653="","",IFERROR(VLOOKUP(B653, PLANTA_BASE!A:W, 2, FALSE), "NO ENCONTRADO EN PLANTA"))</f>
        <v/>
      </c>
      <c r="B653" s="6"/>
      <c r="C653" s="7" t="str">
        <f>IF(B653="","",IFERROR(VLOOKUP(B653, PLANTA_BASE!A:W, 3, FALSE), ""))</f>
        <v/>
      </c>
      <c r="D653" s="5" t="str">
        <f>IF(B653="","",IFERROR(VLOOKUP(B653, PLANTA_BASE!A:W, 5, FALSE), "NO ENCONTRADO EN PLANTA"))</f>
        <v/>
      </c>
      <c r="E653" s="5" t="str">
        <f>IF(B653="","",IFERROR(VLOOKUP(B653, PLANTA_BASE!A:W, 6, FALSE), "NO ENCONTRADO EN PLANTA"))</f>
        <v/>
      </c>
      <c r="F653" s="7" t="str">
        <f>IF(B653="","",IFERROR(VLOOKUP(B653, PLANTA_BASE!A:W, 8, FALSE), "DOCENTE / FACILITADOR"))</f>
        <v/>
      </c>
      <c r="G653" s="7" t="str">
        <f>IF(B653="","",IFERROR(VLOOKUP(B653, PLANTA_BASE!A:W, 9, FALSE), "GENERAL"))</f>
        <v/>
      </c>
      <c r="H653" s="5" t="str">
        <f>IF(B653="","",IFERROR(VLOOKUP(B653, PLANTA_BASE!A:W, 17, FALSE), "GENERAL"))</f>
        <v/>
      </c>
    </row>
    <row r="654" spans="1:8" ht="20.100000000000001" customHeight="1" x14ac:dyDescent="0.25">
      <c r="A654" s="2" t="str">
        <f>IF(B654="","",IFERROR(VLOOKUP(B654, PLANTA_BASE!A:W, 2, FALSE), "NO ENCONTRADO EN PLANTA"))</f>
        <v/>
      </c>
      <c r="B654" s="3"/>
      <c r="C654" s="4" t="str">
        <f>IF(B654="","",IFERROR(VLOOKUP(B654, PLANTA_BASE!A:W, 3, FALSE), ""))</f>
        <v/>
      </c>
      <c r="D654" s="2" t="str">
        <f>IF(B654="","",IFERROR(VLOOKUP(B654, PLANTA_BASE!A:W, 5, FALSE), "NO ENCONTRADO EN PLANTA"))</f>
        <v/>
      </c>
      <c r="E654" s="2" t="str">
        <f>IF(B654="","",IFERROR(VLOOKUP(B654, PLANTA_BASE!A:W, 6, FALSE), "NO ENCONTRADO EN PLANTA"))</f>
        <v/>
      </c>
      <c r="F654" s="4" t="str">
        <f>IF(B654="","",IFERROR(VLOOKUP(B654, PLANTA_BASE!A:W, 8, FALSE), "DOCENTE / FACILITADOR"))</f>
        <v/>
      </c>
      <c r="G654" s="4" t="str">
        <f>IF(B654="","",IFERROR(VLOOKUP(B654, PLANTA_BASE!A:W, 9, FALSE), "GENERAL"))</f>
        <v/>
      </c>
      <c r="H654" s="2" t="str">
        <f>IF(B654="","",IFERROR(VLOOKUP(B654, PLANTA_BASE!A:W, 17, FALSE), "GENERAL"))</f>
        <v/>
      </c>
    </row>
    <row r="655" spans="1:8" ht="20.100000000000001" customHeight="1" x14ac:dyDescent="0.25">
      <c r="A655" s="5" t="str">
        <f>IF(B655="","",IFERROR(VLOOKUP(B655, PLANTA_BASE!A:W, 2, FALSE), "NO ENCONTRADO EN PLANTA"))</f>
        <v/>
      </c>
      <c r="B655" s="6"/>
      <c r="C655" s="7" t="str">
        <f>IF(B655="","",IFERROR(VLOOKUP(B655, PLANTA_BASE!A:W, 3, FALSE), ""))</f>
        <v/>
      </c>
      <c r="D655" s="5" t="str">
        <f>IF(B655="","",IFERROR(VLOOKUP(B655, PLANTA_BASE!A:W, 5, FALSE), "NO ENCONTRADO EN PLANTA"))</f>
        <v/>
      </c>
      <c r="E655" s="5" t="str">
        <f>IF(B655="","",IFERROR(VLOOKUP(B655, PLANTA_BASE!A:W, 6, FALSE), "NO ENCONTRADO EN PLANTA"))</f>
        <v/>
      </c>
      <c r="F655" s="7" t="str">
        <f>IF(B655="","",IFERROR(VLOOKUP(B655, PLANTA_BASE!A:W, 8, FALSE), "DOCENTE / FACILITADOR"))</f>
        <v/>
      </c>
      <c r="G655" s="7" t="str">
        <f>IF(B655="","",IFERROR(VLOOKUP(B655, PLANTA_BASE!A:W, 9, FALSE), "GENERAL"))</f>
        <v/>
      </c>
      <c r="H655" s="5" t="str">
        <f>IF(B655="","",IFERROR(VLOOKUP(B655, PLANTA_BASE!A:W, 17, FALSE), "GENERAL"))</f>
        <v/>
      </c>
    </row>
    <row r="656" spans="1:8" ht="20.100000000000001" customHeight="1" x14ac:dyDescent="0.25">
      <c r="A656" s="2" t="str">
        <f>IF(B656="","",IFERROR(VLOOKUP(B656, PLANTA_BASE!A:W, 2, FALSE), "NO ENCONTRADO EN PLANTA"))</f>
        <v/>
      </c>
      <c r="B656" s="3"/>
      <c r="C656" s="4" t="str">
        <f>IF(B656="","",IFERROR(VLOOKUP(B656, PLANTA_BASE!A:W, 3, FALSE), ""))</f>
        <v/>
      </c>
      <c r="D656" s="2" t="str">
        <f>IF(B656="","",IFERROR(VLOOKUP(B656, PLANTA_BASE!A:W, 5, FALSE), "NO ENCONTRADO EN PLANTA"))</f>
        <v/>
      </c>
      <c r="E656" s="2" t="str">
        <f>IF(B656="","",IFERROR(VLOOKUP(B656, PLANTA_BASE!A:W, 6, FALSE), "NO ENCONTRADO EN PLANTA"))</f>
        <v/>
      </c>
      <c r="F656" s="4" t="str">
        <f>IF(B656="","",IFERROR(VLOOKUP(B656, PLANTA_BASE!A:W, 8, FALSE), "DOCENTE / FACILITADOR"))</f>
        <v/>
      </c>
      <c r="G656" s="4" t="str">
        <f>IF(B656="","",IFERROR(VLOOKUP(B656, PLANTA_BASE!A:W, 9, FALSE), "GENERAL"))</f>
        <v/>
      </c>
      <c r="H656" s="2" t="str">
        <f>IF(B656="","",IFERROR(VLOOKUP(B656, PLANTA_BASE!A:W, 17, FALSE), "GENERAL"))</f>
        <v/>
      </c>
    </row>
    <row r="657" spans="1:8" ht="20.100000000000001" customHeight="1" x14ac:dyDescent="0.25">
      <c r="A657" s="5" t="str">
        <f>IF(B657="","",IFERROR(VLOOKUP(B657, PLANTA_BASE!A:W, 2, FALSE), "NO ENCONTRADO EN PLANTA"))</f>
        <v/>
      </c>
      <c r="B657" s="6"/>
      <c r="C657" s="7" t="str">
        <f>IF(B657="","",IFERROR(VLOOKUP(B657, PLANTA_BASE!A:W, 3, FALSE), ""))</f>
        <v/>
      </c>
      <c r="D657" s="5" t="str">
        <f>IF(B657="","",IFERROR(VLOOKUP(B657, PLANTA_BASE!A:W, 5, FALSE), "NO ENCONTRADO EN PLANTA"))</f>
        <v/>
      </c>
      <c r="E657" s="5" t="str">
        <f>IF(B657="","",IFERROR(VLOOKUP(B657, PLANTA_BASE!A:W, 6, FALSE), "NO ENCONTRADO EN PLANTA"))</f>
        <v/>
      </c>
      <c r="F657" s="7" t="str">
        <f>IF(B657="","",IFERROR(VLOOKUP(B657, PLANTA_BASE!A:W, 8, FALSE), "DOCENTE / FACILITADOR"))</f>
        <v/>
      </c>
      <c r="G657" s="7" t="str">
        <f>IF(B657="","",IFERROR(VLOOKUP(B657, PLANTA_BASE!A:W, 9, FALSE), "GENERAL"))</f>
        <v/>
      </c>
      <c r="H657" s="5" t="str">
        <f>IF(B657="","",IFERROR(VLOOKUP(B657, PLANTA_BASE!A:W, 17, FALSE), "GENERAL"))</f>
        <v/>
      </c>
    </row>
    <row r="658" spans="1:8" ht="20.100000000000001" customHeight="1" x14ac:dyDescent="0.25">
      <c r="A658" s="2" t="str">
        <f>IF(B658="","",IFERROR(VLOOKUP(B658, PLANTA_BASE!A:W, 2, FALSE), "NO ENCONTRADO EN PLANTA"))</f>
        <v/>
      </c>
      <c r="B658" s="3"/>
      <c r="C658" s="4" t="str">
        <f>IF(B658="","",IFERROR(VLOOKUP(B658, PLANTA_BASE!A:W, 3, FALSE), ""))</f>
        <v/>
      </c>
      <c r="D658" s="2" t="str">
        <f>IF(B658="","",IFERROR(VLOOKUP(B658, PLANTA_BASE!A:W, 5, FALSE), "NO ENCONTRADO EN PLANTA"))</f>
        <v/>
      </c>
      <c r="E658" s="2" t="str">
        <f>IF(B658="","",IFERROR(VLOOKUP(B658, PLANTA_BASE!A:W, 6, FALSE), "NO ENCONTRADO EN PLANTA"))</f>
        <v/>
      </c>
      <c r="F658" s="4" t="str">
        <f>IF(B658="","",IFERROR(VLOOKUP(B658, PLANTA_BASE!A:W, 8, FALSE), "DOCENTE / FACILITADOR"))</f>
        <v/>
      </c>
      <c r="G658" s="4" t="str">
        <f>IF(B658="","",IFERROR(VLOOKUP(B658, PLANTA_BASE!A:W, 9, FALSE), "GENERAL"))</f>
        <v/>
      </c>
      <c r="H658" s="2" t="str">
        <f>IF(B658="","",IFERROR(VLOOKUP(B658, PLANTA_BASE!A:W, 17, FALSE), "GENERAL"))</f>
        <v/>
      </c>
    </row>
    <row r="659" spans="1:8" ht="20.100000000000001" customHeight="1" x14ac:dyDescent="0.25">
      <c r="A659" s="5" t="str">
        <f>IF(B659="","",IFERROR(VLOOKUP(B659, PLANTA_BASE!A:W, 2, FALSE), "NO ENCONTRADO EN PLANTA"))</f>
        <v/>
      </c>
      <c r="B659" s="6"/>
      <c r="C659" s="7" t="str">
        <f>IF(B659="","",IFERROR(VLOOKUP(B659, PLANTA_BASE!A:W, 3, FALSE), ""))</f>
        <v/>
      </c>
      <c r="D659" s="5" t="str">
        <f>IF(B659="","",IFERROR(VLOOKUP(B659, PLANTA_BASE!A:W, 5, FALSE), "NO ENCONTRADO EN PLANTA"))</f>
        <v/>
      </c>
      <c r="E659" s="5" t="str">
        <f>IF(B659="","",IFERROR(VLOOKUP(B659, PLANTA_BASE!A:W, 6, FALSE), "NO ENCONTRADO EN PLANTA"))</f>
        <v/>
      </c>
      <c r="F659" s="7" t="str">
        <f>IF(B659="","",IFERROR(VLOOKUP(B659, PLANTA_BASE!A:W, 8, FALSE), "DOCENTE / FACILITADOR"))</f>
        <v/>
      </c>
      <c r="G659" s="7" t="str">
        <f>IF(B659="","",IFERROR(VLOOKUP(B659, PLANTA_BASE!A:W, 9, FALSE), "GENERAL"))</f>
        <v/>
      </c>
      <c r="H659" s="5" t="str">
        <f>IF(B659="","",IFERROR(VLOOKUP(B659, PLANTA_BASE!A:W, 17, FALSE), "GENERAL"))</f>
        <v/>
      </c>
    </row>
    <row r="660" spans="1:8" ht="20.100000000000001" customHeight="1" x14ac:dyDescent="0.25">
      <c r="A660" s="2" t="str">
        <f>IF(B660="","",IFERROR(VLOOKUP(B660, PLANTA_BASE!A:W, 2, FALSE), "NO ENCONTRADO EN PLANTA"))</f>
        <v/>
      </c>
      <c r="B660" s="3"/>
      <c r="C660" s="4" t="str">
        <f>IF(B660="","",IFERROR(VLOOKUP(B660, PLANTA_BASE!A:W, 3, FALSE), ""))</f>
        <v/>
      </c>
      <c r="D660" s="2" t="str">
        <f>IF(B660="","",IFERROR(VLOOKUP(B660, PLANTA_BASE!A:W, 5, FALSE), "NO ENCONTRADO EN PLANTA"))</f>
        <v/>
      </c>
      <c r="E660" s="2" t="str">
        <f>IF(B660="","",IFERROR(VLOOKUP(B660, PLANTA_BASE!A:W, 6, FALSE), "NO ENCONTRADO EN PLANTA"))</f>
        <v/>
      </c>
      <c r="F660" s="4" t="str">
        <f>IF(B660="","",IFERROR(VLOOKUP(B660, PLANTA_BASE!A:W, 8, FALSE), "DOCENTE / FACILITADOR"))</f>
        <v/>
      </c>
      <c r="G660" s="4" t="str">
        <f>IF(B660="","",IFERROR(VLOOKUP(B660, PLANTA_BASE!A:W, 9, FALSE), "GENERAL"))</f>
        <v/>
      </c>
      <c r="H660" s="2" t="str">
        <f>IF(B660="","",IFERROR(VLOOKUP(B660, PLANTA_BASE!A:W, 17, FALSE), "GENERAL"))</f>
        <v/>
      </c>
    </row>
    <row r="661" spans="1:8" ht="20.100000000000001" customHeight="1" x14ac:dyDescent="0.25">
      <c r="A661" s="5" t="str">
        <f>IF(B661="","",IFERROR(VLOOKUP(B661, PLANTA_BASE!A:W, 2, FALSE), "NO ENCONTRADO EN PLANTA"))</f>
        <v/>
      </c>
      <c r="B661" s="6"/>
      <c r="C661" s="7" t="str">
        <f>IF(B661="","",IFERROR(VLOOKUP(B661, PLANTA_BASE!A:W, 3, FALSE), ""))</f>
        <v/>
      </c>
      <c r="D661" s="5" t="str">
        <f>IF(B661="","",IFERROR(VLOOKUP(B661, PLANTA_BASE!A:W, 5, FALSE), "NO ENCONTRADO EN PLANTA"))</f>
        <v/>
      </c>
      <c r="E661" s="5" t="str">
        <f>IF(B661="","",IFERROR(VLOOKUP(B661, PLANTA_BASE!A:W, 6, FALSE), "NO ENCONTRADO EN PLANTA"))</f>
        <v/>
      </c>
      <c r="F661" s="7" t="str">
        <f>IF(B661="","",IFERROR(VLOOKUP(B661, PLANTA_BASE!A:W, 8, FALSE), "DOCENTE / FACILITADOR"))</f>
        <v/>
      </c>
      <c r="G661" s="7" t="str">
        <f>IF(B661="","",IFERROR(VLOOKUP(B661, PLANTA_BASE!A:W, 9, FALSE), "GENERAL"))</f>
        <v/>
      </c>
      <c r="H661" s="5" t="str">
        <f>IF(B661="","",IFERROR(VLOOKUP(B661, PLANTA_BASE!A:W, 17, FALSE), "GENERAL"))</f>
        <v/>
      </c>
    </row>
    <row r="662" spans="1:8" ht="20.100000000000001" customHeight="1" x14ac:dyDescent="0.25">
      <c r="A662" s="2" t="str">
        <f>IF(B662="","",IFERROR(VLOOKUP(B662, PLANTA_BASE!A:W, 2, FALSE), "NO ENCONTRADO EN PLANTA"))</f>
        <v/>
      </c>
      <c r="B662" s="3"/>
      <c r="C662" s="4" t="str">
        <f>IF(B662="","",IFERROR(VLOOKUP(B662, PLANTA_BASE!A:W, 3, FALSE), ""))</f>
        <v/>
      </c>
      <c r="D662" s="2" t="str">
        <f>IF(B662="","",IFERROR(VLOOKUP(B662, PLANTA_BASE!A:W, 5, FALSE), "NO ENCONTRADO EN PLANTA"))</f>
        <v/>
      </c>
      <c r="E662" s="2" t="str">
        <f>IF(B662="","",IFERROR(VLOOKUP(B662, PLANTA_BASE!A:W, 6, FALSE), "NO ENCONTRADO EN PLANTA"))</f>
        <v/>
      </c>
      <c r="F662" s="4" t="str">
        <f>IF(B662="","",IFERROR(VLOOKUP(B662, PLANTA_BASE!A:W, 8, FALSE), "DOCENTE / FACILITADOR"))</f>
        <v/>
      </c>
      <c r="G662" s="4" t="str">
        <f>IF(B662="","",IFERROR(VLOOKUP(B662, PLANTA_BASE!A:W, 9, FALSE), "GENERAL"))</f>
        <v/>
      </c>
      <c r="H662" s="2" t="str">
        <f>IF(B662="","",IFERROR(VLOOKUP(B662, PLANTA_BASE!A:W, 17, FALSE), "GENERAL"))</f>
        <v/>
      </c>
    </row>
    <row r="663" spans="1:8" ht="20.100000000000001" customHeight="1" x14ac:dyDescent="0.25">
      <c r="A663" s="5" t="str">
        <f>IF(B663="","",IFERROR(VLOOKUP(B663, PLANTA_BASE!A:W, 2, FALSE), "NO ENCONTRADO EN PLANTA"))</f>
        <v/>
      </c>
      <c r="B663" s="6"/>
      <c r="C663" s="7" t="str">
        <f>IF(B663="","",IFERROR(VLOOKUP(B663, PLANTA_BASE!A:W, 3, FALSE), ""))</f>
        <v/>
      </c>
      <c r="D663" s="5" t="str">
        <f>IF(B663="","",IFERROR(VLOOKUP(B663, PLANTA_BASE!A:W, 5, FALSE), "NO ENCONTRADO EN PLANTA"))</f>
        <v/>
      </c>
      <c r="E663" s="5" t="str">
        <f>IF(B663="","",IFERROR(VLOOKUP(B663, PLANTA_BASE!A:W, 6, FALSE), "NO ENCONTRADO EN PLANTA"))</f>
        <v/>
      </c>
      <c r="F663" s="7" t="str">
        <f>IF(B663="","",IFERROR(VLOOKUP(B663, PLANTA_BASE!A:W, 8, FALSE), "DOCENTE / FACILITADOR"))</f>
        <v/>
      </c>
      <c r="G663" s="7" t="str">
        <f>IF(B663="","",IFERROR(VLOOKUP(B663, PLANTA_BASE!A:W, 9, FALSE), "GENERAL"))</f>
        <v/>
      </c>
      <c r="H663" s="5" t="str">
        <f>IF(B663="","",IFERROR(VLOOKUP(B663, PLANTA_BASE!A:W, 17, FALSE), "GENERAL"))</f>
        <v/>
      </c>
    </row>
    <row r="664" spans="1:8" ht="20.100000000000001" customHeight="1" x14ac:dyDescent="0.25">
      <c r="A664" s="2" t="str">
        <f>IF(B664="","",IFERROR(VLOOKUP(B664, PLANTA_BASE!A:W, 2, FALSE), "NO ENCONTRADO EN PLANTA"))</f>
        <v/>
      </c>
      <c r="B664" s="3"/>
      <c r="C664" s="4" t="str">
        <f>IF(B664="","",IFERROR(VLOOKUP(B664, PLANTA_BASE!A:W, 3, FALSE), ""))</f>
        <v/>
      </c>
      <c r="D664" s="2" t="str">
        <f>IF(B664="","",IFERROR(VLOOKUP(B664, PLANTA_BASE!A:W, 5, FALSE), "NO ENCONTRADO EN PLANTA"))</f>
        <v/>
      </c>
      <c r="E664" s="2" t="str">
        <f>IF(B664="","",IFERROR(VLOOKUP(B664, PLANTA_BASE!A:W, 6, FALSE), "NO ENCONTRADO EN PLANTA"))</f>
        <v/>
      </c>
      <c r="F664" s="4" t="str">
        <f>IF(B664="","",IFERROR(VLOOKUP(B664, PLANTA_BASE!A:W, 8, FALSE), "DOCENTE / FACILITADOR"))</f>
        <v/>
      </c>
      <c r="G664" s="4" t="str">
        <f>IF(B664="","",IFERROR(VLOOKUP(B664, PLANTA_BASE!A:W, 9, FALSE), "GENERAL"))</f>
        <v/>
      </c>
      <c r="H664" s="2" t="str">
        <f>IF(B664="","",IFERROR(VLOOKUP(B664, PLANTA_BASE!A:W, 17, FALSE), "GENERAL"))</f>
        <v/>
      </c>
    </row>
    <row r="665" spans="1:8" ht="20.100000000000001" customHeight="1" x14ac:dyDescent="0.25">
      <c r="A665" s="5" t="str">
        <f>IF(B665="","",IFERROR(VLOOKUP(B665, PLANTA_BASE!A:W, 2, FALSE), "NO ENCONTRADO EN PLANTA"))</f>
        <v/>
      </c>
      <c r="B665" s="6"/>
      <c r="C665" s="7" t="str">
        <f>IF(B665="","",IFERROR(VLOOKUP(B665, PLANTA_BASE!A:W, 3, FALSE), ""))</f>
        <v/>
      </c>
      <c r="D665" s="5" t="str">
        <f>IF(B665="","",IFERROR(VLOOKUP(B665, PLANTA_BASE!A:W, 5, FALSE), "NO ENCONTRADO EN PLANTA"))</f>
        <v/>
      </c>
      <c r="E665" s="5" t="str">
        <f>IF(B665="","",IFERROR(VLOOKUP(B665, PLANTA_BASE!A:W, 6, FALSE), "NO ENCONTRADO EN PLANTA"))</f>
        <v/>
      </c>
      <c r="F665" s="7" t="str">
        <f>IF(B665="","",IFERROR(VLOOKUP(B665, PLANTA_BASE!A:W, 8, FALSE), "DOCENTE / FACILITADOR"))</f>
        <v/>
      </c>
      <c r="G665" s="7" t="str">
        <f>IF(B665="","",IFERROR(VLOOKUP(B665, PLANTA_BASE!A:W, 9, FALSE), "GENERAL"))</f>
        <v/>
      </c>
      <c r="H665" s="5" t="str">
        <f>IF(B665="","",IFERROR(VLOOKUP(B665, PLANTA_BASE!A:W, 17, FALSE), "GENERAL"))</f>
        <v/>
      </c>
    </row>
    <row r="666" spans="1:8" ht="20.100000000000001" customHeight="1" x14ac:dyDescent="0.25">
      <c r="A666" s="2" t="str">
        <f>IF(B666="","",IFERROR(VLOOKUP(B666, PLANTA_BASE!A:W, 2, FALSE), "NO ENCONTRADO EN PLANTA"))</f>
        <v/>
      </c>
      <c r="B666" s="3"/>
      <c r="C666" s="4" t="str">
        <f>IF(B666="","",IFERROR(VLOOKUP(B666, PLANTA_BASE!A:W, 3, FALSE), ""))</f>
        <v/>
      </c>
      <c r="D666" s="2" t="str">
        <f>IF(B666="","",IFERROR(VLOOKUP(B666, PLANTA_BASE!A:W, 5, FALSE), "NO ENCONTRADO EN PLANTA"))</f>
        <v/>
      </c>
      <c r="E666" s="2" t="str">
        <f>IF(B666="","",IFERROR(VLOOKUP(B666, PLANTA_BASE!A:W, 6, FALSE), "NO ENCONTRADO EN PLANTA"))</f>
        <v/>
      </c>
      <c r="F666" s="4" t="str">
        <f>IF(B666="","",IFERROR(VLOOKUP(B666, PLANTA_BASE!A:W, 8, FALSE), "DOCENTE / FACILITADOR"))</f>
        <v/>
      </c>
      <c r="G666" s="4" t="str">
        <f>IF(B666="","",IFERROR(VLOOKUP(B666, PLANTA_BASE!A:W, 9, FALSE), "GENERAL"))</f>
        <v/>
      </c>
      <c r="H666" s="2" t="str">
        <f>IF(B666="","",IFERROR(VLOOKUP(B666, PLANTA_BASE!A:W, 17, FALSE), "GENERAL"))</f>
        <v/>
      </c>
    </row>
    <row r="667" spans="1:8" ht="20.100000000000001" customHeight="1" x14ac:dyDescent="0.25">
      <c r="A667" s="5" t="str">
        <f>IF(B667="","",IFERROR(VLOOKUP(B667, PLANTA_BASE!A:W, 2, FALSE), "NO ENCONTRADO EN PLANTA"))</f>
        <v/>
      </c>
      <c r="B667" s="6"/>
      <c r="C667" s="7" t="str">
        <f>IF(B667="","",IFERROR(VLOOKUP(B667, PLANTA_BASE!A:W, 3, FALSE), ""))</f>
        <v/>
      </c>
      <c r="D667" s="5" t="str">
        <f>IF(B667="","",IFERROR(VLOOKUP(B667, PLANTA_BASE!A:W, 5, FALSE), "NO ENCONTRADO EN PLANTA"))</f>
        <v/>
      </c>
      <c r="E667" s="5" t="str">
        <f>IF(B667="","",IFERROR(VLOOKUP(B667, PLANTA_BASE!A:W, 6, FALSE), "NO ENCONTRADO EN PLANTA"))</f>
        <v/>
      </c>
      <c r="F667" s="7" t="str">
        <f>IF(B667="","",IFERROR(VLOOKUP(B667, PLANTA_BASE!A:W, 8, FALSE), "DOCENTE / FACILITADOR"))</f>
        <v/>
      </c>
      <c r="G667" s="7" t="str">
        <f>IF(B667="","",IFERROR(VLOOKUP(B667, PLANTA_BASE!A:W, 9, FALSE), "GENERAL"))</f>
        <v/>
      </c>
      <c r="H667" s="5" t="str">
        <f>IF(B667="","",IFERROR(VLOOKUP(B667, PLANTA_BASE!A:W, 17, FALSE), "GENERAL"))</f>
        <v/>
      </c>
    </row>
    <row r="668" spans="1:8" ht="20.100000000000001" customHeight="1" x14ac:dyDescent="0.25">
      <c r="A668" s="2" t="str">
        <f>IF(B668="","",IFERROR(VLOOKUP(B668, PLANTA_BASE!A:W, 2, FALSE), "NO ENCONTRADO EN PLANTA"))</f>
        <v/>
      </c>
      <c r="B668" s="3"/>
      <c r="C668" s="4" t="str">
        <f>IF(B668="","",IFERROR(VLOOKUP(B668, PLANTA_BASE!A:W, 3, FALSE), ""))</f>
        <v/>
      </c>
      <c r="D668" s="2" t="str">
        <f>IF(B668="","",IFERROR(VLOOKUP(B668, PLANTA_BASE!A:W, 5, FALSE), "NO ENCONTRADO EN PLANTA"))</f>
        <v/>
      </c>
      <c r="E668" s="2" t="str">
        <f>IF(B668="","",IFERROR(VLOOKUP(B668, PLANTA_BASE!A:W, 6, FALSE), "NO ENCONTRADO EN PLANTA"))</f>
        <v/>
      </c>
      <c r="F668" s="4" t="str">
        <f>IF(B668="","",IFERROR(VLOOKUP(B668, PLANTA_BASE!A:W, 8, FALSE), "DOCENTE / FACILITADOR"))</f>
        <v/>
      </c>
      <c r="G668" s="4" t="str">
        <f>IF(B668="","",IFERROR(VLOOKUP(B668, PLANTA_BASE!A:W, 9, FALSE), "GENERAL"))</f>
        <v/>
      </c>
      <c r="H668" s="2" t="str">
        <f>IF(B668="","",IFERROR(VLOOKUP(B668, PLANTA_BASE!A:W, 17, FALSE), "GENERAL"))</f>
        <v/>
      </c>
    </row>
    <row r="669" spans="1:8" ht="20.100000000000001" customHeight="1" x14ac:dyDescent="0.25">
      <c r="A669" s="5" t="str">
        <f>IF(B669="","",IFERROR(VLOOKUP(B669, PLANTA_BASE!A:W, 2, FALSE), "NO ENCONTRADO EN PLANTA"))</f>
        <v/>
      </c>
      <c r="B669" s="6"/>
      <c r="C669" s="7" t="str">
        <f>IF(B669="","",IFERROR(VLOOKUP(B669, PLANTA_BASE!A:W, 3, FALSE), ""))</f>
        <v/>
      </c>
      <c r="D669" s="5" t="str">
        <f>IF(B669="","",IFERROR(VLOOKUP(B669, PLANTA_BASE!A:W, 5, FALSE), "NO ENCONTRADO EN PLANTA"))</f>
        <v/>
      </c>
      <c r="E669" s="5" t="str">
        <f>IF(B669="","",IFERROR(VLOOKUP(B669, PLANTA_BASE!A:W, 6, FALSE), "NO ENCONTRADO EN PLANTA"))</f>
        <v/>
      </c>
      <c r="F669" s="7" t="str">
        <f>IF(B669="","",IFERROR(VLOOKUP(B669, PLANTA_BASE!A:W, 8, FALSE), "DOCENTE / FACILITADOR"))</f>
        <v/>
      </c>
      <c r="G669" s="7" t="str">
        <f>IF(B669="","",IFERROR(VLOOKUP(B669, PLANTA_BASE!A:W, 9, FALSE), "GENERAL"))</f>
        <v/>
      </c>
      <c r="H669" s="5" t="str">
        <f>IF(B669="","",IFERROR(VLOOKUP(B669, PLANTA_BASE!A:W, 17, FALSE), "GENERAL"))</f>
        <v/>
      </c>
    </row>
    <row r="670" spans="1:8" ht="20.100000000000001" customHeight="1" x14ac:dyDescent="0.25">
      <c r="A670" s="2" t="str">
        <f>IF(B670="","",IFERROR(VLOOKUP(B670, PLANTA_BASE!A:W, 2, FALSE), "NO ENCONTRADO EN PLANTA"))</f>
        <v/>
      </c>
      <c r="B670" s="3"/>
      <c r="C670" s="4" t="str">
        <f>IF(B670="","",IFERROR(VLOOKUP(B670, PLANTA_BASE!A:W, 3, FALSE), ""))</f>
        <v/>
      </c>
      <c r="D670" s="2" t="str">
        <f>IF(B670="","",IFERROR(VLOOKUP(B670, PLANTA_BASE!A:W, 5, FALSE), "NO ENCONTRADO EN PLANTA"))</f>
        <v/>
      </c>
      <c r="E670" s="2" t="str">
        <f>IF(B670="","",IFERROR(VLOOKUP(B670, PLANTA_BASE!A:W, 6, FALSE), "NO ENCONTRADO EN PLANTA"))</f>
        <v/>
      </c>
      <c r="F670" s="4" t="str">
        <f>IF(B670="","",IFERROR(VLOOKUP(B670, PLANTA_BASE!A:W, 8, FALSE), "DOCENTE / FACILITADOR"))</f>
        <v/>
      </c>
      <c r="G670" s="4" t="str">
        <f>IF(B670="","",IFERROR(VLOOKUP(B670, PLANTA_BASE!A:W, 9, FALSE), "GENERAL"))</f>
        <v/>
      </c>
      <c r="H670" s="2" t="str">
        <f>IF(B670="","",IFERROR(VLOOKUP(B670, PLANTA_BASE!A:W, 17, FALSE), "GENERAL"))</f>
        <v/>
      </c>
    </row>
    <row r="671" spans="1:8" ht="20.100000000000001" customHeight="1" x14ac:dyDescent="0.25">
      <c r="A671" s="5" t="str">
        <f>IF(B671="","",IFERROR(VLOOKUP(B671, PLANTA_BASE!A:W, 2, FALSE), "NO ENCONTRADO EN PLANTA"))</f>
        <v/>
      </c>
      <c r="B671" s="6"/>
      <c r="C671" s="7" t="str">
        <f>IF(B671="","",IFERROR(VLOOKUP(B671, PLANTA_BASE!A:W, 3, FALSE), ""))</f>
        <v/>
      </c>
      <c r="D671" s="5" t="str">
        <f>IF(B671="","",IFERROR(VLOOKUP(B671, PLANTA_BASE!A:W, 5, FALSE), "NO ENCONTRADO EN PLANTA"))</f>
        <v/>
      </c>
      <c r="E671" s="5" t="str">
        <f>IF(B671="","",IFERROR(VLOOKUP(B671, PLANTA_BASE!A:W, 6, FALSE), "NO ENCONTRADO EN PLANTA"))</f>
        <v/>
      </c>
      <c r="F671" s="7" t="str">
        <f>IF(B671="","",IFERROR(VLOOKUP(B671, PLANTA_BASE!A:W, 8, FALSE), "DOCENTE / FACILITADOR"))</f>
        <v/>
      </c>
      <c r="G671" s="7" t="str">
        <f>IF(B671="","",IFERROR(VLOOKUP(B671, PLANTA_BASE!A:W, 9, FALSE), "GENERAL"))</f>
        <v/>
      </c>
      <c r="H671" s="5" t="str">
        <f>IF(B671="","",IFERROR(VLOOKUP(B671, PLANTA_BASE!A:W, 17, FALSE), "GENERAL"))</f>
        <v/>
      </c>
    </row>
    <row r="672" spans="1:8" ht="20.100000000000001" customHeight="1" x14ac:dyDescent="0.25">
      <c r="A672" s="2" t="str">
        <f>IF(B672="","",IFERROR(VLOOKUP(B672, PLANTA_BASE!A:W, 2, FALSE), "NO ENCONTRADO EN PLANTA"))</f>
        <v/>
      </c>
      <c r="B672" s="3"/>
      <c r="C672" s="4" t="str">
        <f>IF(B672="","",IFERROR(VLOOKUP(B672, PLANTA_BASE!A:W, 3, FALSE), ""))</f>
        <v/>
      </c>
      <c r="D672" s="2" t="str">
        <f>IF(B672="","",IFERROR(VLOOKUP(B672, PLANTA_BASE!A:W, 5, FALSE), "NO ENCONTRADO EN PLANTA"))</f>
        <v/>
      </c>
      <c r="E672" s="2" t="str">
        <f>IF(B672="","",IFERROR(VLOOKUP(B672, PLANTA_BASE!A:W, 6, FALSE), "NO ENCONTRADO EN PLANTA"))</f>
        <v/>
      </c>
      <c r="F672" s="4" t="str">
        <f>IF(B672="","",IFERROR(VLOOKUP(B672, PLANTA_BASE!A:W, 8, FALSE), "DOCENTE / FACILITADOR"))</f>
        <v/>
      </c>
      <c r="G672" s="4" t="str">
        <f>IF(B672="","",IFERROR(VLOOKUP(B672, PLANTA_BASE!A:W, 9, FALSE), "GENERAL"))</f>
        <v/>
      </c>
      <c r="H672" s="2" t="str">
        <f>IF(B672="","",IFERROR(VLOOKUP(B672, PLANTA_BASE!A:W, 17, FALSE), "GENERAL"))</f>
        <v/>
      </c>
    </row>
    <row r="673" spans="1:8" ht="20.100000000000001" customHeight="1" x14ac:dyDescent="0.25">
      <c r="A673" s="5" t="str">
        <f>IF(B673="","",IFERROR(VLOOKUP(B673, PLANTA_BASE!A:W, 2, FALSE), "NO ENCONTRADO EN PLANTA"))</f>
        <v/>
      </c>
      <c r="B673" s="6"/>
      <c r="C673" s="7" t="str">
        <f>IF(B673="","",IFERROR(VLOOKUP(B673, PLANTA_BASE!A:W, 3, FALSE), ""))</f>
        <v/>
      </c>
      <c r="D673" s="5" t="str">
        <f>IF(B673="","",IFERROR(VLOOKUP(B673, PLANTA_BASE!A:W, 5, FALSE), "NO ENCONTRADO EN PLANTA"))</f>
        <v/>
      </c>
      <c r="E673" s="5" t="str">
        <f>IF(B673="","",IFERROR(VLOOKUP(B673, PLANTA_BASE!A:W, 6, FALSE), "NO ENCONTRADO EN PLANTA"))</f>
        <v/>
      </c>
      <c r="F673" s="7" t="str">
        <f>IF(B673="","",IFERROR(VLOOKUP(B673, PLANTA_BASE!A:W, 8, FALSE), "DOCENTE / FACILITADOR"))</f>
        <v/>
      </c>
      <c r="G673" s="7" t="str">
        <f>IF(B673="","",IFERROR(VLOOKUP(B673, PLANTA_BASE!A:W, 9, FALSE), "GENERAL"))</f>
        <v/>
      </c>
      <c r="H673" s="5" t="str">
        <f>IF(B673="","",IFERROR(VLOOKUP(B673, PLANTA_BASE!A:W, 17, FALSE), "GENERAL"))</f>
        <v/>
      </c>
    </row>
    <row r="674" spans="1:8" ht="20.100000000000001" customHeight="1" x14ac:dyDescent="0.25">
      <c r="A674" s="2" t="str">
        <f>IF(B674="","",IFERROR(VLOOKUP(B674, PLANTA_BASE!A:W, 2, FALSE), "NO ENCONTRADO EN PLANTA"))</f>
        <v/>
      </c>
      <c r="B674" s="3"/>
      <c r="C674" s="4" t="str">
        <f>IF(B674="","",IFERROR(VLOOKUP(B674, PLANTA_BASE!A:W, 3, FALSE), ""))</f>
        <v/>
      </c>
      <c r="D674" s="2" t="str">
        <f>IF(B674="","",IFERROR(VLOOKUP(B674, PLANTA_BASE!A:W, 5, FALSE), "NO ENCONTRADO EN PLANTA"))</f>
        <v/>
      </c>
      <c r="E674" s="2" t="str">
        <f>IF(B674="","",IFERROR(VLOOKUP(B674, PLANTA_BASE!A:W, 6, FALSE), "NO ENCONTRADO EN PLANTA"))</f>
        <v/>
      </c>
      <c r="F674" s="4" t="str">
        <f>IF(B674="","",IFERROR(VLOOKUP(B674, PLANTA_BASE!A:W, 8, FALSE), "DOCENTE / FACILITADOR"))</f>
        <v/>
      </c>
      <c r="G674" s="4" t="str">
        <f>IF(B674="","",IFERROR(VLOOKUP(B674, PLANTA_BASE!A:W, 9, FALSE), "GENERAL"))</f>
        <v/>
      </c>
      <c r="H674" s="2" t="str">
        <f>IF(B674="","",IFERROR(VLOOKUP(B674, PLANTA_BASE!A:W, 17, FALSE), "GENERAL"))</f>
        <v/>
      </c>
    </row>
    <row r="675" spans="1:8" ht="20.100000000000001" customHeight="1" x14ac:dyDescent="0.25">
      <c r="A675" s="5" t="str">
        <f>IF(B675="","",IFERROR(VLOOKUP(B675, PLANTA_BASE!A:W, 2, FALSE), "NO ENCONTRADO EN PLANTA"))</f>
        <v/>
      </c>
      <c r="B675" s="6"/>
      <c r="C675" s="7" t="str">
        <f>IF(B675="","",IFERROR(VLOOKUP(B675, PLANTA_BASE!A:W, 3, FALSE), ""))</f>
        <v/>
      </c>
      <c r="D675" s="5" t="str">
        <f>IF(B675="","",IFERROR(VLOOKUP(B675, PLANTA_BASE!A:W, 5, FALSE), "NO ENCONTRADO EN PLANTA"))</f>
        <v/>
      </c>
      <c r="E675" s="5" t="str">
        <f>IF(B675="","",IFERROR(VLOOKUP(B675, PLANTA_BASE!A:W, 6, FALSE), "NO ENCONTRADO EN PLANTA"))</f>
        <v/>
      </c>
      <c r="F675" s="7" t="str">
        <f>IF(B675="","",IFERROR(VLOOKUP(B675, PLANTA_BASE!A:W, 8, FALSE), "DOCENTE / FACILITADOR"))</f>
        <v/>
      </c>
      <c r="G675" s="7" t="str">
        <f>IF(B675="","",IFERROR(VLOOKUP(B675, PLANTA_BASE!A:W, 9, FALSE), "GENERAL"))</f>
        <v/>
      </c>
      <c r="H675" s="5" t="str">
        <f>IF(B675="","",IFERROR(VLOOKUP(B675, PLANTA_BASE!A:W, 17, FALSE), "GENERAL"))</f>
        <v/>
      </c>
    </row>
    <row r="676" spans="1:8" ht="20.100000000000001" customHeight="1" x14ac:dyDescent="0.25">
      <c r="A676" s="2" t="str">
        <f>IF(B676="","",IFERROR(VLOOKUP(B676, PLANTA_BASE!A:W, 2, FALSE), "NO ENCONTRADO EN PLANTA"))</f>
        <v/>
      </c>
      <c r="B676" s="3"/>
      <c r="C676" s="4" t="str">
        <f>IF(B676="","",IFERROR(VLOOKUP(B676, PLANTA_BASE!A:W, 3, FALSE), ""))</f>
        <v/>
      </c>
      <c r="D676" s="2" t="str">
        <f>IF(B676="","",IFERROR(VLOOKUP(B676, PLANTA_BASE!A:W, 5, FALSE), "NO ENCONTRADO EN PLANTA"))</f>
        <v/>
      </c>
      <c r="E676" s="2" t="str">
        <f>IF(B676="","",IFERROR(VLOOKUP(B676, PLANTA_BASE!A:W, 6, FALSE), "NO ENCONTRADO EN PLANTA"))</f>
        <v/>
      </c>
      <c r="F676" s="4" t="str">
        <f>IF(B676="","",IFERROR(VLOOKUP(B676, PLANTA_BASE!A:W, 8, FALSE), "DOCENTE / FACILITADOR"))</f>
        <v/>
      </c>
      <c r="G676" s="4" t="str">
        <f>IF(B676="","",IFERROR(VLOOKUP(B676, PLANTA_BASE!A:W, 9, FALSE), "GENERAL"))</f>
        <v/>
      </c>
      <c r="H676" s="2" t="str">
        <f>IF(B676="","",IFERROR(VLOOKUP(B676, PLANTA_BASE!A:W, 17, FALSE), "GENERAL"))</f>
        <v/>
      </c>
    </row>
    <row r="677" spans="1:8" ht="20.100000000000001" customHeight="1" x14ac:dyDescent="0.25">
      <c r="A677" s="5" t="str">
        <f>IF(B677="","",IFERROR(VLOOKUP(B677, PLANTA_BASE!A:W, 2, FALSE), "NO ENCONTRADO EN PLANTA"))</f>
        <v/>
      </c>
      <c r="B677" s="6"/>
      <c r="C677" s="7" t="str">
        <f>IF(B677="","",IFERROR(VLOOKUP(B677, PLANTA_BASE!A:W, 3, FALSE), ""))</f>
        <v/>
      </c>
      <c r="D677" s="5" t="str">
        <f>IF(B677="","",IFERROR(VLOOKUP(B677, PLANTA_BASE!A:W, 5, FALSE), "NO ENCONTRADO EN PLANTA"))</f>
        <v/>
      </c>
      <c r="E677" s="5" t="str">
        <f>IF(B677="","",IFERROR(VLOOKUP(B677, PLANTA_BASE!A:W, 6, FALSE), "NO ENCONTRADO EN PLANTA"))</f>
        <v/>
      </c>
      <c r="F677" s="7" t="str">
        <f>IF(B677="","",IFERROR(VLOOKUP(B677, PLANTA_BASE!A:W, 8, FALSE), "DOCENTE / FACILITADOR"))</f>
        <v/>
      </c>
      <c r="G677" s="7" t="str">
        <f>IF(B677="","",IFERROR(VLOOKUP(B677, PLANTA_BASE!A:W, 9, FALSE), "GENERAL"))</f>
        <v/>
      </c>
      <c r="H677" s="5" t="str">
        <f>IF(B677="","",IFERROR(VLOOKUP(B677, PLANTA_BASE!A:W, 17, FALSE), "GENERAL"))</f>
        <v/>
      </c>
    </row>
    <row r="678" spans="1:8" ht="20.100000000000001" customHeight="1" x14ac:dyDescent="0.25">
      <c r="A678" s="2" t="str">
        <f>IF(B678="","",IFERROR(VLOOKUP(B678, PLANTA_BASE!A:W, 2, FALSE), "NO ENCONTRADO EN PLANTA"))</f>
        <v/>
      </c>
      <c r="B678" s="3"/>
      <c r="C678" s="4" t="str">
        <f>IF(B678="","",IFERROR(VLOOKUP(B678, PLANTA_BASE!A:W, 3, FALSE), ""))</f>
        <v/>
      </c>
      <c r="D678" s="2" t="str">
        <f>IF(B678="","",IFERROR(VLOOKUP(B678, PLANTA_BASE!A:W, 5, FALSE), "NO ENCONTRADO EN PLANTA"))</f>
        <v/>
      </c>
      <c r="E678" s="2" t="str">
        <f>IF(B678="","",IFERROR(VLOOKUP(B678, PLANTA_BASE!A:W, 6, FALSE), "NO ENCONTRADO EN PLANTA"))</f>
        <v/>
      </c>
      <c r="F678" s="4" t="str">
        <f>IF(B678="","",IFERROR(VLOOKUP(B678, PLANTA_BASE!A:W, 8, FALSE), "DOCENTE / FACILITADOR"))</f>
        <v/>
      </c>
      <c r="G678" s="4" t="str">
        <f>IF(B678="","",IFERROR(VLOOKUP(B678, PLANTA_BASE!A:W, 9, FALSE), "GENERAL"))</f>
        <v/>
      </c>
      <c r="H678" s="2" t="str">
        <f>IF(B678="","",IFERROR(VLOOKUP(B678, PLANTA_BASE!A:W, 17, FALSE), "GENERAL"))</f>
        <v/>
      </c>
    </row>
    <row r="679" spans="1:8" ht="20.100000000000001" customHeight="1" x14ac:dyDescent="0.25">
      <c r="A679" s="5" t="str">
        <f>IF(B679="","",IFERROR(VLOOKUP(B679, PLANTA_BASE!A:W, 2, FALSE), "NO ENCONTRADO EN PLANTA"))</f>
        <v/>
      </c>
      <c r="B679" s="6"/>
      <c r="C679" s="7" t="str">
        <f>IF(B679="","",IFERROR(VLOOKUP(B679, PLANTA_BASE!A:W, 3, FALSE), ""))</f>
        <v/>
      </c>
      <c r="D679" s="5" t="str">
        <f>IF(B679="","",IFERROR(VLOOKUP(B679, PLANTA_BASE!A:W, 5, FALSE), "NO ENCONTRADO EN PLANTA"))</f>
        <v/>
      </c>
      <c r="E679" s="5" t="str">
        <f>IF(B679="","",IFERROR(VLOOKUP(B679, PLANTA_BASE!A:W, 6, FALSE), "NO ENCONTRADO EN PLANTA"))</f>
        <v/>
      </c>
      <c r="F679" s="7" t="str">
        <f>IF(B679="","",IFERROR(VLOOKUP(B679, PLANTA_BASE!A:W, 8, FALSE), "DOCENTE / FACILITADOR"))</f>
        <v/>
      </c>
      <c r="G679" s="7" t="str">
        <f>IF(B679="","",IFERROR(VLOOKUP(B679, PLANTA_BASE!A:W, 9, FALSE), "GENERAL"))</f>
        <v/>
      </c>
      <c r="H679" s="5" t="str">
        <f>IF(B679="","",IFERROR(VLOOKUP(B679, PLANTA_BASE!A:W, 17, FALSE), "GENERAL"))</f>
        <v/>
      </c>
    </row>
    <row r="680" spans="1:8" ht="20.100000000000001" customHeight="1" x14ac:dyDescent="0.25">
      <c r="A680" s="2" t="str">
        <f>IF(B680="","",IFERROR(VLOOKUP(B680, PLANTA_BASE!A:W, 2, FALSE), "NO ENCONTRADO EN PLANTA"))</f>
        <v/>
      </c>
      <c r="B680" s="3"/>
      <c r="C680" s="4" t="str">
        <f>IF(B680="","",IFERROR(VLOOKUP(B680, PLANTA_BASE!A:W, 3, FALSE), ""))</f>
        <v/>
      </c>
      <c r="D680" s="2" t="str">
        <f>IF(B680="","",IFERROR(VLOOKUP(B680, PLANTA_BASE!A:W, 5, FALSE), "NO ENCONTRADO EN PLANTA"))</f>
        <v/>
      </c>
      <c r="E680" s="2" t="str">
        <f>IF(B680="","",IFERROR(VLOOKUP(B680, PLANTA_BASE!A:W, 6, FALSE), "NO ENCONTRADO EN PLANTA"))</f>
        <v/>
      </c>
      <c r="F680" s="4" t="str">
        <f>IF(B680="","",IFERROR(VLOOKUP(B680, PLANTA_BASE!A:W, 8, FALSE), "DOCENTE / FACILITADOR"))</f>
        <v/>
      </c>
      <c r="G680" s="4" t="str">
        <f>IF(B680="","",IFERROR(VLOOKUP(B680, PLANTA_BASE!A:W, 9, FALSE), "GENERAL"))</f>
        <v/>
      </c>
      <c r="H680" s="2" t="str">
        <f>IF(B680="","",IFERROR(VLOOKUP(B680, PLANTA_BASE!A:W, 17, FALSE), "GENERAL"))</f>
        <v/>
      </c>
    </row>
    <row r="681" spans="1:8" ht="20.100000000000001" customHeight="1" x14ac:dyDescent="0.25">
      <c r="A681" s="5" t="str">
        <f>IF(B681="","",IFERROR(VLOOKUP(B681, PLANTA_BASE!A:W, 2, FALSE), "NO ENCONTRADO EN PLANTA"))</f>
        <v/>
      </c>
      <c r="B681" s="6"/>
      <c r="C681" s="7" t="str">
        <f>IF(B681="","",IFERROR(VLOOKUP(B681, PLANTA_BASE!A:W, 3, FALSE), ""))</f>
        <v/>
      </c>
      <c r="D681" s="5" t="str">
        <f>IF(B681="","",IFERROR(VLOOKUP(B681, PLANTA_BASE!A:W, 5, FALSE), "NO ENCONTRADO EN PLANTA"))</f>
        <v/>
      </c>
      <c r="E681" s="5" t="str">
        <f>IF(B681="","",IFERROR(VLOOKUP(B681, PLANTA_BASE!A:W, 6, FALSE), "NO ENCONTRADO EN PLANTA"))</f>
        <v/>
      </c>
      <c r="F681" s="7" t="str">
        <f>IF(B681="","",IFERROR(VLOOKUP(B681, PLANTA_BASE!A:W, 8, FALSE), "DOCENTE / FACILITADOR"))</f>
        <v/>
      </c>
      <c r="G681" s="7" t="str">
        <f>IF(B681="","",IFERROR(VLOOKUP(B681, PLANTA_BASE!A:W, 9, FALSE), "GENERAL"))</f>
        <v/>
      </c>
      <c r="H681" s="5" t="str">
        <f>IF(B681="","",IFERROR(VLOOKUP(B681, PLANTA_BASE!A:W, 17, FALSE), "GENERAL"))</f>
        <v/>
      </c>
    </row>
    <row r="682" spans="1:8" ht="20.100000000000001" customHeight="1" x14ac:dyDescent="0.25">
      <c r="A682" s="2" t="str">
        <f>IF(B682="","",IFERROR(VLOOKUP(B682, PLANTA_BASE!A:W, 2, FALSE), "NO ENCONTRADO EN PLANTA"))</f>
        <v/>
      </c>
      <c r="B682" s="3"/>
      <c r="C682" s="4" t="str">
        <f>IF(B682="","",IFERROR(VLOOKUP(B682, PLANTA_BASE!A:W, 3, FALSE), ""))</f>
        <v/>
      </c>
      <c r="D682" s="2" t="str">
        <f>IF(B682="","",IFERROR(VLOOKUP(B682, PLANTA_BASE!A:W, 5, FALSE), "NO ENCONTRADO EN PLANTA"))</f>
        <v/>
      </c>
      <c r="E682" s="2" t="str">
        <f>IF(B682="","",IFERROR(VLOOKUP(B682, PLANTA_BASE!A:W, 6, FALSE), "NO ENCONTRADO EN PLANTA"))</f>
        <v/>
      </c>
      <c r="F682" s="4" t="str">
        <f>IF(B682="","",IFERROR(VLOOKUP(B682, PLANTA_BASE!A:W, 8, FALSE), "DOCENTE / FACILITADOR"))</f>
        <v/>
      </c>
      <c r="G682" s="4" t="str">
        <f>IF(B682="","",IFERROR(VLOOKUP(B682, PLANTA_BASE!A:W, 9, FALSE), "GENERAL"))</f>
        <v/>
      </c>
      <c r="H682" s="2" t="str">
        <f>IF(B682="","",IFERROR(VLOOKUP(B682, PLANTA_BASE!A:W, 17, FALSE), "GENERAL"))</f>
        <v/>
      </c>
    </row>
    <row r="683" spans="1:8" ht="20.100000000000001" customHeight="1" x14ac:dyDescent="0.25">
      <c r="A683" s="5" t="str">
        <f>IF(B683="","",IFERROR(VLOOKUP(B683, PLANTA_BASE!A:W, 2, FALSE), "NO ENCONTRADO EN PLANTA"))</f>
        <v/>
      </c>
      <c r="B683" s="6"/>
      <c r="C683" s="7" t="str">
        <f>IF(B683="","",IFERROR(VLOOKUP(B683, PLANTA_BASE!A:W, 3, FALSE), ""))</f>
        <v/>
      </c>
      <c r="D683" s="5" t="str">
        <f>IF(B683="","",IFERROR(VLOOKUP(B683, PLANTA_BASE!A:W, 5, FALSE), "NO ENCONTRADO EN PLANTA"))</f>
        <v/>
      </c>
      <c r="E683" s="5" t="str">
        <f>IF(B683="","",IFERROR(VLOOKUP(B683, PLANTA_BASE!A:W, 6, FALSE), "NO ENCONTRADO EN PLANTA"))</f>
        <v/>
      </c>
      <c r="F683" s="7" t="str">
        <f>IF(B683="","",IFERROR(VLOOKUP(B683, PLANTA_BASE!A:W, 8, FALSE), "DOCENTE / FACILITADOR"))</f>
        <v/>
      </c>
      <c r="G683" s="7" t="str">
        <f>IF(B683="","",IFERROR(VLOOKUP(B683, PLANTA_BASE!A:W, 9, FALSE), "GENERAL"))</f>
        <v/>
      </c>
      <c r="H683" s="5" t="str">
        <f>IF(B683="","",IFERROR(VLOOKUP(B683, PLANTA_BASE!A:W, 17, FALSE), "GENERAL"))</f>
        <v/>
      </c>
    </row>
    <row r="684" spans="1:8" ht="20.100000000000001" customHeight="1" x14ac:dyDescent="0.25">
      <c r="A684" s="2" t="str">
        <f>IF(B684="","",IFERROR(VLOOKUP(B684, PLANTA_BASE!A:W, 2, FALSE), "NO ENCONTRADO EN PLANTA"))</f>
        <v/>
      </c>
      <c r="B684" s="3"/>
      <c r="C684" s="4" t="str">
        <f>IF(B684="","",IFERROR(VLOOKUP(B684, PLANTA_BASE!A:W, 3, FALSE), ""))</f>
        <v/>
      </c>
      <c r="D684" s="2" t="str">
        <f>IF(B684="","",IFERROR(VLOOKUP(B684, PLANTA_BASE!A:W, 5, FALSE), "NO ENCONTRADO EN PLANTA"))</f>
        <v/>
      </c>
      <c r="E684" s="2" t="str">
        <f>IF(B684="","",IFERROR(VLOOKUP(B684, PLANTA_BASE!A:W, 6, FALSE), "NO ENCONTRADO EN PLANTA"))</f>
        <v/>
      </c>
      <c r="F684" s="4" t="str">
        <f>IF(B684="","",IFERROR(VLOOKUP(B684, PLANTA_BASE!A:W, 8, FALSE), "DOCENTE / FACILITADOR"))</f>
        <v/>
      </c>
      <c r="G684" s="4" t="str">
        <f>IF(B684="","",IFERROR(VLOOKUP(B684, PLANTA_BASE!A:W, 9, FALSE), "GENERAL"))</f>
        <v/>
      </c>
      <c r="H684" s="2" t="str">
        <f>IF(B684="","",IFERROR(VLOOKUP(B684, PLANTA_BASE!A:W, 17, FALSE), "GENERAL"))</f>
        <v/>
      </c>
    </row>
    <row r="685" spans="1:8" ht="20.100000000000001" customHeight="1" x14ac:dyDescent="0.25">
      <c r="A685" s="5" t="str">
        <f>IF(B685="","",IFERROR(VLOOKUP(B685, PLANTA_BASE!A:W, 2, FALSE), "NO ENCONTRADO EN PLANTA"))</f>
        <v/>
      </c>
      <c r="B685" s="6"/>
      <c r="C685" s="7" t="str">
        <f>IF(B685="","",IFERROR(VLOOKUP(B685, PLANTA_BASE!A:W, 3, FALSE), ""))</f>
        <v/>
      </c>
      <c r="D685" s="5" t="str">
        <f>IF(B685="","",IFERROR(VLOOKUP(B685, PLANTA_BASE!A:W, 5, FALSE), "NO ENCONTRADO EN PLANTA"))</f>
        <v/>
      </c>
      <c r="E685" s="5" t="str">
        <f>IF(B685="","",IFERROR(VLOOKUP(B685, PLANTA_BASE!A:W, 6, FALSE), "NO ENCONTRADO EN PLANTA"))</f>
        <v/>
      </c>
      <c r="F685" s="7" t="str">
        <f>IF(B685="","",IFERROR(VLOOKUP(B685, PLANTA_BASE!A:W, 8, FALSE), "DOCENTE / FACILITADOR"))</f>
        <v/>
      </c>
      <c r="G685" s="7" t="str">
        <f>IF(B685="","",IFERROR(VLOOKUP(B685, PLANTA_BASE!A:W, 9, FALSE), "GENERAL"))</f>
        <v/>
      </c>
      <c r="H685" s="5" t="str">
        <f>IF(B685="","",IFERROR(VLOOKUP(B685, PLANTA_BASE!A:W, 17, FALSE), "GENERAL"))</f>
        <v/>
      </c>
    </row>
    <row r="686" spans="1:8" ht="20.100000000000001" customHeight="1" x14ac:dyDescent="0.25">
      <c r="A686" s="2" t="str">
        <f>IF(B686="","",IFERROR(VLOOKUP(B686, PLANTA_BASE!A:W, 2, FALSE), "NO ENCONTRADO EN PLANTA"))</f>
        <v/>
      </c>
      <c r="B686" s="3"/>
      <c r="C686" s="4" t="str">
        <f>IF(B686="","",IFERROR(VLOOKUP(B686, PLANTA_BASE!A:W, 3, FALSE), ""))</f>
        <v/>
      </c>
      <c r="D686" s="2" t="str">
        <f>IF(B686="","",IFERROR(VLOOKUP(B686, PLANTA_BASE!A:W, 5, FALSE), "NO ENCONTRADO EN PLANTA"))</f>
        <v/>
      </c>
      <c r="E686" s="2" t="str">
        <f>IF(B686="","",IFERROR(VLOOKUP(B686, PLANTA_BASE!A:W, 6, FALSE), "NO ENCONTRADO EN PLANTA"))</f>
        <v/>
      </c>
      <c r="F686" s="4" t="str">
        <f>IF(B686="","",IFERROR(VLOOKUP(B686, PLANTA_BASE!A:W, 8, FALSE), "DOCENTE / FACILITADOR"))</f>
        <v/>
      </c>
      <c r="G686" s="4" t="str">
        <f>IF(B686="","",IFERROR(VLOOKUP(B686, PLANTA_BASE!A:W, 9, FALSE), "GENERAL"))</f>
        <v/>
      </c>
      <c r="H686" s="2" t="str">
        <f>IF(B686="","",IFERROR(VLOOKUP(B686, PLANTA_BASE!A:W, 17, FALSE), "GENERAL"))</f>
        <v/>
      </c>
    </row>
    <row r="687" spans="1:8" ht="20.100000000000001" customHeight="1" x14ac:dyDescent="0.25">
      <c r="A687" s="5" t="str">
        <f>IF(B687="","",IFERROR(VLOOKUP(B687, PLANTA_BASE!A:W, 2, FALSE), "NO ENCONTRADO EN PLANTA"))</f>
        <v/>
      </c>
      <c r="B687" s="6"/>
      <c r="C687" s="7" t="str">
        <f>IF(B687="","",IFERROR(VLOOKUP(B687, PLANTA_BASE!A:W, 3, FALSE), ""))</f>
        <v/>
      </c>
      <c r="D687" s="5" t="str">
        <f>IF(B687="","",IFERROR(VLOOKUP(B687, PLANTA_BASE!A:W, 5, FALSE), "NO ENCONTRADO EN PLANTA"))</f>
        <v/>
      </c>
      <c r="E687" s="5" t="str">
        <f>IF(B687="","",IFERROR(VLOOKUP(B687, PLANTA_BASE!A:W, 6, FALSE), "NO ENCONTRADO EN PLANTA"))</f>
        <v/>
      </c>
      <c r="F687" s="7" t="str">
        <f>IF(B687="","",IFERROR(VLOOKUP(B687, PLANTA_BASE!A:W, 8, FALSE), "DOCENTE / FACILITADOR"))</f>
        <v/>
      </c>
      <c r="G687" s="7" t="str">
        <f>IF(B687="","",IFERROR(VLOOKUP(B687, PLANTA_BASE!A:W, 9, FALSE), "GENERAL"))</f>
        <v/>
      </c>
      <c r="H687" s="5" t="str">
        <f>IF(B687="","",IFERROR(VLOOKUP(B687, PLANTA_BASE!A:W, 17, FALSE), "GENERAL"))</f>
        <v/>
      </c>
    </row>
    <row r="688" spans="1:8" ht="20.100000000000001" customHeight="1" x14ac:dyDescent="0.25">
      <c r="A688" s="2" t="str">
        <f>IF(B688="","",IFERROR(VLOOKUP(B688, PLANTA_BASE!A:W, 2, FALSE), "NO ENCONTRADO EN PLANTA"))</f>
        <v/>
      </c>
      <c r="B688" s="3"/>
      <c r="C688" s="4" t="str">
        <f>IF(B688="","",IFERROR(VLOOKUP(B688, PLANTA_BASE!A:W, 3, FALSE), ""))</f>
        <v/>
      </c>
      <c r="D688" s="2" t="str">
        <f>IF(B688="","",IFERROR(VLOOKUP(B688, PLANTA_BASE!A:W, 5, FALSE), "NO ENCONTRADO EN PLANTA"))</f>
        <v/>
      </c>
      <c r="E688" s="2" t="str">
        <f>IF(B688="","",IFERROR(VLOOKUP(B688, PLANTA_BASE!A:W, 6, FALSE), "NO ENCONTRADO EN PLANTA"))</f>
        <v/>
      </c>
      <c r="F688" s="4" t="str">
        <f>IF(B688="","",IFERROR(VLOOKUP(B688, PLANTA_BASE!A:W, 8, FALSE), "DOCENTE / FACILITADOR"))</f>
        <v/>
      </c>
      <c r="G688" s="4" t="str">
        <f>IF(B688="","",IFERROR(VLOOKUP(B688, PLANTA_BASE!A:W, 9, FALSE), "GENERAL"))</f>
        <v/>
      </c>
      <c r="H688" s="2" t="str">
        <f>IF(B688="","",IFERROR(VLOOKUP(B688, PLANTA_BASE!A:W, 17, FALSE), "GENERAL"))</f>
        <v/>
      </c>
    </row>
    <row r="689" spans="1:8" ht="20.100000000000001" customHeight="1" x14ac:dyDescent="0.25">
      <c r="A689" s="5" t="str">
        <f>IF(B689="","",IFERROR(VLOOKUP(B689, PLANTA_BASE!A:W, 2, FALSE), "NO ENCONTRADO EN PLANTA"))</f>
        <v/>
      </c>
      <c r="B689" s="6"/>
      <c r="C689" s="7" t="str">
        <f>IF(B689="","",IFERROR(VLOOKUP(B689, PLANTA_BASE!A:W, 3, FALSE), ""))</f>
        <v/>
      </c>
      <c r="D689" s="5" t="str">
        <f>IF(B689="","",IFERROR(VLOOKUP(B689, PLANTA_BASE!A:W, 5, FALSE), "NO ENCONTRADO EN PLANTA"))</f>
        <v/>
      </c>
      <c r="E689" s="5" t="str">
        <f>IF(B689="","",IFERROR(VLOOKUP(B689, PLANTA_BASE!A:W, 6, FALSE), "NO ENCONTRADO EN PLANTA"))</f>
        <v/>
      </c>
      <c r="F689" s="7" t="str">
        <f>IF(B689="","",IFERROR(VLOOKUP(B689, PLANTA_BASE!A:W, 8, FALSE), "DOCENTE / FACILITADOR"))</f>
        <v/>
      </c>
      <c r="G689" s="7" t="str">
        <f>IF(B689="","",IFERROR(VLOOKUP(B689, PLANTA_BASE!A:W, 9, FALSE), "GENERAL"))</f>
        <v/>
      </c>
      <c r="H689" s="5" t="str">
        <f>IF(B689="","",IFERROR(VLOOKUP(B689, PLANTA_BASE!A:W, 17, FALSE), "GENERAL"))</f>
        <v/>
      </c>
    </row>
    <row r="690" spans="1:8" ht="20.100000000000001" customHeight="1" x14ac:dyDescent="0.25">
      <c r="A690" s="2" t="str">
        <f>IF(B690="","",IFERROR(VLOOKUP(B690, PLANTA_BASE!A:W, 2, FALSE), "NO ENCONTRADO EN PLANTA"))</f>
        <v/>
      </c>
      <c r="B690" s="3"/>
      <c r="C690" s="4" t="str">
        <f>IF(B690="","",IFERROR(VLOOKUP(B690, PLANTA_BASE!A:W, 3, FALSE), ""))</f>
        <v/>
      </c>
      <c r="D690" s="2" t="str">
        <f>IF(B690="","",IFERROR(VLOOKUP(B690, PLANTA_BASE!A:W, 5, FALSE), "NO ENCONTRADO EN PLANTA"))</f>
        <v/>
      </c>
      <c r="E690" s="2" t="str">
        <f>IF(B690="","",IFERROR(VLOOKUP(B690, PLANTA_BASE!A:W, 6, FALSE), "NO ENCONTRADO EN PLANTA"))</f>
        <v/>
      </c>
      <c r="F690" s="4" t="str">
        <f>IF(B690="","",IFERROR(VLOOKUP(B690, PLANTA_BASE!A:W, 8, FALSE), "DOCENTE / FACILITADOR"))</f>
        <v/>
      </c>
      <c r="G690" s="4" t="str">
        <f>IF(B690="","",IFERROR(VLOOKUP(B690, PLANTA_BASE!A:W, 9, FALSE), "GENERAL"))</f>
        <v/>
      </c>
      <c r="H690" s="2" t="str">
        <f>IF(B690="","",IFERROR(VLOOKUP(B690, PLANTA_BASE!A:W, 17, FALSE), "GENERAL"))</f>
        <v/>
      </c>
    </row>
    <row r="691" spans="1:8" ht="20.100000000000001" customHeight="1" x14ac:dyDescent="0.25">
      <c r="A691" s="5" t="str">
        <f>IF(B691="","",IFERROR(VLOOKUP(B691, PLANTA_BASE!A:W, 2, FALSE), "NO ENCONTRADO EN PLANTA"))</f>
        <v/>
      </c>
      <c r="B691" s="6"/>
      <c r="C691" s="7" t="str">
        <f>IF(B691="","",IFERROR(VLOOKUP(B691, PLANTA_BASE!A:W, 3, FALSE), ""))</f>
        <v/>
      </c>
      <c r="D691" s="5" t="str">
        <f>IF(B691="","",IFERROR(VLOOKUP(B691, PLANTA_BASE!A:W, 5, FALSE), "NO ENCONTRADO EN PLANTA"))</f>
        <v/>
      </c>
      <c r="E691" s="5" t="str">
        <f>IF(B691="","",IFERROR(VLOOKUP(B691, PLANTA_BASE!A:W, 6, FALSE), "NO ENCONTRADO EN PLANTA"))</f>
        <v/>
      </c>
      <c r="F691" s="7" t="str">
        <f>IF(B691="","",IFERROR(VLOOKUP(B691, PLANTA_BASE!A:W, 8, FALSE), "DOCENTE / FACILITADOR"))</f>
        <v/>
      </c>
      <c r="G691" s="7" t="str">
        <f>IF(B691="","",IFERROR(VLOOKUP(B691, PLANTA_BASE!A:W, 9, FALSE), "GENERAL"))</f>
        <v/>
      </c>
      <c r="H691" s="5" t="str">
        <f>IF(B691="","",IFERROR(VLOOKUP(B691, PLANTA_BASE!A:W, 17, FALSE), "GENERAL"))</f>
        <v/>
      </c>
    </row>
    <row r="692" spans="1:8" ht="20.100000000000001" customHeight="1" x14ac:dyDescent="0.25">
      <c r="A692" s="2" t="str">
        <f>IF(B692="","",IFERROR(VLOOKUP(B692, PLANTA_BASE!A:W, 2, FALSE), "NO ENCONTRADO EN PLANTA"))</f>
        <v/>
      </c>
      <c r="B692" s="3"/>
      <c r="C692" s="4" t="str">
        <f>IF(B692="","",IFERROR(VLOOKUP(B692, PLANTA_BASE!A:W, 3, FALSE), ""))</f>
        <v/>
      </c>
      <c r="D692" s="2" t="str">
        <f>IF(B692="","",IFERROR(VLOOKUP(B692, PLANTA_BASE!A:W, 5, FALSE), "NO ENCONTRADO EN PLANTA"))</f>
        <v/>
      </c>
      <c r="E692" s="2" t="str">
        <f>IF(B692="","",IFERROR(VLOOKUP(B692, PLANTA_BASE!A:W, 6, FALSE), "NO ENCONTRADO EN PLANTA"))</f>
        <v/>
      </c>
      <c r="F692" s="4" t="str">
        <f>IF(B692="","",IFERROR(VLOOKUP(B692, PLANTA_BASE!A:W, 8, FALSE), "DOCENTE / FACILITADOR"))</f>
        <v/>
      </c>
      <c r="G692" s="4" t="str">
        <f>IF(B692="","",IFERROR(VLOOKUP(B692, PLANTA_BASE!A:W, 9, FALSE), "GENERAL"))</f>
        <v/>
      </c>
      <c r="H692" s="2" t="str">
        <f>IF(B692="","",IFERROR(VLOOKUP(B692, PLANTA_BASE!A:W, 17, FALSE), "GENERAL"))</f>
        <v/>
      </c>
    </row>
    <row r="693" spans="1:8" ht="20.100000000000001" customHeight="1" x14ac:dyDescent="0.25">
      <c r="A693" s="5" t="str">
        <f>IF(B693="","",IFERROR(VLOOKUP(B693, PLANTA_BASE!A:W, 2, FALSE), "NO ENCONTRADO EN PLANTA"))</f>
        <v/>
      </c>
      <c r="B693" s="6"/>
      <c r="C693" s="7" t="str">
        <f>IF(B693="","",IFERROR(VLOOKUP(B693, PLANTA_BASE!A:W, 3, FALSE), ""))</f>
        <v/>
      </c>
      <c r="D693" s="5" t="str">
        <f>IF(B693="","",IFERROR(VLOOKUP(B693, PLANTA_BASE!A:W, 5, FALSE), "NO ENCONTRADO EN PLANTA"))</f>
        <v/>
      </c>
      <c r="E693" s="5" t="str">
        <f>IF(B693="","",IFERROR(VLOOKUP(B693, PLANTA_BASE!A:W, 6, FALSE), "NO ENCONTRADO EN PLANTA"))</f>
        <v/>
      </c>
      <c r="F693" s="7" t="str">
        <f>IF(B693="","",IFERROR(VLOOKUP(B693, PLANTA_BASE!A:W, 8, FALSE), "DOCENTE / FACILITADOR"))</f>
        <v/>
      </c>
      <c r="G693" s="7" t="str">
        <f>IF(B693="","",IFERROR(VLOOKUP(B693, PLANTA_BASE!A:W, 9, FALSE), "GENERAL"))</f>
        <v/>
      </c>
      <c r="H693" s="5" t="str">
        <f>IF(B693="","",IFERROR(VLOOKUP(B693, PLANTA_BASE!A:W, 17, FALSE), "GENERAL"))</f>
        <v/>
      </c>
    </row>
    <row r="694" spans="1:8" ht="20.100000000000001" customHeight="1" x14ac:dyDescent="0.25">
      <c r="A694" s="2" t="str">
        <f>IF(B694="","",IFERROR(VLOOKUP(B694, PLANTA_BASE!A:W, 2, FALSE), "NO ENCONTRADO EN PLANTA"))</f>
        <v/>
      </c>
      <c r="B694" s="3"/>
      <c r="C694" s="4" t="str">
        <f>IF(B694="","",IFERROR(VLOOKUP(B694, PLANTA_BASE!A:W, 3, FALSE), ""))</f>
        <v/>
      </c>
      <c r="D694" s="2" t="str">
        <f>IF(B694="","",IFERROR(VLOOKUP(B694, PLANTA_BASE!A:W, 5, FALSE), "NO ENCONTRADO EN PLANTA"))</f>
        <v/>
      </c>
      <c r="E694" s="2" t="str">
        <f>IF(B694="","",IFERROR(VLOOKUP(B694, PLANTA_BASE!A:W, 6, FALSE), "NO ENCONTRADO EN PLANTA"))</f>
        <v/>
      </c>
      <c r="F694" s="4" t="str">
        <f>IF(B694="","",IFERROR(VLOOKUP(B694, PLANTA_BASE!A:W, 8, FALSE), "DOCENTE / FACILITADOR"))</f>
        <v/>
      </c>
      <c r="G694" s="4" t="str">
        <f>IF(B694="","",IFERROR(VLOOKUP(B694, PLANTA_BASE!A:W, 9, FALSE), "GENERAL"))</f>
        <v/>
      </c>
      <c r="H694" s="2" t="str">
        <f>IF(B694="","",IFERROR(VLOOKUP(B694, PLANTA_BASE!A:W, 17, FALSE), "GENERAL"))</f>
        <v/>
      </c>
    </row>
    <row r="695" spans="1:8" ht="20.100000000000001" customHeight="1" x14ac:dyDescent="0.25">
      <c r="A695" s="5" t="str">
        <f>IF(B695="","",IFERROR(VLOOKUP(B695, PLANTA_BASE!A:W, 2, FALSE), "NO ENCONTRADO EN PLANTA"))</f>
        <v/>
      </c>
      <c r="B695" s="6"/>
      <c r="C695" s="7" t="str">
        <f>IF(B695="","",IFERROR(VLOOKUP(B695, PLANTA_BASE!A:W, 3, FALSE), ""))</f>
        <v/>
      </c>
      <c r="D695" s="5" t="str">
        <f>IF(B695="","",IFERROR(VLOOKUP(B695, PLANTA_BASE!A:W, 5, FALSE), "NO ENCONTRADO EN PLANTA"))</f>
        <v/>
      </c>
      <c r="E695" s="5" t="str">
        <f>IF(B695="","",IFERROR(VLOOKUP(B695, PLANTA_BASE!A:W, 6, FALSE), "NO ENCONTRADO EN PLANTA"))</f>
        <v/>
      </c>
      <c r="F695" s="7" t="str">
        <f>IF(B695="","",IFERROR(VLOOKUP(B695, PLANTA_BASE!A:W, 8, FALSE), "DOCENTE / FACILITADOR"))</f>
        <v/>
      </c>
      <c r="G695" s="7" t="str">
        <f>IF(B695="","",IFERROR(VLOOKUP(B695, PLANTA_BASE!A:W, 9, FALSE), "GENERAL"))</f>
        <v/>
      </c>
      <c r="H695" s="5" t="str">
        <f>IF(B695="","",IFERROR(VLOOKUP(B695, PLANTA_BASE!A:W, 17, FALSE), "GENERAL"))</f>
        <v/>
      </c>
    </row>
    <row r="696" spans="1:8" ht="20.100000000000001" customHeight="1" x14ac:dyDescent="0.25">
      <c r="A696" s="2" t="str">
        <f>IF(B696="","",IFERROR(VLOOKUP(B696, PLANTA_BASE!A:W, 2, FALSE), "NO ENCONTRADO EN PLANTA"))</f>
        <v/>
      </c>
      <c r="B696" s="3"/>
      <c r="C696" s="4" t="str">
        <f>IF(B696="","",IFERROR(VLOOKUP(B696, PLANTA_BASE!A:W, 3, FALSE), ""))</f>
        <v/>
      </c>
      <c r="D696" s="2" t="str">
        <f>IF(B696="","",IFERROR(VLOOKUP(B696, PLANTA_BASE!A:W, 5, FALSE), "NO ENCONTRADO EN PLANTA"))</f>
        <v/>
      </c>
      <c r="E696" s="2" t="str">
        <f>IF(B696="","",IFERROR(VLOOKUP(B696, PLANTA_BASE!A:W, 6, FALSE), "NO ENCONTRADO EN PLANTA"))</f>
        <v/>
      </c>
      <c r="F696" s="4" t="str">
        <f>IF(B696="","",IFERROR(VLOOKUP(B696, PLANTA_BASE!A:W, 8, FALSE), "DOCENTE / FACILITADOR"))</f>
        <v/>
      </c>
      <c r="G696" s="4" t="str">
        <f>IF(B696="","",IFERROR(VLOOKUP(B696, PLANTA_BASE!A:W, 9, FALSE), "GENERAL"))</f>
        <v/>
      </c>
      <c r="H696" s="2" t="str">
        <f>IF(B696="","",IFERROR(VLOOKUP(B696, PLANTA_BASE!A:W, 17, FALSE), "GENERAL"))</f>
        <v/>
      </c>
    </row>
    <row r="697" spans="1:8" ht="20.100000000000001" customHeight="1" x14ac:dyDescent="0.25">
      <c r="A697" s="5" t="str">
        <f>IF(B697="","",IFERROR(VLOOKUP(B697, PLANTA_BASE!A:W, 2, FALSE), "NO ENCONTRADO EN PLANTA"))</f>
        <v/>
      </c>
      <c r="B697" s="6"/>
      <c r="C697" s="7" t="str">
        <f>IF(B697="","",IFERROR(VLOOKUP(B697, PLANTA_BASE!A:W, 3, FALSE), ""))</f>
        <v/>
      </c>
      <c r="D697" s="5" t="str">
        <f>IF(B697="","",IFERROR(VLOOKUP(B697, PLANTA_BASE!A:W, 5, FALSE), "NO ENCONTRADO EN PLANTA"))</f>
        <v/>
      </c>
      <c r="E697" s="5" t="str">
        <f>IF(B697="","",IFERROR(VLOOKUP(B697, PLANTA_BASE!A:W, 6, FALSE), "NO ENCONTRADO EN PLANTA"))</f>
        <v/>
      </c>
      <c r="F697" s="7" t="str">
        <f>IF(B697="","",IFERROR(VLOOKUP(B697, PLANTA_BASE!A:W, 8, FALSE), "DOCENTE / FACILITADOR"))</f>
        <v/>
      </c>
      <c r="G697" s="7" t="str">
        <f>IF(B697="","",IFERROR(VLOOKUP(B697, PLANTA_BASE!A:W, 9, FALSE), "GENERAL"))</f>
        <v/>
      </c>
      <c r="H697" s="5" t="str">
        <f>IF(B697="","",IFERROR(VLOOKUP(B697, PLANTA_BASE!A:W, 17, FALSE), "GENERAL"))</f>
        <v/>
      </c>
    </row>
    <row r="698" spans="1:8" ht="20.100000000000001" customHeight="1" x14ac:dyDescent="0.25">
      <c r="A698" s="2" t="str">
        <f>IF(B698="","",IFERROR(VLOOKUP(B698, PLANTA_BASE!A:W, 2, FALSE), "NO ENCONTRADO EN PLANTA"))</f>
        <v/>
      </c>
      <c r="B698" s="3"/>
      <c r="C698" s="4" t="str">
        <f>IF(B698="","",IFERROR(VLOOKUP(B698, PLANTA_BASE!A:W, 3, FALSE), ""))</f>
        <v/>
      </c>
      <c r="D698" s="2" t="str">
        <f>IF(B698="","",IFERROR(VLOOKUP(B698, PLANTA_BASE!A:W, 5, FALSE), "NO ENCONTRADO EN PLANTA"))</f>
        <v/>
      </c>
      <c r="E698" s="2" t="str">
        <f>IF(B698="","",IFERROR(VLOOKUP(B698, PLANTA_BASE!A:W, 6, FALSE), "NO ENCONTRADO EN PLANTA"))</f>
        <v/>
      </c>
      <c r="F698" s="4" t="str">
        <f>IF(B698="","",IFERROR(VLOOKUP(B698, PLANTA_BASE!A:W, 8, FALSE), "DOCENTE / FACILITADOR"))</f>
        <v/>
      </c>
      <c r="G698" s="4" t="str">
        <f>IF(B698="","",IFERROR(VLOOKUP(B698, PLANTA_BASE!A:W, 9, FALSE), "GENERAL"))</f>
        <v/>
      </c>
      <c r="H698" s="2" t="str">
        <f>IF(B698="","",IFERROR(VLOOKUP(B698, PLANTA_BASE!A:W, 17, FALSE), "GENERAL"))</f>
        <v/>
      </c>
    </row>
    <row r="699" spans="1:8" ht="20.100000000000001" customHeight="1" x14ac:dyDescent="0.25">
      <c r="A699" s="5" t="str">
        <f>IF(B699="","",IFERROR(VLOOKUP(B699, PLANTA_BASE!A:W, 2, FALSE), "NO ENCONTRADO EN PLANTA"))</f>
        <v/>
      </c>
      <c r="B699" s="6"/>
      <c r="C699" s="7" t="str">
        <f>IF(B699="","",IFERROR(VLOOKUP(B699, PLANTA_BASE!A:W, 3, FALSE), ""))</f>
        <v/>
      </c>
      <c r="D699" s="5" t="str">
        <f>IF(B699="","",IFERROR(VLOOKUP(B699, PLANTA_BASE!A:W, 5, FALSE), "NO ENCONTRADO EN PLANTA"))</f>
        <v/>
      </c>
      <c r="E699" s="5" t="str">
        <f>IF(B699="","",IFERROR(VLOOKUP(B699, PLANTA_BASE!A:W, 6, FALSE), "NO ENCONTRADO EN PLANTA"))</f>
        <v/>
      </c>
      <c r="F699" s="7" t="str">
        <f>IF(B699="","",IFERROR(VLOOKUP(B699, PLANTA_BASE!A:W, 8, FALSE), "DOCENTE / FACILITADOR"))</f>
        <v/>
      </c>
      <c r="G699" s="7" t="str">
        <f>IF(B699="","",IFERROR(VLOOKUP(B699, PLANTA_BASE!A:W, 9, FALSE), "GENERAL"))</f>
        <v/>
      </c>
      <c r="H699" s="5" t="str">
        <f>IF(B699="","",IFERROR(VLOOKUP(B699, PLANTA_BASE!A:W, 17, FALSE), "GENERAL"))</f>
        <v/>
      </c>
    </row>
    <row r="700" spans="1:8" ht="20.100000000000001" customHeight="1" x14ac:dyDescent="0.25">
      <c r="A700" s="2" t="str">
        <f>IF(B700="","",IFERROR(VLOOKUP(B700, PLANTA_BASE!A:W, 2, FALSE), "NO ENCONTRADO EN PLANTA"))</f>
        <v/>
      </c>
      <c r="B700" s="3"/>
      <c r="C700" s="4" t="str">
        <f>IF(B700="","",IFERROR(VLOOKUP(B700, PLANTA_BASE!A:W, 3, FALSE), ""))</f>
        <v/>
      </c>
      <c r="D700" s="2" t="str">
        <f>IF(B700="","",IFERROR(VLOOKUP(B700, PLANTA_BASE!A:W, 5, FALSE), "NO ENCONTRADO EN PLANTA"))</f>
        <v/>
      </c>
      <c r="E700" s="2" t="str">
        <f>IF(B700="","",IFERROR(VLOOKUP(B700, PLANTA_BASE!A:W, 6, FALSE), "NO ENCONTRADO EN PLANTA"))</f>
        <v/>
      </c>
      <c r="F700" s="4" t="str">
        <f>IF(B700="","",IFERROR(VLOOKUP(B700, PLANTA_BASE!A:W, 8, FALSE), "DOCENTE / FACILITADOR"))</f>
        <v/>
      </c>
      <c r="G700" s="4" t="str">
        <f>IF(B700="","",IFERROR(VLOOKUP(B700, PLANTA_BASE!A:W, 9, FALSE), "GENERAL"))</f>
        <v/>
      </c>
      <c r="H700" s="2" t="str">
        <f>IF(B700="","",IFERROR(VLOOKUP(B700, PLANTA_BASE!A:W, 17, FALSE), "GENERAL"))</f>
        <v/>
      </c>
    </row>
    <row r="701" spans="1:8" ht="20.100000000000001" customHeight="1" x14ac:dyDescent="0.25">
      <c r="A701" s="5" t="str">
        <f>IF(B701="","",IFERROR(VLOOKUP(B701, PLANTA_BASE!A:W, 2, FALSE), "NO ENCONTRADO EN PLANTA"))</f>
        <v/>
      </c>
      <c r="B701" s="6"/>
      <c r="C701" s="7" t="str">
        <f>IF(B701="","",IFERROR(VLOOKUP(B701, PLANTA_BASE!A:W, 3, FALSE), ""))</f>
        <v/>
      </c>
      <c r="D701" s="5" t="str">
        <f>IF(B701="","",IFERROR(VLOOKUP(B701, PLANTA_BASE!A:W, 5, FALSE), "NO ENCONTRADO EN PLANTA"))</f>
        <v/>
      </c>
      <c r="E701" s="5" t="str">
        <f>IF(B701="","",IFERROR(VLOOKUP(B701, PLANTA_BASE!A:W, 6, FALSE), "NO ENCONTRADO EN PLANTA"))</f>
        <v/>
      </c>
      <c r="F701" s="7" t="str">
        <f>IF(B701="","",IFERROR(VLOOKUP(B701, PLANTA_BASE!A:W, 8, FALSE), "DOCENTE / FACILITADOR"))</f>
        <v/>
      </c>
      <c r="G701" s="7" t="str">
        <f>IF(B701="","",IFERROR(VLOOKUP(B701, PLANTA_BASE!A:W, 9, FALSE), "GENERAL"))</f>
        <v/>
      </c>
      <c r="H701" s="5" t="str">
        <f>IF(B701="","",IFERROR(VLOOKUP(B701, PLANTA_BASE!A:W, 17, FALSE), "GENERAL"))</f>
        <v/>
      </c>
    </row>
    <row r="702" spans="1:8" ht="20.100000000000001" customHeight="1" x14ac:dyDescent="0.25">
      <c r="A702" s="2" t="str">
        <f>IF(B702="","",IFERROR(VLOOKUP(B702, PLANTA_BASE!A:W, 2, FALSE), "NO ENCONTRADO EN PLANTA"))</f>
        <v/>
      </c>
      <c r="B702" s="3"/>
      <c r="C702" s="4" t="str">
        <f>IF(B702="","",IFERROR(VLOOKUP(B702, PLANTA_BASE!A:W, 3, FALSE), ""))</f>
        <v/>
      </c>
      <c r="D702" s="2" t="str">
        <f>IF(B702="","",IFERROR(VLOOKUP(B702, PLANTA_BASE!A:W, 5, FALSE), "NO ENCONTRADO EN PLANTA"))</f>
        <v/>
      </c>
      <c r="E702" s="2" t="str">
        <f>IF(B702="","",IFERROR(VLOOKUP(B702, PLANTA_BASE!A:W, 6, FALSE), "NO ENCONTRADO EN PLANTA"))</f>
        <v/>
      </c>
      <c r="F702" s="4" t="str">
        <f>IF(B702="","",IFERROR(VLOOKUP(B702, PLANTA_BASE!A:W, 8, FALSE), "DOCENTE / FACILITADOR"))</f>
        <v/>
      </c>
      <c r="G702" s="4" t="str">
        <f>IF(B702="","",IFERROR(VLOOKUP(B702, PLANTA_BASE!A:W, 9, FALSE), "GENERAL"))</f>
        <v/>
      </c>
      <c r="H702" s="2" t="str">
        <f>IF(B702="","",IFERROR(VLOOKUP(B702, PLANTA_BASE!A:W, 17, FALSE), "GENERAL"))</f>
        <v/>
      </c>
    </row>
    <row r="703" spans="1:8" ht="20.100000000000001" customHeight="1" x14ac:dyDescent="0.25">
      <c r="A703" s="5" t="str">
        <f>IF(B703="","",IFERROR(VLOOKUP(B703, PLANTA_BASE!A:W, 2, FALSE), "NO ENCONTRADO EN PLANTA"))</f>
        <v/>
      </c>
      <c r="B703" s="6"/>
      <c r="C703" s="7" t="str">
        <f>IF(B703="","",IFERROR(VLOOKUP(B703, PLANTA_BASE!A:W, 3, FALSE), ""))</f>
        <v/>
      </c>
      <c r="D703" s="5" t="str">
        <f>IF(B703="","",IFERROR(VLOOKUP(B703, PLANTA_BASE!A:W, 5, FALSE), "NO ENCONTRADO EN PLANTA"))</f>
        <v/>
      </c>
      <c r="E703" s="5" t="str">
        <f>IF(B703="","",IFERROR(VLOOKUP(B703, PLANTA_BASE!A:W, 6, FALSE), "NO ENCONTRADO EN PLANTA"))</f>
        <v/>
      </c>
      <c r="F703" s="7" t="str">
        <f>IF(B703="","",IFERROR(VLOOKUP(B703, PLANTA_BASE!A:W, 8, FALSE), "DOCENTE / FACILITADOR"))</f>
        <v/>
      </c>
      <c r="G703" s="7" t="str">
        <f>IF(B703="","",IFERROR(VLOOKUP(B703, PLANTA_BASE!A:W, 9, FALSE), "GENERAL"))</f>
        <v/>
      </c>
      <c r="H703" s="5" t="str">
        <f>IF(B703="","",IFERROR(VLOOKUP(B703, PLANTA_BASE!A:W, 17, FALSE), "GENERAL"))</f>
        <v/>
      </c>
    </row>
    <row r="704" spans="1:8" ht="20.100000000000001" customHeight="1" x14ac:dyDescent="0.25">
      <c r="A704" s="2" t="str">
        <f>IF(B704="","",IFERROR(VLOOKUP(B704, PLANTA_BASE!A:W, 2, FALSE), "NO ENCONTRADO EN PLANTA"))</f>
        <v/>
      </c>
      <c r="B704" s="3"/>
      <c r="C704" s="4" t="str">
        <f>IF(B704="","",IFERROR(VLOOKUP(B704, PLANTA_BASE!A:W, 3, FALSE), ""))</f>
        <v/>
      </c>
      <c r="D704" s="2" t="str">
        <f>IF(B704="","",IFERROR(VLOOKUP(B704, PLANTA_BASE!A:W, 5, FALSE), "NO ENCONTRADO EN PLANTA"))</f>
        <v/>
      </c>
      <c r="E704" s="2" t="str">
        <f>IF(B704="","",IFERROR(VLOOKUP(B704, PLANTA_BASE!A:W, 6, FALSE), "NO ENCONTRADO EN PLANTA"))</f>
        <v/>
      </c>
      <c r="F704" s="4" t="str">
        <f>IF(B704="","",IFERROR(VLOOKUP(B704, PLANTA_BASE!A:W, 8, FALSE), "DOCENTE / FACILITADOR"))</f>
        <v/>
      </c>
      <c r="G704" s="4" t="str">
        <f>IF(B704="","",IFERROR(VLOOKUP(B704, PLANTA_BASE!A:W, 9, FALSE), "GENERAL"))</f>
        <v/>
      </c>
      <c r="H704" s="2" t="str">
        <f>IF(B704="","",IFERROR(VLOOKUP(B704, PLANTA_BASE!A:W, 17, FALSE), "GENERAL"))</f>
        <v/>
      </c>
    </row>
    <row r="705" spans="1:8" ht="20.100000000000001" customHeight="1" x14ac:dyDescent="0.25">
      <c r="A705" s="5" t="str">
        <f>IF(B705="","",IFERROR(VLOOKUP(B705, PLANTA_BASE!A:W, 2, FALSE), "NO ENCONTRADO EN PLANTA"))</f>
        <v/>
      </c>
      <c r="B705" s="6"/>
      <c r="C705" s="7" t="str">
        <f>IF(B705="","",IFERROR(VLOOKUP(B705, PLANTA_BASE!A:W, 3, FALSE), ""))</f>
        <v/>
      </c>
      <c r="D705" s="5" t="str">
        <f>IF(B705="","",IFERROR(VLOOKUP(B705, PLANTA_BASE!A:W, 5, FALSE), "NO ENCONTRADO EN PLANTA"))</f>
        <v/>
      </c>
      <c r="E705" s="5" t="str">
        <f>IF(B705="","",IFERROR(VLOOKUP(B705, PLANTA_BASE!A:W, 6, FALSE), "NO ENCONTRADO EN PLANTA"))</f>
        <v/>
      </c>
      <c r="F705" s="7" t="str">
        <f>IF(B705="","",IFERROR(VLOOKUP(B705, PLANTA_BASE!A:W, 8, FALSE), "DOCENTE / FACILITADOR"))</f>
        <v/>
      </c>
      <c r="G705" s="7" t="str">
        <f>IF(B705="","",IFERROR(VLOOKUP(B705, PLANTA_BASE!A:W, 9, FALSE), "GENERAL"))</f>
        <v/>
      </c>
      <c r="H705" s="5" t="str">
        <f>IF(B705="","",IFERROR(VLOOKUP(B705, PLANTA_BASE!A:W, 17, FALSE), "GENERAL"))</f>
        <v/>
      </c>
    </row>
    <row r="706" spans="1:8" ht="20.100000000000001" customHeight="1" x14ac:dyDescent="0.25">
      <c r="A706" s="2" t="str">
        <f>IF(B706="","",IFERROR(VLOOKUP(B706, PLANTA_BASE!A:W, 2, FALSE), "NO ENCONTRADO EN PLANTA"))</f>
        <v/>
      </c>
      <c r="B706" s="3"/>
      <c r="C706" s="4" t="str">
        <f>IF(B706="","",IFERROR(VLOOKUP(B706, PLANTA_BASE!A:W, 3, FALSE), ""))</f>
        <v/>
      </c>
      <c r="D706" s="2" t="str">
        <f>IF(B706="","",IFERROR(VLOOKUP(B706, PLANTA_BASE!A:W, 5, FALSE), "NO ENCONTRADO EN PLANTA"))</f>
        <v/>
      </c>
      <c r="E706" s="2" t="str">
        <f>IF(B706="","",IFERROR(VLOOKUP(B706, PLANTA_BASE!A:W, 6, FALSE), "NO ENCONTRADO EN PLANTA"))</f>
        <v/>
      </c>
      <c r="F706" s="4" t="str">
        <f>IF(B706="","",IFERROR(VLOOKUP(B706, PLANTA_BASE!A:W, 8, FALSE), "DOCENTE / FACILITADOR"))</f>
        <v/>
      </c>
      <c r="G706" s="4" t="str">
        <f>IF(B706="","",IFERROR(VLOOKUP(B706, PLANTA_BASE!A:W, 9, FALSE), "GENERAL"))</f>
        <v/>
      </c>
      <c r="H706" s="2" t="str">
        <f>IF(B706="","",IFERROR(VLOOKUP(B706, PLANTA_BASE!A:W, 17, FALSE), "GENERAL"))</f>
        <v/>
      </c>
    </row>
    <row r="707" spans="1:8" ht="20.100000000000001" customHeight="1" x14ac:dyDescent="0.25">
      <c r="A707" s="5" t="str">
        <f>IF(B707="","",IFERROR(VLOOKUP(B707, PLANTA_BASE!A:W, 2, FALSE), "NO ENCONTRADO EN PLANTA"))</f>
        <v/>
      </c>
      <c r="B707" s="6"/>
      <c r="C707" s="7" t="str">
        <f>IF(B707="","",IFERROR(VLOOKUP(B707, PLANTA_BASE!A:W, 3, FALSE), ""))</f>
        <v/>
      </c>
      <c r="D707" s="5" t="str">
        <f>IF(B707="","",IFERROR(VLOOKUP(B707, PLANTA_BASE!A:W, 5, FALSE), "NO ENCONTRADO EN PLANTA"))</f>
        <v/>
      </c>
      <c r="E707" s="5" t="str">
        <f>IF(B707="","",IFERROR(VLOOKUP(B707, PLANTA_BASE!A:W, 6, FALSE), "NO ENCONTRADO EN PLANTA"))</f>
        <v/>
      </c>
      <c r="F707" s="7" t="str">
        <f>IF(B707="","",IFERROR(VLOOKUP(B707, PLANTA_BASE!A:W, 8, FALSE), "DOCENTE / FACILITADOR"))</f>
        <v/>
      </c>
      <c r="G707" s="7" t="str">
        <f>IF(B707="","",IFERROR(VLOOKUP(B707, PLANTA_BASE!A:W, 9, FALSE), "GENERAL"))</f>
        <v/>
      </c>
      <c r="H707" s="5" t="str">
        <f>IF(B707="","",IFERROR(VLOOKUP(B707, PLANTA_BASE!A:W, 17, FALSE), "GENERAL"))</f>
        <v/>
      </c>
    </row>
    <row r="708" spans="1:8" ht="20.100000000000001" customHeight="1" x14ac:dyDescent="0.25">
      <c r="A708" s="2" t="str">
        <f>IF(B708="","",IFERROR(VLOOKUP(B708, PLANTA_BASE!A:W, 2, FALSE), "NO ENCONTRADO EN PLANTA"))</f>
        <v/>
      </c>
      <c r="B708" s="3"/>
      <c r="C708" s="4" t="str">
        <f>IF(B708="","",IFERROR(VLOOKUP(B708, PLANTA_BASE!A:W, 3, FALSE), ""))</f>
        <v/>
      </c>
      <c r="D708" s="2" t="str">
        <f>IF(B708="","",IFERROR(VLOOKUP(B708, PLANTA_BASE!A:W, 5, FALSE), "NO ENCONTRADO EN PLANTA"))</f>
        <v/>
      </c>
      <c r="E708" s="2" t="str">
        <f>IF(B708="","",IFERROR(VLOOKUP(B708, PLANTA_BASE!A:W, 6, FALSE), "NO ENCONTRADO EN PLANTA"))</f>
        <v/>
      </c>
      <c r="F708" s="4" t="str">
        <f>IF(B708="","",IFERROR(VLOOKUP(B708, PLANTA_BASE!A:W, 8, FALSE), "DOCENTE / FACILITADOR"))</f>
        <v/>
      </c>
      <c r="G708" s="4" t="str">
        <f>IF(B708="","",IFERROR(VLOOKUP(B708, PLANTA_BASE!A:W, 9, FALSE), "GENERAL"))</f>
        <v/>
      </c>
      <c r="H708" s="2" t="str">
        <f>IF(B708="","",IFERROR(VLOOKUP(B708, PLANTA_BASE!A:W, 17, FALSE), "GENERAL"))</f>
        <v/>
      </c>
    </row>
    <row r="709" spans="1:8" ht="20.100000000000001" customHeight="1" x14ac:dyDescent="0.25">
      <c r="A709" s="5" t="str">
        <f>IF(B709="","",IFERROR(VLOOKUP(B709, PLANTA_BASE!A:W, 2, FALSE), "NO ENCONTRADO EN PLANTA"))</f>
        <v/>
      </c>
      <c r="B709" s="6"/>
      <c r="C709" s="7" t="str">
        <f>IF(B709="","",IFERROR(VLOOKUP(B709, PLANTA_BASE!A:W, 3, FALSE), ""))</f>
        <v/>
      </c>
      <c r="D709" s="5" t="str">
        <f>IF(B709="","",IFERROR(VLOOKUP(B709, PLANTA_BASE!A:W, 5, FALSE), "NO ENCONTRADO EN PLANTA"))</f>
        <v/>
      </c>
      <c r="E709" s="5" t="str">
        <f>IF(B709="","",IFERROR(VLOOKUP(B709, PLANTA_BASE!A:W, 6, FALSE), "NO ENCONTRADO EN PLANTA"))</f>
        <v/>
      </c>
      <c r="F709" s="7" t="str">
        <f>IF(B709="","",IFERROR(VLOOKUP(B709, PLANTA_BASE!A:W, 8, FALSE), "DOCENTE / FACILITADOR"))</f>
        <v/>
      </c>
      <c r="G709" s="7" t="str">
        <f>IF(B709="","",IFERROR(VLOOKUP(B709, PLANTA_BASE!A:W, 9, FALSE), "GENERAL"))</f>
        <v/>
      </c>
      <c r="H709" s="5" t="str">
        <f>IF(B709="","",IFERROR(VLOOKUP(B709, PLANTA_BASE!A:W, 17, FALSE), "GENERAL"))</f>
        <v/>
      </c>
    </row>
    <row r="710" spans="1:8" ht="20.100000000000001" customHeight="1" x14ac:dyDescent="0.25">
      <c r="A710" s="2" t="str">
        <f>IF(B710="","",IFERROR(VLOOKUP(B710, PLANTA_BASE!A:W, 2, FALSE), "NO ENCONTRADO EN PLANTA"))</f>
        <v/>
      </c>
      <c r="B710" s="3"/>
      <c r="C710" s="4" t="str">
        <f>IF(B710="","",IFERROR(VLOOKUP(B710, PLANTA_BASE!A:W, 3, FALSE), ""))</f>
        <v/>
      </c>
      <c r="D710" s="2" t="str">
        <f>IF(B710="","",IFERROR(VLOOKUP(B710, PLANTA_BASE!A:W, 5, FALSE), "NO ENCONTRADO EN PLANTA"))</f>
        <v/>
      </c>
      <c r="E710" s="2" t="str">
        <f>IF(B710="","",IFERROR(VLOOKUP(B710, PLANTA_BASE!A:W, 6, FALSE), "NO ENCONTRADO EN PLANTA"))</f>
        <v/>
      </c>
      <c r="F710" s="4" t="str">
        <f>IF(B710="","",IFERROR(VLOOKUP(B710, PLANTA_BASE!A:W, 8, FALSE), "DOCENTE / FACILITADOR"))</f>
        <v/>
      </c>
      <c r="G710" s="4" t="str">
        <f>IF(B710="","",IFERROR(VLOOKUP(B710, PLANTA_BASE!A:W, 9, FALSE), "GENERAL"))</f>
        <v/>
      </c>
      <c r="H710" s="2" t="str">
        <f>IF(B710="","",IFERROR(VLOOKUP(B710, PLANTA_BASE!A:W, 17, FALSE), "GENERAL"))</f>
        <v/>
      </c>
    </row>
    <row r="711" spans="1:8" ht="20.100000000000001" customHeight="1" x14ac:dyDescent="0.25">
      <c r="A711" s="5" t="str">
        <f>IF(B711="","",IFERROR(VLOOKUP(B711, PLANTA_BASE!A:W, 2, FALSE), "NO ENCONTRADO EN PLANTA"))</f>
        <v/>
      </c>
      <c r="B711" s="6"/>
      <c r="C711" s="7" t="str">
        <f>IF(B711="","",IFERROR(VLOOKUP(B711, PLANTA_BASE!A:W, 3, FALSE), ""))</f>
        <v/>
      </c>
      <c r="D711" s="5" t="str">
        <f>IF(B711="","",IFERROR(VLOOKUP(B711, PLANTA_BASE!A:W, 5, FALSE), "NO ENCONTRADO EN PLANTA"))</f>
        <v/>
      </c>
      <c r="E711" s="5" t="str">
        <f>IF(B711="","",IFERROR(VLOOKUP(B711, PLANTA_BASE!A:W, 6, FALSE), "NO ENCONTRADO EN PLANTA"))</f>
        <v/>
      </c>
      <c r="F711" s="7" t="str">
        <f>IF(B711="","",IFERROR(VLOOKUP(B711, PLANTA_BASE!A:W, 8, FALSE), "DOCENTE / FACILITADOR"))</f>
        <v/>
      </c>
      <c r="G711" s="7" t="str">
        <f>IF(B711="","",IFERROR(VLOOKUP(B711, PLANTA_BASE!A:W, 9, FALSE), "GENERAL"))</f>
        <v/>
      </c>
      <c r="H711" s="5" t="str">
        <f>IF(B711="","",IFERROR(VLOOKUP(B711, PLANTA_BASE!A:W, 17, FALSE), "GENERAL"))</f>
        <v/>
      </c>
    </row>
    <row r="712" spans="1:8" ht="20.100000000000001" customHeight="1" x14ac:dyDescent="0.25">
      <c r="A712" s="2" t="str">
        <f>IF(B712="","",IFERROR(VLOOKUP(B712, PLANTA_BASE!A:W, 2, FALSE), "NO ENCONTRADO EN PLANTA"))</f>
        <v/>
      </c>
      <c r="B712" s="3"/>
      <c r="C712" s="4" t="str">
        <f>IF(B712="","",IFERROR(VLOOKUP(B712, PLANTA_BASE!A:W, 3, FALSE), ""))</f>
        <v/>
      </c>
      <c r="D712" s="2" t="str">
        <f>IF(B712="","",IFERROR(VLOOKUP(B712, PLANTA_BASE!A:W, 5, FALSE), "NO ENCONTRADO EN PLANTA"))</f>
        <v/>
      </c>
      <c r="E712" s="2" t="str">
        <f>IF(B712="","",IFERROR(VLOOKUP(B712, PLANTA_BASE!A:W, 6, FALSE), "NO ENCONTRADO EN PLANTA"))</f>
        <v/>
      </c>
      <c r="F712" s="4" t="str">
        <f>IF(B712="","",IFERROR(VLOOKUP(B712, PLANTA_BASE!A:W, 8, FALSE), "DOCENTE / FACILITADOR"))</f>
        <v/>
      </c>
      <c r="G712" s="4" t="str">
        <f>IF(B712="","",IFERROR(VLOOKUP(B712, PLANTA_BASE!A:W, 9, FALSE), "GENERAL"))</f>
        <v/>
      </c>
      <c r="H712" s="2" t="str">
        <f>IF(B712="","",IFERROR(VLOOKUP(B712, PLANTA_BASE!A:W, 17, FALSE), "GENERAL"))</f>
        <v/>
      </c>
    </row>
    <row r="713" spans="1:8" ht="20.100000000000001" customHeight="1" x14ac:dyDescent="0.25">
      <c r="A713" s="5" t="str">
        <f>IF(B713="","",IFERROR(VLOOKUP(B713, PLANTA_BASE!A:W, 2, FALSE), "NO ENCONTRADO EN PLANTA"))</f>
        <v/>
      </c>
      <c r="B713" s="6"/>
      <c r="C713" s="7" t="str">
        <f>IF(B713="","",IFERROR(VLOOKUP(B713, PLANTA_BASE!A:W, 3, FALSE), ""))</f>
        <v/>
      </c>
      <c r="D713" s="5" t="str">
        <f>IF(B713="","",IFERROR(VLOOKUP(B713, PLANTA_BASE!A:W, 5, FALSE), "NO ENCONTRADO EN PLANTA"))</f>
        <v/>
      </c>
      <c r="E713" s="5" t="str">
        <f>IF(B713="","",IFERROR(VLOOKUP(B713, PLANTA_BASE!A:W, 6, FALSE), "NO ENCONTRADO EN PLANTA"))</f>
        <v/>
      </c>
      <c r="F713" s="7" t="str">
        <f>IF(B713="","",IFERROR(VLOOKUP(B713, PLANTA_BASE!A:W, 8, FALSE), "DOCENTE / FACILITADOR"))</f>
        <v/>
      </c>
      <c r="G713" s="7" t="str">
        <f>IF(B713="","",IFERROR(VLOOKUP(B713, PLANTA_BASE!A:W, 9, FALSE), "GENERAL"))</f>
        <v/>
      </c>
      <c r="H713" s="5" t="str">
        <f>IF(B713="","",IFERROR(VLOOKUP(B713, PLANTA_BASE!A:W, 17, FALSE), "GENERAL"))</f>
        <v/>
      </c>
    </row>
    <row r="714" spans="1:8" ht="20.100000000000001" customHeight="1" x14ac:dyDescent="0.25">
      <c r="A714" s="2" t="str">
        <f>IF(B714="","",IFERROR(VLOOKUP(B714, PLANTA_BASE!A:W, 2, FALSE), "NO ENCONTRADO EN PLANTA"))</f>
        <v/>
      </c>
      <c r="B714" s="3"/>
      <c r="C714" s="4" t="str">
        <f>IF(B714="","",IFERROR(VLOOKUP(B714, PLANTA_BASE!A:W, 3, FALSE), ""))</f>
        <v/>
      </c>
      <c r="D714" s="2" t="str">
        <f>IF(B714="","",IFERROR(VLOOKUP(B714, PLANTA_BASE!A:W, 5, FALSE), "NO ENCONTRADO EN PLANTA"))</f>
        <v/>
      </c>
      <c r="E714" s="2" t="str">
        <f>IF(B714="","",IFERROR(VLOOKUP(B714, PLANTA_BASE!A:W, 6, FALSE), "NO ENCONTRADO EN PLANTA"))</f>
        <v/>
      </c>
      <c r="F714" s="4" t="str">
        <f>IF(B714="","",IFERROR(VLOOKUP(B714, PLANTA_BASE!A:W, 8, FALSE), "DOCENTE / FACILITADOR"))</f>
        <v/>
      </c>
      <c r="G714" s="4" t="str">
        <f>IF(B714="","",IFERROR(VLOOKUP(B714, PLANTA_BASE!A:W, 9, FALSE), "GENERAL"))</f>
        <v/>
      </c>
      <c r="H714" s="2" t="str">
        <f>IF(B714="","",IFERROR(VLOOKUP(B714, PLANTA_BASE!A:W, 17, FALSE), "GENERAL"))</f>
        <v/>
      </c>
    </row>
    <row r="715" spans="1:8" ht="20.100000000000001" customHeight="1" x14ac:dyDescent="0.25">
      <c r="A715" s="5" t="str">
        <f>IF(B715="","",IFERROR(VLOOKUP(B715, PLANTA_BASE!A:W, 2, FALSE), "NO ENCONTRADO EN PLANTA"))</f>
        <v/>
      </c>
      <c r="B715" s="6"/>
      <c r="C715" s="7" t="str">
        <f>IF(B715="","",IFERROR(VLOOKUP(B715, PLANTA_BASE!A:W, 3, FALSE), ""))</f>
        <v/>
      </c>
      <c r="D715" s="5" t="str">
        <f>IF(B715="","",IFERROR(VLOOKUP(B715, PLANTA_BASE!A:W, 5, FALSE), "NO ENCONTRADO EN PLANTA"))</f>
        <v/>
      </c>
      <c r="E715" s="5" t="str">
        <f>IF(B715="","",IFERROR(VLOOKUP(B715, PLANTA_BASE!A:W, 6, FALSE), "NO ENCONTRADO EN PLANTA"))</f>
        <v/>
      </c>
      <c r="F715" s="7" t="str">
        <f>IF(B715="","",IFERROR(VLOOKUP(B715, PLANTA_BASE!A:W, 8, FALSE), "DOCENTE / FACILITADOR"))</f>
        <v/>
      </c>
      <c r="G715" s="7" t="str">
        <f>IF(B715="","",IFERROR(VLOOKUP(B715, PLANTA_BASE!A:W, 9, FALSE), "GENERAL"))</f>
        <v/>
      </c>
      <c r="H715" s="5" t="str">
        <f>IF(B715="","",IFERROR(VLOOKUP(B715, PLANTA_BASE!A:W, 17, FALSE), "GENERAL"))</f>
        <v/>
      </c>
    </row>
    <row r="716" spans="1:8" ht="20.100000000000001" customHeight="1" x14ac:dyDescent="0.25">
      <c r="A716" s="2" t="str">
        <f>IF(B716="","",IFERROR(VLOOKUP(B716, PLANTA_BASE!A:W, 2, FALSE), "NO ENCONTRADO EN PLANTA"))</f>
        <v/>
      </c>
      <c r="B716" s="3"/>
      <c r="C716" s="4" t="str">
        <f>IF(B716="","",IFERROR(VLOOKUP(B716, PLANTA_BASE!A:W, 3, FALSE), ""))</f>
        <v/>
      </c>
      <c r="D716" s="2" t="str">
        <f>IF(B716="","",IFERROR(VLOOKUP(B716, PLANTA_BASE!A:W, 5, FALSE), "NO ENCONTRADO EN PLANTA"))</f>
        <v/>
      </c>
      <c r="E716" s="2" t="str">
        <f>IF(B716="","",IFERROR(VLOOKUP(B716, PLANTA_BASE!A:W, 6, FALSE), "NO ENCONTRADO EN PLANTA"))</f>
        <v/>
      </c>
      <c r="F716" s="4" t="str">
        <f>IF(B716="","",IFERROR(VLOOKUP(B716, PLANTA_BASE!A:W, 8, FALSE), "DOCENTE / FACILITADOR"))</f>
        <v/>
      </c>
      <c r="G716" s="4" t="str">
        <f>IF(B716="","",IFERROR(VLOOKUP(B716, PLANTA_BASE!A:W, 9, FALSE), "GENERAL"))</f>
        <v/>
      </c>
      <c r="H716" s="2" t="str">
        <f>IF(B716="","",IFERROR(VLOOKUP(B716, PLANTA_BASE!A:W, 17, FALSE), "GENERAL"))</f>
        <v/>
      </c>
    </row>
    <row r="717" spans="1:8" ht="20.100000000000001" customHeight="1" x14ac:dyDescent="0.25">
      <c r="A717" s="5" t="str">
        <f>IF(B717="","",IFERROR(VLOOKUP(B717, PLANTA_BASE!A:W, 2, FALSE), "NO ENCONTRADO EN PLANTA"))</f>
        <v/>
      </c>
      <c r="B717" s="6"/>
      <c r="C717" s="7" t="str">
        <f>IF(B717="","",IFERROR(VLOOKUP(B717, PLANTA_BASE!A:W, 3, FALSE), ""))</f>
        <v/>
      </c>
      <c r="D717" s="5" t="str">
        <f>IF(B717="","",IFERROR(VLOOKUP(B717, PLANTA_BASE!A:W, 5, FALSE), "NO ENCONTRADO EN PLANTA"))</f>
        <v/>
      </c>
      <c r="E717" s="5" t="str">
        <f>IF(B717="","",IFERROR(VLOOKUP(B717, PLANTA_BASE!A:W, 6, FALSE), "NO ENCONTRADO EN PLANTA"))</f>
        <v/>
      </c>
      <c r="F717" s="7" t="str">
        <f>IF(B717="","",IFERROR(VLOOKUP(B717, PLANTA_BASE!A:W, 8, FALSE), "DOCENTE / FACILITADOR"))</f>
        <v/>
      </c>
      <c r="G717" s="7" t="str">
        <f>IF(B717="","",IFERROR(VLOOKUP(B717, PLANTA_BASE!A:W, 9, FALSE), "GENERAL"))</f>
        <v/>
      </c>
      <c r="H717" s="5" t="str">
        <f>IF(B717="","",IFERROR(VLOOKUP(B717, PLANTA_BASE!A:W, 17, FALSE), "GENERAL"))</f>
        <v/>
      </c>
    </row>
    <row r="718" spans="1:8" ht="20.100000000000001" customHeight="1" x14ac:dyDescent="0.25">
      <c r="A718" s="2" t="str">
        <f>IF(B718="","",IFERROR(VLOOKUP(B718, PLANTA_BASE!A:W, 2, FALSE), "NO ENCONTRADO EN PLANTA"))</f>
        <v/>
      </c>
      <c r="B718" s="3"/>
      <c r="C718" s="4" t="str">
        <f>IF(B718="","",IFERROR(VLOOKUP(B718, PLANTA_BASE!A:W, 3, FALSE), ""))</f>
        <v/>
      </c>
      <c r="D718" s="2" t="str">
        <f>IF(B718="","",IFERROR(VLOOKUP(B718, PLANTA_BASE!A:W, 5, FALSE), "NO ENCONTRADO EN PLANTA"))</f>
        <v/>
      </c>
      <c r="E718" s="2" t="str">
        <f>IF(B718="","",IFERROR(VLOOKUP(B718, PLANTA_BASE!A:W, 6, FALSE), "NO ENCONTRADO EN PLANTA"))</f>
        <v/>
      </c>
      <c r="F718" s="4" t="str">
        <f>IF(B718="","",IFERROR(VLOOKUP(B718, PLANTA_BASE!A:W, 8, FALSE), "DOCENTE / FACILITADOR"))</f>
        <v/>
      </c>
      <c r="G718" s="4" t="str">
        <f>IF(B718="","",IFERROR(VLOOKUP(B718, PLANTA_BASE!A:W, 9, FALSE), "GENERAL"))</f>
        <v/>
      </c>
      <c r="H718" s="2" t="str">
        <f>IF(B718="","",IFERROR(VLOOKUP(B718, PLANTA_BASE!A:W, 17, FALSE), "GENERAL"))</f>
        <v/>
      </c>
    </row>
    <row r="719" spans="1:8" ht="20.100000000000001" customHeight="1" x14ac:dyDescent="0.25">
      <c r="A719" s="5" t="str">
        <f>IF(B719="","",IFERROR(VLOOKUP(B719, PLANTA_BASE!A:W, 2, FALSE), "NO ENCONTRADO EN PLANTA"))</f>
        <v/>
      </c>
      <c r="B719" s="6"/>
      <c r="C719" s="7" t="str">
        <f>IF(B719="","",IFERROR(VLOOKUP(B719, PLANTA_BASE!A:W, 3, FALSE), ""))</f>
        <v/>
      </c>
      <c r="D719" s="5" t="str">
        <f>IF(B719="","",IFERROR(VLOOKUP(B719, PLANTA_BASE!A:W, 5, FALSE), "NO ENCONTRADO EN PLANTA"))</f>
        <v/>
      </c>
      <c r="E719" s="5" t="str">
        <f>IF(B719="","",IFERROR(VLOOKUP(B719, PLANTA_BASE!A:W, 6, FALSE), "NO ENCONTRADO EN PLANTA"))</f>
        <v/>
      </c>
      <c r="F719" s="7" t="str">
        <f>IF(B719="","",IFERROR(VLOOKUP(B719, PLANTA_BASE!A:W, 8, FALSE), "DOCENTE / FACILITADOR"))</f>
        <v/>
      </c>
      <c r="G719" s="7" t="str">
        <f>IF(B719="","",IFERROR(VLOOKUP(B719, PLANTA_BASE!A:W, 9, FALSE), "GENERAL"))</f>
        <v/>
      </c>
      <c r="H719" s="5" t="str">
        <f>IF(B719="","",IFERROR(VLOOKUP(B719, PLANTA_BASE!A:W, 17, FALSE), "GENERAL"))</f>
        <v/>
      </c>
    </row>
    <row r="720" spans="1:8" ht="20.100000000000001" customHeight="1" x14ac:dyDescent="0.25">
      <c r="A720" s="2" t="str">
        <f>IF(B720="","",IFERROR(VLOOKUP(B720, PLANTA_BASE!A:W, 2, FALSE), "NO ENCONTRADO EN PLANTA"))</f>
        <v/>
      </c>
      <c r="B720" s="3"/>
      <c r="C720" s="4" t="str">
        <f>IF(B720="","",IFERROR(VLOOKUP(B720, PLANTA_BASE!A:W, 3, FALSE), ""))</f>
        <v/>
      </c>
      <c r="D720" s="2" t="str">
        <f>IF(B720="","",IFERROR(VLOOKUP(B720, PLANTA_BASE!A:W, 5, FALSE), "NO ENCONTRADO EN PLANTA"))</f>
        <v/>
      </c>
      <c r="E720" s="2" t="str">
        <f>IF(B720="","",IFERROR(VLOOKUP(B720, PLANTA_BASE!A:W, 6, FALSE), "NO ENCONTRADO EN PLANTA"))</f>
        <v/>
      </c>
      <c r="F720" s="4" t="str">
        <f>IF(B720="","",IFERROR(VLOOKUP(B720, PLANTA_BASE!A:W, 8, FALSE), "DOCENTE / FACILITADOR"))</f>
        <v/>
      </c>
      <c r="G720" s="4" t="str">
        <f>IF(B720="","",IFERROR(VLOOKUP(B720, PLANTA_BASE!A:W, 9, FALSE), "GENERAL"))</f>
        <v/>
      </c>
      <c r="H720" s="2" t="str">
        <f>IF(B720="","",IFERROR(VLOOKUP(B720, PLANTA_BASE!A:W, 17, FALSE), "GENERAL"))</f>
        <v/>
      </c>
    </row>
    <row r="721" spans="1:8" ht="20.100000000000001" customHeight="1" x14ac:dyDescent="0.25">
      <c r="A721" s="5" t="str">
        <f>IF(B721="","",IFERROR(VLOOKUP(B721, PLANTA_BASE!A:W, 2, FALSE), "NO ENCONTRADO EN PLANTA"))</f>
        <v/>
      </c>
      <c r="B721" s="6"/>
      <c r="C721" s="7" t="str">
        <f>IF(B721="","",IFERROR(VLOOKUP(B721, PLANTA_BASE!A:W, 3, FALSE), ""))</f>
        <v/>
      </c>
      <c r="D721" s="5" t="str">
        <f>IF(B721="","",IFERROR(VLOOKUP(B721, PLANTA_BASE!A:W, 5, FALSE), "NO ENCONTRADO EN PLANTA"))</f>
        <v/>
      </c>
      <c r="E721" s="5" t="str">
        <f>IF(B721="","",IFERROR(VLOOKUP(B721, PLANTA_BASE!A:W, 6, FALSE), "NO ENCONTRADO EN PLANTA"))</f>
        <v/>
      </c>
      <c r="F721" s="7" t="str">
        <f>IF(B721="","",IFERROR(VLOOKUP(B721, PLANTA_BASE!A:W, 8, FALSE), "DOCENTE / FACILITADOR"))</f>
        <v/>
      </c>
      <c r="G721" s="7" t="str">
        <f>IF(B721="","",IFERROR(VLOOKUP(B721, PLANTA_BASE!A:W, 9, FALSE), "GENERAL"))</f>
        <v/>
      </c>
      <c r="H721" s="5" t="str">
        <f>IF(B721="","",IFERROR(VLOOKUP(B721, PLANTA_BASE!A:W, 17, FALSE), "GENERAL"))</f>
        <v/>
      </c>
    </row>
    <row r="722" spans="1:8" ht="20.100000000000001" customHeight="1" x14ac:dyDescent="0.25">
      <c r="A722" s="2" t="str">
        <f>IF(B722="","",IFERROR(VLOOKUP(B722, PLANTA_BASE!A:W, 2, FALSE), "NO ENCONTRADO EN PLANTA"))</f>
        <v/>
      </c>
      <c r="B722" s="3"/>
      <c r="C722" s="4" t="str">
        <f>IF(B722="","",IFERROR(VLOOKUP(B722, PLANTA_BASE!A:W, 3, FALSE), ""))</f>
        <v/>
      </c>
      <c r="D722" s="2" t="str">
        <f>IF(B722="","",IFERROR(VLOOKUP(B722, PLANTA_BASE!A:W, 5, FALSE), "NO ENCONTRADO EN PLANTA"))</f>
        <v/>
      </c>
      <c r="E722" s="2" t="str">
        <f>IF(B722="","",IFERROR(VLOOKUP(B722, PLANTA_BASE!A:W, 6, FALSE), "NO ENCONTRADO EN PLANTA"))</f>
        <v/>
      </c>
      <c r="F722" s="4" t="str">
        <f>IF(B722="","",IFERROR(VLOOKUP(B722, PLANTA_BASE!A:W, 8, FALSE), "DOCENTE / FACILITADOR"))</f>
        <v/>
      </c>
      <c r="G722" s="4" t="str">
        <f>IF(B722="","",IFERROR(VLOOKUP(B722, PLANTA_BASE!A:W, 9, FALSE), "GENERAL"))</f>
        <v/>
      </c>
      <c r="H722" s="2" t="str">
        <f>IF(B722="","",IFERROR(VLOOKUP(B722, PLANTA_BASE!A:W, 17, FALSE), "GENERAL"))</f>
        <v/>
      </c>
    </row>
    <row r="723" spans="1:8" ht="20.100000000000001" customHeight="1" x14ac:dyDescent="0.25">
      <c r="A723" s="5" t="str">
        <f>IF(B723="","",IFERROR(VLOOKUP(B723, PLANTA_BASE!A:W, 2, FALSE), "NO ENCONTRADO EN PLANTA"))</f>
        <v/>
      </c>
      <c r="B723" s="6"/>
      <c r="C723" s="7" t="str">
        <f>IF(B723="","",IFERROR(VLOOKUP(B723, PLANTA_BASE!A:W, 3, FALSE), ""))</f>
        <v/>
      </c>
      <c r="D723" s="5" t="str">
        <f>IF(B723="","",IFERROR(VLOOKUP(B723, PLANTA_BASE!A:W, 5, FALSE), "NO ENCONTRADO EN PLANTA"))</f>
        <v/>
      </c>
      <c r="E723" s="5" t="str">
        <f>IF(B723="","",IFERROR(VLOOKUP(B723, PLANTA_BASE!A:W, 6, FALSE), "NO ENCONTRADO EN PLANTA"))</f>
        <v/>
      </c>
      <c r="F723" s="7" t="str">
        <f>IF(B723="","",IFERROR(VLOOKUP(B723, PLANTA_BASE!A:W, 8, FALSE), "DOCENTE / FACILITADOR"))</f>
        <v/>
      </c>
      <c r="G723" s="7" t="str">
        <f>IF(B723="","",IFERROR(VLOOKUP(B723, PLANTA_BASE!A:W, 9, FALSE), "GENERAL"))</f>
        <v/>
      </c>
      <c r="H723" s="5" t="str">
        <f>IF(B723="","",IFERROR(VLOOKUP(B723, PLANTA_BASE!A:W, 17, FALSE), "GENERAL"))</f>
        <v/>
      </c>
    </row>
    <row r="724" spans="1:8" ht="20.100000000000001" customHeight="1" x14ac:dyDescent="0.25">
      <c r="A724" s="2" t="str">
        <f>IF(B724="","",IFERROR(VLOOKUP(B724, PLANTA_BASE!A:W, 2, FALSE), "NO ENCONTRADO EN PLANTA"))</f>
        <v/>
      </c>
      <c r="B724" s="3"/>
      <c r="C724" s="4" t="str">
        <f>IF(B724="","",IFERROR(VLOOKUP(B724, PLANTA_BASE!A:W, 3, FALSE), ""))</f>
        <v/>
      </c>
      <c r="D724" s="2" t="str">
        <f>IF(B724="","",IFERROR(VLOOKUP(B724, PLANTA_BASE!A:W, 5, FALSE), "NO ENCONTRADO EN PLANTA"))</f>
        <v/>
      </c>
      <c r="E724" s="2" t="str">
        <f>IF(B724="","",IFERROR(VLOOKUP(B724, PLANTA_BASE!A:W, 6, FALSE), "NO ENCONTRADO EN PLANTA"))</f>
        <v/>
      </c>
      <c r="F724" s="4" t="str">
        <f>IF(B724="","",IFERROR(VLOOKUP(B724, PLANTA_BASE!A:W, 8, FALSE), "DOCENTE / FACILITADOR"))</f>
        <v/>
      </c>
      <c r="G724" s="4" t="str">
        <f>IF(B724="","",IFERROR(VLOOKUP(B724, PLANTA_BASE!A:W, 9, FALSE), "GENERAL"))</f>
        <v/>
      </c>
      <c r="H724" s="2" t="str">
        <f>IF(B724="","",IFERROR(VLOOKUP(B724, PLANTA_BASE!A:W, 17, FALSE), "GENERAL"))</f>
        <v/>
      </c>
    </row>
    <row r="725" spans="1:8" ht="20.100000000000001" customHeight="1" x14ac:dyDescent="0.25">
      <c r="A725" s="5" t="str">
        <f>IF(B725="","",IFERROR(VLOOKUP(B725, PLANTA_BASE!A:W, 2, FALSE), "NO ENCONTRADO EN PLANTA"))</f>
        <v/>
      </c>
      <c r="B725" s="6"/>
      <c r="C725" s="7" t="str">
        <f>IF(B725="","",IFERROR(VLOOKUP(B725, PLANTA_BASE!A:W, 3, FALSE), ""))</f>
        <v/>
      </c>
      <c r="D725" s="5" t="str">
        <f>IF(B725="","",IFERROR(VLOOKUP(B725, PLANTA_BASE!A:W, 5, FALSE), "NO ENCONTRADO EN PLANTA"))</f>
        <v/>
      </c>
      <c r="E725" s="5" t="str">
        <f>IF(B725="","",IFERROR(VLOOKUP(B725, PLANTA_BASE!A:W, 6, FALSE), "NO ENCONTRADO EN PLANTA"))</f>
        <v/>
      </c>
      <c r="F725" s="7" t="str">
        <f>IF(B725="","",IFERROR(VLOOKUP(B725, PLANTA_BASE!A:W, 8, FALSE), "DOCENTE / FACILITADOR"))</f>
        <v/>
      </c>
      <c r="G725" s="7" t="str">
        <f>IF(B725="","",IFERROR(VLOOKUP(B725, PLANTA_BASE!A:W, 9, FALSE), "GENERAL"))</f>
        <v/>
      </c>
      <c r="H725" s="5" t="str">
        <f>IF(B725="","",IFERROR(VLOOKUP(B725, PLANTA_BASE!A:W, 17, FALSE), "GENERAL"))</f>
        <v/>
      </c>
    </row>
    <row r="726" spans="1:8" ht="20.100000000000001" customHeight="1" x14ac:dyDescent="0.25">
      <c r="A726" s="2" t="str">
        <f>IF(B726="","",IFERROR(VLOOKUP(B726, PLANTA_BASE!A:W, 2, FALSE), "NO ENCONTRADO EN PLANTA"))</f>
        <v/>
      </c>
      <c r="B726" s="3"/>
      <c r="C726" s="4" t="str">
        <f>IF(B726="","",IFERROR(VLOOKUP(B726, PLANTA_BASE!A:W, 3, FALSE), ""))</f>
        <v/>
      </c>
      <c r="D726" s="2" t="str">
        <f>IF(B726="","",IFERROR(VLOOKUP(B726, PLANTA_BASE!A:W, 5, FALSE), "NO ENCONTRADO EN PLANTA"))</f>
        <v/>
      </c>
      <c r="E726" s="2" t="str">
        <f>IF(B726="","",IFERROR(VLOOKUP(B726, PLANTA_BASE!A:W, 6, FALSE), "NO ENCONTRADO EN PLANTA"))</f>
        <v/>
      </c>
      <c r="F726" s="4" t="str">
        <f>IF(B726="","",IFERROR(VLOOKUP(B726, PLANTA_BASE!A:W, 8, FALSE), "DOCENTE / FACILITADOR"))</f>
        <v/>
      </c>
      <c r="G726" s="4" t="str">
        <f>IF(B726="","",IFERROR(VLOOKUP(B726, PLANTA_BASE!A:W, 9, FALSE), "GENERAL"))</f>
        <v/>
      </c>
      <c r="H726" s="2" t="str">
        <f>IF(B726="","",IFERROR(VLOOKUP(B726, PLANTA_BASE!A:W, 17, FALSE), "GENERAL"))</f>
        <v/>
      </c>
    </row>
    <row r="727" spans="1:8" ht="20.100000000000001" customHeight="1" x14ac:dyDescent="0.25">
      <c r="A727" s="5" t="str">
        <f>IF(B727="","",IFERROR(VLOOKUP(B727, PLANTA_BASE!A:W, 2, FALSE), "NO ENCONTRADO EN PLANTA"))</f>
        <v/>
      </c>
      <c r="B727" s="6"/>
      <c r="C727" s="7" t="str">
        <f>IF(B727="","",IFERROR(VLOOKUP(B727, PLANTA_BASE!A:W, 3, FALSE), ""))</f>
        <v/>
      </c>
      <c r="D727" s="5" t="str">
        <f>IF(B727="","",IFERROR(VLOOKUP(B727, PLANTA_BASE!A:W, 5, FALSE), "NO ENCONTRADO EN PLANTA"))</f>
        <v/>
      </c>
      <c r="E727" s="5" t="str">
        <f>IF(B727="","",IFERROR(VLOOKUP(B727, PLANTA_BASE!A:W, 6, FALSE), "NO ENCONTRADO EN PLANTA"))</f>
        <v/>
      </c>
      <c r="F727" s="7" t="str">
        <f>IF(B727="","",IFERROR(VLOOKUP(B727, PLANTA_BASE!A:W, 8, FALSE), "DOCENTE / FACILITADOR"))</f>
        <v/>
      </c>
      <c r="G727" s="7" t="str">
        <f>IF(B727="","",IFERROR(VLOOKUP(B727, PLANTA_BASE!A:W, 9, FALSE), "GENERAL"))</f>
        <v/>
      </c>
      <c r="H727" s="5" t="str">
        <f>IF(B727="","",IFERROR(VLOOKUP(B727, PLANTA_BASE!A:W, 17, FALSE), "GENERAL"))</f>
        <v/>
      </c>
    </row>
    <row r="728" spans="1:8" ht="20.100000000000001" customHeight="1" x14ac:dyDescent="0.25">
      <c r="A728" s="2" t="str">
        <f>IF(B728="","",IFERROR(VLOOKUP(B728, PLANTA_BASE!A:W, 2, FALSE), "NO ENCONTRADO EN PLANTA"))</f>
        <v/>
      </c>
      <c r="B728" s="3"/>
      <c r="C728" s="4" t="str">
        <f>IF(B728="","",IFERROR(VLOOKUP(B728, PLANTA_BASE!A:W, 3, FALSE), ""))</f>
        <v/>
      </c>
      <c r="D728" s="2" t="str">
        <f>IF(B728="","",IFERROR(VLOOKUP(B728, PLANTA_BASE!A:W, 5, FALSE), "NO ENCONTRADO EN PLANTA"))</f>
        <v/>
      </c>
      <c r="E728" s="2" t="str">
        <f>IF(B728="","",IFERROR(VLOOKUP(B728, PLANTA_BASE!A:W, 6, FALSE), "NO ENCONTRADO EN PLANTA"))</f>
        <v/>
      </c>
      <c r="F728" s="4" t="str">
        <f>IF(B728="","",IFERROR(VLOOKUP(B728, PLANTA_BASE!A:W, 8, FALSE), "DOCENTE / FACILITADOR"))</f>
        <v/>
      </c>
      <c r="G728" s="4" t="str">
        <f>IF(B728="","",IFERROR(VLOOKUP(B728, PLANTA_BASE!A:W, 9, FALSE), "GENERAL"))</f>
        <v/>
      </c>
      <c r="H728" s="2" t="str">
        <f>IF(B728="","",IFERROR(VLOOKUP(B728, PLANTA_BASE!A:W, 17, FALSE), "GENERAL"))</f>
        <v/>
      </c>
    </row>
    <row r="729" spans="1:8" ht="20.100000000000001" customHeight="1" x14ac:dyDescent="0.25">
      <c r="A729" s="5" t="str">
        <f>IF(B729="","",IFERROR(VLOOKUP(B729, PLANTA_BASE!A:W, 2, FALSE), "NO ENCONTRADO EN PLANTA"))</f>
        <v/>
      </c>
      <c r="B729" s="6"/>
      <c r="C729" s="7" t="str">
        <f>IF(B729="","",IFERROR(VLOOKUP(B729, PLANTA_BASE!A:W, 3, FALSE), ""))</f>
        <v/>
      </c>
      <c r="D729" s="5" t="str">
        <f>IF(B729="","",IFERROR(VLOOKUP(B729, PLANTA_BASE!A:W, 5, FALSE), "NO ENCONTRADO EN PLANTA"))</f>
        <v/>
      </c>
      <c r="E729" s="5" t="str">
        <f>IF(B729="","",IFERROR(VLOOKUP(B729, PLANTA_BASE!A:W, 6, FALSE), "NO ENCONTRADO EN PLANTA"))</f>
        <v/>
      </c>
      <c r="F729" s="7" t="str">
        <f>IF(B729="","",IFERROR(VLOOKUP(B729, PLANTA_BASE!A:W, 8, FALSE), "DOCENTE / FACILITADOR"))</f>
        <v/>
      </c>
      <c r="G729" s="7" t="str">
        <f>IF(B729="","",IFERROR(VLOOKUP(B729, PLANTA_BASE!A:W, 9, FALSE), "GENERAL"))</f>
        <v/>
      </c>
      <c r="H729" s="5" t="str">
        <f>IF(B729="","",IFERROR(VLOOKUP(B729, PLANTA_BASE!A:W, 17, FALSE), "GENERAL"))</f>
        <v/>
      </c>
    </row>
    <row r="730" spans="1:8" ht="20.100000000000001" customHeight="1" x14ac:dyDescent="0.25">
      <c r="A730" s="2" t="str">
        <f>IF(B730="","",IFERROR(VLOOKUP(B730, PLANTA_BASE!A:W, 2, FALSE), "NO ENCONTRADO EN PLANTA"))</f>
        <v/>
      </c>
      <c r="B730" s="3"/>
      <c r="C730" s="4" t="str">
        <f>IF(B730="","",IFERROR(VLOOKUP(B730, PLANTA_BASE!A:W, 3, FALSE), ""))</f>
        <v/>
      </c>
      <c r="D730" s="2" t="str">
        <f>IF(B730="","",IFERROR(VLOOKUP(B730, PLANTA_BASE!A:W, 5, FALSE), "NO ENCONTRADO EN PLANTA"))</f>
        <v/>
      </c>
      <c r="E730" s="2" t="str">
        <f>IF(B730="","",IFERROR(VLOOKUP(B730, PLANTA_BASE!A:W, 6, FALSE), "NO ENCONTRADO EN PLANTA"))</f>
        <v/>
      </c>
      <c r="F730" s="4" t="str">
        <f>IF(B730="","",IFERROR(VLOOKUP(B730, PLANTA_BASE!A:W, 8, FALSE), "DOCENTE / FACILITADOR"))</f>
        <v/>
      </c>
      <c r="G730" s="4" t="str">
        <f>IF(B730="","",IFERROR(VLOOKUP(B730, PLANTA_BASE!A:W, 9, FALSE), "GENERAL"))</f>
        <v/>
      </c>
      <c r="H730" s="2" t="str">
        <f>IF(B730="","",IFERROR(VLOOKUP(B730, PLANTA_BASE!A:W, 17, FALSE), "GENERAL"))</f>
        <v/>
      </c>
    </row>
    <row r="731" spans="1:8" ht="20.100000000000001" customHeight="1" x14ac:dyDescent="0.25">
      <c r="A731" s="5" t="str">
        <f>IF(B731="","",IFERROR(VLOOKUP(B731, PLANTA_BASE!A:W, 2, FALSE), "NO ENCONTRADO EN PLANTA"))</f>
        <v/>
      </c>
      <c r="B731" s="6"/>
      <c r="C731" s="7" t="str">
        <f>IF(B731="","",IFERROR(VLOOKUP(B731, PLANTA_BASE!A:W, 3, FALSE), ""))</f>
        <v/>
      </c>
      <c r="D731" s="5" t="str">
        <f>IF(B731="","",IFERROR(VLOOKUP(B731, PLANTA_BASE!A:W, 5, FALSE), "NO ENCONTRADO EN PLANTA"))</f>
        <v/>
      </c>
      <c r="E731" s="5" t="str">
        <f>IF(B731="","",IFERROR(VLOOKUP(B731, PLANTA_BASE!A:W, 6, FALSE), "NO ENCONTRADO EN PLANTA"))</f>
        <v/>
      </c>
      <c r="F731" s="7" t="str">
        <f>IF(B731="","",IFERROR(VLOOKUP(B731, PLANTA_BASE!A:W, 8, FALSE), "DOCENTE / FACILITADOR"))</f>
        <v/>
      </c>
      <c r="G731" s="7" t="str">
        <f>IF(B731="","",IFERROR(VLOOKUP(B731, PLANTA_BASE!A:W, 9, FALSE), "GENERAL"))</f>
        <v/>
      </c>
      <c r="H731" s="5" t="str">
        <f>IF(B731="","",IFERROR(VLOOKUP(B731, PLANTA_BASE!A:W, 17, FALSE), "GENERAL"))</f>
        <v/>
      </c>
    </row>
    <row r="732" spans="1:8" ht="20.100000000000001" customHeight="1" x14ac:dyDescent="0.25">
      <c r="A732" s="2" t="str">
        <f>IF(B732="","",IFERROR(VLOOKUP(B732, PLANTA_BASE!A:W, 2, FALSE), "NO ENCONTRADO EN PLANTA"))</f>
        <v/>
      </c>
      <c r="B732" s="3"/>
      <c r="C732" s="4" t="str">
        <f>IF(B732="","",IFERROR(VLOOKUP(B732, PLANTA_BASE!A:W, 3, FALSE), ""))</f>
        <v/>
      </c>
      <c r="D732" s="2" t="str">
        <f>IF(B732="","",IFERROR(VLOOKUP(B732, PLANTA_BASE!A:W, 5, FALSE), "NO ENCONTRADO EN PLANTA"))</f>
        <v/>
      </c>
      <c r="E732" s="2" t="str">
        <f>IF(B732="","",IFERROR(VLOOKUP(B732, PLANTA_BASE!A:W, 6, FALSE), "NO ENCONTRADO EN PLANTA"))</f>
        <v/>
      </c>
      <c r="F732" s="4" t="str">
        <f>IF(B732="","",IFERROR(VLOOKUP(B732, PLANTA_BASE!A:W, 8, FALSE), "DOCENTE / FACILITADOR"))</f>
        <v/>
      </c>
      <c r="G732" s="4" t="str">
        <f>IF(B732="","",IFERROR(VLOOKUP(B732, PLANTA_BASE!A:W, 9, FALSE), "GENERAL"))</f>
        <v/>
      </c>
      <c r="H732" s="2" t="str">
        <f>IF(B732="","",IFERROR(VLOOKUP(B732, PLANTA_BASE!A:W, 17, FALSE), "GENERAL"))</f>
        <v/>
      </c>
    </row>
    <row r="733" spans="1:8" ht="20.100000000000001" customHeight="1" x14ac:dyDescent="0.25">
      <c r="A733" s="5" t="str">
        <f>IF(B733="","",IFERROR(VLOOKUP(B733, PLANTA_BASE!A:W, 2, FALSE), "NO ENCONTRADO EN PLANTA"))</f>
        <v/>
      </c>
      <c r="B733" s="6"/>
      <c r="C733" s="7" t="str">
        <f>IF(B733="","",IFERROR(VLOOKUP(B733, PLANTA_BASE!A:W, 3, FALSE), ""))</f>
        <v/>
      </c>
      <c r="D733" s="5" t="str">
        <f>IF(B733="","",IFERROR(VLOOKUP(B733, PLANTA_BASE!A:W, 5, FALSE), "NO ENCONTRADO EN PLANTA"))</f>
        <v/>
      </c>
      <c r="E733" s="5" t="str">
        <f>IF(B733="","",IFERROR(VLOOKUP(B733, PLANTA_BASE!A:W, 6, FALSE), "NO ENCONTRADO EN PLANTA"))</f>
        <v/>
      </c>
      <c r="F733" s="7" t="str">
        <f>IF(B733="","",IFERROR(VLOOKUP(B733, PLANTA_BASE!A:W, 8, FALSE), "DOCENTE / FACILITADOR"))</f>
        <v/>
      </c>
      <c r="G733" s="7" t="str">
        <f>IF(B733="","",IFERROR(VLOOKUP(B733, PLANTA_BASE!A:W, 9, FALSE), "GENERAL"))</f>
        <v/>
      </c>
      <c r="H733" s="5" t="str">
        <f>IF(B733="","",IFERROR(VLOOKUP(B733, PLANTA_BASE!A:W, 17, FALSE), "GENERAL"))</f>
        <v/>
      </c>
    </row>
    <row r="734" spans="1:8" ht="20.100000000000001" customHeight="1" x14ac:dyDescent="0.25">
      <c r="A734" s="2" t="str">
        <f>IF(B734="","",IFERROR(VLOOKUP(B734, PLANTA_BASE!A:W, 2, FALSE), "NO ENCONTRADO EN PLANTA"))</f>
        <v/>
      </c>
      <c r="B734" s="3"/>
      <c r="C734" s="4" t="str">
        <f>IF(B734="","",IFERROR(VLOOKUP(B734, PLANTA_BASE!A:W, 3, FALSE), ""))</f>
        <v/>
      </c>
      <c r="D734" s="2" t="str">
        <f>IF(B734="","",IFERROR(VLOOKUP(B734, PLANTA_BASE!A:W, 5, FALSE), "NO ENCONTRADO EN PLANTA"))</f>
        <v/>
      </c>
      <c r="E734" s="2" t="str">
        <f>IF(B734="","",IFERROR(VLOOKUP(B734, PLANTA_BASE!A:W, 6, FALSE), "NO ENCONTRADO EN PLANTA"))</f>
        <v/>
      </c>
      <c r="F734" s="4" t="str">
        <f>IF(B734="","",IFERROR(VLOOKUP(B734, PLANTA_BASE!A:W, 8, FALSE), "DOCENTE / FACILITADOR"))</f>
        <v/>
      </c>
      <c r="G734" s="4" t="str">
        <f>IF(B734="","",IFERROR(VLOOKUP(B734, PLANTA_BASE!A:W, 9, FALSE), "GENERAL"))</f>
        <v/>
      </c>
      <c r="H734" s="2" t="str">
        <f>IF(B734="","",IFERROR(VLOOKUP(B734, PLANTA_BASE!A:W, 17, FALSE), "GENERAL"))</f>
        <v/>
      </c>
    </row>
    <row r="735" spans="1:8" ht="20.100000000000001" customHeight="1" x14ac:dyDescent="0.25">
      <c r="A735" s="5" t="str">
        <f>IF(B735="","",IFERROR(VLOOKUP(B735, PLANTA_BASE!A:W, 2, FALSE), "NO ENCONTRADO EN PLANTA"))</f>
        <v/>
      </c>
      <c r="B735" s="6"/>
      <c r="C735" s="7" t="str">
        <f>IF(B735="","",IFERROR(VLOOKUP(B735, PLANTA_BASE!A:W, 3, FALSE), ""))</f>
        <v/>
      </c>
      <c r="D735" s="5" t="str">
        <f>IF(B735="","",IFERROR(VLOOKUP(B735, PLANTA_BASE!A:W, 5, FALSE), "NO ENCONTRADO EN PLANTA"))</f>
        <v/>
      </c>
      <c r="E735" s="5" t="str">
        <f>IF(B735="","",IFERROR(VLOOKUP(B735, PLANTA_BASE!A:W, 6, FALSE), "NO ENCONTRADO EN PLANTA"))</f>
        <v/>
      </c>
      <c r="F735" s="7" t="str">
        <f>IF(B735="","",IFERROR(VLOOKUP(B735, PLANTA_BASE!A:W, 8, FALSE), "DOCENTE / FACILITADOR"))</f>
        <v/>
      </c>
      <c r="G735" s="7" t="str">
        <f>IF(B735="","",IFERROR(VLOOKUP(B735, PLANTA_BASE!A:W, 9, FALSE), "GENERAL"))</f>
        <v/>
      </c>
      <c r="H735" s="5" t="str">
        <f>IF(B735="","",IFERROR(VLOOKUP(B735, PLANTA_BASE!A:W, 17, FALSE), "GENERAL"))</f>
        <v/>
      </c>
    </row>
    <row r="736" spans="1:8" ht="20.100000000000001" customHeight="1" x14ac:dyDescent="0.25">
      <c r="A736" s="2" t="str">
        <f>IF(B736="","",IFERROR(VLOOKUP(B736, PLANTA_BASE!A:W, 2, FALSE), "NO ENCONTRADO EN PLANTA"))</f>
        <v/>
      </c>
      <c r="B736" s="3"/>
      <c r="C736" s="4" t="str">
        <f>IF(B736="","",IFERROR(VLOOKUP(B736, PLANTA_BASE!A:W, 3, FALSE), ""))</f>
        <v/>
      </c>
      <c r="D736" s="2" t="str">
        <f>IF(B736="","",IFERROR(VLOOKUP(B736, PLANTA_BASE!A:W, 5, FALSE), "NO ENCONTRADO EN PLANTA"))</f>
        <v/>
      </c>
      <c r="E736" s="2" t="str">
        <f>IF(B736="","",IFERROR(VLOOKUP(B736, PLANTA_BASE!A:W, 6, FALSE), "NO ENCONTRADO EN PLANTA"))</f>
        <v/>
      </c>
      <c r="F736" s="4" t="str">
        <f>IF(B736="","",IFERROR(VLOOKUP(B736, PLANTA_BASE!A:W, 8, FALSE), "DOCENTE / FACILITADOR"))</f>
        <v/>
      </c>
      <c r="G736" s="4" t="str">
        <f>IF(B736="","",IFERROR(VLOOKUP(B736, PLANTA_BASE!A:W, 9, FALSE), "GENERAL"))</f>
        <v/>
      </c>
      <c r="H736" s="2" t="str">
        <f>IF(B736="","",IFERROR(VLOOKUP(B736, PLANTA_BASE!A:W, 17, FALSE), "GENERAL"))</f>
        <v/>
      </c>
    </row>
    <row r="737" spans="1:8" ht="20.100000000000001" customHeight="1" x14ac:dyDescent="0.25">
      <c r="A737" s="5" t="str">
        <f>IF(B737="","",IFERROR(VLOOKUP(B737, PLANTA_BASE!A:W, 2, FALSE), "NO ENCONTRADO EN PLANTA"))</f>
        <v/>
      </c>
      <c r="B737" s="6"/>
      <c r="C737" s="7" t="str">
        <f>IF(B737="","",IFERROR(VLOOKUP(B737, PLANTA_BASE!A:W, 3, FALSE), ""))</f>
        <v/>
      </c>
      <c r="D737" s="5" t="str">
        <f>IF(B737="","",IFERROR(VLOOKUP(B737, PLANTA_BASE!A:W, 5, FALSE), "NO ENCONTRADO EN PLANTA"))</f>
        <v/>
      </c>
      <c r="E737" s="5" t="str">
        <f>IF(B737="","",IFERROR(VLOOKUP(B737, PLANTA_BASE!A:W, 6, FALSE), "NO ENCONTRADO EN PLANTA"))</f>
        <v/>
      </c>
      <c r="F737" s="7" t="str">
        <f>IF(B737="","",IFERROR(VLOOKUP(B737, PLANTA_BASE!A:W, 8, FALSE), "DOCENTE / FACILITADOR"))</f>
        <v/>
      </c>
      <c r="G737" s="7" t="str">
        <f>IF(B737="","",IFERROR(VLOOKUP(B737, PLANTA_BASE!A:W, 9, FALSE), "GENERAL"))</f>
        <v/>
      </c>
      <c r="H737" s="5" t="str">
        <f>IF(B737="","",IFERROR(VLOOKUP(B737, PLANTA_BASE!A:W, 17, FALSE), "GENERAL"))</f>
        <v/>
      </c>
    </row>
    <row r="738" spans="1:8" ht="20.100000000000001" customHeight="1" x14ac:dyDescent="0.25">
      <c r="A738" s="2" t="str">
        <f>IF(B738="","",IFERROR(VLOOKUP(B738, PLANTA_BASE!A:W, 2, FALSE), "NO ENCONTRADO EN PLANTA"))</f>
        <v/>
      </c>
      <c r="B738" s="3"/>
      <c r="C738" s="4" t="str">
        <f>IF(B738="","",IFERROR(VLOOKUP(B738, PLANTA_BASE!A:W, 3, FALSE), ""))</f>
        <v/>
      </c>
      <c r="D738" s="2" t="str">
        <f>IF(B738="","",IFERROR(VLOOKUP(B738, PLANTA_BASE!A:W, 5, FALSE), "NO ENCONTRADO EN PLANTA"))</f>
        <v/>
      </c>
      <c r="E738" s="2" t="str">
        <f>IF(B738="","",IFERROR(VLOOKUP(B738, PLANTA_BASE!A:W, 6, FALSE), "NO ENCONTRADO EN PLANTA"))</f>
        <v/>
      </c>
      <c r="F738" s="4" t="str">
        <f>IF(B738="","",IFERROR(VLOOKUP(B738, PLANTA_BASE!A:W, 8, FALSE), "DOCENTE / FACILITADOR"))</f>
        <v/>
      </c>
      <c r="G738" s="4" t="str">
        <f>IF(B738="","",IFERROR(VLOOKUP(B738, PLANTA_BASE!A:W, 9, FALSE), "GENERAL"))</f>
        <v/>
      </c>
      <c r="H738" s="2" t="str">
        <f>IF(B738="","",IFERROR(VLOOKUP(B738, PLANTA_BASE!A:W, 17, FALSE), "GENERAL"))</f>
        <v/>
      </c>
    </row>
    <row r="739" spans="1:8" ht="20.100000000000001" customHeight="1" x14ac:dyDescent="0.25">
      <c r="A739" s="5" t="str">
        <f>IF(B739="","",IFERROR(VLOOKUP(B739, PLANTA_BASE!A:W, 2, FALSE), "NO ENCONTRADO EN PLANTA"))</f>
        <v/>
      </c>
      <c r="B739" s="6"/>
      <c r="C739" s="7" t="str">
        <f>IF(B739="","",IFERROR(VLOOKUP(B739, PLANTA_BASE!A:W, 3, FALSE), ""))</f>
        <v/>
      </c>
      <c r="D739" s="5" t="str">
        <f>IF(B739="","",IFERROR(VLOOKUP(B739, PLANTA_BASE!A:W, 5, FALSE), "NO ENCONTRADO EN PLANTA"))</f>
        <v/>
      </c>
      <c r="E739" s="5" t="str">
        <f>IF(B739="","",IFERROR(VLOOKUP(B739, PLANTA_BASE!A:W, 6, FALSE), "NO ENCONTRADO EN PLANTA"))</f>
        <v/>
      </c>
      <c r="F739" s="7" t="str">
        <f>IF(B739="","",IFERROR(VLOOKUP(B739, PLANTA_BASE!A:W, 8, FALSE), "DOCENTE / FACILITADOR"))</f>
        <v/>
      </c>
      <c r="G739" s="7" t="str">
        <f>IF(B739="","",IFERROR(VLOOKUP(B739, PLANTA_BASE!A:W, 9, FALSE), "GENERAL"))</f>
        <v/>
      </c>
      <c r="H739" s="5" t="str">
        <f>IF(B739="","",IFERROR(VLOOKUP(B739, PLANTA_BASE!A:W, 17, FALSE), "GENERAL"))</f>
        <v/>
      </c>
    </row>
    <row r="740" spans="1:8" ht="20.100000000000001" customHeight="1" x14ac:dyDescent="0.25">
      <c r="A740" s="2" t="str">
        <f>IF(B740="","",IFERROR(VLOOKUP(B740, PLANTA_BASE!A:W, 2, FALSE), "NO ENCONTRADO EN PLANTA"))</f>
        <v/>
      </c>
      <c r="B740" s="3"/>
      <c r="C740" s="4" t="str">
        <f>IF(B740="","",IFERROR(VLOOKUP(B740, PLANTA_BASE!A:W, 3, FALSE), ""))</f>
        <v/>
      </c>
      <c r="D740" s="2" t="str">
        <f>IF(B740="","",IFERROR(VLOOKUP(B740, PLANTA_BASE!A:W, 5, FALSE), "NO ENCONTRADO EN PLANTA"))</f>
        <v/>
      </c>
      <c r="E740" s="2" t="str">
        <f>IF(B740="","",IFERROR(VLOOKUP(B740, PLANTA_BASE!A:W, 6, FALSE), "NO ENCONTRADO EN PLANTA"))</f>
        <v/>
      </c>
      <c r="F740" s="4" t="str">
        <f>IF(B740="","",IFERROR(VLOOKUP(B740, PLANTA_BASE!A:W, 8, FALSE), "DOCENTE / FACILITADOR"))</f>
        <v/>
      </c>
      <c r="G740" s="4" t="str">
        <f>IF(B740="","",IFERROR(VLOOKUP(B740, PLANTA_BASE!A:W, 9, FALSE), "GENERAL"))</f>
        <v/>
      </c>
      <c r="H740" s="2" t="str">
        <f>IF(B740="","",IFERROR(VLOOKUP(B740, PLANTA_BASE!A:W, 17, FALSE), "GENERAL"))</f>
        <v/>
      </c>
    </row>
    <row r="741" spans="1:8" ht="20.100000000000001" customHeight="1" x14ac:dyDescent="0.25">
      <c r="A741" s="5" t="str">
        <f>IF(B741="","",IFERROR(VLOOKUP(B741, PLANTA_BASE!A:W, 2, FALSE), "NO ENCONTRADO EN PLANTA"))</f>
        <v/>
      </c>
      <c r="B741" s="6"/>
      <c r="C741" s="7" t="str">
        <f>IF(B741="","",IFERROR(VLOOKUP(B741, PLANTA_BASE!A:W, 3, FALSE), ""))</f>
        <v/>
      </c>
      <c r="D741" s="5" t="str">
        <f>IF(B741="","",IFERROR(VLOOKUP(B741, PLANTA_BASE!A:W, 5, FALSE), "NO ENCONTRADO EN PLANTA"))</f>
        <v/>
      </c>
      <c r="E741" s="5" t="str">
        <f>IF(B741="","",IFERROR(VLOOKUP(B741, PLANTA_BASE!A:W, 6, FALSE), "NO ENCONTRADO EN PLANTA"))</f>
        <v/>
      </c>
      <c r="F741" s="7" t="str">
        <f>IF(B741="","",IFERROR(VLOOKUP(B741, PLANTA_BASE!A:W, 8, FALSE), "DOCENTE / FACILITADOR"))</f>
        <v/>
      </c>
      <c r="G741" s="7" t="str">
        <f>IF(B741="","",IFERROR(VLOOKUP(B741, PLANTA_BASE!A:W, 9, FALSE), "GENERAL"))</f>
        <v/>
      </c>
      <c r="H741" s="5" t="str">
        <f>IF(B741="","",IFERROR(VLOOKUP(B741, PLANTA_BASE!A:W, 17, FALSE), "GENERAL"))</f>
        <v/>
      </c>
    </row>
    <row r="742" spans="1:8" ht="20.100000000000001" customHeight="1" x14ac:dyDescent="0.25">
      <c r="A742" s="2" t="str">
        <f>IF(B742="","",IFERROR(VLOOKUP(B742, PLANTA_BASE!A:W, 2, FALSE), "NO ENCONTRADO EN PLANTA"))</f>
        <v/>
      </c>
      <c r="B742" s="3"/>
      <c r="C742" s="4" t="str">
        <f>IF(B742="","",IFERROR(VLOOKUP(B742, PLANTA_BASE!A:W, 3, FALSE), ""))</f>
        <v/>
      </c>
      <c r="D742" s="2" t="str">
        <f>IF(B742="","",IFERROR(VLOOKUP(B742, PLANTA_BASE!A:W, 5, FALSE), "NO ENCONTRADO EN PLANTA"))</f>
        <v/>
      </c>
      <c r="E742" s="2" t="str">
        <f>IF(B742="","",IFERROR(VLOOKUP(B742, PLANTA_BASE!A:W, 6, FALSE), "NO ENCONTRADO EN PLANTA"))</f>
        <v/>
      </c>
      <c r="F742" s="4" t="str">
        <f>IF(B742="","",IFERROR(VLOOKUP(B742, PLANTA_BASE!A:W, 8, FALSE), "DOCENTE / FACILITADOR"))</f>
        <v/>
      </c>
      <c r="G742" s="4" t="str">
        <f>IF(B742="","",IFERROR(VLOOKUP(B742, PLANTA_BASE!A:W, 9, FALSE), "GENERAL"))</f>
        <v/>
      </c>
      <c r="H742" s="2" t="str">
        <f>IF(B742="","",IFERROR(VLOOKUP(B742, PLANTA_BASE!A:W, 17, FALSE), "GENERAL"))</f>
        <v/>
      </c>
    </row>
    <row r="743" spans="1:8" ht="20.100000000000001" customHeight="1" x14ac:dyDescent="0.25">
      <c r="A743" s="5" t="str">
        <f>IF(B743="","",IFERROR(VLOOKUP(B743, PLANTA_BASE!A:W, 2, FALSE), "NO ENCONTRADO EN PLANTA"))</f>
        <v/>
      </c>
      <c r="B743" s="6"/>
      <c r="C743" s="7" t="str">
        <f>IF(B743="","",IFERROR(VLOOKUP(B743, PLANTA_BASE!A:W, 3, FALSE), ""))</f>
        <v/>
      </c>
      <c r="D743" s="5" t="str">
        <f>IF(B743="","",IFERROR(VLOOKUP(B743, PLANTA_BASE!A:W, 5, FALSE), "NO ENCONTRADO EN PLANTA"))</f>
        <v/>
      </c>
      <c r="E743" s="5" t="str">
        <f>IF(B743="","",IFERROR(VLOOKUP(B743, PLANTA_BASE!A:W, 6, FALSE), "NO ENCONTRADO EN PLANTA"))</f>
        <v/>
      </c>
      <c r="F743" s="7" t="str">
        <f>IF(B743="","",IFERROR(VLOOKUP(B743, PLANTA_BASE!A:W, 8, FALSE), "DOCENTE / FACILITADOR"))</f>
        <v/>
      </c>
      <c r="G743" s="7" t="str">
        <f>IF(B743="","",IFERROR(VLOOKUP(B743, PLANTA_BASE!A:W, 9, FALSE), "GENERAL"))</f>
        <v/>
      </c>
      <c r="H743" s="5" t="str">
        <f>IF(B743="","",IFERROR(VLOOKUP(B743, PLANTA_BASE!A:W, 17, FALSE), "GENERAL"))</f>
        <v/>
      </c>
    </row>
    <row r="744" spans="1:8" ht="20.100000000000001" customHeight="1" x14ac:dyDescent="0.25">
      <c r="A744" s="2" t="str">
        <f>IF(B744="","",IFERROR(VLOOKUP(B744, PLANTA_BASE!A:W, 2, FALSE), "NO ENCONTRADO EN PLANTA"))</f>
        <v/>
      </c>
      <c r="B744" s="3"/>
      <c r="C744" s="4" t="str">
        <f>IF(B744="","",IFERROR(VLOOKUP(B744, PLANTA_BASE!A:W, 3, FALSE), ""))</f>
        <v/>
      </c>
      <c r="D744" s="2" t="str">
        <f>IF(B744="","",IFERROR(VLOOKUP(B744, PLANTA_BASE!A:W, 5, FALSE), "NO ENCONTRADO EN PLANTA"))</f>
        <v/>
      </c>
      <c r="E744" s="2" t="str">
        <f>IF(B744="","",IFERROR(VLOOKUP(B744, PLANTA_BASE!A:W, 6, FALSE), "NO ENCONTRADO EN PLANTA"))</f>
        <v/>
      </c>
      <c r="F744" s="4" t="str">
        <f>IF(B744="","",IFERROR(VLOOKUP(B744, PLANTA_BASE!A:W, 8, FALSE), "DOCENTE / FACILITADOR"))</f>
        <v/>
      </c>
      <c r="G744" s="4" t="str">
        <f>IF(B744="","",IFERROR(VLOOKUP(B744, PLANTA_BASE!A:W, 9, FALSE), "GENERAL"))</f>
        <v/>
      </c>
      <c r="H744" s="2" t="str">
        <f>IF(B744="","",IFERROR(VLOOKUP(B744, PLANTA_BASE!A:W, 17, FALSE), "GENERAL"))</f>
        <v/>
      </c>
    </row>
    <row r="745" spans="1:8" ht="20.100000000000001" customHeight="1" x14ac:dyDescent="0.25">
      <c r="A745" s="5" t="str">
        <f>IF(B745="","",IFERROR(VLOOKUP(B745, PLANTA_BASE!A:W, 2, FALSE), "NO ENCONTRADO EN PLANTA"))</f>
        <v/>
      </c>
      <c r="B745" s="6"/>
      <c r="C745" s="7" t="str">
        <f>IF(B745="","",IFERROR(VLOOKUP(B745, PLANTA_BASE!A:W, 3, FALSE), ""))</f>
        <v/>
      </c>
      <c r="D745" s="5" t="str">
        <f>IF(B745="","",IFERROR(VLOOKUP(B745, PLANTA_BASE!A:W, 5, FALSE), "NO ENCONTRADO EN PLANTA"))</f>
        <v/>
      </c>
      <c r="E745" s="5" t="str">
        <f>IF(B745="","",IFERROR(VLOOKUP(B745, PLANTA_BASE!A:W, 6, FALSE), "NO ENCONTRADO EN PLANTA"))</f>
        <v/>
      </c>
      <c r="F745" s="7" t="str">
        <f>IF(B745="","",IFERROR(VLOOKUP(B745, PLANTA_BASE!A:W, 8, FALSE), "DOCENTE / FACILITADOR"))</f>
        <v/>
      </c>
      <c r="G745" s="7" t="str">
        <f>IF(B745="","",IFERROR(VLOOKUP(B745, PLANTA_BASE!A:W, 9, FALSE), "GENERAL"))</f>
        <v/>
      </c>
      <c r="H745" s="5" t="str">
        <f>IF(B745="","",IFERROR(VLOOKUP(B745, PLANTA_BASE!A:W, 17, FALSE), "GENERAL"))</f>
        <v/>
      </c>
    </row>
    <row r="746" spans="1:8" ht="20.100000000000001" customHeight="1" x14ac:dyDescent="0.25">
      <c r="A746" s="2" t="str">
        <f>IF(B746="","",IFERROR(VLOOKUP(B746, PLANTA_BASE!A:W, 2, FALSE), "NO ENCONTRADO EN PLANTA"))</f>
        <v/>
      </c>
      <c r="B746" s="3"/>
      <c r="C746" s="4" t="str">
        <f>IF(B746="","",IFERROR(VLOOKUP(B746, PLANTA_BASE!A:W, 3, FALSE), ""))</f>
        <v/>
      </c>
      <c r="D746" s="2" t="str">
        <f>IF(B746="","",IFERROR(VLOOKUP(B746, PLANTA_BASE!A:W, 5, FALSE), "NO ENCONTRADO EN PLANTA"))</f>
        <v/>
      </c>
      <c r="E746" s="2" t="str">
        <f>IF(B746="","",IFERROR(VLOOKUP(B746, PLANTA_BASE!A:W, 6, FALSE), "NO ENCONTRADO EN PLANTA"))</f>
        <v/>
      </c>
      <c r="F746" s="4" t="str">
        <f>IF(B746="","",IFERROR(VLOOKUP(B746, PLANTA_BASE!A:W, 8, FALSE), "DOCENTE / FACILITADOR"))</f>
        <v/>
      </c>
      <c r="G746" s="4" t="str">
        <f>IF(B746="","",IFERROR(VLOOKUP(B746, PLANTA_BASE!A:W, 9, FALSE), "GENERAL"))</f>
        <v/>
      </c>
      <c r="H746" s="2" t="str">
        <f>IF(B746="","",IFERROR(VLOOKUP(B746, PLANTA_BASE!A:W, 17, FALSE), "GENERAL"))</f>
        <v/>
      </c>
    </row>
    <row r="747" spans="1:8" ht="20.100000000000001" customHeight="1" x14ac:dyDescent="0.25">
      <c r="A747" s="5" t="str">
        <f>IF(B747="","",IFERROR(VLOOKUP(B747, PLANTA_BASE!A:W, 2, FALSE), "NO ENCONTRADO EN PLANTA"))</f>
        <v/>
      </c>
      <c r="B747" s="6"/>
      <c r="C747" s="7" t="str">
        <f>IF(B747="","",IFERROR(VLOOKUP(B747, PLANTA_BASE!A:W, 3, FALSE), ""))</f>
        <v/>
      </c>
      <c r="D747" s="5" t="str">
        <f>IF(B747="","",IFERROR(VLOOKUP(B747, PLANTA_BASE!A:W, 5, FALSE), "NO ENCONTRADO EN PLANTA"))</f>
        <v/>
      </c>
      <c r="E747" s="5" t="str">
        <f>IF(B747="","",IFERROR(VLOOKUP(B747, PLANTA_BASE!A:W, 6, FALSE), "NO ENCONTRADO EN PLANTA"))</f>
        <v/>
      </c>
      <c r="F747" s="7" t="str">
        <f>IF(B747="","",IFERROR(VLOOKUP(B747, PLANTA_BASE!A:W, 8, FALSE), "DOCENTE / FACILITADOR"))</f>
        <v/>
      </c>
      <c r="G747" s="7" t="str">
        <f>IF(B747="","",IFERROR(VLOOKUP(B747, PLANTA_BASE!A:W, 9, FALSE), "GENERAL"))</f>
        <v/>
      </c>
      <c r="H747" s="5" t="str">
        <f>IF(B747="","",IFERROR(VLOOKUP(B747, PLANTA_BASE!A:W, 17, FALSE), "GENERAL"))</f>
        <v/>
      </c>
    </row>
    <row r="748" spans="1:8" ht="20.100000000000001" customHeight="1" x14ac:dyDescent="0.25">
      <c r="A748" s="2" t="str">
        <f>IF(B748="","",IFERROR(VLOOKUP(B748, PLANTA_BASE!A:W, 2, FALSE), "NO ENCONTRADO EN PLANTA"))</f>
        <v/>
      </c>
      <c r="B748" s="3"/>
      <c r="C748" s="4" t="str">
        <f>IF(B748="","",IFERROR(VLOOKUP(B748, PLANTA_BASE!A:W, 3, FALSE), ""))</f>
        <v/>
      </c>
      <c r="D748" s="2" t="str">
        <f>IF(B748="","",IFERROR(VLOOKUP(B748, PLANTA_BASE!A:W, 5, FALSE), "NO ENCONTRADO EN PLANTA"))</f>
        <v/>
      </c>
      <c r="E748" s="2" t="str">
        <f>IF(B748="","",IFERROR(VLOOKUP(B748, PLANTA_BASE!A:W, 6, FALSE), "NO ENCONTRADO EN PLANTA"))</f>
        <v/>
      </c>
      <c r="F748" s="4" t="str">
        <f>IF(B748="","",IFERROR(VLOOKUP(B748, PLANTA_BASE!A:W, 8, FALSE), "DOCENTE / FACILITADOR"))</f>
        <v/>
      </c>
      <c r="G748" s="4" t="str">
        <f>IF(B748="","",IFERROR(VLOOKUP(B748, PLANTA_BASE!A:W, 9, FALSE), "GENERAL"))</f>
        <v/>
      </c>
      <c r="H748" s="2" t="str">
        <f>IF(B748="","",IFERROR(VLOOKUP(B748, PLANTA_BASE!A:W, 17, FALSE), "GENERAL"))</f>
        <v/>
      </c>
    </row>
    <row r="749" spans="1:8" ht="20.100000000000001" customHeight="1" x14ac:dyDescent="0.25">
      <c r="A749" s="5" t="str">
        <f>IF(B749="","",IFERROR(VLOOKUP(B749, PLANTA_BASE!A:W, 2, FALSE), "NO ENCONTRADO EN PLANTA"))</f>
        <v/>
      </c>
      <c r="B749" s="6"/>
      <c r="C749" s="7" t="str">
        <f>IF(B749="","",IFERROR(VLOOKUP(B749, PLANTA_BASE!A:W, 3, FALSE), ""))</f>
        <v/>
      </c>
      <c r="D749" s="5" t="str">
        <f>IF(B749="","",IFERROR(VLOOKUP(B749, PLANTA_BASE!A:W, 5, FALSE), "NO ENCONTRADO EN PLANTA"))</f>
        <v/>
      </c>
      <c r="E749" s="5" t="str">
        <f>IF(B749="","",IFERROR(VLOOKUP(B749, PLANTA_BASE!A:W, 6, FALSE), "NO ENCONTRADO EN PLANTA"))</f>
        <v/>
      </c>
      <c r="F749" s="7" t="str">
        <f>IF(B749="","",IFERROR(VLOOKUP(B749, PLANTA_BASE!A:W, 8, FALSE), "DOCENTE / FACILITADOR"))</f>
        <v/>
      </c>
      <c r="G749" s="7" t="str">
        <f>IF(B749="","",IFERROR(VLOOKUP(B749, PLANTA_BASE!A:W, 9, FALSE), "GENERAL"))</f>
        <v/>
      </c>
      <c r="H749" s="5" t="str">
        <f>IF(B749="","",IFERROR(VLOOKUP(B749, PLANTA_BASE!A:W, 17, FALSE), "GENERAL"))</f>
        <v/>
      </c>
    </row>
    <row r="750" spans="1:8" ht="20.100000000000001" customHeight="1" x14ac:dyDescent="0.25">
      <c r="A750" s="2" t="str">
        <f>IF(B750="","",IFERROR(VLOOKUP(B750, PLANTA_BASE!A:W, 2, FALSE), "NO ENCONTRADO EN PLANTA"))</f>
        <v/>
      </c>
      <c r="B750" s="3"/>
      <c r="C750" s="4" t="str">
        <f>IF(B750="","",IFERROR(VLOOKUP(B750, PLANTA_BASE!A:W, 3, FALSE), ""))</f>
        <v/>
      </c>
      <c r="D750" s="2" t="str">
        <f>IF(B750="","",IFERROR(VLOOKUP(B750, PLANTA_BASE!A:W, 5, FALSE), "NO ENCONTRADO EN PLANTA"))</f>
        <v/>
      </c>
      <c r="E750" s="2" t="str">
        <f>IF(B750="","",IFERROR(VLOOKUP(B750, PLANTA_BASE!A:W, 6, FALSE), "NO ENCONTRADO EN PLANTA"))</f>
        <v/>
      </c>
      <c r="F750" s="4" t="str">
        <f>IF(B750="","",IFERROR(VLOOKUP(B750, PLANTA_BASE!A:W, 8, FALSE), "DOCENTE / FACILITADOR"))</f>
        <v/>
      </c>
      <c r="G750" s="4" t="str">
        <f>IF(B750="","",IFERROR(VLOOKUP(B750, PLANTA_BASE!A:W, 9, FALSE), "GENERAL"))</f>
        <v/>
      </c>
      <c r="H750" s="2" t="str">
        <f>IF(B750="","",IFERROR(VLOOKUP(B750, PLANTA_BASE!A:W, 17, FALSE), "GENERAL"))</f>
        <v/>
      </c>
    </row>
    <row r="751" spans="1:8" ht="20.100000000000001" customHeight="1" x14ac:dyDescent="0.25">
      <c r="A751" s="5" t="str">
        <f>IF(B751="","",IFERROR(VLOOKUP(B751, PLANTA_BASE!A:W, 2, FALSE), "NO ENCONTRADO EN PLANTA"))</f>
        <v/>
      </c>
      <c r="B751" s="6"/>
      <c r="C751" s="7" t="str">
        <f>IF(B751="","",IFERROR(VLOOKUP(B751, PLANTA_BASE!A:W, 3, FALSE), ""))</f>
        <v/>
      </c>
      <c r="D751" s="5" t="str">
        <f>IF(B751="","",IFERROR(VLOOKUP(B751, PLANTA_BASE!A:W, 5, FALSE), "NO ENCONTRADO EN PLANTA"))</f>
        <v/>
      </c>
      <c r="E751" s="5" t="str">
        <f>IF(B751="","",IFERROR(VLOOKUP(B751, PLANTA_BASE!A:W, 6, FALSE), "NO ENCONTRADO EN PLANTA"))</f>
        <v/>
      </c>
      <c r="F751" s="7" t="str">
        <f>IF(B751="","",IFERROR(VLOOKUP(B751, PLANTA_BASE!A:W, 8, FALSE), "DOCENTE / FACILITADOR"))</f>
        <v/>
      </c>
      <c r="G751" s="7" t="str">
        <f>IF(B751="","",IFERROR(VLOOKUP(B751, PLANTA_BASE!A:W, 9, FALSE), "GENERAL"))</f>
        <v/>
      </c>
      <c r="H751" s="5" t="str">
        <f>IF(B751="","",IFERROR(VLOOKUP(B751, PLANTA_BASE!A:W, 17, FALSE), "GENERAL"))</f>
        <v/>
      </c>
    </row>
    <row r="752" spans="1:8" ht="20.100000000000001" customHeight="1" x14ac:dyDescent="0.25">
      <c r="A752" s="2" t="str">
        <f>IF(B752="","",IFERROR(VLOOKUP(B752, PLANTA_BASE!A:W, 2, FALSE), "NO ENCONTRADO EN PLANTA"))</f>
        <v/>
      </c>
      <c r="B752" s="3"/>
      <c r="C752" s="4" t="str">
        <f>IF(B752="","",IFERROR(VLOOKUP(B752, PLANTA_BASE!A:W, 3, FALSE), ""))</f>
        <v/>
      </c>
      <c r="D752" s="2" t="str">
        <f>IF(B752="","",IFERROR(VLOOKUP(B752, PLANTA_BASE!A:W, 5, FALSE), "NO ENCONTRADO EN PLANTA"))</f>
        <v/>
      </c>
      <c r="E752" s="2" t="str">
        <f>IF(B752="","",IFERROR(VLOOKUP(B752, PLANTA_BASE!A:W, 6, FALSE), "NO ENCONTRADO EN PLANTA"))</f>
        <v/>
      </c>
      <c r="F752" s="4" t="str">
        <f>IF(B752="","",IFERROR(VLOOKUP(B752, PLANTA_BASE!A:W, 8, FALSE), "DOCENTE / FACILITADOR"))</f>
        <v/>
      </c>
      <c r="G752" s="4" t="str">
        <f>IF(B752="","",IFERROR(VLOOKUP(B752, PLANTA_BASE!A:W, 9, FALSE), "GENERAL"))</f>
        <v/>
      </c>
      <c r="H752" s="2" t="str">
        <f>IF(B752="","",IFERROR(VLOOKUP(B752, PLANTA_BASE!A:W, 17, FALSE), "GENERAL"))</f>
        <v/>
      </c>
    </row>
    <row r="753" spans="1:8" ht="20.100000000000001" customHeight="1" x14ac:dyDescent="0.25">
      <c r="A753" s="5" t="str">
        <f>IF(B753="","",IFERROR(VLOOKUP(B753, PLANTA_BASE!A:W, 2, FALSE), "NO ENCONTRADO EN PLANTA"))</f>
        <v/>
      </c>
      <c r="B753" s="6"/>
      <c r="C753" s="7" t="str">
        <f>IF(B753="","",IFERROR(VLOOKUP(B753, PLANTA_BASE!A:W, 3, FALSE), ""))</f>
        <v/>
      </c>
      <c r="D753" s="5" t="str">
        <f>IF(B753="","",IFERROR(VLOOKUP(B753, PLANTA_BASE!A:W, 5, FALSE), "NO ENCONTRADO EN PLANTA"))</f>
        <v/>
      </c>
      <c r="E753" s="5" t="str">
        <f>IF(B753="","",IFERROR(VLOOKUP(B753, PLANTA_BASE!A:W, 6, FALSE), "NO ENCONTRADO EN PLANTA"))</f>
        <v/>
      </c>
      <c r="F753" s="7" t="str">
        <f>IF(B753="","",IFERROR(VLOOKUP(B753, PLANTA_BASE!A:W, 8, FALSE), "DOCENTE / FACILITADOR"))</f>
        <v/>
      </c>
      <c r="G753" s="7" t="str">
        <f>IF(B753="","",IFERROR(VLOOKUP(B753, PLANTA_BASE!A:W, 9, FALSE), "GENERAL"))</f>
        <v/>
      </c>
      <c r="H753" s="5" t="str">
        <f>IF(B753="","",IFERROR(VLOOKUP(B753, PLANTA_BASE!A:W, 17, FALSE), "GENERAL"))</f>
        <v/>
      </c>
    </row>
    <row r="754" spans="1:8" ht="20.100000000000001" customHeight="1" x14ac:dyDescent="0.25">
      <c r="A754" s="2" t="str">
        <f>IF(B754="","",IFERROR(VLOOKUP(B754, PLANTA_BASE!A:W, 2, FALSE), "NO ENCONTRADO EN PLANTA"))</f>
        <v/>
      </c>
      <c r="B754" s="3"/>
      <c r="C754" s="4" t="str">
        <f>IF(B754="","",IFERROR(VLOOKUP(B754, PLANTA_BASE!A:W, 3, FALSE), ""))</f>
        <v/>
      </c>
      <c r="D754" s="2" t="str">
        <f>IF(B754="","",IFERROR(VLOOKUP(B754, PLANTA_BASE!A:W, 5, FALSE), "NO ENCONTRADO EN PLANTA"))</f>
        <v/>
      </c>
      <c r="E754" s="2" t="str">
        <f>IF(B754="","",IFERROR(VLOOKUP(B754, PLANTA_BASE!A:W, 6, FALSE), "NO ENCONTRADO EN PLANTA"))</f>
        <v/>
      </c>
      <c r="F754" s="4" t="str">
        <f>IF(B754="","",IFERROR(VLOOKUP(B754, PLANTA_BASE!A:W, 8, FALSE), "DOCENTE / FACILITADOR"))</f>
        <v/>
      </c>
      <c r="G754" s="4" t="str">
        <f>IF(B754="","",IFERROR(VLOOKUP(B754, PLANTA_BASE!A:W, 9, FALSE), "GENERAL"))</f>
        <v/>
      </c>
      <c r="H754" s="2" t="str">
        <f>IF(B754="","",IFERROR(VLOOKUP(B754, PLANTA_BASE!A:W, 17, FALSE), "GENERAL"))</f>
        <v/>
      </c>
    </row>
    <row r="755" spans="1:8" ht="20.100000000000001" customHeight="1" x14ac:dyDescent="0.25">
      <c r="A755" s="5" t="str">
        <f>IF(B755="","",IFERROR(VLOOKUP(B755, PLANTA_BASE!A:W, 2, FALSE), "NO ENCONTRADO EN PLANTA"))</f>
        <v/>
      </c>
      <c r="B755" s="6"/>
      <c r="C755" s="7" t="str">
        <f>IF(B755="","",IFERROR(VLOOKUP(B755, PLANTA_BASE!A:W, 3, FALSE), ""))</f>
        <v/>
      </c>
      <c r="D755" s="5" t="str">
        <f>IF(B755="","",IFERROR(VLOOKUP(B755, PLANTA_BASE!A:W, 5, FALSE), "NO ENCONTRADO EN PLANTA"))</f>
        <v/>
      </c>
      <c r="E755" s="5" t="str">
        <f>IF(B755="","",IFERROR(VLOOKUP(B755, PLANTA_BASE!A:W, 6, FALSE), "NO ENCONTRADO EN PLANTA"))</f>
        <v/>
      </c>
      <c r="F755" s="7" t="str">
        <f>IF(B755="","",IFERROR(VLOOKUP(B755, PLANTA_BASE!A:W, 8, FALSE), "DOCENTE / FACILITADOR"))</f>
        <v/>
      </c>
      <c r="G755" s="7" t="str">
        <f>IF(B755="","",IFERROR(VLOOKUP(B755, PLANTA_BASE!A:W, 9, FALSE), "GENERAL"))</f>
        <v/>
      </c>
      <c r="H755" s="5" t="str">
        <f>IF(B755="","",IFERROR(VLOOKUP(B755, PLANTA_BASE!A:W, 17, FALSE), "GENERAL"))</f>
        <v/>
      </c>
    </row>
    <row r="756" spans="1:8" ht="20.100000000000001" customHeight="1" x14ac:dyDescent="0.25">
      <c r="A756" s="2" t="str">
        <f>IF(B756="","",IFERROR(VLOOKUP(B756, PLANTA_BASE!A:W, 2, FALSE), "NO ENCONTRADO EN PLANTA"))</f>
        <v/>
      </c>
      <c r="B756" s="3"/>
      <c r="C756" s="4" t="str">
        <f>IF(B756="","",IFERROR(VLOOKUP(B756, PLANTA_BASE!A:W, 3, FALSE), ""))</f>
        <v/>
      </c>
      <c r="D756" s="2" t="str">
        <f>IF(B756="","",IFERROR(VLOOKUP(B756, PLANTA_BASE!A:W, 5, FALSE), "NO ENCONTRADO EN PLANTA"))</f>
        <v/>
      </c>
      <c r="E756" s="2" t="str">
        <f>IF(B756="","",IFERROR(VLOOKUP(B756, PLANTA_BASE!A:W, 6, FALSE), "NO ENCONTRADO EN PLANTA"))</f>
        <v/>
      </c>
      <c r="F756" s="4" t="str">
        <f>IF(B756="","",IFERROR(VLOOKUP(B756, PLANTA_BASE!A:W, 8, FALSE), "DOCENTE / FACILITADOR"))</f>
        <v/>
      </c>
      <c r="G756" s="4" t="str">
        <f>IF(B756="","",IFERROR(VLOOKUP(B756, PLANTA_BASE!A:W, 9, FALSE), "GENERAL"))</f>
        <v/>
      </c>
      <c r="H756" s="2" t="str">
        <f>IF(B756="","",IFERROR(VLOOKUP(B756, PLANTA_BASE!A:W, 17, FALSE), "GENERAL"))</f>
        <v/>
      </c>
    </row>
    <row r="757" spans="1:8" ht="20.100000000000001" customHeight="1" x14ac:dyDescent="0.25">
      <c r="A757" s="5" t="str">
        <f>IF(B757="","",IFERROR(VLOOKUP(B757, PLANTA_BASE!A:W, 2, FALSE), "NO ENCONTRADO EN PLANTA"))</f>
        <v/>
      </c>
      <c r="B757" s="6"/>
      <c r="C757" s="7" t="str">
        <f>IF(B757="","",IFERROR(VLOOKUP(B757, PLANTA_BASE!A:W, 3, FALSE), ""))</f>
        <v/>
      </c>
      <c r="D757" s="5" t="str">
        <f>IF(B757="","",IFERROR(VLOOKUP(B757, PLANTA_BASE!A:W, 5, FALSE), "NO ENCONTRADO EN PLANTA"))</f>
        <v/>
      </c>
      <c r="E757" s="5" t="str">
        <f>IF(B757="","",IFERROR(VLOOKUP(B757, PLANTA_BASE!A:W, 6, FALSE), "NO ENCONTRADO EN PLANTA"))</f>
        <v/>
      </c>
      <c r="F757" s="7" t="str">
        <f>IF(B757="","",IFERROR(VLOOKUP(B757, PLANTA_BASE!A:W, 8, FALSE), "DOCENTE / FACILITADOR"))</f>
        <v/>
      </c>
      <c r="G757" s="7" t="str">
        <f>IF(B757="","",IFERROR(VLOOKUP(B757, PLANTA_BASE!A:W, 9, FALSE), "GENERAL"))</f>
        <v/>
      </c>
      <c r="H757" s="5" t="str">
        <f>IF(B757="","",IFERROR(VLOOKUP(B757, PLANTA_BASE!A:W, 17, FALSE), "GENERAL"))</f>
        <v/>
      </c>
    </row>
    <row r="758" spans="1:8" ht="20.100000000000001" customHeight="1" x14ac:dyDescent="0.25">
      <c r="A758" s="2" t="str">
        <f>IF(B758="","",IFERROR(VLOOKUP(B758, PLANTA_BASE!A:W, 2, FALSE), "NO ENCONTRADO EN PLANTA"))</f>
        <v/>
      </c>
      <c r="B758" s="3"/>
      <c r="C758" s="4" t="str">
        <f>IF(B758="","",IFERROR(VLOOKUP(B758, PLANTA_BASE!A:W, 3, FALSE), ""))</f>
        <v/>
      </c>
      <c r="D758" s="2" t="str">
        <f>IF(B758="","",IFERROR(VLOOKUP(B758, PLANTA_BASE!A:W, 5, FALSE), "NO ENCONTRADO EN PLANTA"))</f>
        <v/>
      </c>
      <c r="E758" s="2" t="str">
        <f>IF(B758="","",IFERROR(VLOOKUP(B758, PLANTA_BASE!A:W, 6, FALSE), "NO ENCONTRADO EN PLANTA"))</f>
        <v/>
      </c>
      <c r="F758" s="4" t="str">
        <f>IF(B758="","",IFERROR(VLOOKUP(B758, PLANTA_BASE!A:W, 8, FALSE), "DOCENTE / FACILITADOR"))</f>
        <v/>
      </c>
      <c r="G758" s="4" t="str">
        <f>IF(B758="","",IFERROR(VLOOKUP(B758, PLANTA_BASE!A:W, 9, FALSE), "GENERAL"))</f>
        <v/>
      </c>
      <c r="H758" s="2" t="str">
        <f>IF(B758="","",IFERROR(VLOOKUP(B758, PLANTA_BASE!A:W, 17, FALSE), "GENERAL"))</f>
        <v/>
      </c>
    </row>
    <row r="759" spans="1:8" ht="20.100000000000001" customHeight="1" x14ac:dyDescent="0.25">
      <c r="A759" s="5" t="str">
        <f>IF(B759="","",IFERROR(VLOOKUP(B759, PLANTA_BASE!A:W, 2, FALSE), "NO ENCONTRADO EN PLANTA"))</f>
        <v/>
      </c>
      <c r="B759" s="6"/>
      <c r="C759" s="7" t="str">
        <f>IF(B759="","",IFERROR(VLOOKUP(B759, PLANTA_BASE!A:W, 3, FALSE), ""))</f>
        <v/>
      </c>
      <c r="D759" s="5" t="str">
        <f>IF(B759="","",IFERROR(VLOOKUP(B759, PLANTA_BASE!A:W, 5, FALSE), "NO ENCONTRADO EN PLANTA"))</f>
        <v/>
      </c>
      <c r="E759" s="5" t="str">
        <f>IF(B759="","",IFERROR(VLOOKUP(B759, PLANTA_BASE!A:W, 6, FALSE), "NO ENCONTRADO EN PLANTA"))</f>
        <v/>
      </c>
      <c r="F759" s="7" t="str">
        <f>IF(B759="","",IFERROR(VLOOKUP(B759, PLANTA_BASE!A:W, 8, FALSE), "DOCENTE / FACILITADOR"))</f>
        <v/>
      </c>
      <c r="G759" s="7" t="str">
        <f>IF(B759="","",IFERROR(VLOOKUP(B759, PLANTA_BASE!A:W, 9, FALSE), "GENERAL"))</f>
        <v/>
      </c>
      <c r="H759" s="5" t="str">
        <f>IF(B759="","",IFERROR(VLOOKUP(B759, PLANTA_BASE!A:W, 17, FALSE), "GENERAL"))</f>
        <v/>
      </c>
    </row>
    <row r="760" spans="1:8" ht="20.100000000000001" customHeight="1" x14ac:dyDescent="0.25">
      <c r="A760" s="2" t="str">
        <f>IF(B760="","",IFERROR(VLOOKUP(B760, PLANTA_BASE!A:W, 2, FALSE), "NO ENCONTRADO EN PLANTA"))</f>
        <v/>
      </c>
      <c r="B760" s="3"/>
      <c r="C760" s="4" t="str">
        <f>IF(B760="","",IFERROR(VLOOKUP(B760, PLANTA_BASE!A:W, 3, FALSE), ""))</f>
        <v/>
      </c>
      <c r="D760" s="2" t="str">
        <f>IF(B760="","",IFERROR(VLOOKUP(B760, PLANTA_BASE!A:W, 5, FALSE), "NO ENCONTRADO EN PLANTA"))</f>
        <v/>
      </c>
      <c r="E760" s="2" t="str">
        <f>IF(B760="","",IFERROR(VLOOKUP(B760, PLANTA_BASE!A:W, 6, FALSE), "NO ENCONTRADO EN PLANTA"))</f>
        <v/>
      </c>
      <c r="F760" s="4" t="str">
        <f>IF(B760="","",IFERROR(VLOOKUP(B760, PLANTA_BASE!A:W, 8, FALSE), "DOCENTE / FACILITADOR"))</f>
        <v/>
      </c>
      <c r="G760" s="4" t="str">
        <f>IF(B760="","",IFERROR(VLOOKUP(B760, PLANTA_BASE!A:W, 9, FALSE), "GENERAL"))</f>
        <v/>
      </c>
      <c r="H760" s="2" t="str">
        <f>IF(B760="","",IFERROR(VLOOKUP(B760, PLANTA_BASE!A:W, 17, FALSE), "GENERAL"))</f>
        <v/>
      </c>
    </row>
    <row r="761" spans="1:8" ht="20.100000000000001" customHeight="1" x14ac:dyDescent="0.25">
      <c r="A761" s="5" t="str">
        <f>IF(B761="","",IFERROR(VLOOKUP(B761, PLANTA_BASE!A:W, 2, FALSE), "NO ENCONTRADO EN PLANTA"))</f>
        <v/>
      </c>
      <c r="B761" s="6"/>
      <c r="C761" s="7" t="str">
        <f>IF(B761="","",IFERROR(VLOOKUP(B761, PLANTA_BASE!A:W, 3, FALSE), ""))</f>
        <v/>
      </c>
      <c r="D761" s="5" t="str">
        <f>IF(B761="","",IFERROR(VLOOKUP(B761, PLANTA_BASE!A:W, 5, FALSE), "NO ENCONTRADO EN PLANTA"))</f>
        <v/>
      </c>
      <c r="E761" s="5" t="str">
        <f>IF(B761="","",IFERROR(VLOOKUP(B761, PLANTA_BASE!A:W, 6, FALSE), "NO ENCONTRADO EN PLANTA"))</f>
        <v/>
      </c>
      <c r="F761" s="7" t="str">
        <f>IF(B761="","",IFERROR(VLOOKUP(B761, PLANTA_BASE!A:W, 8, FALSE), "DOCENTE / FACILITADOR"))</f>
        <v/>
      </c>
      <c r="G761" s="7" t="str">
        <f>IF(B761="","",IFERROR(VLOOKUP(B761, PLANTA_BASE!A:W, 9, FALSE), "GENERAL"))</f>
        <v/>
      </c>
      <c r="H761" s="5" t="str">
        <f>IF(B761="","",IFERROR(VLOOKUP(B761, PLANTA_BASE!A:W, 17, FALSE), "GENERAL"))</f>
        <v/>
      </c>
    </row>
    <row r="762" spans="1:8" ht="20.100000000000001" customHeight="1" x14ac:dyDescent="0.25">
      <c r="A762" s="2" t="str">
        <f>IF(B762="","",IFERROR(VLOOKUP(B762, PLANTA_BASE!A:W, 2, FALSE), "NO ENCONTRADO EN PLANTA"))</f>
        <v/>
      </c>
      <c r="B762" s="3"/>
      <c r="C762" s="4" t="str">
        <f>IF(B762="","",IFERROR(VLOOKUP(B762, PLANTA_BASE!A:W, 3, FALSE), ""))</f>
        <v/>
      </c>
      <c r="D762" s="2" t="str">
        <f>IF(B762="","",IFERROR(VLOOKUP(B762, PLANTA_BASE!A:W, 5, FALSE), "NO ENCONTRADO EN PLANTA"))</f>
        <v/>
      </c>
      <c r="E762" s="2" t="str">
        <f>IF(B762="","",IFERROR(VLOOKUP(B762, PLANTA_BASE!A:W, 6, FALSE), "NO ENCONTRADO EN PLANTA"))</f>
        <v/>
      </c>
      <c r="F762" s="4" t="str">
        <f>IF(B762="","",IFERROR(VLOOKUP(B762, PLANTA_BASE!A:W, 8, FALSE), "DOCENTE / FACILITADOR"))</f>
        <v/>
      </c>
      <c r="G762" s="4" t="str">
        <f>IF(B762="","",IFERROR(VLOOKUP(B762, PLANTA_BASE!A:W, 9, FALSE), "GENERAL"))</f>
        <v/>
      </c>
      <c r="H762" s="2" t="str">
        <f>IF(B762="","",IFERROR(VLOOKUP(B762, PLANTA_BASE!A:W, 17, FALSE), "GENERAL"))</f>
        <v/>
      </c>
    </row>
    <row r="763" spans="1:8" ht="20.100000000000001" customHeight="1" x14ac:dyDescent="0.25">
      <c r="A763" s="5" t="str">
        <f>IF(B763="","",IFERROR(VLOOKUP(B763, PLANTA_BASE!A:W, 2, FALSE), "NO ENCONTRADO EN PLANTA"))</f>
        <v/>
      </c>
      <c r="B763" s="6"/>
      <c r="C763" s="7" t="str">
        <f>IF(B763="","",IFERROR(VLOOKUP(B763, PLANTA_BASE!A:W, 3, FALSE), ""))</f>
        <v/>
      </c>
      <c r="D763" s="5" t="str">
        <f>IF(B763="","",IFERROR(VLOOKUP(B763, PLANTA_BASE!A:W, 5, FALSE), "NO ENCONTRADO EN PLANTA"))</f>
        <v/>
      </c>
      <c r="E763" s="5" t="str">
        <f>IF(B763="","",IFERROR(VLOOKUP(B763, PLANTA_BASE!A:W, 6, FALSE), "NO ENCONTRADO EN PLANTA"))</f>
        <v/>
      </c>
      <c r="F763" s="7" t="str">
        <f>IF(B763="","",IFERROR(VLOOKUP(B763, PLANTA_BASE!A:W, 8, FALSE), "DOCENTE / FACILITADOR"))</f>
        <v/>
      </c>
      <c r="G763" s="7" t="str">
        <f>IF(B763="","",IFERROR(VLOOKUP(B763, PLANTA_BASE!A:W, 9, FALSE), "GENERAL"))</f>
        <v/>
      </c>
      <c r="H763" s="5" t="str">
        <f>IF(B763="","",IFERROR(VLOOKUP(B763, PLANTA_BASE!A:W, 17, FALSE), "GENERAL"))</f>
        <v/>
      </c>
    </row>
    <row r="764" spans="1:8" ht="20.100000000000001" customHeight="1" x14ac:dyDescent="0.25">
      <c r="A764" s="2" t="str">
        <f>IF(B764="","",IFERROR(VLOOKUP(B764, PLANTA_BASE!A:W, 2, FALSE), "NO ENCONTRADO EN PLANTA"))</f>
        <v/>
      </c>
      <c r="B764" s="3"/>
      <c r="C764" s="4" t="str">
        <f>IF(B764="","",IFERROR(VLOOKUP(B764, PLANTA_BASE!A:W, 3, FALSE), ""))</f>
        <v/>
      </c>
      <c r="D764" s="2" t="str">
        <f>IF(B764="","",IFERROR(VLOOKUP(B764, PLANTA_BASE!A:W, 5, FALSE), "NO ENCONTRADO EN PLANTA"))</f>
        <v/>
      </c>
      <c r="E764" s="2" t="str">
        <f>IF(B764="","",IFERROR(VLOOKUP(B764, PLANTA_BASE!A:W, 6, FALSE), "NO ENCONTRADO EN PLANTA"))</f>
        <v/>
      </c>
      <c r="F764" s="4" t="str">
        <f>IF(B764="","",IFERROR(VLOOKUP(B764, PLANTA_BASE!A:W, 8, FALSE), "DOCENTE / FACILITADOR"))</f>
        <v/>
      </c>
      <c r="G764" s="4" t="str">
        <f>IF(B764="","",IFERROR(VLOOKUP(B764, PLANTA_BASE!A:W, 9, FALSE), "GENERAL"))</f>
        <v/>
      </c>
      <c r="H764" s="2" t="str">
        <f>IF(B764="","",IFERROR(VLOOKUP(B764, PLANTA_BASE!A:W, 17, FALSE), "GENERAL"))</f>
        <v/>
      </c>
    </row>
    <row r="765" spans="1:8" ht="20.100000000000001" customHeight="1" x14ac:dyDescent="0.25">
      <c r="A765" s="5" t="str">
        <f>IF(B765="","",IFERROR(VLOOKUP(B765, PLANTA_BASE!A:W, 2, FALSE), "NO ENCONTRADO EN PLANTA"))</f>
        <v/>
      </c>
      <c r="B765" s="6"/>
      <c r="C765" s="7" t="str">
        <f>IF(B765="","",IFERROR(VLOOKUP(B765, PLANTA_BASE!A:W, 3, FALSE), ""))</f>
        <v/>
      </c>
      <c r="D765" s="5" t="str">
        <f>IF(B765="","",IFERROR(VLOOKUP(B765, PLANTA_BASE!A:W, 5, FALSE), "NO ENCONTRADO EN PLANTA"))</f>
        <v/>
      </c>
      <c r="E765" s="5" t="str">
        <f>IF(B765="","",IFERROR(VLOOKUP(B765, PLANTA_BASE!A:W, 6, FALSE), "NO ENCONTRADO EN PLANTA"))</f>
        <v/>
      </c>
      <c r="F765" s="7" t="str">
        <f>IF(B765="","",IFERROR(VLOOKUP(B765, PLANTA_BASE!A:W, 8, FALSE), "DOCENTE / FACILITADOR"))</f>
        <v/>
      </c>
      <c r="G765" s="7" t="str">
        <f>IF(B765="","",IFERROR(VLOOKUP(B765, PLANTA_BASE!A:W, 9, FALSE), "GENERAL"))</f>
        <v/>
      </c>
      <c r="H765" s="5" t="str">
        <f>IF(B765="","",IFERROR(VLOOKUP(B765, PLANTA_BASE!A:W, 17, FALSE), "GENERAL"))</f>
        <v/>
      </c>
    </row>
    <row r="766" spans="1:8" ht="20.100000000000001" customHeight="1" x14ac:dyDescent="0.25">
      <c r="A766" s="2" t="str">
        <f>IF(B766="","",IFERROR(VLOOKUP(B766, PLANTA_BASE!A:W, 2, FALSE), "NO ENCONTRADO EN PLANTA"))</f>
        <v/>
      </c>
      <c r="B766" s="3"/>
      <c r="C766" s="4" t="str">
        <f>IF(B766="","",IFERROR(VLOOKUP(B766, PLANTA_BASE!A:W, 3, FALSE), ""))</f>
        <v/>
      </c>
      <c r="D766" s="2" t="str">
        <f>IF(B766="","",IFERROR(VLOOKUP(B766, PLANTA_BASE!A:W, 5, FALSE), "NO ENCONTRADO EN PLANTA"))</f>
        <v/>
      </c>
      <c r="E766" s="2" t="str">
        <f>IF(B766="","",IFERROR(VLOOKUP(B766, PLANTA_BASE!A:W, 6, FALSE), "NO ENCONTRADO EN PLANTA"))</f>
        <v/>
      </c>
      <c r="F766" s="4" t="str">
        <f>IF(B766="","",IFERROR(VLOOKUP(B766, PLANTA_BASE!A:W, 8, FALSE), "DOCENTE / FACILITADOR"))</f>
        <v/>
      </c>
      <c r="G766" s="4" t="str">
        <f>IF(B766="","",IFERROR(VLOOKUP(B766, PLANTA_BASE!A:W, 9, FALSE), "GENERAL"))</f>
        <v/>
      </c>
      <c r="H766" s="2" t="str">
        <f>IF(B766="","",IFERROR(VLOOKUP(B766, PLANTA_BASE!A:W, 17, FALSE), "GENERAL"))</f>
        <v/>
      </c>
    </row>
    <row r="767" spans="1:8" ht="20.100000000000001" customHeight="1" x14ac:dyDescent="0.25">
      <c r="A767" s="5" t="str">
        <f>IF(B767="","",IFERROR(VLOOKUP(B767, PLANTA_BASE!A:W, 2, FALSE), "NO ENCONTRADO EN PLANTA"))</f>
        <v/>
      </c>
      <c r="B767" s="6"/>
      <c r="C767" s="7" t="str">
        <f>IF(B767="","",IFERROR(VLOOKUP(B767, PLANTA_BASE!A:W, 3, FALSE), ""))</f>
        <v/>
      </c>
      <c r="D767" s="5" t="str">
        <f>IF(B767="","",IFERROR(VLOOKUP(B767, PLANTA_BASE!A:W, 5, FALSE), "NO ENCONTRADO EN PLANTA"))</f>
        <v/>
      </c>
      <c r="E767" s="5" t="str">
        <f>IF(B767="","",IFERROR(VLOOKUP(B767, PLANTA_BASE!A:W, 6, FALSE), "NO ENCONTRADO EN PLANTA"))</f>
        <v/>
      </c>
      <c r="F767" s="7" t="str">
        <f>IF(B767="","",IFERROR(VLOOKUP(B767, PLANTA_BASE!A:W, 8, FALSE), "DOCENTE / FACILITADOR"))</f>
        <v/>
      </c>
      <c r="G767" s="7" t="str">
        <f>IF(B767="","",IFERROR(VLOOKUP(B767, PLANTA_BASE!A:W, 9, FALSE), "GENERAL"))</f>
        <v/>
      </c>
      <c r="H767" s="5" t="str">
        <f>IF(B767="","",IFERROR(VLOOKUP(B767, PLANTA_BASE!A:W, 17, FALSE), "GENERAL"))</f>
        <v/>
      </c>
    </row>
    <row r="768" spans="1:8" ht="20.100000000000001" customHeight="1" x14ac:dyDescent="0.25">
      <c r="A768" s="2" t="str">
        <f>IF(B768="","",IFERROR(VLOOKUP(B768, PLANTA_BASE!A:W, 2, FALSE), "NO ENCONTRADO EN PLANTA"))</f>
        <v/>
      </c>
      <c r="B768" s="3"/>
      <c r="C768" s="4" t="str">
        <f>IF(B768="","",IFERROR(VLOOKUP(B768, PLANTA_BASE!A:W, 3, FALSE), ""))</f>
        <v/>
      </c>
      <c r="D768" s="2" t="str">
        <f>IF(B768="","",IFERROR(VLOOKUP(B768, PLANTA_BASE!A:W, 5, FALSE), "NO ENCONTRADO EN PLANTA"))</f>
        <v/>
      </c>
      <c r="E768" s="2" t="str">
        <f>IF(B768="","",IFERROR(VLOOKUP(B768, PLANTA_BASE!A:W, 6, FALSE), "NO ENCONTRADO EN PLANTA"))</f>
        <v/>
      </c>
      <c r="F768" s="4" t="str">
        <f>IF(B768="","",IFERROR(VLOOKUP(B768, PLANTA_BASE!A:W, 8, FALSE), "DOCENTE / FACILITADOR"))</f>
        <v/>
      </c>
      <c r="G768" s="4" t="str">
        <f>IF(B768="","",IFERROR(VLOOKUP(B768, PLANTA_BASE!A:W, 9, FALSE), "GENERAL"))</f>
        <v/>
      </c>
      <c r="H768" s="2" t="str">
        <f>IF(B768="","",IFERROR(VLOOKUP(B768, PLANTA_BASE!A:W, 17, FALSE), "GENERAL"))</f>
        <v/>
      </c>
    </row>
    <row r="769" spans="1:8" ht="20.100000000000001" customHeight="1" x14ac:dyDescent="0.25">
      <c r="A769" s="5" t="str">
        <f>IF(B769="","",IFERROR(VLOOKUP(B769, PLANTA_BASE!A:W, 2, FALSE), "NO ENCONTRADO EN PLANTA"))</f>
        <v/>
      </c>
      <c r="B769" s="6"/>
      <c r="C769" s="7" t="str">
        <f>IF(B769="","",IFERROR(VLOOKUP(B769, PLANTA_BASE!A:W, 3, FALSE), ""))</f>
        <v/>
      </c>
      <c r="D769" s="5" t="str">
        <f>IF(B769="","",IFERROR(VLOOKUP(B769, PLANTA_BASE!A:W, 5, FALSE), "NO ENCONTRADO EN PLANTA"))</f>
        <v/>
      </c>
      <c r="E769" s="5" t="str">
        <f>IF(B769="","",IFERROR(VLOOKUP(B769, PLANTA_BASE!A:W, 6, FALSE), "NO ENCONTRADO EN PLANTA"))</f>
        <v/>
      </c>
      <c r="F769" s="7" t="str">
        <f>IF(B769="","",IFERROR(VLOOKUP(B769, PLANTA_BASE!A:W, 8, FALSE), "DOCENTE / FACILITADOR"))</f>
        <v/>
      </c>
      <c r="G769" s="7" t="str">
        <f>IF(B769="","",IFERROR(VLOOKUP(B769, PLANTA_BASE!A:W, 9, FALSE), "GENERAL"))</f>
        <v/>
      </c>
      <c r="H769" s="5" t="str">
        <f>IF(B769="","",IFERROR(VLOOKUP(B769, PLANTA_BASE!A:W, 17, FALSE), "GENERAL"))</f>
        <v/>
      </c>
    </row>
    <row r="770" spans="1:8" ht="20.100000000000001" customHeight="1" x14ac:dyDescent="0.25">
      <c r="A770" s="2" t="str">
        <f>IF(B770="","",IFERROR(VLOOKUP(B770, PLANTA_BASE!A:W, 2, FALSE), "NO ENCONTRADO EN PLANTA"))</f>
        <v/>
      </c>
      <c r="B770" s="3"/>
      <c r="C770" s="4" t="str">
        <f>IF(B770="","",IFERROR(VLOOKUP(B770, PLANTA_BASE!A:W, 3, FALSE), ""))</f>
        <v/>
      </c>
      <c r="D770" s="2" t="str">
        <f>IF(B770="","",IFERROR(VLOOKUP(B770, PLANTA_BASE!A:W, 5, FALSE), "NO ENCONTRADO EN PLANTA"))</f>
        <v/>
      </c>
      <c r="E770" s="2" t="str">
        <f>IF(B770="","",IFERROR(VLOOKUP(B770, PLANTA_BASE!A:W, 6, FALSE), "NO ENCONTRADO EN PLANTA"))</f>
        <v/>
      </c>
      <c r="F770" s="4" t="str">
        <f>IF(B770="","",IFERROR(VLOOKUP(B770, PLANTA_BASE!A:W, 8, FALSE), "DOCENTE / FACILITADOR"))</f>
        <v/>
      </c>
      <c r="G770" s="4" t="str">
        <f>IF(B770="","",IFERROR(VLOOKUP(B770, PLANTA_BASE!A:W, 9, FALSE), "GENERAL"))</f>
        <v/>
      </c>
      <c r="H770" s="2" t="str">
        <f>IF(B770="","",IFERROR(VLOOKUP(B770, PLANTA_BASE!A:W, 17, FALSE), "GENERAL"))</f>
        <v/>
      </c>
    </row>
    <row r="771" spans="1:8" ht="20.100000000000001" customHeight="1" x14ac:dyDescent="0.25">
      <c r="A771" s="5" t="str">
        <f>IF(B771="","",IFERROR(VLOOKUP(B771, PLANTA_BASE!A:W, 2, FALSE), "NO ENCONTRADO EN PLANTA"))</f>
        <v/>
      </c>
      <c r="B771" s="6"/>
      <c r="C771" s="7" t="str">
        <f>IF(B771="","",IFERROR(VLOOKUP(B771, PLANTA_BASE!A:W, 3, FALSE), ""))</f>
        <v/>
      </c>
      <c r="D771" s="5" t="str">
        <f>IF(B771="","",IFERROR(VLOOKUP(B771, PLANTA_BASE!A:W, 5, FALSE), "NO ENCONTRADO EN PLANTA"))</f>
        <v/>
      </c>
      <c r="E771" s="5" t="str">
        <f>IF(B771="","",IFERROR(VLOOKUP(B771, PLANTA_BASE!A:W, 6, FALSE), "NO ENCONTRADO EN PLANTA"))</f>
        <v/>
      </c>
      <c r="F771" s="7" t="str">
        <f>IF(B771="","",IFERROR(VLOOKUP(B771, PLANTA_BASE!A:W, 8, FALSE), "DOCENTE / FACILITADOR"))</f>
        <v/>
      </c>
      <c r="G771" s="7" t="str">
        <f>IF(B771="","",IFERROR(VLOOKUP(B771, PLANTA_BASE!A:W, 9, FALSE), "GENERAL"))</f>
        <v/>
      </c>
      <c r="H771" s="5" t="str">
        <f>IF(B771="","",IFERROR(VLOOKUP(B771, PLANTA_BASE!A:W, 17, FALSE), "GENERAL"))</f>
        <v/>
      </c>
    </row>
    <row r="772" spans="1:8" ht="20.100000000000001" customHeight="1" x14ac:dyDescent="0.25">
      <c r="A772" s="2" t="str">
        <f>IF(B772="","",IFERROR(VLOOKUP(B772, PLANTA_BASE!A:W, 2, FALSE), "NO ENCONTRADO EN PLANTA"))</f>
        <v/>
      </c>
      <c r="B772" s="3"/>
      <c r="C772" s="4" t="str">
        <f>IF(B772="","",IFERROR(VLOOKUP(B772, PLANTA_BASE!A:W, 3, FALSE), ""))</f>
        <v/>
      </c>
      <c r="D772" s="2" t="str">
        <f>IF(B772="","",IFERROR(VLOOKUP(B772, PLANTA_BASE!A:W, 5, FALSE), "NO ENCONTRADO EN PLANTA"))</f>
        <v/>
      </c>
      <c r="E772" s="2" t="str">
        <f>IF(B772="","",IFERROR(VLOOKUP(B772, PLANTA_BASE!A:W, 6, FALSE), "NO ENCONTRADO EN PLANTA"))</f>
        <v/>
      </c>
      <c r="F772" s="4" t="str">
        <f>IF(B772="","",IFERROR(VLOOKUP(B772, PLANTA_BASE!A:W, 8, FALSE), "DOCENTE / FACILITADOR"))</f>
        <v/>
      </c>
      <c r="G772" s="4" t="str">
        <f>IF(B772="","",IFERROR(VLOOKUP(B772, PLANTA_BASE!A:W, 9, FALSE), "GENERAL"))</f>
        <v/>
      </c>
      <c r="H772" s="2" t="str">
        <f>IF(B772="","",IFERROR(VLOOKUP(B772, PLANTA_BASE!A:W, 17, FALSE), "GENERAL"))</f>
        <v/>
      </c>
    </row>
    <row r="773" spans="1:8" ht="20.100000000000001" customHeight="1" x14ac:dyDescent="0.25">
      <c r="A773" s="5" t="str">
        <f>IF(B773="","",IFERROR(VLOOKUP(B773, PLANTA_BASE!A:W, 2, FALSE), "NO ENCONTRADO EN PLANTA"))</f>
        <v/>
      </c>
      <c r="B773" s="6"/>
      <c r="C773" s="7" t="str">
        <f>IF(B773="","",IFERROR(VLOOKUP(B773, PLANTA_BASE!A:W, 3, FALSE), ""))</f>
        <v/>
      </c>
      <c r="D773" s="5" t="str">
        <f>IF(B773="","",IFERROR(VLOOKUP(B773, PLANTA_BASE!A:W, 5, FALSE), "NO ENCONTRADO EN PLANTA"))</f>
        <v/>
      </c>
      <c r="E773" s="5" t="str">
        <f>IF(B773="","",IFERROR(VLOOKUP(B773, PLANTA_BASE!A:W, 6, FALSE), "NO ENCONTRADO EN PLANTA"))</f>
        <v/>
      </c>
      <c r="F773" s="7" t="str">
        <f>IF(B773="","",IFERROR(VLOOKUP(B773, PLANTA_BASE!A:W, 8, FALSE), "DOCENTE / FACILITADOR"))</f>
        <v/>
      </c>
      <c r="G773" s="7" t="str">
        <f>IF(B773="","",IFERROR(VLOOKUP(B773, PLANTA_BASE!A:W, 9, FALSE), "GENERAL"))</f>
        <v/>
      </c>
      <c r="H773" s="5" t="str">
        <f>IF(B773="","",IFERROR(VLOOKUP(B773, PLANTA_BASE!A:W, 17, FALSE), "GENERAL"))</f>
        <v/>
      </c>
    </row>
    <row r="774" spans="1:8" ht="20.100000000000001" customHeight="1" x14ac:dyDescent="0.25">
      <c r="A774" s="2" t="str">
        <f>IF(B774="","",IFERROR(VLOOKUP(B774, PLANTA_BASE!A:W, 2, FALSE), "NO ENCONTRADO EN PLANTA"))</f>
        <v/>
      </c>
      <c r="B774" s="3"/>
      <c r="C774" s="4" t="str">
        <f>IF(B774="","",IFERROR(VLOOKUP(B774, PLANTA_BASE!A:W, 3, FALSE), ""))</f>
        <v/>
      </c>
      <c r="D774" s="2" t="str">
        <f>IF(B774="","",IFERROR(VLOOKUP(B774, PLANTA_BASE!A:W, 5, FALSE), "NO ENCONTRADO EN PLANTA"))</f>
        <v/>
      </c>
      <c r="E774" s="2" t="str">
        <f>IF(B774="","",IFERROR(VLOOKUP(B774, PLANTA_BASE!A:W, 6, FALSE), "NO ENCONTRADO EN PLANTA"))</f>
        <v/>
      </c>
      <c r="F774" s="4" t="str">
        <f>IF(B774="","",IFERROR(VLOOKUP(B774, PLANTA_BASE!A:W, 8, FALSE), "DOCENTE / FACILITADOR"))</f>
        <v/>
      </c>
      <c r="G774" s="4" t="str">
        <f>IF(B774="","",IFERROR(VLOOKUP(B774, PLANTA_BASE!A:W, 9, FALSE), "GENERAL"))</f>
        <v/>
      </c>
      <c r="H774" s="2" t="str">
        <f>IF(B774="","",IFERROR(VLOOKUP(B774, PLANTA_BASE!A:W, 17, FALSE), "GENERAL"))</f>
        <v/>
      </c>
    </row>
    <row r="775" spans="1:8" ht="20.100000000000001" customHeight="1" x14ac:dyDescent="0.25">
      <c r="A775" s="5" t="str">
        <f>IF(B775="","",IFERROR(VLOOKUP(B775, PLANTA_BASE!A:W, 2, FALSE), "NO ENCONTRADO EN PLANTA"))</f>
        <v/>
      </c>
      <c r="B775" s="6"/>
      <c r="C775" s="7" t="str">
        <f>IF(B775="","",IFERROR(VLOOKUP(B775, PLANTA_BASE!A:W, 3, FALSE), ""))</f>
        <v/>
      </c>
      <c r="D775" s="5" t="str">
        <f>IF(B775="","",IFERROR(VLOOKUP(B775, PLANTA_BASE!A:W, 5, FALSE), "NO ENCONTRADO EN PLANTA"))</f>
        <v/>
      </c>
      <c r="E775" s="5" t="str">
        <f>IF(B775="","",IFERROR(VLOOKUP(B775, PLANTA_BASE!A:W, 6, FALSE), "NO ENCONTRADO EN PLANTA"))</f>
        <v/>
      </c>
      <c r="F775" s="7" t="str">
        <f>IF(B775="","",IFERROR(VLOOKUP(B775, PLANTA_BASE!A:W, 8, FALSE), "DOCENTE / FACILITADOR"))</f>
        <v/>
      </c>
      <c r="G775" s="7" t="str">
        <f>IF(B775="","",IFERROR(VLOOKUP(B775, PLANTA_BASE!A:W, 9, FALSE), "GENERAL"))</f>
        <v/>
      </c>
      <c r="H775" s="5" t="str">
        <f>IF(B775="","",IFERROR(VLOOKUP(B775, PLANTA_BASE!A:W, 17, FALSE), "GENERAL"))</f>
        <v/>
      </c>
    </row>
    <row r="776" spans="1:8" ht="20.100000000000001" customHeight="1" x14ac:dyDescent="0.25">
      <c r="A776" s="2" t="str">
        <f>IF(B776="","",IFERROR(VLOOKUP(B776, PLANTA_BASE!A:W, 2, FALSE), "NO ENCONTRADO EN PLANTA"))</f>
        <v/>
      </c>
      <c r="B776" s="3"/>
      <c r="C776" s="4" t="str">
        <f>IF(B776="","",IFERROR(VLOOKUP(B776, PLANTA_BASE!A:W, 3, FALSE), ""))</f>
        <v/>
      </c>
      <c r="D776" s="2" t="str">
        <f>IF(B776="","",IFERROR(VLOOKUP(B776, PLANTA_BASE!A:W, 5, FALSE), "NO ENCONTRADO EN PLANTA"))</f>
        <v/>
      </c>
      <c r="E776" s="2" t="str">
        <f>IF(B776="","",IFERROR(VLOOKUP(B776, PLANTA_BASE!A:W, 6, FALSE), "NO ENCONTRADO EN PLANTA"))</f>
        <v/>
      </c>
      <c r="F776" s="4" t="str">
        <f>IF(B776="","",IFERROR(VLOOKUP(B776, PLANTA_BASE!A:W, 8, FALSE), "DOCENTE / FACILITADOR"))</f>
        <v/>
      </c>
      <c r="G776" s="4" t="str">
        <f>IF(B776="","",IFERROR(VLOOKUP(B776, PLANTA_BASE!A:W, 9, FALSE), "GENERAL"))</f>
        <v/>
      </c>
      <c r="H776" s="2" t="str">
        <f>IF(B776="","",IFERROR(VLOOKUP(B776, PLANTA_BASE!A:W, 17, FALSE), "GENERAL"))</f>
        <v/>
      </c>
    </row>
    <row r="777" spans="1:8" ht="20.100000000000001" customHeight="1" x14ac:dyDescent="0.25">
      <c r="A777" s="5" t="str">
        <f>IF(B777="","",IFERROR(VLOOKUP(B777, PLANTA_BASE!A:W, 2, FALSE), "NO ENCONTRADO EN PLANTA"))</f>
        <v/>
      </c>
      <c r="B777" s="6"/>
      <c r="C777" s="7" t="str">
        <f>IF(B777="","",IFERROR(VLOOKUP(B777, PLANTA_BASE!A:W, 3, FALSE), ""))</f>
        <v/>
      </c>
      <c r="D777" s="5" t="str">
        <f>IF(B777="","",IFERROR(VLOOKUP(B777, PLANTA_BASE!A:W, 5, FALSE), "NO ENCONTRADO EN PLANTA"))</f>
        <v/>
      </c>
      <c r="E777" s="5" t="str">
        <f>IF(B777="","",IFERROR(VLOOKUP(B777, PLANTA_BASE!A:W, 6, FALSE), "NO ENCONTRADO EN PLANTA"))</f>
        <v/>
      </c>
      <c r="F777" s="7" t="str">
        <f>IF(B777="","",IFERROR(VLOOKUP(B777, PLANTA_BASE!A:W, 8, FALSE), "DOCENTE / FACILITADOR"))</f>
        <v/>
      </c>
      <c r="G777" s="7" t="str">
        <f>IF(B777="","",IFERROR(VLOOKUP(B777, PLANTA_BASE!A:W, 9, FALSE), "GENERAL"))</f>
        <v/>
      </c>
      <c r="H777" s="5" t="str">
        <f>IF(B777="","",IFERROR(VLOOKUP(B777, PLANTA_BASE!A:W, 17, FALSE), "GENERAL"))</f>
        <v/>
      </c>
    </row>
    <row r="778" spans="1:8" ht="20.100000000000001" customHeight="1" x14ac:dyDescent="0.25">
      <c r="A778" s="2" t="str">
        <f>IF(B778="","",IFERROR(VLOOKUP(B778, PLANTA_BASE!A:W, 2, FALSE), "NO ENCONTRADO EN PLANTA"))</f>
        <v/>
      </c>
      <c r="B778" s="3"/>
      <c r="C778" s="4" t="str">
        <f>IF(B778="","",IFERROR(VLOOKUP(B778, PLANTA_BASE!A:W, 3, FALSE), ""))</f>
        <v/>
      </c>
      <c r="D778" s="2" t="str">
        <f>IF(B778="","",IFERROR(VLOOKUP(B778, PLANTA_BASE!A:W, 5, FALSE), "NO ENCONTRADO EN PLANTA"))</f>
        <v/>
      </c>
      <c r="E778" s="2" t="str">
        <f>IF(B778="","",IFERROR(VLOOKUP(B778, PLANTA_BASE!A:W, 6, FALSE), "NO ENCONTRADO EN PLANTA"))</f>
        <v/>
      </c>
      <c r="F778" s="4" t="str">
        <f>IF(B778="","",IFERROR(VLOOKUP(B778, PLANTA_BASE!A:W, 8, FALSE), "DOCENTE / FACILITADOR"))</f>
        <v/>
      </c>
      <c r="G778" s="4" t="str">
        <f>IF(B778="","",IFERROR(VLOOKUP(B778, PLANTA_BASE!A:W, 9, FALSE), "GENERAL"))</f>
        <v/>
      </c>
      <c r="H778" s="2" t="str">
        <f>IF(B778="","",IFERROR(VLOOKUP(B778, PLANTA_BASE!A:W, 17, FALSE), "GENERAL"))</f>
        <v/>
      </c>
    </row>
    <row r="779" spans="1:8" ht="20.100000000000001" customHeight="1" x14ac:dyDescent="0.25">
      <c r="A779" s="5" t="str">
        <f>IF(B779="","",IFERROR(VLOOKUP(B779, PLANTA_BASE!A:W, 2, FALSE), "NO ENCONTRADO EN PLANTA"))</f>
        <v/>
      </c>
      <c r="B779" s="6"/>
      <c r="C779" s="7" t="str">
        <f>IF(B779="","",IFERROR(VLOOKUP(B779, PLANTA_BASE!A:W, 3, FALSE), ""))</f>
        <v/>
      </c>
      <c r="D779" s="5" t="str">
        <f>IF(B779="","",IFERROR(VLOOKUP(B779, PLANTA_BASE!A:W, 5, FALSE), "NO ENCONTRADO EN PLANTA"))</f>
        <v/>
      </c>
      <c r="E779" s="5" t="str">
        <f>IF(B779="","",IFERROR(VLOOKUP(B779, PLANTA_BASE!A:W, 6, FALSE), "NO ENCONTRADO EN PLANTA"))</f>
        <v/>
      </c>
      <c r="F779" s="7" t="str">
        <f>IF(B779="","",IFERROR(VLOOKUP(B779, PLANTA_BASE!A:W, 8, FALSE), "DOCENTE / FACILITADOR"))</f>
        <v/>
      </c>
      <c r="G779" s="7" t="str">
        <f>IF(B779="","",IFERROR(VLOOKUP(B779, PLANTA_BASE!A:W, 9, FALSE), "GENERAL"))</f>
        <v/>
      </c>
      <c r="H779" s="5" t="str">
        <f>IF(B779="","",IFERROR(VLOOKUP(B779, PLANTA_BASE!A:W, 17, FALSE), "GENERAL"))</f>
        <v/>
      </c>
    </row>
    <row r="780" spans="1:8" ht="20.100000000000001" customHeight="1" x14ac:dyDescent="0.25">
      <c r="A780" s="2" t="str">
        <f>IF(B780="","",IFERROR(VLOOKUP(B780, PLANTA_BASE!A:W, 2, FALSE), "NO ENCONTRADO EN PLANTA"))</f>
        <v/>
      </c>
      <c r="B780" s="3"/>
      <c r="C780" s="4" t="str">
        <f>IF(B780="","",IFERROR(VLOOKUP(B780, PLANTA_BASE!A:W, 3, FALSE), ""))</f>
        <v/>
      </c>
      <c r="D780" s="2" t="str">
        <f>IF(B780="","",IFERROR(VLOOKUP(B780, PLANTA_BASE!A:W, 5, FALSE), "NO ENCONTRADO EN PLANTA"))</f>
        <v/>
      </c>
      <c r="E780" s="2" t="str">
        <f>IF(B780="","",IFERROR(VLOOKUP(B780, PLANTA_BASE!A:W, 6, FALSE), "NO ENCONTRADO EN PLANTA"))</f>
        <v/>
      </c>
      <c r="F780" s="4" t="str">
        <f>IF(B780="","",IFERROR(VLOOKUP(B780, PLANTA_BASE!A:W, 8, FALSE), "DOCENTE / FACILITADOR"))</f>
        <v/>
      </c>
      <c r="G780" s="4" t="str">
        <f>IF(B780="","",IFERROR(VLOOKUP(B780, PLANTA_BASE!A:W, 9, FALSE), "GENERAL"))</f>
        <v/>
      </c>
      <c r="H780" s="2" t="str">
        <f>IF(B780="","",IFERROR(VLOOKUP(B780, PLANTA_BASE!A:W, 17, FALSE), "GENERAL"))</f>
        <v/>
      </c>
    </row>
    <row r="781" spans="1:8" ht="20.100000000000001" customHeight="1" x14ac:dyDescent="0.25">
      <c r="A781" s="5" t="str">
        <f>IF(B781="","",IFERROR(VLOOKUP(B781, PLANTA_BASE!A:W, 2, FALSE), "NO ENCONTRADO EN PLANTA"))</f>
        <v/>
      </c>
      <c r="B781" s="6"/>
      <c r="C781" s="7" t="str">
        <f>IF(B781="","",IFERROR(VLOOKUP(B781, PLANTA_BASE!A:W, 3, FALSE), ""))</f>
        <v/>
      </c>
      <c r="D781" s="5" t="str">
        <f>IF(B781="","",IFERROR(VLOOKUP(B781, PLANTA_BASE!A:W, 5, FALSE), "NO ENCONTRADO EN PLANTA"))</f>
        <v/>
      </c>
      <c r="E781" s="5" t="str">
        <f>IF(B781="","",IFERROR(VLOOKUP(B781, PLANTA_BASE!A:W, 6, FALSE), "NO ENCONTRADO EN PLANTA"))</f>
        <v/>
      </c>
      <c r="F781" s="7" t="str">
        <f>IF(B781="","",IFERROR(VLOOKUP(B781, PLANTA_BASE!A:W, 8, FALSE), "DOCENTE / FACILITADOR"))</f>
        <v/>
      </c>
      <c r="G781" s="7" t="str">
        <f>IF(B781="","",IFERROR(VLOOKUP(B781, PLANTA_BASE!A:W, 9, FALSE), "GENERAL"))</f>
        <v/>
      </c>
      <c r="H781" s="5" t="str">
        <f>IF(B781="","",IFERROR(VLOOKUP(B781, PLANTA_BASE!A:W, 17, FALSE), "GENERAL"))</f>
        <v/>
      </c>
    </row>
    <row r="782" spans="1:8" ht="20.100000000000001" customHeight="1" x14ac:dyDescent="0.25">
      <c r="A782" s="2" t="str">
        <f>IF(B782="","",IFERROR(VLOOKUP(B782, PLANTA_BASE!A:W, 2, FALSE), "NO ENCONTRADO EN PLANTA"))</f>
        <v/>
      </c>
      <c r="B782" s="3"/>
      <c r="C782" s="4" t="str">
        <f>IF(B782="","",IFERROR(VLOOKUP(B782, PLANTA_BASE!A:W, 3, FALSE), ""))</f>
        <v/>
      </c>
      <c r="D782" s="2" t="str">
        <f>IF(B782="","",IFERROR(VLOOKUP(B782, PLANTA_BASE!A:W, 5, FALSE), "NO ENCONTRADO EN PLANTA"))</f>
        <v/>
      </c>
      <c r="E782" s="2" t="str">
        <f>IF(B782="","",IFERROR(VLOOKUP(B782, PLANTA_BASE!A:W, 6, FALSE), "NO ENCONTRADO EN PLANTA"))</f>
        <v/>
      </c>
      <c r="F782" s="4" t="str">
        <f>IF(B782="","",IFERROR(VLOOKUP(B782, PLANTA_BASE!A:W, 8, FALSE), "DOCENTE / FACILITADOR"))</f>
        <v/>
      </c>
      <c r="G782" s="4" t="str">
        <f>IF(B782="","",IFERROR(VLOOKUP(B782, PLANTA_BASE!A:W, 9, FALSE), "GENERAL"))</f>
        <v/>
      </c>
      <c r="H782" s="2" t="str">
        <f>IF(B782="","",IFERROR(VLOOKUP(B782, PLANTA_BASE!A:W, 17, FALSE), "GENERAL"))</f>
        <v/>
      </c>
    </row>
    <row r="783" spans="1:8" ht="20.100000000000001" customHeight="1" x14ac:dyDescent="0.25">
      <c r="A783" s="5" t="str">
        <f>IF(B783="","",IFERROR(VLOOKUP(B783, PLANTA_BASE!A:W, 2, FALSE), "NO ENCONTRADO EN PLANTA"))</f>
        <v/>
      </c>
      <c r="B783" s="6"/>
      <c r="C783" s="7" t="str">
        <f>IF(B783="","",IFERROR(VLOOKUP(B783, PLANTA_BASE!A:W, 3, FALSE), ""))</f>
        <v/>
      </c>
      <c r="D783" s="5" t="str">
        <f>IF(B783="","",IFERROR(VLOOKUP(B783, PLANTA_BASE!A:W, 5, FALSE), "NO ENCONTRADO EN PLANTA"))</f>
        <v/>
      </c>
      <c r="E783" s="5" t="str">
        <f>IF(B783="","",IFERROR(VLOOKUP(B783, PLANTA_BASE!A:W, 6, FALSE), "NO ENCONTRADO EN PLANTA"))</f>
        <v/>
      </c>
      <c r="F783" s="7" t="str">
        <f>IF(B783="","",IFERROR(VLOOKUP(B783, PLANTA_BASE!A:W, 8, FALSE), "DOCENTE / FACILITADOR"))</f>
        <v/>
      </c>
      <c r="G783" s="7" t="str">
        <f>IF(B783="","",IFERROR(VLOOKUP(B783, PLANTA_BASE!A:W, 9, FALSE), "GENERAL"))</f>
        <v/>
      </c>
      <c r="H783" s="5" t="str">
        <f>IF(B783="","",IFERROR(VLOOKUP(B783, PLANTA_BASE!A:W, 17, FALSE), "GENERAL"))</f>
        <v/>
      </c>
    </row>
    <row r="784" spans="1:8" ht="20.100000000000001" customHeight="1" x14ac:dyDescent="0.25">
      <c r="A784" s="2" t="str">
        <f>IF(B784="","",IFERROR(VLOOKUP(B784, PLANTA_BASE!A:W, 2, FALSE), "NO ENCONTRADO EN PLANTA"))</f>
        <v/>
      </c>
      <c r="B784" s="3"/>
      <c r="C784" s="4" t="str">
        <f>IF(B784="","",IFERROR(VLOOKUP(B784, PLANTA_BASE!A:W, 3, FALSE), ""))</f>
        <v/>
      </c>
      <c r="D784" s="2" t="str">
        <f>IF(B784="","",IFERROR(VLOOKUP(B784, PLANTA_BASE!A:W, 5, FALSE), "NO ENCONTRADO EN PLANTA"))</f>
        <v/>
      </c>
      <c r="E784" s="2" t="str">
        <f>IF(B784="","",IFERROR(VLOOKUP(B784, PLANTA_BASE!A:W, 6, FALSE), "NO ENCONTRADO EN PLANTA"))</f>
        <v/>
      </c>
      <c r="F784" s="4" t="str">
        <f>IF(B784="","",IFERROR(VLOOKUP(B784, PLANTA_BASE!A:W, 8, FALSE), "DOCENTE / FACILITADOR"))</f>
        <v/>
      </c>
      <c r="G784" s="4" t="str">
        <f>IF(B784="","",IFERROR(VLOOKUP(B784, PLANTA_BASE!A:W, 9, FALSE), "GENERAL"))</f>
        <v/>
      </c>
      <c r="H784" s="2" t="str">
        <f>IF(B784="","",IFERROR(VLOOKUP(B784, PLANTA_BASE!A:W, 17, FALSE), "GENERAL"))</f>
        <v/>
      </c>
    </row>
    <row r="785" spans="1:8" ht="20.100000000000001" customHeight="1" x14ac:dyDescent="0.25">
      <c r="A785" s="5" t="str">
        <f>IF(B785="","",IFERROR(VLOOKUP(B785, PLANTA_BASE!A:W, 2, FALSE), "NO ENCONTRADO EN PLANTA"))</f>
        <v/>
      </c>
      <c r="B785" s="6"/>
      <c r="C785" s="7" t="str">
        <f>IF(B785="","",IFERROR(VLOOKUP(B785, PLANTA_BASE!A:W, 3, FALSE), ""))</f>
        <v/>
      </c>
      <c r="D785" s="5" t="str">
        <f>IF(B785="","",IFERROR(VLOOKUP(B785, PLANTA_BASE!A:W, 5, FALSE), "NO ENCONTRADO EN PLANTA"))</f>
        <v/>
      </c>
      <c r="E785" s="5" t="str">
        <f>IF(B785="","",IFERROR(VLOOKUP(B785, PLANTA_BASE!A:W, 6, FALSE), "NO ENCONTRADO EN PLANTA"))</f>
        <v/>
      </c>
      <c r="F785" s="7" t="str">
        <f>IF(B785="","",IFERROR(VLOOKUP(B785, PLANTA_BASE!A:W, 8, FALSE), "DOCENTE / FACILITADOR"))</f>
        <v/>
      </c>
      <c r="G785" s="7" t="str">
        <f>IF(B785="","",IFERROR(VLOOKUP(B785, PLANTA_BASE!A:W, 9, FALSE), "GENERAL"))</f>
        <v/>
      </c>
      <c r="H785" s="5" t="str">
        <f>IF(B785="","",IFERROR(VLOOKUP(B785, PLANTA_BASE!A:W, 17, FALSE), "GENERAL"))</f>
        <v/>
      </c>
    </row>
    <row r="786" spans="1:8" ht="20.100000000000001" customHeight="1" x14ac:dyDescent="0.25">
      <c r="A786" s="2" t="str">
        <f>IF(B786="","",IFERROR(VLOOKUP(B786, PLANTA_BASE!A:W, 2, FALSE), "NO ENCONTRADO EN PLANTA"))</f>
        <v/>
      </c>
      <c r="B786" s="3"/>
      <c r="C786" s="4" t="str">
        <f>IF(B786="","",IFERROR(VLOOKUP(B786, PLANTA_BASE!A:W, 3, FALSE), ""))</f>
        <v/>
      </c>
      <c r="D786" s="2" t="str">
        <f>IF(B786="","",IFERROR(VLOOKUP(B786, PLANTA_BASE!A:W, 5, FALSE), "NO ENCONTRADO EN PLANTA"))</f>
        <v/>
      </c>
      <c r="E786" s="2" t="str">
        <f>IF(B786="","",IFERROR(VLOOKUP(B786, PLANTA_BASE!A:W, 6, FALSE), "NO ENCONTRADO EN PLANTA"))</f>
        <v/>
      </c>
      <c r="F786" s="4" t="str">
        <f>IF(B786="","",IFERROR(VLOOKUP(B786, PLANTA_BASE!A:W, 8, FALSE), "DOCENTE / FACILITADOR"))</f>
        <v/>
      </c>
      <c r="G786" s="4" t="str">
        <f>IF(B786="","",IFERROR(VLOOKUP(B786, PLANTA_BASE!A:W, 9, FALSE), "GENERAL"))</f>
        <v/>
      </c>
      <c r="H786" s="2" t="str">
        <f>IF(B786="","",IFERROR(VLOOKUP(B786, PLANTA_BASE!A:W, 17, FALSE), "GENERAL"))</f>
        <v/>
      </c>
    </row>
    <row r="787" spans="1:8" ht="20.100000000000001" customHeight="1" x14ac:dyDescent="0.25">
      <c r="A787" s="5" t="str">
        <f>IF(B787="","",IFERROR(VLOOKUP(B787, PLANTA_BASE!A:W, 2, FALSE), "NO ENCONTRADO EN PLANTA"))</f>
        <v/>
      </c>
      <c r="B787" s="6"/>
      <c r="C787" s="7" t="str">
        <f>IF(B787="","",IFERROR(VLOOKUP(B787, PLANTA_BASE!A:W, 3, FALSE), ""))</f>
        <v/>
      </c>
      <c r="D787" s="5" t="str">
        <f>IF(B787="","",IFERROR(VLOOKUP(B787, PLANTA_BASE!A:W, 5, FALSE), "NO ENCONTRADO EN PLANTA"))</f>
        <v/>
      </c>
      <c r="E787" s="5" t="str">
        <f>IF(B787="","",IFERROR(VLOOKUP(B787, PLANTA_BASE!A:W, 6, FALSE), "NO ENCONTRADO EN PLANTA"))</f>
        <v/>
      </c>
      <c r="F787" s="7" t="str">
        <f>IF(B787="","",IFERROR(VLOOKUP(B787, PLANTA_BASE!A:W, 8, FALSE), "DOCENTE / FACILITADOR"))</f>
        <v/>
      </c>
      <c r="G787" s="7" t="str">
        <f>IF(B787="","",IFERROR(VLOOKUP(B787, PLANTA_BASE!A:W, 9, FALSE), "GENERAL"))</f>
        <v/>
      </c>
      <c r="H787" s="5" t="str">
        <f>IF(B787="","",IFERROR(VLOOKUP(B787, PLANTA_BASE!A:W, 17, FALSE), "GENERAL"))</f>
        <v/>
      </c>
    </row>
    <row r="788" spans="1:8" ht="20.100000000000001" customHeight="1" x14ac:dyDescent="0.25">
      <c r="A788" s="2" t="str">
        <f>IF(B788="","",IFERROR(VLOOKUP(B788, PLANTA_BASE!A:W, 2, FALSE), "NO ENCONTRADO EN PLANTA"))</f>
        <v/>
      </c>
      <c r="B788" s="3"/>
      <c r="C788" s="4" t="str">
        <f>IF(B788="","",IFERROR(VLOOKUP(B788, PLANTA_BASE!A:W, 3, FALSE), ""))</f>
        <v/>
      </c>
      <c r="D788" s="2" t="str">
        <f>IF(B788="","",IFERROR(VLOOKUP(B788, PLANTA_BASE!A:W, 5, FALSE), "NO ENCONTRADO EN PLANTA"))</f>
        <v/>
      </c>
      <c r="E788" s="2" t="str">
        <f>IF(B788="","",IFERROR(VLOOKUP(B788, PLANTA_BASE!A:W, 6, FALSE), "NO ENCONTRADO EN PLANTA"))</f>
        <v/>
      </c>
      <c r="F788" s="4" t="str">
        <f>IF(B788="","",IFERROR(VLOOKUP(B788, PLANTA_BASE!A:W, 8, FALSE), "DOCENTE / FACILITADOR"))</f>
        <v/>
      </c>
      <c r="G788" s="4" t="str">
        <f>IF(B788="","",IFERROR(VLOOKUP(B788, PLANTA_BASE!A:W, 9, FALSE), "GENERAL"))</f>
        <v/>
      </c>
      <c r="H788" s="2" t="str">
        <f>IF(B788="","",IFERROR(VLOOKUP(B788, PLANTA_BASE!A:W, 17, FALSE), "GENERAL"))</f>
        <v/>
      </c>
    </row>
    <row r="789" spans="1:8" ht="20.100000000000001" customHeight="1" x14ac:dyDescent="0.25">
      <c r="A789" s="5" t="str">
        <f>IF(B789="","",IFERROR(VLOOKUP(B789, PLANTA_BASE!A:W, 2, FALSE), "NO ENCONTRADO EN PLANTA"))</f>
        <v/>
      </c>
      <c r="B789" s="6"/>
      <c r="C789" s="7" t="str">
        <f>IF(B789="","",IFERROR(VLOOKUP(B789, PLANTA_BASE!A:W, 3, FALSE), ""))</f>
        <v/>
      </c>
      <c r="D789" s="5" t="str">
        <f>IF(B789="","",IFERROR(VLOOKUP(B789, PLANTA_BASE!A:W, 5, FALSE), "NO ENCONTRADO EN PLANTA"))</f>
        <v/>
      </c>
      <c r="E789" s="5" t="str">
        <f>IF(B789="","",IFERROR(VLOOKUP(B789, PLANTA_BASE!A:W, 6, FALSE), "NO ENCONTRADO EN PLANTA"))</f>
        <v/>
      </c>
      <c r="F789" s="7" t="str">
        <f>IF(B789="","",IFERROR(VLOOKUP(B789, PLANTA_BASE!A:W, 8, FALSE), "DOCENTE / FACILITADOR"))</f>
        <v/>
      </c>
      <c r="G789" s="7" t="str">
        <f>IF(B789="","",IFERROR(VLOOKUP(B789, PLANTA_BASE!A:W, 9, FALSE), "GENERAL"))</f>
        <v/>
      </c>
      <c r="H789" s="5" t="str">
        <f>IF(B789="","",IFERROR(VLOOKUP(B789, PLANTA_BASE!A:W, 17, FALSE), "GENERAL"))</f>
        <v/>
      </c>
    </row>
    <row r="790" spans="1:8" ht="20.100000000000001" customHeight="1" x14ac:dyDescent="0.25">
      <c r="A790" s="2" t="str">
        <f>IF(B790="","",IFERROR(VLOOKUP(B790, PLANTA_BASE!A:W, 2, FALSE), "NO ENCONTRADO EN PLANTA"))</f>
        <v/>
      </c>
      <c r="B790" s="3"/>
      <c r="C790" s="4" t="str">
        <f>IF(B790="","",IFERROR(VLOOKUP(B790, PLANTA_BASE!A:W, 3, FALSE), ""))</f>
        <v/>
      </c>
      <c r="D790" s="2" t="str">
        <f>IF(B790="","",IFERROR(VLOOKUP(B790, PLANTA_BASE!A:W, 5, FALSE), "NO ENCONTRADO EN PLANTA"))</f>
        <v/>
      </c>
      <c r="E790" s="2" t="str">
        <f>IF(B790="","",IFERROR(VLOOKUP(B790, PLANTA_BASE!A:W, 6, FALSE), "NO ENCONTRADO EN PLANTA"))</f>
        <v/>
      </c>
      <c r="F790" s="4" t="str">
        <f>IF(B790="","",IFERROR(VLOOKUP(B790, PLANTA_BASE!A:W, 8, FALSE), "DOCENTE / FACILITADOR"))</f>
        <v/>
      </c>
      <c r="G790" s="4" t="str">
        <f>IF(B790="","",IFERROR(VLOOKUP(B790, PLANTA_BASE!A:W, 9, FALSE), "GENERAL"))</f>
        <v/>
      </c>
      <c r="H790" s="2" t="str">
        <f>IF(B790="","",IFERROR(VLOOKUP(B790, PLANTA_BASE!A:W, 17, FALSE), "GENERAL"))</f>
        <v/>
      </c>
    </row>
    <row r="791" spans="1:8" ht="20.100000000000001" customHeight="1" x14ac:dyDescent="0.25">
      <c r="A791" s="5" t="str">
        <f>IF(B791="","",IFERROR(VLOOKUP(B791, PLANTA_BASE!A:W, 2, FALSE), "NO ENCONTRADO EN PLANTA"))</f>
        <v/>
      </c>
      <c r="B791" s="6"/>
      <c r="C791" s="7" t="str">
        <f>IF(B791="","",IFERROR(VLOOKUP(B791, PLANTA_BASE!A:W, 3, FALSE), ""))</f>
        <v/>
      </c>
      <c r="D791" s="5" t="str">
        <f>IF(B791="","",IFERROR(VLOOKUP(B791, PLANTA_BASE!A:W, 5, FALSE), "NO ENCONTRADO EN PLANTA"))</f>
        <v/>
      </c>
      <c r="E791" s="5" t="str">
        <f>IF(B791="","",IFERROR(VLOOKUP(B791, PLANTA_BASE!A:W, 6, FALSE), "NO ENCONTRADO EN PLANTA"))</f>
        <v/>
      </c>
      <c r="F791" s="7" t="str">
        <f>IF(B791="","",IFERROR(VLOOKUP(B791, PLANTA_BASE!A:W, 8, FALSE), "DOCENTE / FACILITADOR"))</f>
        <v/>
      </c>
      <c r="G791" s="7" t="str">
        <f>IF(B791="","",IFERROR(VLOOKUP(B791, PLANTA_BASE!A:W, 9, FALSE), "GENERAL"))</f>
        <v/>
      </c>
      <c r="H791" s="5" t="str">
        <f>IF(B791="","",IFERROR(VLOOKUP(B791, PLANTA_BASE!A:W, 17, FALSE), "GENERAL"))</f>
        <v/>
      </c>
    </row>
    <row r="792" spans="1:8" ht="20.100000000000001" customHeight="1" x14ac:dyDescent="0.25">
      <c r="A792" s="2" t="str">
        <f>IF(B792="","",IFERROR(VLOOKUP(B792, PLANTA_BASE!A:W, 2, FALSE), "NO ENCONTRADO EN PLANTA"))</f>
        <v/>
      </c>
      <c r="B792" s="3"/>
      <c r="C792" s="4" t="str">
        <f>IF(B792="","",IFERROR(VLOOKUP(B792, PLANTA_BASE!A:W, 3, FALSE), ""))</f>
        <v/>
      </c>
      <c r="D792" s="2" t="str">
        <f>IF(B792="","",IFERROR(VLOOKUP(B792, PLANTA_BASE!A:W, 5, FALSE), "NO ENCONTRADO EN PLANTA"))</f>
        <v/>
      </c>
      <c r="E792" s="2" t="str">
        <f>IF(B792="","",IFERROR(VLOOKUP(B792, PLANTA_BASE!A:W, 6, FALSE), "NO ENCONTRADO EN PLANTA"))</f>
        <v/>
      </c>
      <c r="F792" s="4" t="str">
        <f>IF(B792="","",IFERROR(VLOOKUP(B792, PLANTA_BASE!A:W, 8, FALSE), "DOCENTE / FACILITADOR"))</f>
        <v/>
      </c>
      <c r="G792" s="4" t="str">
        <f>IF(B792="","",IFERROR(VLOOKUP(B792, PLANTA_BASE!A:W, 9, FALSE), "GENERAL"))</f>
        <v/>
      </c>
      <c r="H792" s="2" t="str">
        <f>IF(B792="","",IFERROR(VLOOKUP(B792, PLANTA_BASE!A:W, 17, FALSE), "GENERAL"))</f>
        <v/>
      </c>
    </row>
    <row r="793" spans="1:8" ht="20.100000000000001" customHeight="1" x14ac:dyDescent="0.25">
      <c r="A793" s="5" t="str">
        <f>IF(B793="","",IFERROR(VLOOKUP(B793, PLANTA_BASE!A:W, 2, FALSE), "NO ENCONTRADO EN PLANTA"))</f>
        <v/>
      </c>
      <c r="B793" s="6"/>
      <c r="C793" s="7" t="str">
        <f>IF(B793="","",IFERROR(VLOOKUP(B793, PLANTA_BASE!A:W, 3, FALSE), ""))</f>
        <v/>
      </c>
      <c r="D793" s="5" t="str">
        <f>IF(B793="","",IFERROR(VLOOKUP(B793, PLANTA_BASE!A:W, 5, FALSE), "NO ENCONTRADO EN PLANTA"))</f>
        <v/>
      </c>
      <c r="E793" s="5" t="str">
        <f>IF(B793="","",IFERROR(VLOOKUP(B793, PLANTA_BASE!A:W, 6, FALSE), "NO ENCONTRADO EN PLANTA"))</f>
        <v/>
      </c>
      <c r="F793" s="7" t="str">
        <f>IF(B793="","",IFERROR(VLOOKUP(B793, PLANTA_BASE!A:W, 8, FALSE), "DOCENTE / FACILITADOR"))</f>
        <v/>
      </c>
      <c r="G793" s="7" t="str">
        <f>IF(B793="","",IFERROR(VLOOKUP(B793, PLANTA_BASE!A:W, 9, FALSE), "GENERAL"))</f>
        <v/>
      </c>
      <c r="H793" s="5" t="str">
        <f>IF(B793="","",IFERROR(VLOOKUP(B793, PLANTA_BASE!A:W, 17, FALSE), "GENERAL"))</f>
        <v/>
      </c>
    </row>
    <row r="794" spans="1:8" ht="20.100000000000001" customHeight="1" x14ac:dyDescent="0.25">
      <c r="A794" s="2" t="str">
        <f>IF(B794="","",IFERROR(VLOOKUP(B794, PLANTA_BASE!A:W, 2, FALSE), "NO ENCONTRADO EN PLANTA"))</f>
        <v/>
      </c>
      <c r="B794" s="3"/>
      <c r="C794" s="4" t="str">
        <f>IF(B794="","",IFERROR(VLOOKUP(B794, PLANTA_BASE!A:W, 3, FALSE), ""))</f>
        <v/>
      </c>
      <c r="D794" s="2" t="str">
        <f>IF(B794="","",IFERROR(VLOOKUP(B794, PLANTA_BASE!A:W, 5, FALSE), "NO ENCONTRADO EN PLANTA"))</f>
        <v/>
      </c>
      <c r="E794" s="2" t="str">
        <f>IF(B794="","",IFERROR(VLOOKUP(B794, PLANTA_BASE!A:W, 6, FALSE), "NO ENCONTRADO EN PLANTA"))</f>
        <v/>
      </c>
      <c r="F794" s="4" t="str">
        <f>IF(B794="","",IFERROR(VLOOKUP(B794, PLANTA_BASE!A:W, 8, FALSE), "DOCENTE / FACILITADOR"))</f>
        <v/>
      </c>
      <c r="G794" s="4" t="str">
        <f>IF(B794="","",IFERROR(VLOOKUP(B794, PLANTA_BASE!A:W, 9, FALSE), "GENERAL"))</f>
        <v/>
      </c>
      <c r="H794" s="2" t="str">
        <f>IF(B794="","",IFERROR(VLOOKUP(B794, PLANTA_BASE!A:W, 17, FALSE), "GENERAL"))</f>
        <v/>
      </c>
    </row>
    <row r="795" spans="1:8" ht="20.100000000000001" customHeight="1" x14ac:dyDescent="0.25">
      <c r="A795" s="5" t="str">
        <f>IF(B795="","",IFERROR(VLOOKUP(B795, PLANTA_BASE!A:W, 2, FALSE), "NO ENCONTRADO EN PLANTA"))</f>
        <v/>
      </c>
      <c r="B795" s="6"/>
      <c r="C795" s="7" t="str">
        <f>IF(B795="","",IFERROR(VLOOKUP(B795, PLANTA_BASE!A:W, 3, FALSE), ""))</f>
        <v/>
      </c>
      <c r="D795" s="5" t="str">
        <f>IF(B795="","",IFERROR(VLOOKUP(B795, PLANTA_BASE!A:W, 5, FALSE), "NO ENCONTRADO EN PLANTA"))</f>
        <v/>
      </c>
      <c r="E795" s="5" t="str">
        <f>IF(B795="","",IFERROR(VLOOKUP(B795, PLANTA_BASE!A:W, 6, FALSE), "NO ENCONTRADO EN PLANTA"))</f>
        <v/>
      </c>
      <c r="F795" s="7" t="str">
        <f>IF(B795="","",IFERROR(VLOOKUP(B795, PLANTA_BASE!A:W, 8, FALSE), "DOCENTE / FACILITADOR"))</f>
        <v/>
      </c>
      <c r="G795" s="7" t="str">
        <f>IF(B795="","",IFERROR(VLOOKUP(B795, PLANTA_BASE!A:W, 9, FALSE), "GENERAL"))</f>
        <v/>
      </c>
      <c r="H795" s="5" t="str">
        <f>IF(B795="","",IFERROR(VLOOKUP(B795, PLANTA_BASE!A:W, 17, FALSE), "GENERAL"))</f>
        <v/>
      </c>
    </row>
    <row r="796" spans="1:8" ht="20.100000000000001" customHeight="1" x14ac:dyDescent="0.25">
      <c r="A796" s="2" t="str">
        <f>IF(B796="","",IFERROR(VLOOKUP(B796, PLANTA_BASE!A:W, 2, FALSE), "NO ENCONTRADO EN PLANTA"))</f>
        <v/>
      </c>
      <c r="B796" s="3"/>
      <c r="C796" s="4" t="str">
        <f>IF(B796="","",IFERROR(VLOOKUP(B796, PLANTA_BASE!A:W, 3, FALSE), ""))</f>
        <v/>
      </c>
      <c r="D796" s="2" t="str">
        <f>IF(B796="","",IFERROR(VLOOKUP(B796, PLANTA_BASE!A:W, 5, FALSE), "NO ENCONTRADO EN PLANTA"))</f>
        <v/>
      </c>
      <c r="E796" s="2" t="str">
        <f>IF(B796="","",IFERROR(VLOOKUP(B796, PLANTA_BASE!A:W, 6, FALSE), "NO ENCONTRADO EN PLANTA"))</f>
        <v/>
      </c>
      <c r="F796" s="4" t="str">
        <f>IF(B796="","",IFERROR(VLOOKUP(B796, PLANTA_BASE!A:W, 8, FALSE), "DOCENTE / FACILITADOR"))</f>
        <v/>
      </c>
      <c r="G796" s="4" t="str">
        <f>IF(B796="","",IFERROR(VLOOKUP(B796, PLANTA_BASE!A:W, 9, FALSE), "GENERAL"))</f>
        <v/>
      </c>
      <c r="H796" s="2" t="str">
        <f>IF(B796="","",IFERROR(VLOOKUP(B796, PLANTA_BASE!A:W, 17, FALSE), "GENERAL"))</f>
        <v/>
      </c>
    </row>
    <row r="797" spans="1:8" ht="20.100000000000001" customHeight="1" x14ac:dyDescent="0.25">
      <c r="A797" s="5" t="str">
        <f>IF(B797="","",IFERROR(VLOOKUP(B797, PLANTA_BASE!A:W, 2, FALSE), "NO ENCONTRADO EN PLANTA"))</f>
        <v/>
      </c>
      <c r="B797" s="6"/>
      <c r="C797" s="7" t="str">
        <f>IF(B797="","",IFERROR(VLOOKUP(B797, PLANTA_BASE!A:W, 3, FALSE), ""))</f>
        <v/>
      </c>
      <c r="D797" s="5" t="str">
        <f>IF(B797="","",IFERROR(VLOOKUP(B797, PLANTA_BASE!A:W, 5, FALSE), "NO ENCONTRADO EN PLANTA"))</f>
        <v/>
      </c>
      <c r="E797" s="5" t="str">
        <f>IF(B797="","",IFERROR(VLOOKUP(B797, PLANTA_BASE!A:W, 6, FALSE), "NO ENCONTRADO EN PLANTA"))</f>
        <v/>
      </c>
      <c r="F797" s="7" t="str">
        <f>IF(B797="","",IFERROR(VLOOKUP(B797, PLANTA_BASE!A:W, 8, FALSE), "DOCENTE / FACILITADOR"))</f>
        <v/>
      </c>
      <c r="G797" s="7" t="str">
        <f>IF(B797="","",IFERROR(VLOOKUP(B797, PLANTA_BASE!A:W, 9, FALSE), "GENERAL"))</f>
        <v/>
      </c>
      <c r="H797" s="5" t="str">
        <f>IF(B797="","",IFERROR(VLOOKUP(B797, PLANTA_BASE!A:W, 17, FALSE), "GENERAL"))</f>
        <v/>
      </c>
    </row>
    <row r="798" spans="1:8" ht="20.100000000000001" customHeight="1" x14ac:dyDescent="0.25">
      <c r="A798" s="2" t="str">
        <f>IF(B798="","",IFERROR(VLOOKUP(B798, PLANTA_BASE!A:W, 2, FALSE), "NO ENCONTRADO EN PLANTA"))</f>
        <v/>
      </c>
      <c r="B798" s="3"/>
      <c r="C798" s="4" t="str">
        <f>IF(B798="","",IFERROR(VLOOKUP(B798, PLANTA_BASE!A:W, 3, FALSE), ""))</f>
        <v/>
      </c>
      <c r="D798" s="2" t="str">
        <f>IF(B798="","",IFERROR(VLOOKUP(B798, PLANTA_BASE!A:W, 5, FALSE), "NO ENCONTRADO EN PLANTA"))</f>
        <v/>
      </c>
      <c r="E798" s="2" t="str">
        <f>IF(B798="","",IFERROR(VLOOKUP(B798, PLANTA_BASE!A:W, 6, FALSE), "NO ENCONTRADO EN PLANTA"))</f>
        <v/>
      </c>
      <c r="F798" s="4" t="str">
        <f>IF(B798="","",IFERROR(VLOOKUP(B798, PLANTA_BASE!A:W, 8, FALSE), "DOCENTE / FACILITADOR"))</f>
        <v/>
      </c>
      <c r="G798" s="4" t="str">
        <f>IF(B798="","",IFERROR(VLOOKUP(B798, PLANTA_BASE!A:W, 9, FALSE), "GENERAL"))</f>
        <v/>
      </c>
      <c r="H798" s="2" t="str">
        <f>IF(B798="","",IFERROR(VLOOKUP(B798, PLANTA_BASE!A:W, 17, FALSE), "GENERAL"))</f>
        <v/>
      </c>
    </row>
    <row r="799" spans="1:8" ht="20.100000000000001" customHeight="1" x14ac:dyDescent="0.25">
      <c r="A799" s="5" t="str">
        <f>IF(B799="","",IFERROR(VLOOKUP(B799, PLANTA_BASE!A:W, 2, FALSE), "NO ENCONTRADO EN PLANTA"))</f>
        <v/>
      </c>
      <c r="B799" s="6"/>
      <c r="C799" s="7" t="str">
        <f>IF(B799="","",IFERROR(VLOOKUP(B799, PLANTA_BASE!A:W, 3, FALSE), ""))</f>
        <v/>
      </c>
      <c r="D799" s="5" t="str">
        <f>IF(B799="","",IFERROR(VLOOKUP(B799, PLANTA_BASE!A:W, 5, FALSE), "NO ENCONTRADO EN PLANTA"))</f>
        <v/>
      </c>
      <c r="E799" s="5" t="str">
        <f>IF(B799="","",IFERROR(VLOOKUP(B799, PLANTA_BASE!A:W, 6, FALSE), "NO ENCONTRADO EN PLANTA"))</f>
        <v/>
      </c>
      <c r="F799" s="7" t="str">
        <f>IF(B799="","",IFERROR(VLOOKUP(B799, PLANTA_BASE!A:W, 8, FALSE), "DOCENTE / FACILITADOR"))</f>
        <v/>
      </c>
      <c r="G799" s="7" t="str">
        <f>IF(B799="","",IFERROR(VLOOKUP(B799, PLANTA_BASE!A:W, 9, FALSE), "GENERAL"))</f>
        <v/>
      </c>
      <c r="H799" s="5" t="str">
        <f>IF(B799="","",IFERROR(VLOOKUP(B799, PLANTA_BASE!A:W, 17, FALSE), "GENERAL"))</f>
        <v/>
      </c>
    </row>
    <row r="800" spans="1:8" ht="20.100000000000001" customHeight="1" x14ac:dyDescent="0.25">
      <c r="A800" s="2" t="str">
        <f>IF(B800="","",IFERROR(VLOOKUP(B800, PLANTA_BASE!A:W, 2, FALSE), "NO ENCONTRADO EN PLANTA"))</f>
        <v/>
      </c>
      <c r="B800" s="3"/>
      <c r="C800" s="4" t="str">
        <f>IF(B800="","",IFERROR(VLOOKUP(B800, PLANTA_BASE!A:W, 3, FALSE), ""))</f>
        <v/>
      </c>
      <c r="D800" s="2" t="str">
        <f>IF(B800="","",IFERROR(VLOOKUP(B800, PLANTA_BASE!A:W, 5, FALSE), "NO ENCONTRADO EN PLANTA"))</f>
        <v/>
      </c>
      <c r="E800" s="2" t="str">
        <f>IF(B800="","",IFERROR(VLOOKUP(B800, PLANTA_BASE!A:W, 6, FALSE), "NO ENCONTRADO EN PLANTA"))</f>
        <v/>
      </c>
      <c r="F800" s="4" t="str">
        <f>IF(B800="","",IFERROR(VLOOKUP(B800, PLANTA_BASE!A:W, 8, FALSE), "DOCENTE / FACILITADOR"))</f>
        <v/>
      </c>
      <c r="G800" s="4" t="str">
        <f>IF(B800="","",IFERROR(VLOOKUP(B800, PLANTA_BASE!A:W, 9, FALSE), "GENERAL"))</f>
        <v/>
      </c>
      <c r="H800" s="2" t="str">
        <f>IF(B800="","",IFERROR(VLOOKUP(B800, PLANTA_BASE!A:W, 17, FALSE), "GENERAL"))</f>
        <v/>
      </c>
    </row>
    <row r="801" spans="1:8" ht="20.100000000000001" customHeight="1" x14ac:dyDescent="0.25">
      <c r="A801" s="5" t="str">
        <f>IF(B801="","",IFERROR(VLOOKUP(B801, PLANTA_BASE!A:W, 2, FALSE), "NO ENCONTRADO EN PLANTA"))</f>
        <v/>
      </c>
      <c r="B801" s="6"/>
      <c r="C801" s="7" t="str">
        <f>IF(B801="","",IFERROR(VLOOKUP(B801, PLANTA_BASE!A:W, 3, FALSE), ""))</f>
        <v/>
      </c>
      <c r="D801" s="5" t="str">
        <f>IF(B801="","",IFERROR(VLOOKUP(B801, PLANTA_BASE!A:W, 5, FALSE), "NO ENCONTRADO EN PLANTA"))</f>
        <v/>
      </c>
      <c r="E801" s="5" t="str">
        <f>IF(B801="","",IFERROR(VLOOKUP(B801, PLANTA_BASE!A:W, 6, FALSE), "NO ENCONTRADO EN PLANTA"))</f>
        <v/>
      </c>
      <c r="F801" s="7" t="str">
        <f>IF(B801="","",IFERROR(VLOOKUP(B801, PLANTA_BASE!A:W, 8, FALSE), "DOCENTE / FACILITADOR"))</f>
        <v/>
      </c>
      <c r="G801" s="7" t="str">
        <f>IF(B801="","",IFERROR(VLOOKUP(B801, PLANTA_BASE!A:W, 9, FALSE), "GENERAL"))</f>
        <v/>
      </c>
      <c r="H801" s="5" t="str">
        <f>IF(B801="","",IFERROR(VLOOKUP(B801, PLANTA_BASE!A:W, 17, FALSE), "GENERAL"))</f>
        <v/>
      </c>
    </row>
    <row r="802" spans="1:8" ht="20.100000000000001" customHeight="1" x14ac:dyDescent="0.25">
      <c r="A802" s="2" t="str">
        <f>IF(B802="","",IFERROR(VLOOKUP(B802, PLANTA_BASE!A:W, 2, FALSE), "NO ENCONTRADO EN PLANTA"))</f>
        <v/>
      </c>
      <c r="B802" s="3"/>
      <c r="C802" s="4" t="str">
        <f>IF(B802="","",IFERROR(VLOOKUP(B802, PLANTA_BASE!A:W, 3, FALSE), ""))</f>
        <v/>
      </c>
      <c r="D802" s="2" t="str">
        <f>IF(B802="","",IFERROR(VLOOKUP(B802, PLANTA_BASE!A:W, 5, FALSE), "NO ENCONTRADO EN PLANTA"))</f>
        <v/>
      </c>
      <c r="E802" s="2" t="str">
        <f>IF(B802="","",IFERROR(VLOOKUP(B802, PLANTA_BASE!A:W, 6, FALSE), "NO ENCONTRADO EN PLANTA"))</f>
        <v/>
      </c>
      <c r="F802" s="4" t="str">
        <f>IF(B802="","",IFERROR(VLOOKUP(B802, PLANTA_BASE!A:W, 8, FALSE), "DOCENTE / FACILITADOR"))</f>
        <v/>
      </c>
      <c r="G802" s="4" t="str">
        <f>IF(B802="","",IFERROR(VLOOKUP(B802, PLANTA_BASE!A:W, 9, FALSE), "GENERAL"))</f>
        <v/>
      </c>
      <c r="H802" s="2" t="str">
        <f>IF(B802="","",IFERROR(VLOOKUP(B802, PLANTA_BASE!A:W, 17, FALSE), "GENERAL"))</f>
        <v/>
      </c>
    </row>
    <row r="803" spans="1:8" ht="20.100000000000001" customHeight="1" x14ac:dyDescent="0.25">
      <c r="A803" s="5" t="str">
        <f>IF(B803="","",IFERROR(VLOOKUP(B803, PLANTA_BASE!A:W, 2, FALSE), "NO ENCONTRADO EN PLANTA"))</f>
        <v/>
      </c>
      <c r="B803" s="6"/>
      <c r="C803" s="7" t="str">
        <f>IF(B803="","",IFERROR(VLOOKUP(B803, PLANTA_BASE!A:W, 3, FALSE), ""))</f>
        <v/>
      </c>
      <c r="D803" s="5" t="str">
        <f>IF(B803="","",IFERROR(VLOOKUP(B803, PLANTA_BASE!A:W, 5, FALSE), "NO ENCONTRADO EN PLANTA"))</f>
        <v/>
      </c>
      <c r="E803" s="5" t="str">
        <f>IF(B803="","",IFERROR(VLOOKUP(B803, PLANTA_BASE!A:W, 6, FALSE), "NO ENCONTRADO EN PLANTA"))</f>
        <v/>
      </c>
      <c r="F803" s="7" t="str">
        <f>IF(B803="","",IFERROR(VLOOKUP(B803, PLANTA_BASE!A:W, 8, FALSE), "DOCENTE / FACILITADOR"))</f>
        <v/>
      </c>
      <c r="G803" s="7" t="str">
        <f>IF(B803="","",IFERROR(VLOOKUP(B803, PLANTA_BASE!A:W, 9, FALSE), "GENERAL"))</f>
        <v/>
      </c>
      <c r="H803" s="5" t="str">
        <f>IF(B803="","",IFERROR(VLOOKUP(B803, PLANTA_BASE!A:W, 17, FALSE), "GENERAL"))</f>
        <v/>
      </c>
    </row>
    <row r="804" spans="1:8" ht="20.100000000000001" customHeight="1" x14ac:dyDescent="0.25">
      <c r="A804" s="2" t="str">
        <f>IF(B804="","",IFERROR(VLOOKUP(B804, PLANTA_BASE!A:W, 2, FALSE), "NO ENCONTRADO EN PLANTA"))</f>
        <v/>
      </c>
      <c r="B804" s="3"/>
      <c r="C804" s="4" t="str">
        <f>IF(B804="","",IFERROR(VLOOKUP(B804, PLANTA_BASE!A:W, 3, FALSE), ""))</f>
        <v/>
      </c>
      <c r="D804" s="2" t="str">
        <f>IF(B804="","",IFERROR(VLOOKUP(B804, PLANTA_BASE!A:W, 5, FALSE), "NO ENCONTRADO EN PLANTA"))</f>
        <v/>
      </c>
      <c r="E804" s="2" t="str">
        <f>IF(B804="","",IFERROR(VLOOKUP(B804, PLANTA_BASE!A:W, 6, FALSE), "NO ENCONTRADO EN PLANTA"))</f>
        <v/>
      </c>
      <c r="F804" s="4" t="str">
        <f>IF(B804="","",IFERROR(VLOOKUP(B804, PLANTA_BASE!A:W, 8, FALSE), "DOCENTE / FACILITADOR"))</f>
        <v/>
      </c>
      <c r="G804" s="4" t="str">
        <f>IF(B804="","",IFERROR(VLOOKUP(B804, PLANTA_BASE!A:W, 9, FALSE), "GENERAL"))</f>
        <v/>
      </c>
      <c r="H804" s="2" t="str">
        <f>IF(B804="","",IFERROR(VLOOKUP(B804, PLANTA_BASE!A:W, 17, FALSE), "GENERAL"))</f>
        <v/>
      </c>
    </row>
    <row r="805" spans="1:8" ht="20.100000000000001" customHeight="1" x14ac:dyDescent="0.25">
      <c r="A805" s="5" t="str">
        <f>IF(B805="","",IFERROR(VLOOKUP(B805, PLANTA_BASE!A:W, 2, FALSE), "NO ENCONTRADO EN PLANTA"))</f>
        <v/>
      </c>
      <c r="B805" s="6"/>
      <c r="C805" s="7" t="str">
        <f>IF(B805="","",IFERROR(VLOOKUP(B805, PLANTA_BASE!A:W, 3, FALSE), ""))</f>
        <v/>
      </c>
      <c r="D805" s="5" t="str">
        <f>IF(B805="","",IFERROR(VLOOKUP(B805, PLANTA_BASE!A:W, 5, FALSE), "NO ENCONTRADO EN PLANTA"))</f>
        <v/>
      </c>
      <c r="E805" s="5" t="str">
        <f>IF(B805="","",IFERROR(VLOOKUP(B805, PLANTA_BASE!A:W, 6, FALSE), "NO ENCONTRADO EN PLANTA"))</f>
        <v/>
      </c>
      <c r="F805" s="7" t="str">
        <f>IF(B805="","",IFERROR(VLOOKUP(B805, PLANTA_BASE!A:W, 8, FALSE), "DOCENTE / FACILITADOR"))</f>
        <v/>
      </c>
      <c r="G805" s="7" t="str">
        <f>IF(B805="","",IFERROR(VLOOKUP(B805, PLANTA_BASE!A:W, 9, FALSE), "GENERAL"))</f>
        <v/>
      </c>
      <c r="H805" s="5" t="str">
        <f>IF(B805="","",IFERROR(VLOOKUP(B805, PLANTA_BASE!A:W, 17, FALSE), "GENERAL"))</f>
        <v/>
      </c>
    </row>
    <row r="806" spans="1:8" ht="20.100000000000001" customHeight="1" x14ac:dyDescent="0.25">
      <c r="A806" s="2" t="str">
        <f>IF(B806="","",IFERROR(VLOOKUP(B806, PLANTA_BASE!A:W, 2, FALSE), "NO ENCONTRADO EN PLANTA"))</f>
        <v/>
      </c>
      <c r="B806" s="3"/>
      <c r="C806" s="4" t="str">
        <f>IF(B806="","",IFERROR(VLOOKUP(B806, PLANTA_BASE!A:W, 3, FALSE), ""))</f>
        <v/>
      </c>
      <c r="D806" s="2" t="str">
        <f>IF(B806="","",IFERROR(VLOOKUP(B806, PLANTA_BASE!A:W, 5, FALSE), "NO ENCONTRADO EN PLANTA"))</f>
        <v/>
      </c>
      <c r="E806" s="2" t="str">
        <f>IF(B806="","",IFERROR(VLOOKUP(B806, PLANTA_BASE!A:W, 6, FALSE), "NO ENCONTRADO EN PLANTA"))</f>
        <v/>
      </c>
      <c r="F806" s="4" t="str">
        <f>IF(B806="","",IFERROR(VLOOKUP(B806, PLANTA_BASE!A:W, 8, FALSE), "DOCENTE / FACILITADOR"))</f>
        <v/>
      </c>
      <c r="G806" s="4" t="str">
        <f>IF(B806="","",IFERROR(VLOOKUP(B806, PLANTA_BASE!A:W, 9, FALSE), "GENERAL"))</f>
        <v/>
      </c>
      <c r="H806" s="2" t="str">
        <f>IF(B806="","",IFERROR(VLOOKUP(B806, PLANTA_BASE!A:W, 17, FALSE), "GENERAL"))</f>
        <v/>
      </c>
    </row>
    <row r="807" spans="1:8" ht="20.100000000000001" customHeight="1" x14ac:dyDescent="0.25">
      <c r="A807" s="5" t="str">
        <f>IF(B807="","",IFERROR(VLOOKUP(B807, PLANTA_BASE!A:W, 2, FALSE), "NO ENCONTRADO EN PLANTA"))</f>
        <v/>
      </c>
      <c r="B807" s="6"/>
      <c r="C807" s="7" t="str">
        <f>IF(B807="","",IFERROR(VLOOKUP(B807, PLANTA_BASE!A:W, 3, FALSE), ""))</f>
        <v/>
      </c>
      <c r="D807" s="5" t="str">
        <f>IF(B807="","",IFERROR(VLOOKUP(B807, PLANTA_BASE!A:W, 5, FALSE), "NO ENCONTRADO EN PLANTA"))</f>
        <v/>
      </c>
      <c r="E807" s="5" t="str">
        <f>IF(B807="","",IFERROR(VLOOKUP(B807, PLANTA_BASE!A:W, 6, FALSE), "NO ENCONTRADO EN PLANTA"))</f>
        <v/>
      </c>
      <c r="F807" s="7" t="str">
        <f>IF(B807="","",IFERROR(VLOOKUP(B807, PLANTA_BASE!A:W, 8, FALSE), "DOCENTE / FACILITADOR"))</f>
        <v/>
      </c>
      <c r="G807" s="7" t="str">
        <f>IF(B807="","",IFERROR(VLOOKUP(B807, PLANTA_BASE!A:W, 9, FALSE), "GENERAL"))</f>
        <v/>
      </c>
      <c r="H807" s="5" t="str">
        <f>IF(B807="","",IFERROR(VLOOKUP(B807, PLANTA_BASE!A:W, 17, FALSE), "GENERAL"))</f>
        <v/>
      </c>
    </row>
    <row r="808" spans="1:8" ht="20.100000000000001" customHeight="1" x14ac:dyDescent="0.25">
      <c r="A808" s="2" t="str">
        <f>IF(B808="","",IFERROR(VLOOKUP(B808, PLANTA_BASE!A:W, 2, FALSE), "NO ENCONTRADO EN PLANTA"))</f>
        <v/>
      </c>
      <c r="B808" s="3"/>
      <c r="C808" s="4" t="str">
        <f>IF(B808="","",IFERROR(VLOOKUP(B808, PLANTA_BASE!A:W, 3, FALSE), ""))</f>
        <v/>
      </c>
      <c r="D808" s="2" t="str">
        <f>IF(B808="","",IFERROR(VLOOKUP(B808, PLANTA_BASE!A:W, 5, FALSE), "NO ENCONTRADO EN PLANTA"))</f>
        <v/>
      </c>
      <c r="E808" s="2" t="str">
        <f>IF(B808="","",IFERROR(VLOOKUP(B808, PLANTA_BASE!A:W, 6, FALSE), "NO ENCONTRADO EN PLANTA"))</f>
        <v/>
      </c>
      <c r="F808" s="4" t="str">
        <f>IF(B808="","",IFERROR(VLOOKUP(B808, PLANTA_BASE!A:W, 8, FALSE), "DOCENTE / FACILITADOR"))</f>
        <v/>
      </c>
      <c r="G808" s="4" t="str">
        <f>IF(B808="","",IFERROR(VLOOKUP(B808, PLANTA_BASE!A:W, 9, FALSE), "GENERAL"))</f>
        <v/>
      </c>
      <c r="H808" s="2" t="str">
        <f>IF(B808="","",IFERROR(VLOOKUP(B808, PLANTA_BASE!A:W, 17, FALSE), "GENERAL"))</f>
        <v/>
      </c>
    </row>
    <row r="809" spans="1:8" ht="20.100000000000001" customHeight="1" x14ac:dyDescent="0.25">
      <c r="A809" s="5" t="str">
        <f>IF(B809="","",IFERROR(VLOOKUP(B809, PLANTA_BASE!A:W, 2, FALSE), "NO ENCONTRADO EN PLANTA"))</f>
        <v/>
      </c>
      <c r="B809" s="6"/>
      <c r="C809" s="7" t="str">
        <f>IF(B809="","",IFERROR(VLOOKUP(B809, PLANTA_BASE!A:W, 3, FALSE), ""))</f>
        <v/>
      </c>
      <c r="D809" s="5" t="str">
        <f>IF(B809="","",IFERROR(VLOOKUP(B809, PLANTA_BASE!A:W, 5, FALSE), "NO ENCONTRADO EN PLANTA"))</f>
        <v/>
      </c>
      <c r="E809" s="5" t="str">
        <f>IF(B809="","",IFERROR(VLOOKUP(B809, PLANTA_BASE!A:W, 6, FALSE), "NO ENCONTRADO EN PLANTA"))</f>
        <v/>
      </c>
      <c r="F809" s="7" t="str">
        <f>IF(B809="","",IFERROR(VLOOKUP(B809, PLANTA_BASE!A:W, 8, FALSE), "DOCENTE / FACILITADOR"))</f>
        <v/>
      </c>
      <c r="G809" s="7" t="str">
        <f>IF(B809="","",IFERROR(VLOOKUP(B809, PLANTA_BASE!A:W, 9, FALSE), "GENERAL"))</f>
        <v/>
      </c>
      <c r="H809" s="5" t="str">
        <f>IF(B809="","",IFERROR(VLOOKUP(B809, PLANTA_BASE!A:W, 17, FALSE), "GENERAL"))</f>
        <v/>
      </c>
    </row>
    <row r="810" spans="1:8" ht="20.100000000000001" customHeight="1" x14ac:dyDescent="0.25">
      <c r="A810" s="2" t="str">
        <f>IF(B810="","",IFERROR(VLOOKUP(B810, PLANTA_BASE!A:W, 2, FALSE), "NO ENCONTRADO EN PLANTA"))</f>
        <v/>
      </c>
      <c r="B810" s="3"/>
      <c r="C810" s="4" t="str">
        <f>IF(B810="","",IFERROR(VLOOKUP(B810, PLANTA_BASE!A:W, 3, FALSE), ""))</f>
        <v/>
      </c>
      <c r="D810" s="2" t="str">
        <f>IF(B810="","",IFERROR(VLOOKUP(B810, PLANTA_BASE!A:W, 5, FALSE), "NO ENCONTRADO EN PLANTA"))</f>
        <v/>
      </c>
      <c r="E810" s="2" t="str">
        <f>IF(B810="","",IFERROR(VLOOKUP(B810, PLANTA_BASE!A:W, 6, FALSE), "NO ENCONTRADO EN PLANTA"))</f>
        <v/>
      </c>
      <c r="F810" s="4" t="str">
        <f>IF(B810="","",IFERROR(VLOOKUP(B810, PLANTA_BASE!A:W, 8, FALSE), "DOCENTE / FACILITADOR"))</f>
        <v/>
      </c>
      <c r="G810" s="4" t="str">
        <f>IF(B810="","",IFERROR(VLOOKUP(B810, PLANTA_BASE!A:W, 9, FALSE), "GENERAL"))</f>
        <v/>
      </c>
      <c r="H810" s="2" t="str">
        <f>IF(B810="","",IFERROR(VLOOKUP(B810, PLANTA_BASE!A:W, 17, FALSE), "GENERAL"))</f>
        <v/>
      </c>
    </row>
    <row r="811" spans="1:8" ht="20.100000000000001" customHeight="1" x14ac:dyDescent="0.25">
      <c r="A811" s="5" t="str">
        <f>IF(B811="","",IFERROR(VLOOKUP(B811, PLANTA_BASE!A:W, 2, FALSE), "NO ENCONTRADO EN PLANTA"))</f>
        <v/>
      </c>
      <c r="B811" s="6"/>
      <c r="C811" s="7" t="str">
        <f>IF(B811="","",IFERROR(VLOOKUP(B811, PLANTA_BASE!A:W, 3, FALSE), ""))</f>
        <v/>
      </c>
      <c r="D811" s="5" t="str">
        <f>IF(B811="","",IFERROR(VLOOKUP(B811, PLANTA_BASE!A:W, 5, FALSE), "NO ENCONTRADO EN PLANTA"))</f>
        <v/>
      </c>
      <c r="E811" s="5" t="str">
        <f>IF(B811="","",IFERROR(VLOOKUP(B811, PLANTA_BASE!A:W, 6, FALSE), "NO ENCONTRADO EN PLANTA"))</f>
        <v/>
      </c>
      <c r="F811" s="7" t="str">
        <f>IF(B811="","",IFERROR(VLOOKUP(B811, PLANTA_BASE!A:W, 8, FALSE), "DOCENTE / FACILITADOR"))</f>
        <v/>
      </c>
      <c r="G811" s="7" t="str">
        <f>IF(B811="","",IFERROR(VLOOKUP(B811, PLANTA_BASE!A:W, 9, FALSE), "GENERAL"))</f>
        <v/>
      </c>
      <c r="H811" s="5" t="str">
        <f>IF(B811="","",IFERROR(VLOOKUP(B811, PLANTA_BASE!A:W, 17, FALSE), "GENERAL"))</f>
        <v/>
      </c>
    </row>
    <row r="812" spans="1:8" ht="20.100000000000001" customHeight="1" x14ac:dyDescent="0.25">
      <c r="A812" s="2" t="str">
        <f>IF(B812="","",IFERROR(VLOOKUP(B812, PLANTA_BASE!A:W, 2, FALSE), "NO ENCONTRADO EN PLANTA"))</f>
        <v/>
      </c>
      <c r="B812" s="3"/>
      <c r="C812" s="4" t="str">
        <f>IF(B812="","",IFERROR(VLOOKUP(B812, PLANTA_BASE!A:W, 3, FALSE), ""))</f>
        <v/>
      </c>
      <c r="D812" s="2" t="str">
        <f>IF(B812="","",IFERROR(VLOOKUP(B812, PLANTA_BASE!A:W, 5, FALSE), "NO ENCONTRADO EN PLANTA"))</f>
        <v/>
      </c>
      <c r="E812" s="2" t="str">
        <f>IF(B812="","",IFERROR(VLOOKUP(B812, PLANTA_BASE!A:W, 6, FALSE), "NO ENCONTRADO EN PLANTA"))</f>
        <v/>
      </c>
      <c r="F812" s="4" t="str">
        <f>IF(B812="","",IFERROR(VLOOKUP(B812, PLANTA_BASE!A:W, 8, FALSE), "DOCENTE / FACILITADOR"))</f>
        <v/>
      </c>
      <c r="G812" s="4" t="str">
        <f>IF(B812="","",IFERROR(VLOOKUP(B812, PLANTA_BASE!A:W, 9, FALSE), "GENERAL"))</f>
        <v/>
      </c>
      <c r="H812" s="2" t="str">
        <f>IF(B812="","",IFERROR(VLOOKUP(B812, PLANTA_BASE!A:W, 17, FALSE), "GENERAL"))</f>
        <v/>
      </c>
    </row>
    <row r="813" spans="1:8" ht="20.100000000000001" customHeight="1" x14ac:dyDescent="0.25">
      <c r="A813" s="5" t="str">
        <f>IF(B813="","",IFERROR(VLOOKUP(B813, PLANTA_BASE!A:W, 2, FALSE), "NO ENCONTRADO EN PLANTA"))</f>
        <v/>
      </c>
      <c r="B813" s="6"/>
      <c r="C813" s="7" t="str">
        <f>IF(B813="","",IFERROR(VLOOKUP(B813, PLANTA_BASE!A:W, 3, FALSE), ""))</f>
        <v/>
      </c>
      <c r="D813" s="5" t="str">
        <f>IF(B813="","",IFERROR(VLOOKUP(B813, PLANTA_BASE!A:W, 5, FALSE), "NO ENCONTRADO EN PLANTA"))</f>
        <v/>
      </c>
      <c r="E813" s="5" t="str">
        <f>IF(B813="","",IFERROR(VLOOKUP(B813, PLANTA_BASE!A:W, 6, FALSE), "NO ENCONTRADO EN PLANTA"))</f>
        <v/>
      </c>
      <c r="F813" s="7" t="str">
        <f>IF(B813="","",IFERROR(VLOOKUP(B813, PLANTA_BASE!A:W, 8, FALSE), "DOCENTE / FACILITADOR"))</f>
        <v/>
      </c>
      <c r="G813" s="7" t="str">
        <f>IF(B813="","",IFERROR(VLOOKUP(B813, PLANTA_BASE!A:W, 9, FALSE), "GENERAL"))</f>
        <v/>
      </c>
      <c r="H813" s="5" t="str">
        <f>IF(B813="","",IFERROR(VLOOKUP(B813, PLANTA_BASE!A:W, 17, FALSE), "GENERAL"))</f>
        <v/>
      </c>
    </row>
    <row r="814" spans="1:8" ht="20.100000000000001" customHeight="1" x14ac:dyDescent="0.25">
      <c r="A814" s="2" t="str">
        <f>IF(B814="","",IFERROR(VLOOKUP(B814, PLANTA_BASE!A:W, 2, FALSE), "NO ENCONTRADO EN PLANTA"))</f>
        <v/>
      </c>
      <c r="B814" s="3"/>
      <c r="C814" s="4" t="str">
        <f>IF(B814="","",IFERROR(VLOOKUP(B814, PLANTA_BASE!A:W, 3, FALSE), ""))</f>
        <v/>
      </c>
      <c r="D814" s="2" t="str">
        <f>IF(B814="","",IFERROR(VLOOKUP(B814, PLANTA_BASE!A:W, 5, FALSE), "NO ENCONTRADO EN PLANTA"))</f>
        <v/>
      </c>
      <c r="E814" s="2" t="str">
        <f>IF(B814="","",IFERROR(VLOOKUP(B814, PLANTA_BASE!A:W, 6, FALSE), "NO ENCONTRADO EN PLANTA"))</f>
        <v/>
      </c>
      <c r="F814" s="4" t="str">
        <f>IF(B814="","",IFERROR(VLOOKUP(B814, PLANTA_BASE!A:W, 8, FALSE), "DOCENTE / FACILITADOR"))</f>
        <v/>
      </c>
      <c r="G814" s="4" t="str">
        <f>IF(B814="","",IFERROR(VLOOKUP(B814, PLANTA_BASE!A:W, 9, FALSE), "GENERAL"))</f>
        <v/>
      </c>
      <c r="H814" s="2" t="str">
        <f>IF(B814="","",IFERROR(VLOOKUP(B814, PLANTA_BASE!A:W, 17, FALSE), "GENERAL"))</f>
        <v/>
      </c>
    </row>
    <row r="815" spans="1:8" ht="20.100000000000001" customHeight="1" x14ac:dyDescent="0.25">
      <c r="A815" s="5" t="str">
        <f>IF(B815="","",IFERROR(VLOOKUP(B815, PLANTA_BASE!A:W, 2, FALSE), "NO ENCONTRADO EN PLANTA"))</f>
        <v/>
      </c>
      <c r="B815" s="6"/>
      <c r="C815" s="7" t="str">
        <f>IF(B815="","",IFERROR(VLOOKUP(B815, PLANTA_BASE!A:W, 3, FALSE), ""))</f>
        <v/>
      </c>
      <c r="D815" s="5" t="str">
        <f>IF(B815="","",IFERROR(VLOOKUP(B815, PLANTA_BASE!A:W, 5, FALSE), "NO ENCONTRADO EN PLANTA"))</f>
        <v/>
      </c>
      <c r="E815" s="5" t="str">
        <f>IF(B815="","",IFERROR(VLOOKUP(B815, PLANTA_BASE!A:W, 6, FALSE), "NO ENCONTRADO EN PLANTA"))</f>
        <v/>
      </c>
      <c r="F815" s="7" t="str">
        <f>IF(B815="","",IFERROR(VLOOKUP(B815, PLANTA_BASE!A:W, 8, FALSE), "DOCENTE / FACILITADOR"))</f>
        <v/>
      </c>
      <c r="G815" s="7" t="str">
        <f>IF(B815="","",IFERROR(VLOOKUP(B815, PLANTA_BASE!A:W, 9, FALSE), "GENERAL"))</f>
        <v/>
      </c>
      <c r="H815" s="5" t="str">
        <f>IF(B815="","",IFERROR(VLOOKUP(B815, PLANTA_BASE!A:W, 17, FALSE), "GENERAL"))</f>
        <v/>
      </c>
    </row>
    <row r="816" spans="1:8" ht="20.100000000000001" customHeight="1" x14ac:dyDescent="0.25">
      <c r="A816" s="2" t="str">
        <f>IF(B816="","",IFERROR(VLOOKUP(B816, PLANTA_BASE!A:W, 2, FALSE), "NO ENCONTRADO EN PLANTA"))</f>
        <v/>
      </c>
      <c r="B816" s="3"/>
      <c r="C816" s="4" t="str">
        <f>IF(B816="","",IFERROR(VLOOKUP(B816, PLANTA_BASE!A:W, 3, FALSE), ""))</f>
        <v/>
      </c>
      <c r="D816" s="2" t="str">
        <f>IF(B816="","",IFERROR(VLOOKUP(B816, PLANTA_BASE!A:W, 5, FALSE), "NO ENCONTRADO EN PLANTA"))</f>
        <v/>
      </c>
      <c r="E816" s="2" t="str">
        <f>IF(B816="","",IFERROR(VLOOKUP(B816, PLANTA_BASE!A:W, 6, FALSE), "NO ENCONTRADO EN PLANTA"))</f>
        <v/>
      </c>
      <c r="F816" s="4" t="str">
        <f>IF(B816="","",IFERROR(VLOOKUP(B816, PLANTA_BASE!A:W, 8, FALSE), "DOCENTE / FACILITADOR"))</f>
        <v/>
      </c>
      <c r="G816" s="4" t="str">
        <f>IF(B816="","",IFERROR(VLOOKUP(B816, PLANTA_BASE!A:W, 9, FALSE), "GENERAL"))</f>
        <v/>
      </c>
      <c r="H816" s="2" t="str">
        <f>IF(B816="","",IFERROR(VLOOKUP(B816, PLANTA_BASE!A:W, 17, FALSE), "GENERAL"))</f>
        <v/>
      </c>
    </row>
    <row r="817" spans="1:8" ht="20.100000000000001" customHeight="1" x14ac:dyDescent="0.25">
      <c r="A817" s="5" t="str">
        <f>IF(B817="","",IFERROR(VLOOKUP(B817, PLANTA_BASE!A:W, 2, FALSE), "NO ENCONTRADO EN PLANTA"))</f>
        <v/>
      </c>
      <c r="B817" s="6"/>
      <c r="C817" s="7" t="str">
        <f>IF(B817="","",IFERROR(VLOOKUP(B817, PLANTA_BASE!A:W, 3, FALSE), ""))</f>
        <v/>
      </c>
      <c r="D817" s="5" t="str">
        <f>IF(B817="","",IFERROR(VLOOKUP(B817, PLANTA_BASE!A:W, 5, FALSE), "NO ENCONTRADO EN PLANTA"))</f>
        <v/>
      </c>
      <c r="E817" s="5" t="str">
        <f>IF(B817="","",IFERROR(VLOOKUP(B817, PLANTA_BASE!A:W, 6, FALSE), "NO ENCONTRADO EN PLANTA"))</f>
        <v/>
      </c>
      <c r="F817" s="7" t="str">
        <f>IF(B817="","",IFERROR(VLOOKUP(B817, PLANTA_BASE!A:W, 8, FALSE), "DOCENTE / FACILITADOR"))</f>
        <v/>
      </c>
      <c r="G817" s="7" t="str">
        <f>IF(B817="","",IFERROR(VLOOKUP(B817, PLANTA_BASE!A:W, 9, FALSE), "GENERAL"))</f>
        <v/>
      </c>
      <c r="H817" s="5" t="str">
        <f>IF(B817="","",IFERROR(VLOOKUP(B817, PLANTA_BASE!A:W, 17, FALSE), "GENERAL"))</f>
        <v/>
      </c>
    </row>
    <row r="818" spans="1:8" ht="20.100000000000001" customHeight="1" x14ac:dyDescent="0.25">
      <c r="A818" s="2" t="str">
        <f>IF(B818="","",IFERROR(VLOOKUP(B818, PLANTA_BASE!A:W, 2, FALSE), "NO ENCONTRADO EN PLANTA"))</f>
        <v/>
      </c>
      <c r="B818" s="3"/>
      <c r="C818" s="4" t="str">
        <f>IF(B818="","",IFERROR(VLOOKUP(B818, PLANTA_BASE!A:W, 3, FALSE), ""))</f>
        <v/>
      </c>
      <c r="D818" s="2" t="str">
        <f>IF(B818="","",IFERROR(VLOOKUP(B818, PLANTA_BASE!A:W, 5, FALSE), "NO ENCONTRADO EN PLANTA"))</f>
        <v/>
      </c>
      <c r="E818" s="2" t="str">
        <f>IF(B818="","",IFERROR(VLOOKUP(B818, PLANTA_BASE!A:W, 6, FALSE), "NO ENCONTRADO EN PLANTA"))</f>
        <v/>
      </c>
      <c r="F818" s="4" t="str">
        <f>IF(B818="","",IFERROR(VLOOKUP(B818, PLANTA_BASE!A:W, 8, FALSE), "DOCENTE / FACILITADOR"))</f>
        <v/>
      </c>
      <c r="G818" s="4" t="str">
        <f>IF(B818="","",IFERROR(VLOOKUP(B818, PLANTA_BASE!A:W, 9, FALSE), "GENERAL"))</f>
        <v/>
      </c>
      <c r="H818" s="2" t="str">
        <f>IF(B818="","",IFERROR(VLOOKUP(B818, PLANTA_BASE!A:W, 17, FALSE), "GENERAL"))</f>
        <v/>
      </c>
    </row>
    <row r="819" spans="1:8" ht="20.100000000000001" customHeight="1" x14ac:dyDescent="0.25">
      <c r="A819" s="5" t="str">
        <f>IF(B819="","",IFERROR(VLOOKUP(B819, PLANTA_BASE!A:W, 2, FALSE), "NO ENCONTRADO EN PLANTA"))</f>
        <v/>
      </c>
      <c r="B819" s="6"/>
      <c r="C819" s="7" t="str">
        <f>IF(B819="","",IFERROR(VLOOKUP(B819, PLANTA_BASE!A:W, 3, FALSE), ""))</f>
        <v/>
      </c>
      <c r="D819" s="5" t="str">
        <f>IF(B819="","",IFERROR(VLOOKUP(B819, PLANTA_BASE!A:W, 5, FALSE), "NO ENCONTRADO EN PLANTA"))</f>
        <v/>
      </c>
      <c r="E819" s="5" t="str">
        <f>IF(B819="","",IFERROR(VLOOKUP(B819, PLANTA_BASE!A:W, 6, FALSE), "NO ENCONTRADO EN PLANTA"))</f>
        <v/>
      </c>
      <c r="F819" s="7" t="str">
        <f>IF(B819="","",IFERROR(VLOOKUP(B819, PLANTA_BASE!A:W, 8, FALSE), "DOCENTE / FACILITADOR"))</f>
        <v/>
      </c>
      <c r="G819" s="7" t="str">
        <f>IF(B819="","",IFERROR(VLOOKUP(B819, PLANTA_BASE!A:W, 9, FALSE), "GENERAL"))</f>
        <v/>
      </c>
      <c r="H819" s="5" t="str">
        <f>IF(B819="","",IFERROR(VLOOKUP(B819, PLANTA_BASE!A:W, 17, FALSE), "GENERAL"))</f>
        <v/>
      </c>
    </row>
    <row r="820" spans="1:8" ht="20.100000000000001" customHeight="1" x14ac:dyDescent="0.25">
      <c r="A820" s="2" t="str">
        <f>IF(B820="","",IFERROR(VLOOKUP(B820, PLANTA_BASE!A:W, 2, FALSE), "NO ENCONTRADO EN PLANTA"))</f>
        <v/>
      </c>
      <c r="B820" s="3"/>
      <c r="C820" s="4" t="str">
        <f>IF(B820="","",IFERROR(VLOOKUP(B820, PLANTA_BASE!A:W, 3, FALSE), ""))</f>
        <v/>
      </c>
      <c r="D820" s="2" t="str">
        <f>IF(B820="","",IFERROR(VLOOKUP(B820, PLANTA_BASE!A:W, 5, FALSE), "NO ENCONTRADO EN PLANTA"))</f>
        <v/>
      </c>
      <c r="E820" s="2" t="str">
        <f>IF(B820="","",IFERROR(VLOOKUP(B820, PLANTA_BASE!A:W, 6, FALSE), "NO ENCONTRADO EN PLANTA"))</f>
        <v/>
      </c>
      <c r="F820" s="4" t="str">
        <f>IF(B820="","",IFERROR(VLOOKUP(B820, PLANTA_BASE!A:W, 8, FALSE), "DOCENTE / FACILITADOR"))</f>
        <v/>
      </c>
      <c r="G820" s="4" t="str">
        <f>IF(B820="","",IFERROR(VLOOKUP(B820, PLANTA_BASE!A:W, 9, FALSE), "GENERAL"))</f>
        <v/>
      </c>
      <c r="H820" s="2" t="str">
        <f>IF(B820="","",IFERROR(VLOOKUP(B820, PLANTA_BASE!A:W, 17, FALSE), "GENERAL"))</f>
        <v/>
      </c>
    </row>
    <row r="821" spans="1:8" ht="20.100000000000001" customHeight="1" x14ac:dyDescent="0.25">
      <c r="A821" s="5" t="str">
        <f>IF(B821="","",IFERROR(VLOOKUP(B821, PLANTA_BASE!A:W, 2, FALSE), "NO ENCONTRADO EN PLANTA"))</f>
        <v/>
      </c>
      <c r="B821" s="6"/>
      <c r="C821" s="7" t="str">
        <f>IF(B821="","",IFERROR(VLOOKUP(B821, PLANTA_BASE!A:W, 3, FALSE), ""))</f>
        <v/>
      </c>
      <c r="D821" s="5" t="str">
        <f>IF(B821="","",IFERROR(VLOOKUP(B821, PLANTA_BASE!A:W, 5, FALSE), "NO ENCONTRADO EN PLANTA"))</f>
        <v/>
      </c>
      <c r="E821" s="5" t="str">
        <f>IF(B821="","",IFERROR(VLOOKUP(B821, PLANTA_BASE!A:W, 6, FALSE), "NO ENCONTRADO EN PLANTA"))</f>
        <v/>
      </c>
      <c r="F821" s="7" t="str">
        <f>IF(B821="","",IFERROR(VLOOKUP(B821, PLANTA_BASE!A:W, 8, FALSE), "DOCENTE / FACILITADOR"))</f>
        <v/>
      </c>
      <c r="G821" s="7" t="str">
        <f>IF(B821="","",IFERROR(VLOOKUP(B821, PLANTA_BASE!A:W, 9, FALSE), "GENERAL"))</f>
        <v/>
      </c>
      <c r="H821" s="5" t="str">
        <f>IF(B821="","",IFERROR(VLOOKUP(B821, PLANTA_BASE!A:W, 17, FALSE), "GENERAL"))</f>
        <v/>
      </c>
    </row>
    <row r="822" spans="1:8" ht="20.100000000000001" customHeight="1" x14ac:dyDescent="0.25">
      <c r="A822" s="2" t="str">
        <f>IF(B822="","",IFERROR(VLOOKUP(B822, PLANTA_BASE!A:W, 2, FALSE), "NO ENCONTRADO EN PLANTA"))</f>
        <v/>
      </c>
      <c r="B822" s="3"/>
      <c r="C822" s="4" t="str">
        <f>IF(B822="","",IFERROR(VLOOKUP(B822, PLANTA_BASE!A:W, 3, FALSE), ""))</f>
        <v/>
      </c>
      <c r="D822" s="2" t="str">
        <f>IF(B822="","",IFERROR(VLOOKUP(B822, PLANTA_BASE!A:W, 5, FALSE), "NO ENCONTRADO EN PLANTA"))</f>
        <v/>
      </c>
      <c r="E822" s="2" t="str">
        <f>IF(B822="","",IFERROR(VLOOKUP(B822, PLANTA_BASE!A:W, 6, FALSE), "NO ENCONTRADO EN PLANTA"))</f>
        <v/>
      </c>
      <c r="F822" s="4" t="str">
        <f>IF(B822="","",IFERROR(VLOOKUP(B822, PLANTA_BASE!A:W, 8, FALSE), "DOCENTE / FACILITADOR"))</f>
        <v/>
      </c>
      <c r="G822" s="4" t="str">
        <f>IF(B822="","",IFERROR(VLOOKUP(B822, PLANTA_BASE!A:W, 9, FALSE), "GENERAL"))</f>
        <v/>
      </c>
      <c r="H822" s="2" t="str">
        <f>IF(B822="","",IFERROR(VLOOKUP(B822, PLANTA_BASE!A:W, 17, FALSE), "GENERAL"))</f>
        <v/>
      </c>
    </row>
    <row r="823" spans="1:8" ht="20.100000000000001" customHeight="1" x14ac:dyDescent="0.25">
      <c r="A823" s="5" t="str">
        <f>IF(B823="","",IFERROR(VLOOKUP(B823, PLANTA_BASE!A:W, 2, FALSE), "NO ENCONTRADO EN PLANTA"))</f>
        <v/>
      </c>
      <c r="B823" s="6"/>
      <c r="C823" s="7" t="str">
        <f>IF(B823="","",IFERROR(VLOOKUP(B823, PLANTA_BASE!A:W, 3, FALSE), ""))</f>
        <v/>
      </c>
      <c r="D823" s="5" t="str">
        <f>IF(B823="","",IFERROR(VLOOKUP(B823, PLANTA_BASE!A:W, 5, FALSE), "NO ENCONTRADO EN PLANTA"))</f>
        <v/>
      </c>
      <c r="E823" s="5" t="str">
        <f>IF(B823="","",IFERROR(VLOOKUP(B823, PLANTA_BASE!A:W, 6, FALSE), "NO ENCONTRADO EN PLANTA"))</f>
        <v/>
      </c>
      <c r="F823" s="7" t="str">
        <f>IF(B823="","",IFERROR(VLOOKUP(B823, PLANTA_BASE!A:W, 8, FALSE), "DOCENTE / FACILITADOR"))</f>
        <v/>
      </c>
      <c r="G823" s="7" t="str">
        <f>IF(B823="","",IFERROR(VLOOKUP(B823, PLANTA_BASE!A:W, 9, FALSE), "GENERAL"))</f>
        <v/>
      </c>
      <c r="H823" s="5" t="str">
        <f>IF(B823="","",IFERROR(VLOOKUP(B823, PLANTA_BASE!A:W, 17, FALSE), "GENERAL"))</f>
        <v/>
      </c>
    </row>
    <row r="824" spans="1:8" ht="20.100000000000001" customHeight="1" x14ac:dyDescent="0.25">
      <c r="A824" s="2" t="str">
        <f>IF(B824="","",IFERROR(VLOOKUP(B824, PLANTA_BASE!A:W, 2, FALSE), "NO ENCONTRADO EN PLANTA"))</f>
        <v/>
      </c>
      <c r="B824" s="3"/>
      <c r="C824" s="4" t="str">
        <f>IF(B824="","",IFERROR(VLOOKUP(B824, PLANTA_BASE!A:W, 3, FALSE), ""))</f>
        <v/>
      </c>
      <c r="D824" s="2" t="str">
        <f>IF(B824="","",IFERROR(VLOOKUP(B824, PLANTA_BASE!A:W, 5, FALSE), "NO ENCONTRADO EN PLANTA"))</f>
        <v/>
      </c>
      <c r="E824" s="2" t="str">
        <f>IF(B824="","",IFERROR(VLOOKUP(B824, PLANTA_BASE!A:W, 6, FALSE), "NO ENCONTRADO EN PLANTA"))</f>
        <v/>
      </c>
      <c r="F824" s="4" t="str">
        <f>IF(B824="","",IFERROR(VLOOKUP(B824, PLANTA_BASE!A:W, 8, FALSE), "DOCENTE / FACILITADOR"))</f>
        <v/>
      </c>
      <c r="G824" s="4" t="str">
        <f>IF(B824="","",IFERROR(VLOOKUP(B824, PLANTA_BASE!A:W, 9, FALSE), "GENERAL"))</f>
        <v/>
      </c>
      <c r="H824" s="2" t="str">
        <f>IF(B824="","",IFERROR(VLOOKUP(B824, PLANTA_BASE!A:W, 17, FALSE), "GENERAL"))</f>
        <v/>
      </c>
    </row>
    <row r="825" spans="1:8" ht="20.100000000000001" customHeight="1" x14ac:dyDescent="0.25">
      <c r="A825" s="5" t="str">
        <f>IF(B825="","",IFERROR(VLOOKUP(B825, PLANTA_BASE!A:W, 2, FALSE), "NO ENCONTRADO EN PLANTA"))</f>
        <v/>
      </c>
      <c r="B825" s="6"/>
      <c r="C825" s="7" t="str">
        <f>IF(B825="","",IFERROR(VLOOKUP(B825, PLANTA_BASE!A:W, 3, FALSE), ""))</f>
        <v/>
      </c>
      <c r="D825" s="5" t="str">
        <f>IF(B825="","",IFERROR(VLOOKUP(B825, PLANTA_BASE!A:W, 5, FALSE), "NO ENCONTRADO EN PLANTA"))</f>
        <v/>
      </c>
      <c r="E825" s="5" t="str">
        <f>IF(B825="","",IFERROR(VLOOKUP(B825, PLANTA_BASE!A:W, 6, FALSE), "NO ENCONTRADO EN PLANTA"))</f>
        <v/>
      </c>
      <c r="F825" s="7" t="str">
        <f>IF(B825="","",IFERROR(VLOOKUP(B825, PLANTA_BASE!A:W, 8, FALSE), "DOCENTE / FACILITADOR"))</f>
        <v/>
      </c>
      <c r="G825" s="7" t="str">
        <f>IF(B825="","",IFERROR(VLOOKUP(B825, PLANTA_BASE!A:W, 9, FALSE), "GENERAL"))</f>
        <v/>
      </c>
      <c r="H825" s="5" t="str">
        <f>IF(B825="","",IFERROR(VLOOKUP(B825, PLANTA_BASE!A:W, 17, FALSE), "GENERAL"))</f>
        <v/>
      </c>
    </row>
    <row r="826" spans="1:8" ht="20.100000000000001" customHeight="1" x14ac:dyDescent="0.25">
      <c r="A826" s="2" t="str">
        <f>IF(B826="","",IFERROR(VLOOKUP(B826, PLANTA_BASE!A:W, 2, FALSE), "NO ENCONTRADO EN PLANTA"))</f>
        <v/>
      </c>
      <c r="B826" s="3"/>
      <c r="C826" s="4" t="str">
        <f>IF(B826="","",IFERROR(VLOOKUP(B826, PLANTA_BASE!A:W, 3, FALSE), ""))</f>
        <v/>
      </c>
      <c r="D826" s="2" t="str">
        <f>IF(B826="","",IFERROR(VLOOKUP(B826, PLANTA_BASE!A:W, 5, FALSE), "NO ENCONTRADO EN PLANTA"))</f>
        <v/>
      </c>
      <c r="E826" s="2" t="str">
        <f>IF(B826="","",IFERROR(VLOOKUP(B826, PLANTA_BASE!A:W, 6, FALSE), "NO ENCONTRADO EN PLANTA"))</f>
        <v/>
      </c>
      <c r="F826" s="4" t="str">
        <f>IF(B826="","",IFERROR(VLOOKUP(B826, PLANTA_BASE!A:W, 8, FALSE), "DOCENTE / FACILITADOR"))</f>
        <v/>
      </c>
      <c r="G826" s="4" t="str">
        <f>IF(B826="","",IFERROR(VLOOKUP(B826, PLANTA_BASE!A:W, 9, FALSE), "GENERAL"))</f>
        <v/>
      </c>
      <c r="H826" s="2" t="str">
        <f>IF(B826="","",IFERROR(VLOOKUP(B826, PLANTA_BASE!A:W, 17, FALSE), "GENERAL"))</f>
        <v/>
      </c>
    </row>
    <row r="827" spans="1:8" ht="20.100000000000001" customHeight="1" x14ac:dyDescent="0.25">
      <c r="A827" s="5" t="str">
        <f>IF(B827="","",IFERROR(VLOOKUP(B827, PLANTA_BASE!A:W, 2, FALSE), "NO ENCONTRADO EN PLANTA"))</f>
        <v/>
      </c>
      <c r="B827" s="6"/>
      <c r="C827" s="7" t="str">
        <f>IF(B827="","",IFERROR(VLOOKUP(B827, PLANTA_BASE!A:W, 3, FALSE), ""))</f>
        <v/>
      </c>
      <c r="D827" s="5" t="str">
        <f>IF(B827="","",IFERROR(VLOOKUP(B827, PLANTA_BASE!A:W, 5, FALSE), "NO ENCONTRADO EN PLANTA"))</f>
        <v/>
      </c>
      <c r="E827" s="5" t="str">
        <f>IF(B827="","",IFERROR(VLOOKUP(B827, PLANTA_BASE!A:W, 6, FALSE), "NO ENCONTRADO EN PLANTA"))</f>
        <v/>
      </c>
      <c r="F827" s="7" t="str">
        <f>IF(B827="","",IFERROR(VLOOKUP(B827, PLANTA_BASE!A:W, 8, FALSE), "DOCENTE / FACILITADOR"))</f>
        <v/>
      </c>
      <c r="G827" s="7" t="str">
        <f>IF(B827="","",IFERROR(VLOOKUP(B827, PLANTA_BASE!A:W, 9, FALSE), "GENERAL"))</f>
        <v/>
      </c>
      <c r="H827" s="5" t="str">
        <f>IF(B827="","",IFERROR(VLOOKUP(B827, PLANTA_BASE!A:W, 17, FALSE), "GENERAL"))</f>
        <v/>
      </c>
    </row>
    <row r="828" spans="1:8" ht="20.100000000000001" customHeight="1" x14ac:dyDescent="0.25">
      <c r="A828" s="2" t="str">
        <f>IF(B828="","",IFERROR(VLOOKUP(B828, PLANTA_BASE!A:W, 2, FALSE), "NO ENCONTRADO EN PLANTA"))</f>
        <v/>
      </c>
      <c r="B828" s="3"/>
      <c r="C828" s="4" t="str">
        <f>IF(B828="","",IFERROR(VLOOKUP(B828, PLANTA_BASE!A:W, 3, FALSE), ""))</f>
        <v/>
      </c>
      <c r="D828" s="2" t="str">
        <f>IF(B828="","",IFERROR(VLOOKUP(B828, PLANTA_BASE!A:W, 5, FALSE), "NO ENCONTRADO EN PLANTA"))</f>
        <v/>
      </c>
      <c r="E828" s="2" t="str">
        <f>IF(B828="","",IFERROR(VLOOKUP(B828, PLANTA_BASE!A:W, 6, FALSE), "NO ENCONTRADO EN PLANTA"))</f>
        <v/>
      </c>
      <c r="F828" s="4" t="str">
        <f>IF(B828="","",IFERROR(VLOOKUP(B828, PLANTA_BASE!A:W, 8, FALSE), "DOCENTE / FACILITADOR"))</f>
        <v/>
      </c>
      <c r="G828" s="4" t="str">
        <f>IF(B828="","",IFERROR(VLOOKUP(B828, PLANTA_BASE!A:W, 9, FALSE), "GENERAL"))</f>
        <v/>
      </c>
      <c r="H828" s="2" t="str">
        <f>IF(B828="","",IFERROR(VLOOKUP(B828, PLANTA_BASE!A:W, 17, FALSE), "GENERAL"))</f>
        <v/>
      </c>
    </row>
    <row r="829" spans="1:8" ht="20.100000000000001" customHeight="1" x14ac:dyDescent="0.25">
      <c r="A829" s="5" t="str">
        <f>IF(B829="","",IFERROR(VLOOKUP(B829, PLANTA_BASE!A:W, 2, FALSE), "NO ENCONTRADO EN PLANTA"))</f>
        <v/>
      </c>
      <c r="B829" s="6"/>
      <c r="C829" s="7" t="str">
        <f>IF(B829="","",IFERROR(VLOOKUP(B829, PLANTA_BASE!A:W, 3, FALSE), ""))</f>
        <v/>
      </c>
      <c r="D829" s="5" t="str">
        <f>IF(B829="","",IFERROR(VLOOKUP(B829, PLANTA_BASE!A:W, 5, FALSE), "NO ENCONTRADO EN PLANTA"))</f>
        <v/>
      </c>
      <c r="E829" s="5" t="str">
        <f>IF(B829="","",IFERROR(VLOOKUP(B829, PLANTA_BASE!A:W, 6, FALSE), "NO ENCONTRADO EN PLANTA"))</f>
        <v/>
      </c>
      <c r="F829" s="7" t="str">
        <f>IF(B829="","",IFERROR(VLOOKUP(B829, PLANTA_BASE!A:W, 8, FALSE), "DOCENTE / FACILITADOR"))</f>
        <v/>
      </c>
      <c r="G829" s="7" t="str">
        <f>IF(B829="","",IFERROR(VLOOKUP(B829, PLANTA_BASE!A:W, 9, FALSE), "GENERAL"))</f>
        <v/>
      </c>
      <c r="H829" s="5" t="str">
        <f>IF(B829="","",IFERROR(VLOOKUP(B829, PLANTA_BASE!A:W, 17, FALSE), "GENERAL"))</f>
        <v/>
      </c>
    </row>
    <row r="830" spans="1:8" ht="20.100000000000001" customHeight="1" x14ac:dyDescent="0.25">
      <c r="A830" s="2" t="str">
        <f>IF(B830="","",IFERROR(VLOOKUP(B830, PLANTA_BASE!A:W, 2, FALSE), "NO ENCONTRADO EN PLANTA"))</f>
        <v/>
      </c>
      <c r="B830" s="3"/>
      <c r="C830" s="4" t="str">
        <f>IF(B830="","",IFERROR(VLOOKUP(B830, PLANTA_BASE!A:W, 3, FALSE), ""))</f>
        <v/>
      </c>
      <c r="D830" s="2" t="str">
        <f>IF(B830="","",IFERROR(VLOOKUP(B830, PLANTA_BASE!A:W, 5, FALSE), "NO ENCONTRADO EN PLANTA"))</f>
        <v/>
      </c>
      <c r="E830" s="2" t="str">
        <f>IF(B830="","",IFERROR(VLOOKUP(B830, PLANTA_BASE!A:W, 6, FALSE), "NO ENCONTRADO EN PLANTA"))</f>
        <v/>
      </c>
      <c r="F830" s="4" t="str">
        <f>IF(B830="","",IFERROR(VLOOKUP(B830, PLANTA_BASE!A:W, 8, FALSE), "DOCENTE / FACILITADOR"))</f>
        <v/>
      </c>
      <c r="G830" s="4" t="str">
        <f>IF(B830="","",IFERROR(VLOOKUP(B830, PLANTA_BASE!A:W, 9, FALSE), "GENERAL"))</f>
        <v/>
      </c>
      <c r="H830" s="2" t="str">
        <f>IF(B830="","",IFERROR(VLOOKUP(B830, PLANTA_BASE!A:W, 17, FALSE), "GENERAL"))</f>
        <v/>
      </c>
    </row>
    <row r="831" spans="1:8" ht="20.100000000000001" customHeight="1" x14ac:dyDescent="0.25">
      <c r="A831" s="5" t="str">
        <f>IF(B831="","",IFERROR(VLOOKUP(B831, PLANTA_BASE!A:W, 2, FALSE), "NO ENCONTRADO EN PLANTA"))</f>
        <v/>
      </c>
      <c r="B831" s="6"/>
      <c r="C831" s="7" t="str">
        <f>IF(B831="","",IFERROR(VLOOKUP(B831, PLANTA_BASE!A:W, 3, FALSE), ""))</f>
        <v/>
      </c>
      <c r="D831" s="5" t="str">
        <f>IF(B831="","",IFERROR(VLOOKUP(B831, PLANTA_BASE!A:W, 5, FALSE), "NO ENCONTRADO EN PLANTA"))</f>
        <v/>
      </c>
      <c r="E831" s="5" t="str">
        <f>IF(B831="","",IFERROR(VLOOKUP(B831, PLANTA_BASE!A:W, 6, FALSE), "NO ENCONTRADO EN PLANTA"))</f>
        <v/>
      </c>
      <c r="F831" s="7" t="str">
        <f>IF(B831="","",IFERROR(VLOOKUP(B831, PLANTA_BASE!A:W, 8, FALSE), "DOCENTE / FACILITADOR"))</f>
        <v/>
      </c>
      <c r="G831" s="7" t="str">
        <f>IF(B831="","",IFERROR(VLOOKUP(B831, PLANTA_BASE!A:W, 9, FALSE), "GENERAL"))</f>
        <v/>
      </c>
      <c r="H831" s="5" t="str">
        <f>IF(B831="","",IFERROR(VLOOKUP(B831, PLANTA_BASE!A:W, 17, FALSE), "GENERAL"))</f>
        <v/>
      </c>
    </row>
    <row r="832" spans="1:8" ht="20.100000000000001" customHeight="1" x14ac:dyDescent="0.25">
      <c r="A832" s="2" t="str">
        <f>IF(B832="","",IFERROR(VLOOKUP(B832, PLANTA_BASE!A:W, 2, FALSE), "NO ENCONTRADO EN PLANTA"))</f>
        <v/>
      </c>
      <c r="B832" s="3"/>
      <c r="C832" s="4" t="str">
        <f>IF(B832="","",IFERROR(VLOOKUP(B832, PLANTA_BASE!A:W, 3, FALSE), ""))</f>
        <v/>
      </c>
      <c r="D832" s="2" t="str">
        <f>IF(B832="","",IFERROR(VLOOKUP(B832, PLANTA_BASE!A:W, 5, FALSE), "NO ENCONTRADO EN PLANTA"))</f>
        <v/>
      </c>
      <c r="E832" s="2" t="str">
        <f>IF(B832="","",IFERROR(VLOOKUP(B832, PLANTA_BASE!A:W, 6, FALSE), "NO ENCONTRADO EN PLANTA"))</f>
        <v/>
      </c>
      <c r="F832" s="4" t="str">
        <f>IF(B832="","",IFERROR(VLOOKUP(B832, PLANTA_BASE!A:W, 8, FALSE), "DOCENTE / FACILITADOR"))</f>
        <v/>
      </c>
      <c r="G832" s="4" t="str">
        <f>IF(B832="","",IFERROR(VLOOKUP(B832, PLANTA_BASE!A:W, 9, FALSE), "GENERAL"))</f>
        <v/>
      </c>
      <c r="H832" s="2" t="str">
        <f>IF(B832="","",IFERROR(VLOOKUP(B832, PLANTA_BASE!A:W, 17, FALSE), "GENERAL"))</f>
        <v/>
      </c>
    </row>
    <row r="833" spans="1:8" ht="20.100000000000001" customHeight="1" x14ac:dyDescent="0.25">
      <c r="A833" s="5" t="str">
        <f>IF(B833="","",IFERROR(VLOOKUP(B833, PLANTA_BASE!A:W, 2, FALSE), "NO ENCONTRADO EN PLANTA"))</f>
        <v/>
      </c>
      <c r="B833" s="6"/>
      <c r="C833" s="7" t="str">
        <f>IF(B833="","",IFERROR(VLOOKUP(B833, PLANTA_BASE!A:W, 3, FALSE), ""))</f>
        <v/>
      </c>
      <c r="D833" s="5" t="str">
        <f>IF(B833="","",IFERROR(VLOOKUP(B833, PLANTA_BASE!A:W, 5, FALSE), "NO ENCONTRADO EN PLANTA"))</f>
        <v/>
      </c>
      <c r="E833" s="5" t="str">
        <f>IF(B833="","",IFERROR(VLOOKUP(B833, PLANTA_BASE!A:W, 6, FALSE), "NO ENCONTRADO EN PLANTA"))</f>
        <v/>
      </c>
      <c r="F833" s="7" t="str">
        <f>IF(B833="","",IFERROR(VLOOKUP(B833, PLANTA_BASE!A:W, 8, FALSE), "DOCENTE / FACILITADOR"))</f>
        <v/>
      </c>
      <c r="G833" s="7" t="str">
        <f>IF(B833="","",IFERROR(VLOOKUP(B833, PLANTA_BASE!A:W, 9, FALSE), "GENERAL"))</f>
        <v/>
      </c>
      <c r="H833" s="5" t="str">
        <f>IF(B833="","",IFERROR(VLOOKUP(B833, PLANTA_BASE!A:W, 17, FALSE), "GENERAL"))</f>
        <v/>
      </c>
    </row>
    <row r="834" spans="1:8" ht="20.100000000000001" customHeight="1" x14ac:dyDescent="0.25">
      <c r="A834" s="2" t="str">
        <f>IF(B834="","",IFERROR(VLOOKUP(B834, PLANTA_BASE!A:W, 2, FALSE), "NO ENCONTRADO EN PLANTA"))</f>
        <v/>
      </c>
      <c r="B834" s="3"/>
      <c r="C834" s="4" t="str">
        <f>IF(B834="","",IFERROR(VLOOKUP(B834, PLANTA_BASE!A:W, 3, FALSE), ""))</f>
        <v/>
      </c>
      <c r="D834" s="2" t="str">
        <f>IF(B834="","",IFERROR(VLOOKUP(B834, PLANTA_BASE!A:W, 5, FALSE), "NO ENCONTRADO EN PLANTA"))</f>
        <v/>
      </c>
      <c r="E834" s="2" t="str">
        <f>IF(B834="","",IFERROR(VLOOKUP(B834, PLANTA_BASE!A:W, 6, FALSE), "NO ENCONTRADO EN PLANTA"))</f>
        <v/>
      </c>
      <c r="F834" s="4" t="str">
        <f>IF(B834="","",IFERROR(VLOOKUP(B834, PLANTA_BASE!A:W, 8, FALSE), "DOCENTE / FACILITADOR"))</f>
        <v/>
      </c>
      <c r="G834" s="4" t="str">
        <f>IF(B834="","",IFERROR(VLOOKUP(B834, PLANTA_BASE!A:W, 9, FALSE), "GENERAL"))</f>
        <v/>
      </c>
      <c r="H834" s="2" t="str">
        <f>IF(B834="","",IFERROR(VLOOKUP(B834, PLANTA_BASE!A:W, 17, FALSE), "GENERAL"))</f>
        <v/>
      </c>
    </row>
    <row r="835" spans="1:8" ht="20.100000000000001" customHeight="1" x14ac:dyDescent="0.25">
      <c r="A835" s="5" t="str">
        <f>IF(B835="","",IFERROR(VLOOKUP(B835, PLANTA_BASE!A:W, 2, FALSE), "NO ENCONTRADO EN PLANTA"))</f>
        <v/>
      </c>
      <c r="B835" s="6"/>
      <c r="C835" s="7" t="str">
        <f>IF(B835="","",IFERROR(VLOOKUP(B835, PLANTA_BASE!A:W, 3, FALSE), ""))</f>
        <v/>
      </c>
      <c r="D835" s="5" t="str">
        <f>IF(B835="","",IFERROR(VLOOKUP(B835, PLANTA_BASE!A:W, 5, FALSE), "NO ENCONTRADO EN PLANTA"))</f>
        <v/>
      </c>
      <c r="E835" s="5" t="str">
        <f>IF(B835="","",IFERROR(VLOOKUP(B835, PLANTA_BASE!A:W, 6, FALSE), "NO ENCONTRADO EN PLANTA"))</f>
        <v/>
      </c>
      <c r="F835" s="7" t="str">
        <f>IF(B835="","",IFERROR(VLOOKUP(B835, PLANTA_BASE!A:W, 8, FALSE), "DOCENTE / FACILITADOR"))</f>
        <v/>
      </c>
      <c r="G835" s="7" t="str">
        <f>IF(B835="","",IFERROR(VLOOKUP(B835, PLANTA_BASE!A:W, 9, FALSE), "GENERAL"))</f>
        <v/>
      </c>
      <c r="H835" s="5" t="str">
        <f>IF(B835="","",IFERROR(VLOOKUP(B835, PLANTA_BASE!A:W, 17, FALSE), "GENERAL"))</f>
        <v/>
      </c>
    </row>
    <row r="836" spans="1:8" ht="20.100000000000001" customHeight="1" x14ac:dyDescent="0.25">
      <c r="A836" s="2" t="str">
        <f>IF(B836="","",IFERROR(VLOOKUP(B836, PLANTA_BASE!A:W, 2, FALSE), "NO ENCONTRADO EN PLANTA"))</f>
        <v/>
      </c>
      <c r="B836" s="3"/>
      <c r="C836" s="4" t="str">
        <f>IF(B836="","",IFERROR(VLOOKUP(B836, PLANTA_BASE!A:W, 3, FALSE), ""))</f>
        <v/>
      </c>
      <c r="D836" s="2" t="str">
        <f>IF(B836="","",IFERROR(VLOOKUP(B836, PLANTA_BASE!A:W, 5, FALSE), "NO ENCONTRADO EN PLANTA"))</f>
        <v/>
      </c>
      <c r="E836" s="2" t="str">
        <f>IF(B836="","",IFERROR(VLOOKUP(B836, PLANTA_BASE!A:W, 6, FALSE), "NO ENCONTRADO EN PLANTA"))</f>
        <v/>
      </c>
      <c r="F836" s="4" t="str">
        <f>IF(B836="","",IFERROR(VLOOKUP(B836, PLANTA_BASE!A:W, 8, FALSE), "DOCENTE / FACILITADOR"))</f>
        <v/>
      </c>
      <c r="G836" s="4" t="str">
        <f>IF(B836="","",IFERROR(VLOOKUP(B836, PLANTA_BASE!A:W, 9, FALSE), "GENERAL"))</f>
        <v/>
      </c>
      <c r="H836" s="2" t="str">
        <f>IF(B836="","",IFERROR(VLOOKUP(B836, PLANTA_BASE!A:W, 17, FALSE), "GENERAL"))</f>
        <v/>
      </c>
    </row>
    <row r="837" spans="1:8" ht="20.100000000000001" customHeight="1" x14ac:dyDescent="0.25">
      <c r="A837" s="5" t="str">
        <f>IF(B837="","",IFERROR(VLOOKUP(B837, PLANTA_BASE!A:W, 2, FALSE), "NO ENCONTRADO EN PLANTA"))</f>
        <v/>
      </c>
      <c r="B837" s="6"/>
      <c r="C837" s="7" t="str">
        <f>IF(B837="","",IFERROR(VLOOKUP(B837, PLANTA_BASE!A:W, 3, FALSE), ""))</f>
        <v/>
      </c>
      <c r="D837" s="5" t="str">
        <f>IF(B837="","",IFERROR(VLOOKUP(B837, PLANTA_BASE!A:W, 5, FALSE), "NO ENCONTRADO EN PLANTA"))</f>
        <v/>
      </c>
      <c r="E837" s="5" t="str">
        <f>IF(B837="","",IFERROR(VLOOKUP(B837, PLANTA_BASE!A:W, 6, FALSE), "NO ENCONTRADO EN PLANTA"))</f>
        <v/>
      </c>
      <c r="F837" s="7" t="str">
        <f>IF(B837="","",IFERROR(VLOOKUP(B837, PLANTA_BASE!A:W, 8, FALSE), "DOCENTE / FACILITADOR"))</f>
        <v/>
      </c>
      <c r="G837" s="7" t="str">
        <f>IF(B837="","",IFERROR(VLOOKUP(B837, PLANTA_BASE!A:W, 9, FALSE), "GENERAL"))</f>
        <v/>
      </c>
      <c r="H837" s="5" t="str">
        <f>IF(B837="","",IFERROR(VLOOKUP(B837, PLANTA_BASE!A:W, 17, FALSE), "GENERAL"))</f>
        <v/>
      </c>
    </row>
    <row r="838" spans="1:8" ht="20.100000000000001" customHeight="1" x14ac:dyDescent="0.25">
      <c r="A838" s="2" t="str">
        <f>IF(B838="","",IFERROR(VLOOKUP(B838, PLANTA_BASE!A:W, 2, FALSE), "NO ENCONTRADO EN PLANTA"))</f>
        <v/>
      </c>
      <c r="B838" s="3"/>
      <c r="C838" s="4" t="str">
        <f>IF(B838="","",IFERROR(VLOOKUP(B838, PLANTA_BASE!A:W, 3, FALSE), ""))</f>
        <v/>
      </c>
      <c r="D838" s="2" t="str">
        <f>IF(B838="","",IFERROR(VLOOKUP(B838, PLANTA_BASE!A:W, 5, FALSE), "NO ENCONTRADO EN PLANTA"))</f>
        <v/>
      </c>
      <c r="E838" s="2" t="str">
        <f>IF(B838="","",IFERROR(VLOOKUP(B838, PLANTA_BASE!A:W, 6, FALSE), "NO ENCONTRADO EN PLANTA"))</f>
        <v/>
      </c>
      <c r="F838" s="4" t="str">
        <f>IF(B838="","",IFERROR(VLOOKUP(B838, PLANTA_BASE!A:W, 8, FALSE), "DOCENTE / FACILITADOR"))</f>
        <v/>
      </c>
      <c r="G838" s="4" t="str">
        <f>IF(B838="","",IFERROR(VLOOKUP(B838, PLANTA_BASE!A:W, 9, FALSE), "GENERAL"))</f>
        <v/>
      </c>
      <c r="H838" s="2" t="str">
        <f>IF(B838="","",IFERROR(VLOOKUP(B838, PLANTA_BASE!A:W, 17, FALSE), "GENERAL"))</f>
        <v/>
      </c>
    </row>
    <row r="839" spans="1:8" ht="20.100000000000001" customHeight="1" x14ac:dyDescent="0.25">
      <c r="A839" s="5" t="str">
        <f>IF(B839="","",IFERROR(VLOOKUP(B839, PLANTA_BASE!A:W, 2, FALSE), "NO ENCONTRADO EN PLANTA"))</f>
        <v/>
      </c>
      <c r="B839" s="6"/>
      <c r="C839" s="7" t="str">
        <f>IF(B839="","",IFERROR(VLOOKUP(B839, PLANTA_BASE!A:W, 3, FALSE), ""))</f>
        <v/>
      </c>
      <c r="D839" s="5" t="str">
        <f>IF(B839="","",IFERROR(VLOOKUP(B839, PLANTA_BASE!A:W, 5, FALSE), "NO ENCONTRADO EN PLANTA"))</f>
        <v/>
      </c>
      <c r="E839" s="5" t="str">
        <f>IF(B839="","",IFERROR(VLOOKUP(B839, PLANTA_BASE!A:W, 6, FALSE), "NO ENCONTRADO EN PLANTA"))</f>
        <v/>
      </c>
      <c r="F839" s="7" t="str">
        <f>IF(B839="","",IFERROR(VLOOKUP(B839, PLANTA_BASE!A:W, 8, FALSE), "DOCENTE / FACILITADOR"))</f>
        <v/>
      </c>
      <c r="G839" s="7" t="str">
        <f>IF(B839="","",IFERROR(VLOOKUP(B839, PLANTA_BASE!A:W, 9, FALSE), "GENERAL"))</f>
        <v/>
      </c>
      <c r="H839" s="5" t="str">
        <f>IF(B839="","",IFERROR(VLOOKUP(B839, PLANTA_BASE!A:W, 17, FALSE), "GENERAL"))</f>
        <v/>
      </c>
    </row>
    <row r="840" spans="1:8" ht="20.100000000000001" customHeight="1" x14ac:dyDescent="0.25">
      <c r="A840" s="2" t="str">
        <f>IF(B840="","",IFERROR(VLOOKUP(B840, PLANTA_BASE!A:W, 2, FALSE), "NO ENCONTRADO EN PLANTA"))</f>
        <v/>
      </c>
      <c r="B840" s="3"/>
      <c r="C840" s="4" t="str">
        <f>IF(B840="","",IFERROR(VLOOKUP(B840, PLANTA_BASE!A:W, 3, FALSE), ""))</f>
        <v/>
      </c>
      <c r="D840" s="2" t="str">
        <f>IF(B840="","",IFERROR(VLOOKUP(B840, PLANTA_BASE!A:W, 5, FALSE), "NO ENCONTRADO EN PLANTA"))</f>
        <v/>
      </c>
      <c r="E840" s="2" t="str">
        <f>IF(B840="","",IFERROR(VLOOKUP(B840, PLANTA_BASE!A:W, 6, FALSE), "NO ENCONTRADO EN PLANTA"))</f>
        <v/>
      </c>
      <c r="F840" s="4" t="str">
        <f>IF(B840="","",IFERROR(VLOOKUP(B840, PLANTA_BASE!A:W, 8, FALSE), "DOCENTE / FACILITADOR"))</f>
        <v/>
      </c>
      <c r="G840" s="4" t="str">
        <f>IF(B840="","",IFERROR(VLOOKUP(B840, PLANTA_BASE!A:W, 9, FALSE), "GENERAL"))</f>
        <v/>
      </c>
      <c r="H840" s="2" t="str">
        <f>IF(B840="","",IFERROR(VLOOKUP(B840, PLANTA_BASE!A:W, 17, FALSE), "GENERAL"))</f>
        <v/>
      </c>
    </row>
    <row r="841" spans="1:8" ht="20.100000000000001" customHeight="1" x14ac:dyDescent="0.25">
      <c r="A841" s="5" t="str">
        <f>IF(B841="","",IFERROR(VLOOKUP(B841, PLANTA_BASE!A:W, 2, FALSE), "NO ENCONTRADO EN PLANTA"))</f>
        <v/>
      </c>
      <c r="B841" s="6"/>
      <c r="C841" s="7" t="str">
        <f>IF(B841="","",IFERROR(VLOOKUP(B841, PLANTA_BASE!A:W, 3, FALSE), ""))</f>
        <v/>
      </c>
      <c r="D841" s="5" t="str">
        <f>IF(B841="","",IFERROR(VLOOKUP(B841, PLANTA_BASE!A:W, 5, FALSE), "NO ENCONTRADO EN PLANTA"))</f>
        <v/>
      </c>
      <c r="E841" s="5" t="str">
        <f>IF(B841="","",IFERROR(VLOOKUP(B841, PLANTA_BASE!A:W, 6, FALSE), "NO ENCONTRADO EN PLANTA"))</f>
        <v/>
      </c>
      <c r="F841" s="7" t="str">
        <f>IF(B841="","",IFERROR(VLOOKUP(B841, PLANTA_BASE!A:W, 8, FALSE), "DOCENTE / FACILITADOR"))</f>
        <v/>
      </c>
      <c r="G841" s="7" t="str">
        <f>IF(B841="","",IFERROR(VLOOKUP(B841, PLANTA_BASE!A:W, 9, FALSE), "GENERAL"))</f>
        <v/>
      </c>
      <c r="H841" s="5" t="str">
        <f>IF(B841="","",IFERROR(VLOOKUP(B841, PLANTA_BASE!A:W, 17, FALSE), "GENERAL"))</f>
        <v/>
      </c>
    </row>
    <row r="842" spans="1:8" ht="20.100000000000001" customHeight="1" x14ac:dyDescent="0.25">
      <c r="A842" s="2" t="str">
        <f>IF(B842="","",IFERROR(VLOOKUP(B842, PLANTA_BASE!A:W, 2, FALSE), "NO ENCONTRADO EN PLANTA"))</f>
        <v/>
      </c>
      <c r="B842" s="3"/>
      <c r="C842" s="4" t="str">
        <f>IF(B842="","",IFERROR(VLOOKUP(B842, PLANTA_BASE!A:W, 3, FALSE), ""))</f>
        <v/>
      </c>
      <c r="D842" s="2" t="str">
        <f>IF(B842="","",IFERROR(VLOOKUP(B842, PLANTA_BASE!A:W, 5, FALSE), "NO ENCONTRADO EN PLANTA"))</f>
        <v/>
      </c>
      <c r="E842" s="2" t="str">
        <f>IF(B842="","",IFERROR(VLOOKUP(B842, PLANTA_BASE!A:W, 6, FALSE), "NO ENCONTRADO EN PLANTA"))</f>
        <v/>
      </c>
      <c r="F842" s="4" t="str">
        <f>IF(B842="","",IFERROR(VLOOKUP(B842, PLANTA_BASE!A:W, 8, FALSE), "DOCENTE / FACILITADOR"))</f>
        <v/>
      </c>
      <c r="G842" s="4" t="str">
        <f>IF(B842="","",IFERROR(VLOOKUP(B842, PLANTA_BASE!A:W, 9, FALSE), "GENERAL"))</f>
        <v/>
      </c>
      <c r="H842" s="2" t="str">
        <f>IF(B842="","",IFERROR(VLOOKUP(B842, PLANTA_BASE!A:W, 17, FALSE), "GENERAL"))</f>
        <v/>
      </c>
    </row>
    <row r="843" spans="1:8" ht="20.100000000000001" customHeight="1" x14ac:dyDescent="0.25">
      <c r="A843" s="5" t="str">
        <f>IF(B843="","",IFERROR(VLOOKUP(B843, PLANTA_BASE!A:W, 2, FALSE), "NO ENCONTRADO EN PLANTA"))</f>
        <v/>
      </c>
      <c r="B843" s="6"/>
      <c r="C843" s="7" t="str">
        <f>IF(B843="","",IFERROR(VLOOKUP(B843, PLANTA_BASE!A:W, 3, FALSE), ""))</f>
        <v/>
      </c>
      <c r="D843" s="5" t="str">
        <f>IF(B843="","",IFERROR(VLOOKUP(B843, PLANTA_BASE!A:W, 5, FALSE), "NO ENCONTRADO EN PLANTA"))</f>
        <v/>
      </c>
      <c r="E843" s="5" t="str">
        <f>IF(B843="","",IFERROR(VLOOKUP(B843, PLANTA_BASE!A:W, 6, FALSE), "NO ENCONTRADO EN PLANTA"))</f>
        <v/>
      </c>
      <c r="F843" s="7" t="str">
        <f>IF(B843="","",IFERROR(VLOOKUP(B843, PLANTA_BASE!A:W, 8, FALSE), "DOCENTE / FACILITADOR"))</f>
        <v/>
      </c>
      <c r="G843" s="7" t="str">
        <f>IF(B843="","",IFERROR(VLOOKUP(B843, PLANTA_BASE!A:W, 9, FALSE), "GENERAL"))</f>
        <v/>
      </c>
      <c r="H843" s="5" t="str">
        <f>IF(B843="","",IFERROR(VLOOKUP(B843, PLANTA_BASE!A:W, 17, FALSE), "GENERAL"))</f>
        <v/>
      </c>
    </row>
    <row r="844" spans="1:8" ht="20.100000000000001" customHeight="1" x14ac:dyDescent="0.25">
      <c r="A844" s="2" t="str">
        <f>IF(B844="","",IFERROR(VLOOKUP(B844, PLANTA_BASE!A:W, 2, FALSE), "NO ENCONTRADO EN PLANTA"))</f>
        <v/>
      </c>
      <c r="B844" s="3"/>
      <c r="C844" s="4" t="str">
        <f>IF(B844="","",IFERROR(VLOOKUP(B844, PLANTA_BASE!A:W, 3, FALSE), ""))</f>
        <v/>
      </c>
      <c r="D844" s="2" t="str">
        <f>IF(B844="","",IFERROR(VLOOKUP(B844, PLANTA_BASE!A:W, 5, FALSE), "NO ENCONTRADO EN PLANTA"))</f>
        <v/>
      </c>
      <c r="E844" s="2" t="str">
        <f>IF(B844="","",IFERROR(VLOOKUP(B844, PLANTA_BASE!A:W, 6, FALSE), "NO ENCONTRADO EN PLANTA"))</f>
        <v/>
      </c>
      <c r="F844" s="4" t="str">
        <f>IF(B844="","",IFERROR(VLOOKUP(B844, PLANTA_BASE!A:W, 8, FALSE), "DOCENTE / FACILITADOR"))</f>
        <v/>
      </c>
      <c r="G844" s="4" t="str">
        <f>IF(B844="","",IFERROR(VLOOKUP(B844, PLANTA_BASE!A:W, 9, FALSE), "GENERAL"))</f>
        <v/>
      </c>
      <c r="H844" s="2" t="str">
        <f>IF(B844="","",IFERROR(VLOOKUP(B844, PLANTA_BASE!A:W, 17, FALSE), "GENERAL"))</f>
        <v/>
      </c>
    </row>
    <row r="845" spans="1:8" ht="20.100000000000001" customHeight="1" x14ac:dyDescent="0.25">
      <c r="A845" s="5" t="str">
        <f>IF(B845="","",IFERROR(VLOOKUP(B845, PLANTA_BASE!A:W, 2, FALSE), "NO ENCONTRADO EN PLANTA"))</f>
        <v/>
      </c>
      <c r="B845" s="6"/>
      <c r="C845" s="7" t="str">
        <f>IF(B845="","",IFERROR(VLOOKUP(B845, PLANTA_BASE!A:W, 3, FALSE), ""))</f>
        <v/>
      </c>
      <c r="D845" s="5" t="str">
        <f>IF(B845="","",IFERROR(VLOOKUP(B845, PLANTA_BASE!A:W, 5, FALSE), "NO ENCONTRADO EN PLANTA"))</f>
        <v/>
      </c>
      <c r="E845" s="5" t="str">
        <f>IF(B845="","",IFERROR(VLOOKUP(B845, PLANTA_BASE!A:W, 6, FALSE), "NO ENCONTRADO EN PLANTA"))</f>
        <v/>
      </c>
      <c r="F845" s="7" t="str">
        <f>IF(B845="","",IFERROR(VLOOKUP(B845, PLANTA_BASE!A:W, 8, FALSE), "DOCENTE / FACILITADOR"))</f>
        <v/>
      </c>
      <c r="G845" s="7" t="str">
        <f>IF(B845="","",IFERROR(VLOOKUP(B845, PLANTA_BASE!A:W, 9, FALSE), "GENERAL"))</f>
        <v/>
      </c>
      <c r="H845" s="5" t="str">
        <f>IF(B845="","",IFERROR(VLOOKUP(B845, PLANTA_BASE!A:W, 17, FALSE), "GENERAL"))</f>
        <v/>
      </c>
    </row>
    <row r="846" spans="1:8" ht="20.100000000000001" customHeight="1" x14ac:dyDescent="0.25">
      <c r="A846" s="2" t="str">
        <f>IF(B846="","",IFERROR(VLOOKUP(B846, PLANTA_BASE!A:W, 2, FALSE), "NO ENCONTRADO EN PLANTA"))</f>
        <v/>
      </c>
      <c r="B846" s="3"/>
      <c r="C846" s="4" t="str">
        <f>IF(B846="","",IFERROR(VLOOKUP(B846, PLANTA_BASE!A:W, 3, FALSE), ""))</f>
        <v/>
      </c>
      <c r="D846" s="2" t="str">
        <f>IF(B846="","",IFERROR(VLOOKUP(B846, PLANTA_BASE!A:W, 5, FALSE), "NO ENCONTRADO EN PLANTA"))</f>
        <v/>
      </c>
      <c r="E846" s="2" t="str">
        <f>IF(B846="","",IFERROR(VLOOKUP(B846, PLANTA_BASE!A:W, 6, FALSE), "NO ENCONTRADO EN PLANTA"))</f>
        <v/>
      </c>
      <c r="F846" s="4" t="str">
        <f>IF(B846="","",IFERROR(VLOOKUP(B846, PLANTA_BASE!A:W, 8, FALSE), "DOCENTE / FACILITADOR"))</f>
        <v/>
      </c>
      <c r="G846" s="4" t="str">
        <f>IF(B846="","",IFERROR(VLOOKUP(B846, PLANTA_BASE!A:W, 9, FALSE), "GENERAL"))</f>
        <v/>
      </c>
      <c r="H846" s="2" t="str">
        <f>IF(B846="","",IFERROR(VLOOKUP(B846, PLANTA_BASE!A:W, 17, FALSE), "GENERAL"))</f>
        <v/>
      </c>
    </row>
    <row r="847" spans="1:8" ht="20.100000000000001" customHeight="1" x14ac:dyDescent="0.25">
      <c r="A847" s="5" t="str">
        <f>IF(B847="","",IFERROR(VLOOKUP(B847, PLANTA_BASE!A:W, 2, FALSE), "NO ENCONTRADO EN PLANTA"))</f>
        <v/>
      </c>
      <c r="B847" s="6"/>
      <c r="C847" s="7" t="str">
        <f>IF(B847="","",IFERROR(VLOOKUP(B847, PLANTA_BASE!A:W, 3, FALSE), ""))</f>
        <v/>
      </c>
      <c r="D847" s="5" t="str">
        <f>IF(B847="","",IFERROR(VLOOKUP(B847, PLANTA_BASE!A:W, 5, FALSE), "NO ENCONTRADO EN PLANTA"))</f>
        <v/>
      </c>
      <c r="E847" s="5" t="str">
        <f>IF(B847="","",IFERROR(VLOOKUP(B847, PLANTA_BASE!A:W, 6, FALSE), "NO ENCONTRADO EN PLANTA"))</f>
        <v/>
      </c>
      <c r="F847" s="7" t="str">
        <f>IF(B847="","",IFERROR(VLOOKUP(B847, PLANTA_BASE!A:W, 8, FALSE), "DOCENTE / FACILITADOR"))</f>
        <v/>
      </c>
      <c r="G847" s="7" t="str">
        <f>IF(B847="","",IFERROR(VLOOKUP(B847, PLANTA_BASE!A:W, 9, FALSE), "GENERAL"))</f>
        <v/>
      </c>
      <c r="H847" s="5" t="str">
        <f>IF(B847="","",IFERROR(VLOOKUP(B847, PLANTA_BASE!A:W, 17, FALSE), "GENERAL"))</f>
        <v/>
      </c>
    </row>
    <row r="848" spans="1:8" ht="20.100000000000001" customHeight="1" x14ac:dyDescent="0.25">
      <c r="A848" s="2" t="str">
        <f>IF(B848="","",IFERROR(VLOOKUP(B848, PLANTA_BASE!A:W, 2, FALSE), "NO ENCONTRADO EN PLANTA"))</f>
        <v/>
      </c>
      <c r="B848" s="3"/>
      <c r="C848" s="4" t="str">
        <f>IF(B848="","",IFERROR(VLOOKUP(B848, PLANTA_BASE!A:W, 3, FALSE), ""))</f>
        <v/>
      </c>
      <c r="D848" s="2" t="str">
        <f>IF(B848="","",IFERROR(VLOOKUP(B848, PLANTA_BASE!A:W, 5, FALSE), "NO ENCONTRADO EN PLANTA"))</f>
        <v/>
      </c>
      <c r="E848" s="2" t="str">
        <f>IF(B848="","",IFERROR(VLOOKUP(B848, PLANTA_BASE!A:W, 6, FALSE), "NO ENCONTRADO EN PLANTA"))</f>
        <v/>
      </c>
      <c r="F848" s="4" t="str">
        <f>IF(B848="","",IFERROR(VLOOKUP(B848, PLANTA_BASE!A:W, 8, FALSE), "DOCENTE / FACILITADOR"))</f>
        <v/>
      </c>
      <c r="G848" s="4" t="str">
        <f>IF(B848="","",IFERROR(VLOOKUP(B848, PLANTA_BASE!A:W, 9, FALSE), "GENERAL"))</f>
        <v/>
      </c>
      <c r="H848" s="2" t="str">
        <f>IF(B848="","",IFERROR(VLOOKUP(B848, PLANTA_BASE!A:W, 17, FALSE), "GENERAL"))</f>
        <v/>
      </c>
    </row>
    <row r="849" spans="1:8" ht="20.100000000000001" customHeight="1" x14ac:dyDescent="0.25">
      <c r="A849" s="5" t="str">
        <f>IF(B849="","",IFERROR(VLOOKUP(B849, PLANTA_BASE!A:W, 2, FALSE), "NO ENCONTRADO EN PLANTA"))</f>
        <v/>
      </c>
      <c r="B849" s="6"/>
      <c r="C849" s="7" t="str">
        <f>IF(B849="","",IFERROR(VLOOKUP(B849, PLANTA_BASE!A:W, 3, FALSE), ""))</f>
        <v/>
      </c>
      <c r="D849" s="5" t="str">
        <f>IF(B849="","",IFERROR(VLOOKUP(B849, PLANTA_BASE!A:W, 5, FALSE), "NO ENCONTRADO EN PLANTA"))</f>
        <v/>
      </c>
      <c r="E849" s="5" t="str">
        <f>IF(B849="","",IFERROR(VLOOKUP(B849, PLANTA_BASE!A:W, 6, FALSE), "NO ENCONTRADO EN PLANTA"))</f>
        <v/>
      </c>
      <c r="F849" s="7" t="str">
        <f>IF(B849="","",IFERROR(VLOOKUP(B849, PLANTA_BASE!A:W, 8, FALSE), "DOCENTE / FACILITADOR"))</f>
        <v/>
      </c>
      <c r="G849" s="7" t="str">
        <f>IF(B849="","",IFERROR(VLOOKUP(B849, PLANTA_BASE!A:W, 9, FALSE), "GENERAL"))</f>
        <v/>
      </c>
      <c r="H849" s="5" t="str">
        <f>IF(B849="","",IFERROR(VLOOKUP(B849, PLANTA_BASE!A:W, 17, FALSE), "GENERAL"))</f>
        <v/>
      </c>
    </row>
    <row r="850" spans="1:8" ht="20.100000000000001" customHeight="1" x14ac:dyDescent="0.25">
      <c r="A850" s="2" t="str">
        <f>IF(B850="","",IFERROR(VLOOKUP(B850, PLANTA_BASE!A:W, 2, FALSE), "NO ENCONTRADO EN PLANTA"))</f>
        <v/>
      </c>
      <c r="B850" s="3"/>
      <c r="C850" s="4" t="str">
        <f>IF(B850="","",IFERROR(VLOOKUP(B850, PLANTA_BASE!A:W, 3, FALSE), ""))</f>
        <v/>
      </c>
      <c r="D850" s="2" t="str">
        <f>IF(B850="","",IFERROR(VLOOKUP(B850, PLANTA_BASE!A:W, 5, FALSE), "NO ENCONTRADO EN PLANTA"))</f>
        <v/>
      </c>
      <c r="E850" s="2" t="str">
        <f>IF(B850="","",IFERROR(VLOOKUP(B850, PLANTA_BASE!A:W, 6, FALSE), "NO ENCONTRADO EN PLANTA"))</f>
        <v/>
      </c>
      <c r="F850" s="4" t="str">
        <f>IF(B850="","",IFERROR(VLOOKUP(B850, PLANTA_BASE!A:W, 8, FALSE), "DOCENTE / FACILITADOR"))</f>
        <v/>
      </c>
      <c r="G850" s="4" t="str">
        <f>IF(B850="","",IFERROR(VLOOKUP(B850, PLANTA_BASE!A:W, 9, FALSE), "GENERAL"))</f>
        <v/>
      </c>
      <c r="H850" s="2" t="str">
        <f>IF(B850="","",IFERROR(VLOOKUP(B850, PLANTA_BASE!A:W, 17, FALSE), "GENERAL"))</f>
        <v/>
      </c>
    </row>
    <row r="851" spans="1:8" ht="20.100000000000001" customHeight="1" x14ac:dyDescent="0.25">
      <c r="A851" s="5" t="str">
        <f>IF(B851="","",IFERROR(VLOOKUP(B851, PLANTA_BASE!A:W, 2, FALSE), "NO ENCONTRADO EN PLANTA"))</f>
        <v/>
      </c>
      <c r="B851" s="6"/>
      <c r="C851" s="7" t="str">
        <f>IF(B851="","",IFERROR(VLOOKUP(B851, PLANTA_BASE!A:W, 3, FALSE), ""))</f>
        <v/>
      </c>
      <c r="D851" s="5" t="str">
        <f>IF(B851="","",IFERROR(VLOOKUP(B851, PLANTA_BASE!A:W, 5, FALSE), "NO ENCONTRADO EN PLANTA"))</f>
        <v/>
      </c>
      <c r="E851" s="5" t="str">
        <f>IF(B851="","",IFERROR(VLOOKUP(B851, PLANTA_BASE!A:W, 6, FALSE), "NO ENCONTRADO EN PLANTA"))</f>
        <v/>
      </c>
      <c r="F851" s="7" t="str">
        <f>IF(B851="","",IFERROR(VLOOKUP(B851, PLANTA_BASE!A:W, 8, FALSE), "DOCENTE / FACILITADOR"))</f>
        <v/>
      </c>
      <c r="G851" s="7" t="str">
        <f>IF(B851="","",IFERROR(VLOOKUP(B851, PLANTA_BASE!A:W, 9, FALSE), "GENERAL"))</f>
        <v/>
      </c>
      <c r="H851" s="5" t="str">
        <f>IF(B851="","",IFERROR(VLOOKUP(B851, PLANTA_BASE!A:W, 17, FALSE), "GENERAL"))</f>
        <v/>
      </c>
    </row>
    <row r="852" spans="1:8" ht="20.100000000000001" customHeight="1" x14ac:dyDescent="0.25">
      <c r="A852" s="2" t="str">
        <f>IF(B852="","",IFERROR(VLOOKUP(B852, PLANTA_BASE!A:W, 2, FALSE), "NO ENCONTRADO EN PLANTA"))</f>
        <v/>
      </c>
      <c r="B852" s="3"/>
      <c r="C852" s="4" t="str">
        <f>IF(B852="","",IFERROR(VLOOKUP(B852, PLANTA_BASE!A:W, 3, FALSE), ""))</f>
        <v/>
      </c>
      <c r="D852" s="2" t="str">
        <f>IF(B852="","",IFERROR(VLOOKUP(B852, PLANTA_BASE!A:W, 5, FALSE), "NO ENCONTRADO EN PLANTA"))</f>
        <v/>
      </c>
      <c r="E852" s="2" t="str">
        <f>IF(B852="","",IFERROR(VLOOKUP(B852, PLANTA_BASE!A:W, 6, FALSE), "NO ENCONTRADO EN PLANTA"))</f>
        <v/>
      </c>
      <c r="F852" s="4" t="str">
        <f>IF(B852="","",IFERROR(VLOOKUP(B852, PLANTA_BASE!A:W, 8, FALSE), "DOCENTE / FACILITADOR"))</f>
        <v/>
      </c>
      <c r="G852" s="4" t="str">
        <f>IF(B852="","",IFERROR(VLOOKUP(B852, PLANTA_BASE!A:W, 9, FALSE), "GENERAL"))</f>
        <v/>
      </c>
      <c r="H852" s="2" t="str">
        <f>IF(B852="","",IFERROR(VLOOKUP(B852, PLANTA_BASE!A:W, 17, FALSE), "GENERAL"))</f>
        <v/>
      </c>
    </row>
    <row r="853" spans="1:8" ht="20.100000000000001" customHeight="1" x14ac:dyDescent="0.25">
      <c r="A853" s="5" t="str">
        <f>IF(B853="","",IFERROR(VLOOKUP(B853, PLANTA_BASE!A:W, 2, FALSE), "NO ENCONTRADO EN PLANTA"))</f>
        <v/>
      </c>
      <c r="B853" s="6"/>
      <c r="C853" s="7" t="str">
        <f>IF(B853="","",IFERROR(VLOOKUP(B853, PLANTA_BASE!A:W, 3, FALSE), ""))</f>
        <v/>
      </c>
      <c r="D853" s="5" t="str">
        <f>IF(B853="","",IFERROR(VLOOKUP(B853, PLANTA_BASE!A:W, 5, FALSE), "NO ENCONTRADO EN PLANTA"))</f>
        <v/>
      </c>
      <c r="E853" s="5" t="str">
        <f>IF(B853="","",IFERROR(VLOOKUP(B853, PLANTA_BASE!A:W, 6, FALSE), "NO ENCONTRADO EN PLANTA"))</f>
        <v/>
      </c>
      <c r="F853" s="7" t="str">
        <f>IF(B853="","",IFERROR(VLOOKUP(B853, PLANTA_BASE!A:W, 8, FALSE), "DOCENTE / FACILITADOR"))</f>
        <v/>
      </c>
      <c r="G853" s="7" t="str">
        <f>IF(B853="","",IFERROR(VLOOKUP(B853, PLANTA_BASE!A:W, 9, FALSE), "GENERAL"))</f>
        <v/>
      </c>
      <c r="H853" s="5" t="str">
        <f>IF(B853="","",IFERROR(VLOOKUP(B853, PLANTA_BASE!A:W, 17, FALSE), "GENERAL"))</f>
        <v/>
      </c>
    </row>
    <row r="854" spans="1:8" ht="20.100000000000001" customHeight="1" x14ac:dyDescent="0.25">
      <c r="A854" s="2" t="str">
        <f>IF(B854="","",IFERROR(VLOOKUP(B854, PLANTA_BASE!A:W, 2, FALSE), "NO ENCONTRADO EN PLANTA"))</f>
        <v/>
      </c>
      <c r="B854" s="3"/>
      <c r="C854" s="4" t="str">
        <f>IF(B854="","",IFERROR(VLOOKUP(B854, PLANTA_BASE!A:W, 3, FALSE), ""))</f>
        <v/>
      </c>
      <c r="D854" s="2" t="str">
        <f>IF(B854="","",IFERROR(VLOOKUP(B854, PLANTA_BASE!A:W, 5, FALSE), "NO ENCONTRADO EN PLANTA"))</f>
        <v/>
      </c>
      <c r="E854" s="2" t="str">
        <f>IF(B854="","",IFERROR(VLOOKUP(B854, PLANTA_BASE!A:W, 6, FALSE), "NO ENCONTRADO EN PLANTA"))</f>
        <v/>
      </c>
      <c r="F854" s="4" t="str">
        <f>IF(B854="","",IFERROR(VLOOKUP(B854, PLANTA_BASE!A:W, 8, FALSE), "DOCENTE / FACILITADOR"))</f>
        <v/>
      </c>
      <c r="G854" s="4" t="str">
        <f>IF(B854="","",IFERROR(VLOOKUP(B854, PLANTA_BASE!A:W, 9, FALSE), "GENERAL"))</f>
        <v/>
      </c>
      <c r="H854" s="2" t="str">
        <f>IF(B854="","",IFERROR(VLOOKUP(B854, PLANTA_BASE!A:W, 17, FALSE), "GENERAL"))</f>
        <v/>
      </c>
    </row>
    <row r="855" spans="1:8" ht="20.100000000000001" customHeight="1" x14ac:dyDescent="0.25">
      <c r="A855" s="5" t="str">
        <f>IF(B855="","",IFERROR(VLOOKUP(B855, PLANTA_BASE!A:W, 2, FALSE), "NO ENCONTRADO EN PLANTA"))</f>
        <v/>
      </c>
      <c r="B855" s="6"/>
      <c r="C855" s="7" t="str">
        <f>IF(B855="","",IFERROR(VLOOKUP(B855, PLANTA_BASE!A:W, 3, FALSE), ""))</f>
        <v/>
      </c>
      <c r="D855" s="5" t="str">
        <f>IF(B855="","",IFERROR(VLOOKUP(B855, PLANTA_BASE!A:W, 5, FALSE), "NO ENCONTRADO EN PLANTA"))</f>
        <v/>
      </c>
      <c r="E855" s="5" t="str">
        <f>IF(B855="","",IFERROR(VLOOKUP(B855, PLANTA_BASE!A:W, 6, FALSE), "NO ENCONTRADO EN PLANTA"))</f>
        <v/>
      </c>
      <c r="F855" s="7" t="str">
        <f>IF(B855="","",IFERROR(VLOOKUP(B855, PLANTA_BASE!A:W, 8, FALSE), "DOCENTE / FACILITADOR"))</f>
        <v/>
      </c>
      <c r="G855" s="7" t="str">
        <f>IF(B855="","",IFERROR(VLOOKUP(B855, PLANTA_BASE!A:W, 9, FALSE), "GENERAL"))</f>
        <v/>
      </c>
      <c r="H855" s="5" t="str">
        <f>IF(B855="","",IFERROR(VLOOKUP(B855, PLANTA_BASE!A:W, 17, FALSE), "GENERAL"))</f>
        <v/>
      </c>
    </row>
    <row r="856" spans="1:8" ht="20.100000000000001" customHeight="1" x14ac:dyDescent="0.25">
      <c r="A856" s="2" t="str">
        <f>IF(B856="","",IFERROR(VLOOKUP(B856, PLANTA_BASE!A:W, 2, FALSE), "NO ENCONTRADO EN PLANTA"))</f>
        <v/>
      </c>
      <c r="B856" s="3"/>
      <c r="C856" s="4" t="str">
        <f>IF(B856="","",IFERROR(VLOOKUP(B856, PLANTA_BASE!A:W, 3, FALSE), ""))</f>
        <v/>
      </c>
      <c r="D856" s="2" t="str">
        <f>IF(B856="","",IFERROR(VLOOKUP(B856, PLANTA_BASE!A:W, 5, FALSE), "NO ENCONTRADO EN PLANTA"))</f>
        <v/>
      </c>
      <c r="E856" s="2" t="str">
        <f>IF(B856="","",IFERROR(VLOOKUP(B856, PLANTA_BASE!A:W, 6, FALSE), "NO ENCONTRADO EN PLANTA"))</f>
        <v/>
      </c>
      <c r="F856" s="4" t="str">
        <f>IF(B856="","",IFERROR(VLOOKUP(B856, PLANTA_BASE!A:W, 8, FALSE), "DOCENTE / FACILITADOR"))</f>
        <v/>
      </c>
      <c r="G856" s="4" t="str">
        <f>IF(B856="","",IFERROR(VLOOKUP(B856, PLANTA_BASE!A:W, 9, FALSE), "GENERAL"))</f>
        <v/>
      </c>
      <c r="H856" s="2" t="str">
        <f>IF(B856="","",IFERROR(VLOOKUP(B856, PLANTA_BASE!A:W, 17, FALSE), "GENERAL"))</f>
        <v/>
      </c>
    </row>
    <row r="857" spans="1:8" ht="20.100000000000001" customHeight="1" x14ac:dyDescent="0.25">
      <c r="A857" s="5" t="str">
        <f>IF(B857="","",IFERROR(VLOOKUP(B857, PLANTA_BASE!A:W, 2, FALSE), "NO ENCONTRADO EN PLANTA"))</f>
        <v/>
      </c>
      <c r="B857" s="6"/>
      <c r="C857" s="7" t="str">
        <f>IF(B857="","",IFERROR(VLOOKUP(B857, PLANTA_BASE!A:W, 3, FALSE), ""))</f>
        <v/>
      </c>
      <c r="D857" s="5" t="str">
        <f>IF(B857="","",IFERROR(VLOOKUP(B857, PLANTA_BASE!A:W, 5, FALSE), "NO ENCONTRADO EN PLANTA"))</f>
        <v/>
      </c>
      <c r="E857" s="5" t="str">
        <f>IF(B857="","",IFERROR(VLOOKUP(B857, PLANTA_BASE!A:W, 6, FALSE), "NO ENCONTRADO EN PLANTA"))</f>
        <v/>
      </c>
      <c r="F857" s="7" t="str">
        <f>IF(B857="","",IFERROR(VLOOKUP(B857, PLANTA_BASE!A:W, 8, FALSE), "DOCENTE / FACILITADOR"))</f>
        <v/>
      </c>
      <c r="G857" s="7" t="str">
        <f>IF(B857="","",IFERROR(VLOOKUP(B857, PLANTA_BASE!A:W, 9, FALSE), "GENERAL"))</f>
        <v/>
      </c>
      <c r="H857" s="5" t="str">
        <f>IF(B857="","",IFERROR(VLOOKUP(B857, PLANTA_BASE!A:W, 17, FALSE), "GENERAL"))</f>
        <v/>
      </c>
    </row>
    <row r="858" spans="1:8" ht="20.100000000000001" customHeight="1" x14ac:dyDescent="0.25">
      <c r="A858" s="2" t="str">
        <f>IF(B858="","",IFERROR(VLOOKUP(B858, PLANTA_BASE!A:W, 2, FALSE), "NO ENCONTRADO EN PLANTA"))</f>
        <v/>
      </c>
      <c r="B858" s="3"/>
      <c r="C858" s="4" t="str">
        <f>IF(B858="","",IFERROR(VLOOKUP(B858, PLANTA_BASE!A:W, 3, FALSE), ""))</f>
        <v/>
      </c>
      <c r="D858" s="2" t="str">
        <f>IF(B858="","",IFERROR(VLOOKUP(B858, PLANTA_BASE!A:W, 5, FALSE), "NO ENCONTRADO EN PLANTA"))</f>
        <v/>
      </c>
      <c r="E858" s="2" t="str">
        <f>IF(B858="","",IFERROR(VLOOKUP(B858, PLANTA_BASE!A:W, 6, FALSE), "NO ENCONTRADO EN PLANTA"))</f>
        <v/>
      </c>
      <c r="F858" s="4" t="str">
        <f>IF(B858="","",IFERROR(VLOOKUP(B858, PLANTA_BASE!A:W, 8, FALSE), "DOCENTE / FACILITADOR"))</f>
        <v/>
      </c>
      <c r="G858" s="4" t="str">
        <f>IF(B858="","",IFERROR(VLOOKUP(B858, PLANTA_BASE!A:W, 9, FALSE), "GENERAL"))</f>
        <v/>
      </c>
      <c r="H858" s="2" t="str">
        <f>IF(B858="","",IFERROR(VLOOKUP(B858, PLANTA_BASE!A:W, 17, FALSE), "GENERAL"))</f>
        <v/>
      </c>
    </row>
    <row r="859" spans="1:8" ht="20.100000000000001" customHeight="1" x14ac:dyDescent="0.25">
      <c r="A859" s="5" t="str">
        <f>IF(B859="","",IFERROR(VLOOKUP(B859, PLANTA_BASE!A:W, 2, FALSE), "NO ENCONTRADO EN PLANTA"))</f>
        <v/>
      </c>
      <c r="B859" s="6"/>
      <c r="C859" s="7" t="str">
        <f>IF(B859="","",IFERROR(VLOOKUP(B859, PLANTA_BASE!A:W, 3, FALSE), ""))</f>
        <v/>
      </c>
      <c r="D859" s="5" t="str">
        <f>IF(B859="","",IFERROR(VLOOKUP(B859, PLANTA_BASE!A:W, 5, FALSE), "NO ENCONTRADO EN PLANTA"))</f>
        <v/>
      </c>
      <c r="E859" s="5" t="str">
        <f>IF(B859="","",IFERROR(VLOOKUP(B859, PLANTA_BASE!A:W, 6, FALSE), "NO ENCONTRADO EN PLANTA"))</f>
        <v/>
      </c>
      <c r="F859" s="7" t="str">
        <f>IF(B859="","",IFERROR(VLOOKUP(B859, PLANTA_BASE!A:W, 8, FALSE), "DOCENTE / FACILITADOR"))</f>
        <v/>
      </c>
      <c r="G859" s="7" t="str">
        <f>IF(B859="","",IFERROR(VLOOKUP(B859, PLANTA_BASE!A:W, 9, FALSE), "GENERAL"))</f>
        <v/>
      </c>
      <c r="H859" s="5" t="str">
        <f>IF(B859="","",IFERROR(VLOOKUP(B859, PLANTA_BASE!A:W, 17, FALSE), "GENERAL"))</f>
        <v/>
      </c>
    </row>
    <row r="860" spans="1:8" ht="20.100000000000001" customHeight="1" x14ac:dyDescent="0.25">
      <c r="A860" s="2" t="str">
        <f>IF(B860="","",IFERROR(VLOOKUP(B860, PLANTA_BASE!A:W, 2, FALSE), "NO ENCONTRADO EN PLANTA"))</f>
        <v/>
      </c>
      <c r="B860" s="3"/>
      <c r="C860" s="4" t="str">
        <f>IF(B860="","",IFERROR(VLOOKUP(B860, PLANTA_BASE!A:W, 3, FALSE), ""))</f>
        <v/>
      </c>
      <c r="D860" s="2" t="str">
        <f>IF(B860="","",IFERROR(VLOOKUP(B860, PLANTA_BASE!A:W, 5, FALSE), "NO ENCONTRADO EN PLANTA"))</f>
        <v/>
      </c>
      <c r="E860" s="2" t="str">
        <f>IF(B860="","",IFERROR(VLOOKUP(B860, PLANTA_BASE!A:W, 6, FALSE), "NO ENCONTRADO EN PLANTA"))</f>
        <v/>
      </c>
      <c r="F860" s="4" t="str">
        <f>IF(B860="","",IFERROR(VLOOKUP(B860, PLANTA_BASE!A:W, 8, FALSE), "DOCENTE / FACILITADOR"))</f>
        <v/>
      </c>
      <c r="G860" s="4" t="str">
        <f>IF(B860="","",IFERROR(VLOOKUP(B860, PLANTA_BASE!A:W, 9, FALSE), "GENERAL"))</f>
        <v/>
      </c>
      <c r="H860" s="2" t="str">
        <f>IF(B860="","",IFERROR(VLOOKUP(B860, PLANTA_BASE!A:W, 17, FALSE), "GENERAL"))</f>
        <v/>
      </c>
    </row>
    <row r="861" spans="1:8" ht="20.100000000000001" customHeight="1" x14ac:dyDescent="0.25">
      <c r="A861" s="5" t="str">
        <f>IF(B861="","",IFERROR(VLOOKUP(B861, PLANTA_BASE!A:W, 2, FALSE), "NO ENCONTRADO EN PLANTA"))</f>
        <v/>
      </c>
      <c r="B861" s="6"/>
      <c r="C861" s="7" t="str">
        <f>IF(B861="","",IFERROR(VLOOKUP(B861, PLANTA_BASE!A:W, 3, FALSE), ""))</f>
        <v/>
      </c>
      <c r="D861" s="5" t="str">
        <f>IF(B861="","",IFERROR(VLOOKUP(B861, PLANTA_BASE!A:W, 5, FALSE), "NO ENCONTRADO EN PLANTA"))</f>
        <v/>
      </c>
      <c r="E861" s="5" t="str">
        <f>IF(B861="","",IFERROR(VLOOKUP(B861, PLANTA_BASE!A:W, 6, FALSE), "NO ENCONTRADO EN PLANTA"))</f>
        <v/>
      </c>
      <c r="F861" s="7" t="str">
        <f>IF(B861="","",IFERROR(VLOOKUP(B861, PLANTA_BASE!A:W, 8, FALSE), "DOCENTE / FACILITADOR"))</f>
        <v/>
      </c>
      <c r="G861" s="7" t="str">
        <f>IF(B861="","",IFERROR(VLOOKUP(B861, PLANTA_BASE!A:W, 9, FALSE), "GENERAL"))</f>
        <v/>
      </c>
      <c r="H861" s="5" t="str">
        <f>IF(B861="","",IFERROR(VLOOKUP(B861, PLANTA_BASE!A:W, 17, FALSE), "GENERAL"))</f>
        <v/>
      </c>
    </row>
    <row r="862" spans="1:8" ht="20.100000000000001" customHeight="1" x14ac:dyDescent="0.25">
      <c r="A862" s="2" t="str">
        <f>IF(B862="","",IFERROR(VLOOKUP(B862, PLANTA_BASE!A:W, 2, FALSE), "NO ENCONTRADO EN PLANTA"))</f>
        <v/>
      </c>
      <c r="B862" s="3"/>
      <c r="C862" s="4" t="str">
        <f>IF(B862="","",IFERROR(VLOOKUP(B862, PLANTA_BASE!A:W, 3, FALSE), ""))</f>
        <v/>
      </c>
      <c r="D862" s="2" t="str">
        <f>IF(B862="","",IFERROR(VLOOKUP(B862, PLANTA_BASE!A:W, 5, FALSE), "NO ENCONTRADO EN PLANTA"))</f>
        <v/>
      </c>
      <c r="E862" s="2" t="str">
        <f>IF(B862="","",IFERROR(VLOOKUP(B862, PLANTA_BASE!A:W, 6, FALSE), "NO ENCONTRADO EN PLANTA"))</f>
        <v/>
      </c>
      <c r="F862" s="4" t="str">
        <f>IF(B862="","",IFERROR(VLOOKUP(B862, PLANTA_BASE!A:W, 8, FALSE), "DOCENTE / FACILITADOR"))</f>
        <v/>
      </c>
      <c r="G862" s="4" t="str">
        <f>IF(B862="","",IFERROR(VLOOKUP(B862, PLANTA_BASE!A:W, 9, FALSE), "GENERAL"))</f>
        <v/>
      </c>
      <c r="H862" s="2" t="str">
        <f>IF(B862="","",IFERROR(VLOOKUP(B862, PLANTA_BASE!A:W, 17, FALSE), "GENERAL"))</f>
        <v/>
      </c>
    </row>
    <row r="863" spans="1:8" ht="20.100000000000001" customHeight="1" x14ac:dyDescent="0.25">
      <c r="A863" s="5" t="str">
        <f>IF(B863="","",IFERROR(VLOOKUP(B863, PLANTA_BASE!A:W, 2, FALSE), "NO ENCONTRADO EN PLANTA"))</f>
        <v/>
      </c>
      <c r="B863" s="6"/>
      <c r="C863" s="7" t="str">
        <f>IF(B863="","",IFERROR(VLOOKUP(B863, PLANTA_BASE!A:W, 3, FALSE), ""))</f>
        <v/>
      </c>
      <c r="D863" s="5" t="str">
        <f>IF(B863="","",IFERROR(VLOOKUP(B863, PLANTA_BASE!A:W, 5, FALSE), "NO ENCONTRADO EN PLANTA"))</f>
        <v/>
      </c>
      <c r="E863" s="5" t="str">
        <f>IF(B863="","",IFERROR(VLOOKUP(B863, PLANTA_BASE!A:W, 6, FALSE), "NO ENCONTRADO EN PLANTA"))</f>
        <v/>
      </c>
      <c r="F863" s="7" t="str">
        <f>IF(B863="","",IFERROR(VLOOKUP(B863, PLANTA_BASE!A:W, 8, FALSE), "DOCENTE / FACILITADOR"))</f>
        <v/>
      </c>
      <c r="G863" s="7" t="str">
        <f>IF(B863="","",IFERROR(VLOOKUP(B863, PLANTA_BASE!A:W, 9, FALSE), "GENERAL"))</f>
        <v/>
      </c>
      <c r="H863" s="5" t="str">
        <f>IF(B863="","",IFERROR(VLOOKUP(B863, PLANTA_BASE!A:W, 17, FALSE), "GENERAL"))</f>
        <v/>
      </c>
    </row>
    <row r="864" spans="1:8" ht="20.100000000000001" customHeight="1" x14ac:dyDescent="0.25">
      <c r="A864" s="2" t="str">
        <f>IF(B864="","",IFERROR(VLOOKUP(B864, PLANTA_BASE!A:W, 2, FALSE), "NO ENCONTRADO EN PLANTA"))</f>
        <v/>
      </c>
      <c r="B864" s="3"/>
      <c r="C864" s="4" t="str">
        <f>IF(B864="","",IFERROR(VLOOKUP(B864, PLANTA_BASE!A:W, 3, FALSE), ""))</f>
        <v/>
      </c>
      <c r="D864" s="2" t="str">
        <f>IF(B864="","",IFERROR(VLOOKUP(B864, PLANTA_BASE!A:W, 5, FALSE), "NO ENCONTRADO EN PLANTA"))</f>
        <v/>
      </c>
      <c r="E864" s="2" t="str">
        <f>IF(B864="","",IFERROR(VLOOKUP(B864, PLANTA_BASE!A:W, 6, FALSE), "NO ENCONTRADO EN PLANTA"))</f>
        <v/>
      </c>
      <c r="F864" s="4" t="str">
        <f>IF(B864="","",IFERROR(VLOOKUP(B864, PLANTA_BASE!A:W, 8, FALSE), "DOCENTE / FACILITADOR"))</f>
        <v/>
      </c>
      <c r="G864" s="4" t="str">
        <f>IF(B864="","",IFERROR(VLOOKUP(B864, PLANTA_BASE!A:W, 9, FALSE), "GENERAL"))</f>
        <v/>
      </c>
      <c r="H864" s="2" t="str">
        <f>IF(B864="","",IFERROR(VLOOKUP(B864, PLANTA_BASE!A:W, 17, FALSE), "GENERAL"))</f>
        <v/>
      </c>
    </row>
    <row r="865" spans="1:8" ht="20.100000000000001" customHeight="1" x14ac:dyDescent="0.25">
      <c r="A865" s="5" t="str">
        <f>IF(B865="","",IFERROR(VLOOKUP(B865, PLANTA_BASE!A:W, 2, FALSE), "NO ENCONTRADO EN PLANTA"))</f>
        <v/>
      </c>
      <c r="B865" s="6"/>
      <c r="C865" s="7" t="str">
        <f>IF(B865="","",IFERROR(VLOOKUP(B865, PLANTA_BASE!A:W, 3, FALSE), ""))</f>
        <v/>
      </c>
      <c r="D865" s="5" t="str">
        <f>IF(B865="","",IFERROR(VLOOKUP(B865, PLANTA_BASE!A:W, 5, FALSE), "NO ENCONTRADO EN PLANTA"))</f>
        <v/>
      </c>
      <c r="E865" s="5" t="str">
        <f>IF(B865="","",IFERROR(VLOOKUP(B865, PLANTA_BASE!A:W, 6, FALSE), "NO ENCONTRADO EN PLANTA"))</f>
        <v/>
      </c>
      <c r="F865" s="7" t="str">
        <f>IF(B865="","",IFERROR(VLOOKUP(B865, PLANTA_BASE!A:W, 8, FALSE), "DOCENTE / FACILITADOR"))</f>
        <v/>
      </c>
      <c r="G865" s="7" t="str">
        <f>IF(B865="","",IFERROR(VLOOKUP(B865, PLANTA_BASE!A:W, 9, FALSE), "GENERAL"))</f>
        <v/>
      </c>
      <c r="H865" s="5" t="str">
        <f>IF(B865="","",IFERROR(VLOOKUP(B865, PLANTA_BASE!A:W, 17, FALSE), "GENERAL"))</f>
        <v/>
      </c>
    </row>
    <row r="866" spans="1:8" ht="20.100000000000001" customHeight="1" x14ac:dyDescent="0.25">
      <c r="A866" s="2" t="str">
        <f>IF(B866="","",IFERROR(VLOOKUP(B866, PLANTA_BASE!A:W, 2, FALSE), "NO ENCONTRADO EN PLANTA"))</f>
        <v/>
      </c>
      <c r="B866" s="3"/>
      <c r="C866" s="4" t="str">
        <f>IF(B866="","",IFERROR(VLOOKUP(B866, PLANTA_BASE!A:W, 3, FALSE), ""))</f>
        <v/>
      </c>
      <c r="D866" s="2" t="str">
        <f>IF(B866="","",IFERROR(VLOOKUP(B866, PLANTA_BASE!A:W, 5, FALSE), "NO ENCONTRADO EN PLANTA"))</f>
        <v/>
      </c>
      <c r="E866" s="2" t="str">
        <f>IF(B866="","",IFERROR(VLOOKUP(B866, PLANTA_BASE!A:W, 6, FALSE), "NO ENCONTRADO EN PLANTA"))</f>
        <v/>
      </c>
      <c r="F866" s="4" t="str">
        <f>IF(B866="","",IFERROR(VLOOKUP(B866, PLANTA_BASE!A:W, 8, FALSE), "DOCENTE / FACILITADOR"))</f>
        <v/>
      </c>
      <c r="G866" s="4" t="str">
        <f>IF(B866="","",IFERROR(VLOOKUP(B866, PLANTA_BASE!A:W, 9, FALSE), "GENERAL"))</f>
        <v/>
      </c>
      <c r="H866" s="2" t="str">
        <f>IF(B866="","",IFERROR(VLOOKUP(B866, PLANTA_BASE!A:W, 17, FALSE), "GENERAL"))</f>
        <v/>
      </c>
    </row>
    <row r="867" spans="1:8" ht="20.100000000000001" customHeight="1" x14ac:dyDescent="0.25">
      <c r="A867" s="5" t="str">
        <f>IF(B867="","",IFERROR(VLOOKUP(B867, PLANTA_BASE!A:W, 2, FALSE), "NO ENCONTRADO EN PLANTA"))</f>
        <v/>
      </c>
      <c r="B867" s="6"/>
      <c r="C867" s="7" t="str">
        <f>IF(B867="","",IFERROR(VLOOKUP(B867, PLANTA_BASE!A:W, 3, FALSE), ""))</f>
        <v/>
      </c>
      <c r="D867" s="5" t="str">
        <f>IF(B867="","",IFERROR(VLOOKUP(B867, PLANTA_BASE!A:W, 5, FALSE), "NO ENCONTRADO EN PLANTA"))</f>
        <v/>
      </c>
      <c r="E867" s="5" t="str">
        <f>IF(B867="","",IFERROR(VLOOKUP(B867, PLANTA_BASE!A:W, 6, FALSE), "NO ENCONTRADO EN PLANTA"))</f>
        <v/>
      </c>
      <c r="F867" s="7" t="str">
        <f>IF(B867="","",IFERROR(VLOOKUP(B867, PLANTA_BASE!A:W, 8, FALSE), "DOCENTE / FACILITADOR"))</f>
        <v/>
      </c>
      <c r="G867" s="7" t="str">
        <f>IF(B867="","",IFERROR(VLOOKUP(B867, PLANTA_BASE!A:W, 9, FALSE), "GENERAL"))</f>
        <v/>
      </c>
      <c r="H867" s="5" t="str">
        <f>IF(B867="","",IFERROR(VLOOKUP(B867, PLANTA_BASE!A:W, 17, FALSE), "GENERAL"))</f>
        <v/>
      </c>
    </row>
    <row r="868" spans="1:8" ht="20.100000000000001" customHeight="1" x14ac:dyDescent="0.25">
      <c r="A868" s="2" t="str">
        <f>IF(B868="","",IFERROR(VLOOKUP(B868, PLANTA_BASE!A:W, 2, FALSE), "NO ENCONTRADO EN PLANTA"))</f>
        <v/>
      </c>
      <c r="B868" s="3"/>
      <c r="C868" s="4" t="str">
        <f>IF(B868="","",IFERROR(VLOOKUP(B868, PLANTA_BASE!A:W, 3, FALSE), ""))</f>
        <v/>
      </c>
      <c r="D868" s="2" t="str">
        <f>IF(B868="","",IFERROR(VLOOKUP(B868, PLANTA_BASE!A:W, 5, FALSE), "NO ENCONTRADO EN PLANTA"))</f>
        <v/>
      </c>
      <c r="E868" s="2" t="str">
        <f>IF(B868="","",IFERROR(VLOOKUP(B868, PLANTA_BASE!A:W, 6, FALSE), "NO ENCONTRADO EN PLANTA"))</f>
        <v/>
      </c>
      <c r="F868" s="4" t="str">
        <f>IF(B868="","",IFERROR(VLOOKUP(B868, PLANTA_BASE!A:W, 8, FALSE), "DOCENTE / FACILITADOR"))</f>
        <v/>
      </c>
      <c r="G868" s="4" t="str">
        <f>IF(B868="","",IFERROR(VLOOKUP(B868, PLANTA_BASE!A:W, 9, FALSE), "GENERAL"))</f>
        <v/>
      </c>
      <c r="H868" s="2" t="str">
        <f>IF(B868="","",IFERROR(VLOOKUP(B868, PLANTA_BASE!A:W, 17, FALSE), "GENERAL"))</f>
        <v/>
      </c>
    </row>
    <row r="869" spans="1:8" ht="20.100000000000001" customHeight="1" x14ac:dyDescent="0.25">
      <c r="A869" s="5" t="str">
        <f>IF(B869="","",IFERROR(VLOOKUP(B869, PLANTA_BASE!A:W, 2, FALSE), "NO ENCONTRADO EN PLANTA"))</f>
        <v/>
      </c>
      <c r="B869" s="6"/>
      <c r="C869" s="7" t="str">
        <f>IF(B869="","",IFERROR(VLOOKUP(B869, PLANTA_BASE!A:W, 3, FALSE), ""))</f>
        <v/>
      </c>
      <c r="D869" s="5" t="str">
        <f>IF(B869="","",IFERROR(VLOOKUP(B869, PLANTA_BASE!A:W, 5, FALSE), "NO ENCONTRADO EN PLANTA"))</f>
        <v/>
      </c>
      <c r="E869" s="5" t="str">
        <f>IF(B869="","",IFERROR(VLOOKUP(B869, PLANTA_BASE!A:W, 6, FALSE), "NO ENCONTRADO EN PLANTA"))</f>
        <v/>
      </c>
      <c r="F869" s="7" t="str">
        <f>IF(B869="","",IFERROR(VLOOKUP(B869, PLANTA_BASE!A:W, 8, FALSE), "DOCENTE / FACILITADOR"))</f>
        <v/>
      </c>
      <c r="G869" s="7" t="str">
        <f>IF(B869="","",IFERROR(VLOOKUP(B869, PLANTA_BASE!A:W, 9, FALSE), "GENERAL"))</f>
        <v/>
      </c>
      <c r="H869" s="5" t="str">
        <f>IF(B869="","",IFERROR(VLOOKUP(B869, PLANTA_BASE!A:W, 17, FALSE), "GENERAL"))</f>
        <v/>
      </c>
    </row>
    <row r="870" spans="1:8" ht="20.100000000000001" customHeight="1" x14ac:dyDescent="0.25">
      <c r="A870" s="2" t="str">
        <f>IF(B870="","",IFERROR(VLOOKUP(B870, PLANTA_BASE!A:W, 2, FALSE), "NO ENCONTRADO EN PLANTA"))</f>
        <v/>
      </c>
      <c r="B870" s="3"/>
      <c r="C870" s="4" t="str">
        <f>IF(B870="","",IFERROR(VLOOKUP(B870, PLANTA_BASE!A:W, 3, FALSE), ""))</f>
        <v/>
      </c>
      <c r="D870" s="2" t="str">
        <f>IF(B870="","",IFERROR(VLOOKUP(B870, PLANTA_BASE!A:W, 5, FALSE), "NO ENCONTRADO EN PLANTA"))</f>
        <v/>
      </c>
      <c r="E870" s="2" t="str">
        <f>IF(B870="","",IFERROR(VLOOKUP(B870, PLANTA_BASE!A:W, 6, FALSE), "NO ENCONTRADO EN PLANTA"))</f>
        <v/>
      </c>
      <c r="F870" s="4" t="str">
        <f>IF(B870="","",IFERROR(VLOOKUP(B870, PLANTA_BASE!A:W, 8, FALSE), "DOCENTE / FACILITADOR"))</f>
        <v/>
      </c>
      <c r="G870" s="4" t="str">
        <f>IF(B870="","",IFERROR(VLOOKUP(B870, PLANTA_BASE!A:W, 9, FALSE), "GENERAL"))</f>
        <v/>
      </c>
      <c r="H870" s="2" t="str">
        <f>IF(B870="","",IFERROR(VLOOKUP(B870, PLANTA_BASE!A:W, 17, FALSE), "GENERAL"))</f>
        <v/>
      </c>
    </row>
    <row r="871" spans="1:8" ht="20.100000000000001" customHeight="1" x14ac:dyDescent="0.25">
      <c r="A871" s="5" t="str">
        <f>IF(B871="","",IFERROR(VLOOKUP(B871, PLANTA_BASE!A:W, 2, FALSE), "NO ENCONTRADO EN PLANTA"))</f>
        <v/>
      </c>
      <c r="B871" s="6"/>
      <c r="C871" s="7" t="str">
        <f>IF(B871="","",IFERROR(VLOOKUP(B871, PLANTA_BASE!A:W, 3, FALSE), ""))</f>
        <v/>
      </c>
      <c r="D871" s="5" t="str">
        <f>IF(B871="","",IFERROR(VLOOKUP(B871, PLANTA_BASE!A:W, 5, FALSE), "NO ENCONTRADO EN PLANTA"))</f>
        <v/>
      </c>
      <c r="E871" s="5" t="str">
        <f>IF(B871="","",IFERROR(VLOOKUP(B871, PLANTA_BASE!A:W, 6, FALSE), "NO ENCONTRADO EN PLANTA"))</f>
        <v/>
      </c>
      <c r="F871" s="7" t="str">
        <f>IF(B871="","",IFERROR(VLOOKUP(B871, PLANTA_BASE!A:W, 8, FALSE), "DOCENTE / FACILITADOR"))</f>
        <v/>
      </c>
      <c r="G871" s="7" t="str">
        <f>IF(B871="","",IFERROR(VLOOKUP(B871, PLANTA_BASE!A:W, 9, FALSE), "GENERAL"))</f>
        <v/>
      </c>
      <c r="H871" s="5" t="str">
        <f>IF(B871="","",IFERROR(VLOOKUP(B871, PLANTA_BASE!A:W, 17, FALSE), "GENERAL"))</f>
        <v/>
      </c>
    </row>
    <row r="872" spans="1:8" ht="20.100000000000001" customHeight="1" x14ac:dyDescent="0.25">
      <c r="A872" s="2" t="str">
        <f>IF(B872="","",IFERROR(VLOOKUP(B872, PLANTA_BASE!A:W, 2, FALSE), "NO ENCONTRADO EN PLANTA"))</f>
        <v/>
      </c>
      <c r="B872" s="3"/>
      <c r="C872" s="4" t="str">
        <f>IF(B872="","",IFERROR(VLOOKUP(B872, PLANTA_BASE!A:W, 3, FALSE), ""))</f>
        <v/>
      </c>
      <c r="D872" s="2" t="str">
        <f>IF(B872="","",IFERROR(VLOOKUP(B872, PLANTA_BASE!A:W, 5, FALSE), "NO ENCONTRADO EN PLANTA"))</f>
        <v/>
      </c>
      <c r="E872" s="2" t="str">
        <f>IF(B872="","",IFERROR(VLOOKUP(B872, PLANTA_BASE!A:W, 6, FALSE), "NO ENCONTRADO EN PLANTA"))</f>
        <v/>
      </c>
      <c r="F872" s="4" t="str">
        <f>IF(B872="","",IFERROR(VLOOKUP(B872, PLANTA_BASE!A:W, 8, FALSE), "DOCENTE / FACILITADOR"))</f>
        <v/>
      </c>
      <c r="G872" s="4" t="str">
        <f>IF(B872="","",IFERROR(VLOOKUP(B872, PLANTA_BASE!A:W, 9, FALSE), "GENERAL"))</f>
        <v/>
      </c>
      <c r="H872" s="2" t="str">
        <f>IF(B872="","",IFERROR(VLOOKUP(B872, PLANTA_BASE!A:W, 17, FALSE), "GENERAL"))</f>
        <v/>
      </c>
    </row>
    <row r="873" spans="1:8" ht="20.100000000000001" customHeight="1" x14ac:dyDescent="0.25">
      <c r="A873" s="5" t="str">
        <f>IF(B873="","",IFERROR(VLOOKUP(B873, PLANTA_BASE!A:W, 2, FALSE), "NO ENCONTRADO EN PLANTA"))</f>
        <v/>
      </c>
      <c r="B873" s="6"/>
      <c r="C873" s="7" t="str">
        <f>IF(B873="","",IFERROR(VLOOKUP(B873, PLANTA_BASE!A:W, 3, FALSE), ""))</f>
        <v/>
      </c>
      <c r="D873" s="5" t="str">
        <f>IF(B873="","",IFERROR(VLOOKUP(B873, PLANTA_BASE!A:W, 5, FALSE), "NO ENCONTRADO EN PLANTA"))</f>
        <v/>
      </c>
      <c r="E873" s="5" t="str">
        <f>IF(B873="","",IFERROR(VLOOKUP(B873, PLANTA_BASE!A:W, 6, FALSE), "NO ENCONTRADO EN PLANTA"))</f>
        <v/>
      </c>
      <c r="F873" s="7" t="str">
        <f>IF(B873="","",IFERROR(VLOOKUP(B873, PLANTA_BASE!A:W, 8, FALSE), "DOCENTE / FACILITADOR"))</f>
        <v/>
      </c>
      <c r="G873" s="7" t="str">
        <f>IF(B873="","",IFERROR(VLOOKUP(B873, PLANTA_BASE!A:W, 9, FALSE), "GENERAL"))</f>
        <v/>
      </c>
      <c r="H873" s="5" t="str">
        <f>IF(B873="","",IFERROR(VLOOKUP(B873, PLANTA_BASE!A:W, 17, FALSE), "GENERAL"))</f>
        <v/>
      </c>
    </row>
    <row r="874" spans="1:8" ht="20.100000000000001" customHeight="1" x14ac:dyDescent="0.25">
      <c r="A874" s="2" t="str">
        <f>IF(B874="","",IFERROR(VLOOKUP(B874, PLANTA_BASE!A:W, 2, FALSE), "NO ENCONTRADO EN PLANTA"))</f>
        <v/>
      </c>
      <c r="B874" s="3"/>
      <c r="C874" s="4" t="str">
        <f>IF(B874="","",IFERROR(VLOOKUP(B874, PLANTA_BASE!A:W, 3, FALSE), ""))</f>
        <v/>
      </c>
      <c r="D874" s="2" t="str">
        <f>IF(B874="","",IFERROR(VLOOKUP(B874, PLANTA_BASE!A:W, 5, FALSE), "NO ENCONTRADO EN PLANTA"))</f>
        <v/>
      </c>
      <c r="E874" s="2" t="str">
        <f>IF(B874="","",IFERROR(VLOOKUP(B874, PLANTA_BASE!A:W, 6, FALSE), "NO ENCONTRADO EN PLANTA"))</f>
        <v/>
      </c>
      <c r="F874" s="4" t="str">
        <f>IF(B874="","",IFERROR(VLOOKUP(B874, PLANTA_BASE!A:W, 8, FALSE), "DOCENTE / FACILITADOR"))</f>
        <v/>
      </c>
      <c r="G874" s="4" t="str">
        <f>IF(B874="","",IFERROR(VLOOKUP(B874, PLANTA_BASE!A:W, 9, FALSE), "GENERAL"))</f>
        <v/>
      </c>
      <c r="H874" s="2" t="str">
        <f>IF(B874="","",IFERROR(VLOOKUP(B874, PLANTA_BASE!A:W, 17, FALSE), "GENERAL"))</f>
        <v/>
      </c>
    </row>
    <row r="875" spans="1:8" ht="20.100000000000001" customHeight="1" x14ac:dyDescent="0.25">
      <c r="A875" s="5" t="str">
        <f>IF(B875="","",IFERROR(VLOOKUP(B875, PLANTA_BASE!A:W, 2, FALSE), "NO ENCONTRADO EN PLANTA"))</f>
        <v/>
      </c>
      <c r="B875" s="6"/>
      <c r="C875" s="7" t="str">
        <f>IF(B875="","",IFERROR(VLOOKUP(B875, PLANTA_BASE!A:W, 3, FALSE), ""))</f>
        <v/>
      </c>
      <c r="D875" s="5" t="str">
        <f>IF(B875="","",IFERROR(VLOOKUP(B875, PLANTA_BASE!A:W, 5, FALSE), "NO ENCONTRADO EN PLANTA"))</f>
        <v/>
      </c>
      <c r="E875" s="5" t="str">
        <f>IF(B875="","",IFERROR(VLOOKUP(B875, PLANTA_BASE!A:W, 6, FALSE), "NO ENCONTRADO EN PLANTA"))</f>
        <v/>
      </c>
      <c r="F875" s="7" t="str">
        <f>IF(B875="","",IFERROR(VLOOKUP(B875, PLANTA_BASE!A:W, 8, FALSE), "DOCENTE / FACILITADOR"))</f>
        <v/>
      </c>
      <c r="G875" s="7" t="str">
        <f>IF(B875="","",IFERROR(VLOOKUP(B875, PLANTA_BASE!A:W, 9, FALSE), "GENERAL"))</f>
        <v/>
      </c>
      <c r="H875" s="5" t="str">
        <f>IF(B875="","",IFERROR(VLOOKUP(B875, PLANTA_BASE!A:W, 17, FALSE), "GENERAL"))</f>
        <v/>
      </c>
    </row>
    <row r="876" spans="1:8" ht="20.100000000000001" customHeight="1" x14ac:dyDescent="0.25">
      <c r="A876" s="2" t="str">
        <f>IF(B876="","",IFERROR(VLOOKUP(B876, PLANTA_BASE!A:W, 2, FALSE), "NO ENCONTRADO EN PLANTA"))</f>
        <v/>
      </c>
      <c r="B876" s="3"/>
      <c r="C876" s="4" t="str">
        <f>IF(B876="","",IFERROR(VLOOKUP(B876, PLANTA_BASE!A:W, 3, FALSE), ""))</f>
        <v/>
      </c>
      <c r="D876" s="2" t="str">
        <f>IF(B876="","",IFERROR(VLOOKUP(B876, PLANTA_BASE!A:W, 5, FALSE), "NO ENCONTRADO EN PLANTA"))</f>
        <v/>
      </c>
      <c r="E876" s="2" t="str">
        <f>IF(B876="","",IFERROR(VLOOKUP(B876, PLANTA_BASE!A:W, 6, FALSE), "NO ENCONTRADO EN PLANTA"))</f>
        <v/>
      </c>
      <c r="F876" s="4" t="str">
        <f>IF(B876="","",IFERROR(VLOOKUP(B876, PLANTA_BASE!A:W, 8, FALSE), "DOCENTE / FACILITADOR"))</f>
        <v/>
      </c>
      <c r="G876" s="4" t="str">
        <f>IF(B876="","",IFERROR(VLOOKUP(B876, PLANTA_BASE!A:W, 9, FALSE), "GENERAL"))</f>
        <v/>
      </c>
      <c r="H876" s="2" t="str">
        <f>IF(B876="","",IFERROR(VLOOKUP(B876, PLANTA_BASE!A:W, 17, FALSE), "GENERAL"))</f>
        <v/>
      </c>
    </row>
    <row r="877" spans="1:8" ht="20.100000000000001" customHeight="1" x14ac:dyDescent="0.25">
      <c r="A877" s="5" t="str">
        <f>IF(B877="","",IFERROR(VLOOKUP(B877, PLANTA_BASE!A:W, 2, FALSE), "NO ENCONTRADO EN PLANTA"))</f>
        <v/>
      </c>
      <c r="B877" s="6"/>
      <c r="C877" s="7" t="str">
        <f>IF(B877="","",IFERROR(VLOOKUP(B877, PLANTA_BASE!A:W, 3, FALSE), ""))</f>
        <v/>
      </c>
      <c r="D877" s="5" t="str">
        <f>IF(B877="","",IFERROR(VLOOKUP(B877, PLANTA_BASE!A:W, 5, FALSE), "NO ENCONTRADO EN PLANTA"))</f>
        <v/>
      </c>
      <c r="E877" s="5" t="str">
        <f>IF(B877="","",IFERROR(VLOOKUP(B877, PLANTA_BASE!A:W, 6, FALSE), "NO ENCONTRADO EN PLANTA"))</f>
        <v/>
      </c>
      <c r="F877" s="7" t="str">
        <f>IF(B877="","",IFERROR(VLOOKUP(B877, PLANTA_BASE!A:W, 8, FALSE), "DOCENTE / FACILITADOR"))</f>
        <v/>
      </c>
      <c r="G877" s="7" t="str">
        <f>IF(B877="","",IFERROR(VLOOKUP(B877, PLANTA_BASE!A:W, 9, FALSE), "GENERAL"))</f>
        <v/>
      </c>
      <c r="H877" s="5" t="str">
        <f>IF(B877="","",IFERROR(VLOOKUP(B877, PLANTA_BASE!A:W, 17, FALSE), "GENERAL"))</f>
        <v/>
      </c>
    </row>
    <row r="878" spans="1:8" ht="20.100000000000001" customHeight="1" x14ac:dyDescent="0.25">
      <c r="A878" s="2" t="str">
        <f>IF(B878="","",IFERROR(VLOOKUP(B878, PLANTA_BASE!A:W, 2, FALSE), "NO ENCONTRADO EN PLANTA"))</f>
        <v/>
      </c>
      <c r="B878" s="3"/>
      <c r="C878" s="4" t="str">
        <f>IF(B878="","",IFERROR(VLOOKUP(B878, PLANTA_BASE!A:W, 3, FALSE), ""))</f>
        <v/>
      </c>
      <c r="D878" s="2" t="str">
        <f>IF(B878="","",IFERROR(VLOOKUP(B878, PLANTA_BASE!A:W, 5, FALSE), "NO ENCONTRADO EN PLANTA"))</f>
        <v/>
      </c>
      <c r="E878" s="2" t="str">
        <f>IF(B878="","",IFERROR(VLOOKUP(B878, PLANTA_BASE!A:W, 6, FALSE), "NO ENCONTRADO EN PLANTA"))</f>
        <v/>
      </c>
      <c r="F878" s="4" t="str">
        <f>IF(B878="","",IFERROR(VLOOKUP(B878, PLANTA_BASE!A:W, 8, FALSE), "DOCENTE / FACILITADOR"))</f>
        <v/>
      </c>
      <c r="G878" s="4" t="str">
        <f>IF(B878="","",IFERROR(VLOOKUP(B878, PLANTA_BASE!A:W, 9, FALSE), "GENERAL"))</f>
        <v/>
      </c>
      <c r="H878" s="2" t="str">
        <f>IF(B878="","",IFERROR(VLOOKUP(B878, PLANTA_BASE!A:W, 17, FALSE), "GENERAL"))</f>
        <v/>
      </c>
    </row>
    <row r="879" spans="1:8" ht="20.100000000000001" customHeight="1" x14ac:dyDescent="0.25">
      <c r="A879" s="5" t="str">
        <f>IF(B879="","",IFERROR(VLOOKUP(B879, PLANTA_BASE!A:W, 2, FALSE), "NO ENCONTRADO EN PLANTA"))</f>
        <v/>
      </c>
      <c r="B879" s="6"/>
      <c r="C879" s="7" t="str">
        <f>IF(B879="","",IFERROR(VLOOKUP(B879, PLANTA_BASE!A:W, 3, FALSE), ""))</f>
        <v/>
      </c>
      <c r="D879" s="5" t="str">
        <f>IF(B879="","",IFERROR(VLOOKUP(B879, PLANTA_BASE!A:W, 5, FALSE), "NO ENCONTRADO EN PLANTA"))</f>
        <v/>
      </c>
      <c r="E879" s="5" t="str">
        <f>IF(B879="","",IFERROR(VLOOKUP(B879, PLANTA_BASE!A:W, 6, FALSE), "NO ENCONTRADO EN PLANTA"))</f>
        <v/>
      </c>
      <c r="F879" s="7" t="str">
        <f>IF(B879="","",IFERROR(VLOOKUP(B879, PLANTA_BASE!A:W, 8, FALSE), "DOCENTE / FACILITADOR"))</f>
        <v/>
      </c>
      <c r="G879" s="7" t="str">
        <f>IF(B879="","",IFERROR(VLOOKUP(B879, PLANTA_BASE!A:W, 9, FALSE), "GENERAL"))</f>
        <v/>
      </c>
      <c r="H879" s="5" t="str">
        <f>IF(B879="","",IFERROR(VLOOKUP(B879, PLANTA_BASE!A:W, 17, FALSE), "GENERAL"))</f>
        <v/>
      </c>
    </row>
    <row r="880" spans="1:8" ht="20.100000000000001" customHeight="1" x14ac:dyDescent="0.25">
      <c r="A880" s="2" t="str">
        <f>IF(B880="","",IFERROR(VLOOKUP(B880, PLANTA_BASE!A:W, 2, FALSE), "NO ENCONTRADO EN PLANTA"))</f>
        <v/>
      </c>
      <c r="B880" s="3"/>
      <c r="C880" s="4" t="str">
        <f>IF(B880="","",IFERROR(VLOOKUP(B880, PLANTA_BASE!A:W, 3, FALSE), ""))</f>
        <v/>
      </c>
      <c r="D880" s="2" t="str">
        <f>IF(B880="","",IFERROR(VLOOKUP(B880, PLANTA_BASE!A:W, 5, FALSE), "NO ENCONTRADO EN PLANTA"))</f>
        <v/>
      </c>
      <c r="E880" s="2" t="str">
        <f>IF(B880="","",IFERROR(VLOOKUP(B880, PLANTA_BASE!A:W, 6, FALSE), "NO ENCONTRADO EN PLANTA"))</f>
        <v/>
      </c>
      <c r="F880" s="4" t="str">
        <f>IF(B880="","",IFERROR(VLOOKUP(B880, PLANTA_BASE!A:W, 8, FALSE), "DOCENTE / FACILITADOR"))</f>
        <v/>
      </c>
      <c r="G880" s="4" t="str">
        <f>IF(B880="","",IFERROR(VLOOKUP(B880, PLANTA_BASE!A:W, 9, FALSE), "GENERAL"))</f>
        <v/>
      </c>
      <c r="H880" s="2" t="str">
        <f>IF(B880="","",IFERROR(VLOOKUP(B880, PLANTA_BASE!A:W, 17, FALSE), "GENERAL"))</f>
        <v/>
      </c>
    </row>
    <row r="881" spans="1:8" ht="20.100000000000001" customHeight="1" x14ac:dyDescent="0.25">
      <c r="A881" s="5" t="str">
        <f>IF(B881="","",IFERROR(VLOOKUP(B881, PLANTA_BASE!A:W, 2, FALSE), "NO ENCONTRADO EN PLANTA"))</f>
        <v/>
      </c>
      <c r="B881" s="6"/>
      <c r="C881" s="7" t="str">
        <f>IF(B881="","",IFERROR(VLOOKUP(B881, PLANTA_BASE!A:W, 3, FALSE), ""))</f>
        <v/>
      </c>
      <c r="D881" s="5" t="str">
        <f>IF(B881="","",IFERROR(VLOOKUP(B881, PLANTA_BASE!A:W, 5, FALSE), "NO ENCONTRADO EN PLANTA"))</f>
        <v/>
      </c>
      <c r="E881" s="5" t="str">
        <f>IF(B881="","",IFERROR(VLOOKUP(B881, PLANTA_BASE!A:W, 6, FALSE), "NO ENCONTRADO EN PLANTA"))</f>
        <v/>
      </c>
      <c r="F881" s="7" t="str">
        <f>IF(B881="","",IFERROR(VLOOKUP(B881, PLANTA_BASE!A:W, 8, FALSE), "DOCENTE / FACILITADOR"))</f>
        <v/>
      </c>
      <c r="G881" s="7" t="str">
        <f>IF(B881="","",IFERROR(VLOOKUP(B881, PLANTA_BASE!A:W, 9, FALSE), "GENERAL"))</f>
        <v/>
      </c>
      <c r="H881" s="5" t="str">
        <f>IF(B881="","",IFERROR(VLOOKUP(B881, PLANTA_BASE!A:W, 17, FALSE), "GENERAL"))</f>
        <v/>
      </c>
    </row>
    <row r="882" spans="1:8" ht="20.100000000000001" customHeight="1" x14ac:dyDescent="0.25">
      <c r="A882" s="2" t="str">
        <f>IF(B882="","",IFERROR(VLOOKUP(B882, PLANTA_BASE!A:W, 2, FALSE), "NO ENCONTRADO EN PLANTA"))</f>
        <v/>
      </c>
      <c r="B882" s="3"/>
      <c r="C882" s="4" t="str">
        <f>IF(B882="","",IFERROR(VLOOKUP(B882, PLANTA_BASE!A:W, 3, FALSE), ""))</f>
        <v/>
      </c>
      <c r="D882" s="2" t="str">
        <f>IF(B882="","",IFERROR(VLOOKUP(B882, PLANTA_BASE!A:W, 5, FALSE), "NO ENCONTRADO EN PLANTA"))</f>
        <v/>
      </c>
      <c r="E882" s="2" t="str">
        <f>IF(B882="","",IFERROR(VLOOKUP(B882, PLANTA_BASE!A:W, 6, FALSE), "NO ENCONTRADO EN PLANTA"))</f>
        <v/>
      </c>
      <c r="F882" s="4" t="str">
        <f>IF(B882="","",IFERROR(VLOOKUP(B882, PLANTA_BASE!A:W, 8, FALSE), "DOCENTE / FACILITADOR"))</f>
        <v/>
      </c>
      <c r="G882" s="4" t="str">
        <f>IF(B882="","",IFERROR(VLOOKUP(B882, PLANTA_BASE!A:W, 9, FALSE), "GENERAL"))</f>
        <v/>
      </c>
      <c r="H882" s="2" t="str">
        <f>IF(B882="","",IFERROR(VLOOKUP(B882, PLANTA_BASE!A:W, 17, FALSE), "GENERAL"))</f>
        <v/>
      </c>
    </row>
    <row r="883" spans="1:8" ht="20.100000000000001" customHeight="1" x14ac:dyDescent="0.25">
      <c r="A883" s="5" t="str">
        <f>IF(B883="","",IFERROR(VLOOKUP(B883, PLANTA_BASE!A:W, 2, FALSE), "NO ENCONTRADO EN PLANTA"))</f>
        <v/>
      </c>
      <c r="B883" s="6"/>
      <c r="C883" s="7" t="str">
        <f>IF(B883="","",IFERROR(VLOOKUP(B883, PLANTA_BASE!A:W, 3, FALSE), ""))</f>
        <v/>
      </c>
      <c r="D883" s="5" t="str">
        <f>IF(B883="","",IFERROR(VLOOKUP(B883, PLANTA_BASE!A:W, 5, FALSE), "NO ENCONTRADO EN PLANTA"))</f>
        <v/>
      </c>
      <c r="E883" s="5" t="str">
        <f>IF(B883="","",IFERROR(VLOOKUP(B883, PLANTA_BASE!A:W, 6, FALSE), "NO ENCONTRADO EN PLANTA"))</f>
        <v/>
      </c>
      <c r="F883" s="7" t="str">
        <f>IF(B883="","",IFERROR(VLOOKUP(B883, PLANTA_BASE!A:W, 8, FALSE), "DOCENTE / FACILITADOR"))</f>
        <v/>
      </c>
      <c r="G883" s="7" t="str">
        <f>IF(B883="","",IFERROR(VLOOKUP(B883, PLANTA_BASE!A:W, 9, FALSE), "GENERAL"))</f>
        <v/>
      </c>
      <c r="H883" s="5" t="str">
        <f>IF(B883="","",IFERROR(VLOOKUP(B883, PLANTA_BASE!A:W, 17, FALSE), "GENERAL"))</f>
        <v/>
      </c>
    </row>
    <row r="884" spans="1:8" ht="20.100000000000001" customHeight="1" x14ac:dyDescent="0.25">
      <c r="A884" s="2" t="str">
        <f>IF(B884="","",IFERROR(VLOOKUP(B884, PLANTA_BASE!A:W, 2, FALSE), "NO ENCONTRADO EN PLANTA"))</f>
        <v/>
      </c>
      <c r="B884" s="3"/>
      <c r="C884" s="4" t="str">
        <f>IF(B884="","",IFERROR(VLOOKUP(B884, PLANTA_BASE!A:W, 3, FALSE), ""))</f>
        <v/>
      </c>
      <c r="D884" s="2" t="str">
        <f>IF(B884="","",IFERROR(VLOOKUP(B884, PLANTA_BASE!A:W, 5, FALSE), "NO ENCONTRADO EN PLANTA"))</f>
        <v/>
      </c>
      <c r="E884" s="2" t="str">
        <f>IF(B884="","",IFERROR(VLOOKUP(B884, PLANTA_BASE!A:W, 6, FALSE), "NO ENCONTRADO EN PLANTA"))</f>
        <v/>
      </c>
      <c r="F884" s="4" t="str">
        <f>IF(B884="","",IFERROR(VLOOKUP(B884, PLANTA_BASE!A:W, 8, FALSE), "DOCENTE / FACILITADOR"))</f>
        <v/>
      </c>
      <c r="G884" s="4" t="str">
        <f>IF(B884="","",IFERROR(VLOOKUP(B884, PLANTA_BASE!A:W, 9, FALSE), "GENERAL"))</f>
        <v/>
      </c>
      <c r="H884" s="2" t="str">
        <f>IF(B884="","",IFERROR(VLOOKUP(B884, PLANTA_BASE!A:W, 17, FALSE), "GENERAL"))</f>
        <v/>
      </c>
    </row>
    <row r="885" spans="1:8" ht="20.100000000000001" customHeight="1" x14ac:dyDescent="0.25">
      <c r="A885" s="5" t="str">
        <f>IF(B885="","",IFERROR(VLOOKUP(B885, PLANTA_BASE!A:W, 2, FALSE), "NO ENCONTRADO EN PLANTA"))</f>
        <v/>
      </c>
      <c r="B885" s="6"/>
      <c r="C885" s="7" t="str">
        <f>IF(B885="","",IFERROR(VLOOKUP(B885, PLANTA_BASE!A:W, 3, FALSE), ""))</f>
        <v/>
      </c>
      <c r="D885" s="5" t="str">
        <f>IF(B885="","",IFERROR(VLOOKUP(B885, PLANTA_BASE!A:W, 5, FALSE), "NO ENCONTRADO EN PLANTA"))</f>
        <v/>
      </c>
      <c r="E885" s="5" t="str">
        <f>IF(B885="","",IFERROR(VLOOKUP(B885, PLANTA_BASE!A:W, 6, FALSE), "NO ENCONTRADO EN PLANTA"))</f>
        <v/>
      </c>
      <c r="F885" s="7" t="str">
        <f>IF(B885="","",IFERROR(VLOOKUP(B885, PLANTA_BASE!A:W, 8, FALSE), "DOCENTE / FACILITADOR"))</f>
        <v/>
      </c>
      <c r="G885" s="7" t="str">
        <f>IF(B885="","",IFERROR(VLOOKUP(B885, PLANTA_BASE!A:W, 9, FALSE), "GENERAL"))</f>
        <v/>
      </c>
      <c r="H885" s="5" t="str">
        <f>IF(B885="","",IFERROR(VLOOKUP(B885, PLANTA_BASE!A:W, 17, FALSE), "GENERAL"))</f>
        <v/>
      </c>
    </row>
    <row r="886" spans="1:8" ht="20.100000000000001" customHeight="1" x14ac:dyDescent="0.25">
      <c r="A886" s="2" t="str">
        <f>IF(B886="","",IFERROR(VLOOKUP(B886, PLANTA_BASE!A:W, 2, FALSE), "NO ENCONTRADO EN PLANTA"))</f>
        <v/>
      </c>
      <c r="B886" s="3"/>
      <c r="C886" s="4" t="str">
        <f>IF(B886="","",IFERROR(VLOOKUP(B886, PLANTA_BASE!A:W, 3, FALSE), ""))</f>
        <v/>
      </c>
      <c r="D886" s="2" t="str">
        <f>IF(B886="","",IFERROR(VLOOKUP(B886, PLANTA_BASE!A:W, 5, FALSE), "NO ENCONTRADO EN PLANTA"))</f>
        <v/>
      </c>
      <c r="E886" s="2" t="str">
        <f>IF(B886="","",IFERROR(VLOOKUP(B886, PLANTA_BASE!A:W, 6, FALSE), "NO ENCONTRADO EN PLANTA"))</f>
        <v/>
      </c>
      <c r="F886" s="4" t="str">
        <f>IF(B886="","",IFERROR(VLOOKUP(B886, PLANTA_BASE!A:W, 8, FALSE), "DOCENTE / FACILITADOR"))</f>
        <v/>
      </c>
      <c r="G886" s="4" t="str">
        <f>IF(B886="","",IFERROR(VLOOKUP(B886, PLANTA_BASE!A:W, 9, FALSE), "GENERAL"))</f>
        <v/>
      </c>
      <c r="H886" s="2" t="str">
        <f>IF(B886="","",IFERROR(VLOOKUP(B886, PLANTA_BASE!A:W, 17, FALSE), "GENERAL"))</f>
        <v/>
      </c>
    </row>
    <row r="887" spans="1:8" ht="20.100000000000001" customHeight="1" x14ac:dyDescent="0.25">
      <c r="A887" s="5" t="str">
        <f>IF(B887="","",IFERROR(VLOOKUP(B887, PLANTA_BASE!A:W, 2, FALSE), "NO ENCONTRADO EN PLANTA"))</f>
        <v/>
      </c>
      <c r="B887" s="6"/>
      <c r="C887" s="7" t="str">
        <f>IF(B887="","",IFERROR(VLOOKUP(B887, PLANTA_BASE!A:W, 3, FALSE), ""))</f>
        <v/>
      </c>
      <c r="D887" s="5" t="str">
        <f>IF(B887="","",IFERROR(VLOOKUP(B887, PLANTA_BASE!A:W, 5, FALSE), "NO ENCONTRADO EN PLANTA"))</f>
        <v/>
      </c>
      <c r="E887" s="5" t="str">
        <f>IF(B887="","",IFERROR(VLOOKUP(B887, PLANTA_BASE!A:W, 6, FALSE), "NO ENCONTRADO EN PLANTA"))</f>
        <v/>
      </c>
      <c r="F887" s="7" t="str">
        <f>IF(B887="","",IFERROR(VLOOKUP(B887, PLANTA_BASE!A:W, 8, FALSE), "DOCENTE / FACILITADOR"))</f>
        <v/>
      </c>
      <c r="G887" s="7" t="str">
        <f>IF(B887="","",IFERROR(VLOOKUP(B887, PLANTA_BASE!A:W, 9, FALSE), "GENERAL"))</f>
        <v/>
      </c>
      <c r="H887" s="5" t="str">
        <f>IF(B887="","",IFERROR(VLOOKUP(B887, PLANTA_BASE!A:W, 17, FALSE), "GENERAL"))</f>
        <v/>
      </c>
    </row>
    <row r="888" spans="1:8" ht="20.100000000000001" customHeight="1" x14ac:dyDescent="0.25">
      <c r="A888" s="2" t="str">
        <f>IF(B888="","",IFERROR(VLOOKUP(B888, PLANTA_BASE!A:W, 2, FALSE), "NO ENCONTRADO EN PLANTA"))</f>
        <v/>
      </c>
      <c r="B888" s="3"/>
      <c r="C888" s="4" t="str">
        <f>IF(B888="","",IFERROR(VLOOKUP(B888, PLANTA_BASE!A:W, 3, FALSE), ""))</f>
        <v/>
      </c>
      <c r="D888" s="2" t="str">
        <f>IF(B888="","",IFERROR(VLOOKUP(B888, PLANTA_BASE!A:W, 5, FALSE), "NO ENCONTRADO EN PLANTA"))</f>
        <v/>
      </c>
      <c r="E888" s="2" t="str">
        <f>IF(B888="","",IFERROR(VLOOKUP(B888, PLANTA_BASE!A:W, 6, FALSE), "NO ENCONTRADO EN PLANTA"))</f>
        <v/>
      </c>
      <c r="F888" s="4" t="str">
        <f>IF(B888="","",IFERROR(VLOOKUP(B888, PLANTA_BASE!A:W, 8, FALSE), "DOCENTE / FACILITADOR"))</f>
        <v/>
      </c>
      <c r="G888" s="4" t="str">
        <f>IF(B888="","",IFERROR(VLOOKUP(B888, PLANTA_BASE!A:W, 9, FALSE), "GENERAL"))</f>
        <v/>
      </c>
      <c r="H888" s="2" t="str">
        <f>IF(B888="","",IFERROR(VLOOKUP(B888, PLANTA_BASE!A:W, 17, FALSE), "GENERAL"))</f>
        <v/>
      </c>
    </row>
    <row r="889" spans="1:8" ht="20.100000000000001" customHeight="1" x14ac:dyDescent="0.25">
      <c r="A889" s="5" t="str">
        <f>IF(B889="","",IFERROR(VLOOKUP(B889, PLANTA_BASE!A:W, 2, FALSE), "NO ENCONTRADO EN PLANTA"))</f>
        <v/>
      </c>
      <c r="B889" s="6"/>
      <c r="C889" s="7" t="str">
        <f>IF(B889="","",IFERROR(VLOOKUP(B889, PLANTA_BASE!A:W, 3, FALSE), ""))</f>
        <v/>
      </c>
      <c r="D889" s="5" t="str">
        <f>IF(B889="","",IFERROR(VLOOKUP(B889, PLANTA_BASE!A:W, 5, FALSE), "NO ENCONTRADO EN PLANTA"))</f>
        <v/>
      </c>
      <c r="E889" s="5" t="str">
        <f>IF(B889="","",IFERROR(VLOOKUP(B889, PLANTA_BASE!A:W, 6, FALSE), "NO ENCONTRADO EN PLANTA"))</f>
        <v/>
      </c>
      <c r="F889" s="7" t="str">
        <f>IF(B889="","",IFERROR(VLOOKUP(B889, PLANTA_BASE!A:W, 8, FALSE), "DOCENTE / FACILITADOR"))</f>
        <v/>
      </c>
      <c r="G889" s="7" t="str">
        <f>IF(B889="","",IFERROR(VLOOKUP(B889, PLANTA_BASE!A:W, 9, FALSE), "GENERAL"))</f>
        <v/>
      </c>
      <c r="H889" s="5" t="str">
        <f>IF(B889="","",IFERROR(VLOOKUP(B889, PLANTA_BASE!A:W, 17, FALSE), "GENERAL"))</f>
        <v/>
      </c>
    </row>
    <row r="890" spans="1:8" ht="20.100000000000001" customHeight="1" x14ac:dyDescent="0.25">
      <c r="A890" s="2" t="str">
        <f>IF(B890="","",IFERROR(VLOOKUP(B890, PLANTA_BASE!A:W, 2, FALSE), "NO ENCONTRADO EN PLANTA"))</f>
        <v/>
      </c>
      <c r="B890" s="3"/>
      <c r="C890" s="4" t="str">
        <f>IF(B890="","",IFERROR(VLOOKUP(B890, PLANTA_BASE!A:W, 3, FALSE), ""))</f>
        <v/>
      </c>
      <c r="D890" s="2" t="str">
        <f>IF(B890="","",IFERROR(VLOOKUP(B890, PLANTA_BASE!A:W, 5, FALSE), "NO ENCONTRADO EN PLANTA"))</f>
        <v/>
      </c>
      <c r="E890" s="2" t="str">
        <f>IF(B890="","",IFERROR(VLOOKUP(B890, PLANTA_BASE!A:W, 6, FALSE), "NO ENCONTRADO EN PLANTA"))</f>
        <v/>
      </c>
      <c r="F890" s="4" t="str">
        <f>IF(B890="","",IFERROR(VLOOKUP(B890, PLANTA_BASE!A:W, 8, FALSE), "DOCENTE / FACILITADOR"))</f>
        <v/>
      </c>
      <c r="G890" s="4" t="str">
        <f>IF(B890="","",IFERROR(VLOOKUP(B890, PLANTA_BASE!A:W, 9, FALSE), "GENERAL"))</f>
        <v/>
      </c>
      <c r="H890" s="2" t="str">
        <f>IF(B890="","",IFERROR(VLOOKUP(B890, PLANTA_BASE!A:W, 17, FALSE), "GENERAL"))</f>
        <v/>
      </c>
    </row>
    <row r="891" spans="1:8" ht="20.100000000000001" customHeight="1" x14ac:dyDescent="0.25">
      <c r="A891" s="5" t="str">
        <f>IF(B891="","",IFERROR(VLOOKUP(B891, PLANTA_BASE!A:W, 2, FALSE), "NO ENCONTRADO EN PLANTA"))</f>
        <v/>
      </c>
      <c r="B891" s="6"/>
      <c r="C891" s="7" t="str">
        <f>IF(B891="","",IFERROR(VLOOKUP(B891, PLANTA_BASE!A:W, 3, FALSE), ""))</f>
        <v/>
      </c>
      <c r="D891" s="5" t="str">
        <f>IF(B891="","",IFERROR(VLOOKUP(B891, PLANTA_BASE!A:W, 5, FALSE), "NO ENCONTRADO EN PLANTA"))</f>
        <v/>
      </c>
      <c r="E891" s="5" t="str">
        <f>IF(B891="","",IFERROR(VLOOKUP(B891, PLANTA_BASE!A:W, 6, FALSE), "NO ENCONTRADO EN PLANTA"))</f>
        <v/>
      </c>
      <c r="F891" s="7" t="str">
        <f>IF(B891="","",IFERROR(VLOOKUP(B891, PLANTA_BASE!A:W, 8, FALSE), "DOCENTE / FACILITADOR"))</f>
        <v/>
      </c>
      <c r="G891" s="7" t="str">
        <f>IF(B891="","",IFERROR(VLOOKUP(B891, PLANTA_BASE!A:W, 9, FALSE), "GENERAL"))</f>
        <v/>
      </c>
      <c r="H891" s="5" t="str">
        <f>IF(B891="","",IFERROR(VLOOKUP(B891, PLANTA_BASE!A:W, 17, FALSE), "GENERAL"))</f>
        <v/>
      </c>
    </row>
    <row r="892" spans="1:8" ht="20.100000000000001" customHeight="1" x14ac:dyDescent="0.25">
      <c r="A892" s="2" t="str">
        <f>IF(B892="","",IFERROR(VLOOKUP(B892, PLANTA_BASE!A:W, 2, FALSE), "NO ENCONTRADO EN PLANTA"))</f>
        <v/>
      </c>
      <c r="B892" s="3"/>
      <c r="C892" s="4" t="str">
        <f>IF(B892="","",IFERROR(VLOOKUP(B892, PLANTA_BASE!A:W, 3, FALSE), ""))</f>
        <v/>
      </c>
      <c r="D892" s="2" t="str">
        <f>IF(B892="","",IFERROR(VLOOKUP(B892, PLANTA_BASE!A:W, 5, FALSE), "NO ENCONTRADO EN PLANTA"))</f>
        <v/>
      </c>
      <c r="E892" s="2" t="str">
        <f>IF(B892="","",IFERROR(VLOOKUP(B892, PLANTA_BASE!A:W, 6, FALSE), "NO ENCONTRADO EN PLANTA"))</f>
        <v/>
      </c>
      <c r="F892" s="4" t="str">
        <f>IF(B892="","",IFERROR(VLOOKUP(B892, PLANTA_BASE!A:W, 8, FALSE), "DOCENTE / FACILITADOR"))</f>
        <v/>
      </c>
      <c r="G892" s="4" t="str">
        <f>IF(B892="","",IFERROR(VLOOKUP(B892, PLANTA_BASE!A:W, 9, FALSE), "GENERAL"))</f>
        <v/>
      </c>
      <c r="H892" s="2" t="str">
        <f>IF(B892="","",IFERROR(VLOOKUP(B892, PLANTA_BASE!A:W, 17, FALSE), "GENERAL"))</f>
        <v/>
      </c>
    </row>
    <row r="893" spans="1:8" ht="20.100000000000001" customHeight="1" x14ac:dyDescent="0.25">
      <c r="A893" s="5" t="str">
        <f>IF(B893="","",IFERROR(VLOOKUP(B893, PLANTA_BASE!A:W, 2, FALSE), "NO ENCONTRADO EN PLANTA"))</f>
        <v/>
      </c>
      <c r="B893" s="6"/>
      <c r="C893" s="7" t="str">
        <f>IF(B893="","",IFERROR(VLOOKUP(B893, PLANTA_BASE!A:W, 3, FALSE), ""))</f>
        <v/>
      </c>
      <c r="D893" s="5" t="str">
        <f>IF(B893="","",IFERROR(VLOOKUP(B893, PLANTA_BASE!A:W, 5, FALSE), "NO ENCONTRADO EN PLANTA"))</f>
        <v/>
      </c>
      <c r="E893" s="5" t="str">
        <f>IF(B893="","",IFERROR(VLOOKUP(B893, PLANTA_BASE!A:W, 6, FALSE), "NO ENCONTRADO EN PLANTA"))</f>
        <v/>
      </c>
      <c r="F893" s="7" t="str">
        <f>IF(B893="","",IFERROR(VLOOKUP(B893, PLANTA_BASE!A:W, 8, FALSE), "DOCENTE / FACILITADOR"))</f>
        <v/>
      </c>
      <c r="G893" s="7" t="str">
        <f>IF(B893="","",IFERROR(VLOOKUP(B893, PLANTA_BASE!A:W, 9, FALSE), "GENERAL"))</f>
        <v/>
      </c>
      <c r="H893" s="5" t="str">
        <f>IF(B893="","",IFERROR(VLOOKUP(B893, PLANTA_BASE!A:W, 17, FALSE), "GENERAL"))</f>
        <v/>
      </c>
    </row>
    <row r="894" spans="1:8" ht="20.100000000000001" customHeight="1" x14ac:dyDescent="0.25">
      <c r="A894" s="2" t="str">
        <f>IF(B894="","",IFERROR(VLOOKUP(B894, PLANTA_BASE!A:W, 2, FALSE), "NO ENCONTRADO EN PLANTA"))</f>
        <v/>
      </c>
      <c r="B894" s="3"/>
      <c r="C894" s="4" t="str">
        <f>IF(B894="","",IFERROR(VLOOKUP(B894, PLANTA_BASE!A:W, 3, FALSE), ""))</f>
        <v/>
      </c>
      <c r="D894" s="2" t="str">
        <f>IF(B894="","",IFERROR(VLOOKUP(B894, PLANTA_BASE!A:W, 5, FALSE), "NO ENCONTRADO EN PLANTA"))</f>
        <v/>
      </c>
      <c r="E894" s="2" t="str">
        <f>IF(B894="","",IFERROR(VLOOKUP(B894, PLANTA_BASE!A:W, 6, FALSE), "NO ENCONTRADO EN PLANTA"))</f>
        <v/>
      </c>
      <c r="F894" s="4" t="str">
        <f>IF(B894="","",IFERROR(VLOOKUP(B894, PLANTA_BASE!A:W, 8, FALSE), "DOCENTE / FACILITADOR"))</f>
        <v/>
      </c>
      <c r="G894" s="4" t="str">
        <f>IF(B894="","",IFERROR(VLOOKUP(B894, PLANTA_BASE!A:W, 9, FALSE), "GENERAL"))</f>
        <v/>
      </c>
      <c r="H894" s="2" t="str">
        <f>IF(B894="","",IFERROR(VLOOKUP(B894, PLANTA_BASE!A:W, 17, FALSE), "GENERAL"))</f>
        <v/>
      </c>
    </row>
    <row r="895" spans="1:8" ht="20.100000000000001" customHeight="1" x14ac:dyDescent="0.25">
      <c r="A895" s="5" t="str">
        <f>IF(B895="","",IFERROR(VLOOKUP(B895, PLANTA_BASE!A:W, 2, FALSE), "NO ENCONTRADO EN PLANTA"))</f>
        <v/>
      </c>
      <c r="B895" s="6"/>
      <c r="C895" s="7" t="str">
        <f>IF(B895="","",IFERROR(VLOOKUP(B895, PLANTA_BASE!A:W, 3, FALSE), ""))</f>
        <v/>
      </c>
      <c r="D895" s="5" t="str">
        <f>IF(B895="","",IFERROR(VLOOKUP(B895, PLANTA_BASE!A:W, 5, FALSE), "NO ENCONTRADO EN PLANTA"))</f>
        <v/>
      </c>
      <c r="E895" s="5" t="str">
        <f>IF(B895="","",IFERROR(VLOOKUP(B895, PLANTA_BASE!A:W, 6, FALSE), "NO ENCONTRADO EN PLANTA"))</f>
        <v/>
      </c>
      <c r="F895" s="7" t="str">
        <f>IF(B895="","",IFERROR(VLOOKUP(B895, PLANTA_BASE!A:W, 8, FALSE), "DOCENTE / FACILITADOR"))</f>
        <v/>
      </c>
      <c r="G895" s="7" t="str">
        <f>IF(B895="","",IFERROR(VLOOKUP(B895, PLANTA_BASE!A:W, 9, FALSE), "GENERAL"))</f>
        <v/>
      </c>
      <c r="H895" s="5" t="str">
        <f>IF(B895="","",IFERROR(VLOOKUP(B895, PLANTA_BASE!A:W, 17, FALSE), "GENERAL"))</f>
        <v/>
      </c>
    </row>
    <row r="896" spans="1:8" ht="20.100000000000001" customHeight="1" x14ac:dyDescent="0.25">
      <c r="A896" s="2" t="str">
        <f>IF(B896="","",IFERROR(VLOOKUP(B896, PLANTA_BASE!A:W, 2, FALSE), "NO ENCONTRADO EN PLANTA"))</f>
        <v/>
      </c>
      <c r="B896" s="3"/>
      <c r="C896" s="4" t="str">
        <f>IF(B896="","",IFERROR(VLOOKUP(B896, PLANTA_BASE!A:W, 3, FALSE), ""))</f>
        <v/>
      </c>
      <c r="D896" s="2" t="str">
        <f>IF(B896="","",IFERROR(VLOOKUP(B896, PLANTA_BASE!A:W, 5, FALSE), "NO ENCONTRADO EN PLANTA"))</f>
        <v/>
      </c>
      <c r="E896" s="2" t="str">
        <f>IF(B896="","",IFERROR(VLOOKUP(B896, PLANTA_BASE!A:W, 6, FALSE), "NO ENCONTRADO EN PLANTA"))</f>
        <v/>
      </c>
      <c r="F896" s="4" t="str">
        <f>IF(B896="","",IFERROR(VLOOKUP(B896, PLANTA_BASE!A:W, 8, FALSE), "DOCENTE / FACILITADOR"))</f>
        <v/>
      </c>
      <c r="G896" s="4" t="str">
        <f>IF(B896="","",IFERROR(VLOOKUP(B896, PLANTA_BASE!A:W, 9, FALSE), "GENERAL"))</f>
        <v/>
      </c>
      <c r="H896" s="2" t="str">
        <f>IF(B896="","",IFERROR(VLOOKUP(B896, PLANTA_BASE!A:W, 17, FALSE), "GENERAL"))</f>
        <v/>
      </c>
    </row>
    <row r="897" spans="1:8" ht="20.100000000000001" customHeight="1" x14ac:dyDescent="0.25">
      <c r="A897" s="5" t="str">
        <f>IF(B897="","",IFERROR(VLOOKUP(B897, PLANTA_BASE!A:W, 2, FALSE), "NO ENCONTRADO EN PLANTA"))</f>
        <v/>
      </c>
      <c r="B897" s="6"/>
      <c r="C897" s="7" t="str">
        <f>IF(B897="","",IFERROR(VLOOKUP(B897, PLANTA_BASE!A:W, 3, FALSE), ""))</f>
        <v/>
      </c>
      <c r="D897" s="5" t="str">
        <f>IF(B897="","",IFERROR(VLOOKUP(B897, PLANTA_BASE!A:W, 5, FALSE), "NO ENCONTRADO EN PLANTA"))</f>
        <v/>
      </c>
      <c r="E897" s="5" t="str">
        <f>IF(B897="","",IFERROR(VLOOKUP(B897, PLANTA_BASE!A:W, 6, FALSE), "NO ENCONTRADO EN PLANTA"))</f>
        <v/>
      </c>
      <c r="F897" s="7" t="str">
        <f>IF(B897="","",IFERROR(VLOOKUP(B897, PLANTA_BASE!A:W, 8, FALSE), "DOCENTE / FACILITADOR"))</f>
        <v/>
      </c>
      <c r="G897" s="7" t="str">
        <f>IF(B897="","",IFERROR(VLOOKUP(B897, PLANTA_BASE!A:W, 9, FALSE), "GENERAL"))</f>
        <v/>
      </c>
      <c r="H897" s="5" t="str">
        <f>IF(B897="","",IFERROR(VLOOKUP(B897, PLANTA_BASE!A:W, 17, FALSE), "GENERAL"))</f>
        <v/>
      </c>
    </row>
    <row r="898" spans="1:8" ht="20.100000000000001" customHeight="1" x14ac:dyDescent="0.25">
      <c r="A898" s="2" t="str">
        <f>IF(B898="","",IFERROR(VLOOKUP(B898, PLANTA_BASE!A:W, 2, FALSE), "NO ENCONTRADO EN PLANTA"))</f>
        <v/>
      </c>
      <c r="B898" s="3"/>
      <c r="C898" s="4" t="str">
        <f>IF(B898="","",IFERROR(VLOOKUP(B898, PLANTA_BASE!A:W, 3, FALSE), ""))</f>
        <v/>
      </c>
      <c r="D898" s="2" t="str">
        <f>IF(B898="","",IFERROR(VLOOKUP(B898, PLANTA_BASE!A:W, 5, FALSE), "NO ENCONTRADO EN PLANTA"))</f>
        <v/>
      </c>
      <c r="E898" s="2" t="str">
        <f>IF(B898="","",IFERROR(VLOOKUP(B898, PLANTA_BASE!A:W, 6, FALSE), "NO ENCONTRADO EN PLANTA"))</f>
        <v/>
      </c>
      <c r="F898" s="4" t="str">
        <f>IF(B898="","",IFERROR(VLOOKUP(B898, PLANTA_BASE!A:W, 8, FALSE), "DOCENTE / FACILITADOR"))</f>
        <v/>
      </c>
      <c r="G898" s="4" t="str">
        <f>IF(B898="","",IFERROR(VLOOKUP(B898, PLANTA_BASE!A:W, 9, FALSE), "GENERAL"))</f>
        <v/>
      </c>
      <c r="H898" s="2" t="str">
        <f>IF(B898="","",IFERROR(VLOOKUP(B898, PLANTA_BASE!A:W, 17, FALSE), "GENERAL"))</f>
        <v/>
      </c>
    </row>
    <row r="899" spans="1:8" ht="20.100000000000001" customHeight="1" x14ac:dyDescent="0.25">
      <c r="A899" s="5" t="str">
        <f>IF(B899="","",IFERROR(VLOOKUP(B899, PLANTA_BASE!A:W, 2, FALSE), "NO ENCONTRADO EN PLANTA"))</f>
        <v/>
      </c>
      <c r="B899" s="6"/>
      <c r="C899" s="7" t="str">
        <f>IF(B899="","",IFERROR(VLOOKUP(B899, PLANTA_BASE!A:W, 3, FALSE), ""))</f>
        <v/>
      </c>
      <c r="D899" s="5" t="str">
        <f>IF(B899="","",IFERROR(VLOOKUP(B899, PLANTA_BASE!A:W, 5, FALSE), "NO ENCONTRADO EN PLANTA"))</f>
        <v/>
      </c>
      <c r="E899" s="5" t="str">
        <f>IF(B899="","",IFERROR(VLOOKUP(B899, PLANTA_BASE!A:W, 6, FALSE), "NO ENCONTRADO EN PLANTA"))</f>
        <v/>
      </c>
      <c r="F899" s="7" t="str">
        <f>IF(B899="","",IFERROR(VLOOKUP(B899, PLANTA_BASE!A:W, 8, FALSE), "DOCENTE / FACILITADOR"))</f>
        <v/>
      </c>
      <c r="G899" s="7" t="str">
        <f>IF(B899="","",IFERROR(VLOOKUP(B899, PLANTA_BASE!A:W, 9, FALSE), "GENERAL"))</f>
        <v/>
      </c>
      <c r="H899" s="5" t="str">
        <f>IF(B899="","",IFERROR(VLOOKUP(B899, PLANTA_BASE!A:W, 17, FALSE), "GENERAL"))</f>
        <v/>
      </c>
    </row>
    <row r="900" spans="1:8" ht="20.100000000000001" customHeight="1" x14ac:dyDescent="0.25">
      <c r="A900" s="2" t="str">
        <f>IF(B900="","",IFERROR(VLOOKUP(B900, PLANTA_BASE!A:W, 2, FALSE), "NO ENCONTRADO EN PLANTA"))</f>
        <v/>
      </c>
      <c r="B900" s="3"/>
      <c r="C900" s="4" t="str">
        <f>IF(B900="","",IFERROR(VLOOKUP(B900, PLANTA_BASE!A:W, 3, FALSE), ""))</f>
        <v/>
      </c>
      <c r="D900" s="2" t="str">
        <f>IF(B900="","",IFERROR(VLOOKUP(B900, PLANTA_BASE!A:W, 5, FALSE), "NO ENCONTRADO EN PLANTA"))</f>
        <v/>
      </c>
      <c r="E900" s="2" t="str">
        <f>IF(B900="","",IFERROR(VLOOKUP(B900, PLANTA_BASE!A:W, 6, FALSE), "NO ENCONTRADO EN PLANTA"))</f>
        <v/>
      </c>
      <c r="F900" s="4" t="str">
        <f>IF(B900="","",IFERROR(VLOOKUP(B900, PLANTA_BASE!A:W, 8, FALSE), "DOCENTE / FACILITADOR"))</f>
        <v/>
      </c>
      <c r="G900" s="4" t="str">
        <f>IF(B900="","",IFERROR(VLOOKUP(B900, PLANTA_BASE!A:W, 9, FALSE), "GENERAL"))</f>
        <v/>
      </c>
      <c r="H900" s="2" t="str">
        <f>IF(B900="","",IFERROR(VLOOKUP(B900, PLANTA_BASE!A:W, 17, FALSE), "GENERAL"))</f>
        <v/>
      </c>
    </row>
    <row r="901" spans="1:8" ht="20.100000000000001" customHeight="1" x14ac:dyDescent="0.25">
      <c r="A901" s="5" t="str">
        <f>IF(B901="","",IFERROR(VLOOKUP(B901, PLANTA_BASE!A:W, 2, FALSE), "NO ENCONTRADO EN PLANTA"))</f>
        <v/>
      </c>
      <c r="B901" s="6"/>
      <c r="C901" s="7" t="str">
        <f>IF(B901="","",IFERROR(VLOOKUP(B901, PLANTA_BASE!A:W, 3, FALSE), ""))</f>
        <v/>
      </c>
      <c r="D901" s="5" t="str">
        <f>IF(B901="","",IFERROR(VLOOKUP(B901, PLANTA_BASE!A:W, 5, FALSE), "NO ENCONTRADO EN PLANTA"))</f>
        <v/>
      </c>
      <c r="E901" s="5" t="str">
        <f>IF(B901="","",IFERROR(VLOOKUP(B901, PLANTA_BASE!A:W, 6, FALSE), "NO ENCONTRADO EN PLANTA"))</f>
        <v/>
      </c>
      <c r="F901" s="7" t="str">
        <f>IF(B901="","",IFERROR(VLOOKUP(B901, PLANTA_BASE!A:W, 8, FALSE), "DOCENTE / FACILITADOR"))</f>
        <v/>
      </c>
      <c r="G901" s="7" t="str">
        <f>IF(B901="","",IFERROR(VLOOKUP(B901, PLANTA_BASE!A:W, 9, FALSE), "GENERAL"))</f>
        <v/>
      </c>
      <c r="H901" s="5" t="str">
        <f>IF(B901="","",IFERROR(VLOOKUP(B901, PLANTA_BASE!A:W, 17, FALSE), "GENERAL"))</f>
        <v/>
      </c>
    </row>
    <row r="902" spans="1:8" ht="20.100000000000001" customHeight="1" x14ac:dyDescent="0.25">
      <c r="A902" s="2" t="str">
        <f>IF(B902="","",IFERROR(VLOOKUP(B902, PLANTA_BASE!A:W, 2, FALSE), "NO ENCONTRADO EN PLANTA"))</f>
        <v/>
      </c>
      <c r="B902" s="3"/>
      <c r="C902" s="4" t="str">
        <f>IF(B902="","",IFERROR(VLOOKUP(B902, PLANTA_BASE!A:W, 3, FALSE), ""))</f>
        <v/>
      </c>
      <c r="D902" s="2" t="str">
        <f>IF(B902="","",IFERROR(VLOOKUP(B902, PLANTA_BASE!A:W, 5, FALSE), "NO ENCONTRADO EN PLANTA"))</f>
        <v/>
      </c>
      <c r="E902" s="2" t="str">
        <f>IF(B902="","",IFERROR(VLOOKUP(B902, PLANTA_BASE!A:W, 6, FALSE), "NO ENCONTRADO EN PLANTA"))</f>
        <v/>
      </c>
      <c r="F902" s="4" t="str">
        <f>IF(B902="","",IFERROR(VLOOKUP(B902, PLANTA_BASE!A:W, 8, FALSE), "DOCENTE / FACILITADOR"))</f>
        <v/>
      </c>
      <c r="G902" s="4" t="str">
        <f>IF(B902="","",IFERROR(VLOOKUP(B902, PLANTA_BASE!A:W, 9, FALSE), "GENERAL"))</f>
        <v/>
      </c>
      <c r="H902" s="2" t="str">
        <f>IF(B902="","",IFERROR(VLOOKUP(B902, PLANTA_BASE!A:W, 17, FALSE), "GENERAL"))</f>
        <v/>
      </c>
    </row>
    <row r="903" spans="1:8" ht="20.100000000000001" customHeight="1" x14ac:dyDescent="0.25">
      <c r="A903" s="5" t="str">
        <f>IF(B903="","",IFERROR(VLOOKUP(B903, PLANTA_BASE!A:W, 2, FALSE), "NO ENCONTRADO EN PLANTA"))</f>
        <v/>
      </c>
      <c r="B903" s="6"/>
      <c r="C903" s="7" t="str">
        <f>IF(B903="","",IFERROR(VLOOKUP(B903, PLANTA_BASE!A:W, 3, FALSE), ""))</f>
        <v/>
      </c>
      <c r="D903" s="5" t="str">
        <f>IF(B903="","",IFERROR(VLOOKUP(B903, PLANTA_BASE!A:W, 5, FALSE), "NO ENCONTRADO EN PLANTA"))</f>
        <v/>
      </c>
      <c r="E903" s="5" t="str">
        <f>IF(B903="","",IFERROR(VLOOKUP(B903, PLANTA_BASE!A:W, 6, FALSE), "NO ENCONTRADO EN PLANTA"))</f>
        <v/>
      </c>
      <c r="F903" s="7" t="str">
        <f>IF(B903="","",IFERROR(VLOOKUP(B903, PLANTA_BASE!A:W, 8, FALSE), "DOCENTE / FACILITADOR"))</f>
        <v/>
      </c>
      <c r="G903" s="7" t="str">
        <f>IF(B903="","",IFERROR(VLOOKUP(B903, PLANTA_BASE!A:W, 9, FALSE), "GENERAL"))</f>
        <v/>
      </c>
      <c r="H903" s="5" t="str">
        <f>IF(B903="","",IFERROR(VLOOKUP(B903, PLANTA_BASE!A:W, 17, FALSE), "GENERAL"))</f>
        <v/>
      </c>
    </row>
    <row r="904" spans="1:8" ht="20.100000000000001" customHeight="1" x14ac:dyDescent="0.25">
      <c r="A904" s="2" t="str">
        <f>IF(B904="","",IFERROR(VLOOKUP(B904, PLANTA_BASE!A:W, 2, FALSE), "NO ENCONTRADO EN PLANTA"))</f>
        <v/>
      </c>
      <c r="B904" s="3"/>
      <c r="C904" s="4" t="str">
        <f>IF(B904="","",IFERROR(VLOOKUP(B904, PLANTA_BASE!A:W, 3, FALSE), ""))</f>
        <v/>
      </c>
      <c r="D904" s="2" t="str">
        <f>IF(B904="","",IFERROR(VLOOKUP(B904, PLANTA_BASE!A:W, 5, FALSE), "NO ENCONTRADO EN PLANTA"))</f>
        <v/>
      </c>
      <c r="E904" s="2" t="str">
        <f>IF(B904="","",IFERROR(VLOOKUP(B904, PLANTA_BASE!A:W, 6, FALSE), "NO ENCONTRADO EN PLANTA"))</f>
        <v/>
      </c>
      <c r="F904" s="4" t="str">
        <f>IF(B904="","",IFERROR(VLOOKUP(B904, PLANTA_BASE!A:W, 8, FALSE), "DOCENTE / FACILITADOR"))</f>
        <v/>
      </c>
      <c r="G904" s="4" t="str">
        <f>IF(B904="","",IFERROR(VLOOKUP(B904, PLANTA_BASE!A:W, 9, FALSE), "GENERAL"))</f>
        <v/>
      </c>
      <c r="H904" s="2" t="str">
        <f>IF(B904="","",IFERROR(VLOOKUP(B904, PLANTA_BASE!A:W, 17, FALSE), "GENERAL"))</f>
        <v/>
      </c>
    </row>
    <row r="905" spans="1:8" ht="20.100000000000001" customHeight="1" x14ac:dyDescent="0.25">
      <c r="A905" s="5" t="str">
        <f>IF(B905="","",IFERROR(VLOOKUP(B905, PLANTA_BASE!A:W, 2, FALSE), "NO ENCONTRADO EN PLANTA"))</f>
        <v/>
      </c>
      <c r="B905" s="6"/>
      <c r="C905" s="7" t="str">
        <f>IF(B905="","",IFERROR(VLOOKUP(B905, PLANTA_BASE!A:W, 3, FALSE), ""))</f>
        <v/>
      </c>
      <c r="D905" s="5" t="str">
        <f>IF(B905="","",IFERROR(VLOOKUP(B905, PLANTA_BASE!A:W, 5, FALSE), "NO ENCONTRADO EN PLANTA"))</f>
        <v/>
      </c>
      <c r="E905" s="5" t="str">
        <f>IF(B905="","",IFERROR(VLOOKUP(B905, PLANTA_BASE!A:W, 6, FALSE), "NO ENCONTRADO EN PLANTA"))</f>
        <v/>
      </c>
      <c r="F905" s="7" t="str">
        <f>IF(B905="","",IFERROR(VLOOKUP(B905, PLANTA_BASE!A:W, 8, FALSE), "DOCENTE / FACILITADOR"))</f>
        <v/>
      </c>
      <c r="G905" s="7" t="str">
        <f>IF(B905="","",IFERROR(VLOOKUP(B905, PLANTA_BASE!A:W, 9, FALSE), "GENERAL"))</f>
        <v/>
      </c>
      <c r="H905" s="5" t="str">
        <f>IF(B905="","",IFERROR(VLOOKUP(B905, PLANTA_BASE!A:W, 17, FALSE), "GENERAL"))</f>
        <v/>
      </c>
    </row>
    <row r="906" spans="1:8" ht="20.100000000000001" customHeight="1" x14ac:dyDescent="0.25">
      <c r="A906" s="2" t="str">
        <f>IF(B906="","",IFERROR(VLOOKUP(B906, PLANTA_BASE!A:W, 2, FALSE), "NO ENCONTRADO EN PLANTA"))</f>
        <v/>
      </c>
      <c r="B906" s="3"/>
      <c r="C906" s="4" t="str">
        <f>IF(B906="","",IFERROR(VLOOKUP(B906, PLANTA_BASE!A:W, 3, FALSE), ""))</f>
        <v/>
      </c>
      <c r="D906" s="2" t="str">
        <f>IF(B906="","",IFERROR(VLOOKUP(B906, PLANTA_BASE!A:W, 5, FALSE), "NO ENCONTRADO EN PLANTA"))</f>
        <v/>
      </c>
      <c r="E906" s="2" t="str">
        <f>IF(B906="","",IFERROR(VLOOKUP(B906, PLANTA_BASE!A:W, 6, FALSE), "NO ENCONTRADO EN PLANTA"))</f>
        <v/>
      </c>
      <c r="F906" s="4" t="str">
        <f>IF(B906="","",IFERROR(VLOOKUP(B906, PLANTA_BASE!A:W, 8, FALSE), "DOCENTE / FACILITADOR"))</f>
        <v/>
      </c>
      <c r="G906" s="4" t="str">
        <f>IF(B906="","",IFERROR(VLOOKUP(B906, PLANTA_BASE!A:W, 9, FALSE), "GENERAL"))</f>
        <v/>
      </c>
      <c r="H906" s="2" t="str">
        <f>IF(B906="","",IFERROR(VLOOKUP(B906, PLANTA_BASE!A:W, 17, FALSE), "GENERAL"))</f>
        <v/>
      </c>
    </row>
    <row r="907" spans="1:8" ht="20.100000000000001" customHeight="1" x14ac:dyDescent="0.25">
      <c r="A907" s="5" t="str">
        <f>IF(B907="","",IFERROR(VLOOKUP(B907, PLANTA_BASE!A:W, 2, FALSE), "NO ENCONTRADO EN PLANTA"))</f>
        <v/>
      </c>
      <c r="B907" s="6"/>
      <c r="C907" s="7" t="str">
        <f>IF(B907="","",IFERROR(VLOOKUP(B907, PLANTA_BASE!A:W, 3, FALSE), ""))</f>
        <v/>
      </c>
      <c r="D907" s="5" t="str">
        <f>IF(B907="","",IFERROR(VLOOKUP(B907, PLANTA_BASE!A:W, 5, FALSE), "NO ENCONTRADO EN PLANTA"))</f>
        <v/>
      </c>
      <c r="E907" s="5" t="str">
        <f>IF(B907="","",IFERROR(VLOOKUP(B907, PLANTA_BASE!A:W, 6, FALSE), "NO ENCONTRADO EN PLANTA"))</f>
        <v/>
      </c>
      <c r="F907" s="7" t="str">
        <f>IF(B907="","",IFERROR(VLOOKUP(B907, PLANTA_BASE!A:W, 8, FALSE), "DOCENTE / FACILITADOR"))</f>
        <v/>
      </c>
      <c r="G907" s="7" t="str">
        <f>IF(B907="","",IFERROR(VLOOKUP(B907, PLANTA_BASE!A:W, 9, FALSE), "GENERAL"))</f>
        <v/>
      </c>
      <c r="H907" s="5" t="str">
        <f>IF(B907="","",IFERROR(VLOOKUP(B907, PLANTA_BASE!A:W, 17, FALSE), "GENERAL"))</f>
        <v/>
      </c>
    </row>
    <row r="908" spans="1:8" ht="20.100000000000001" customHeight="1" x14ac:dyDescent="0.25">
      <c r="A908" s="2" t="str">
        <f>IF(B908="","",IFERROR(VLOOKUP(B908, PLANTA_BASE!A:W, 2, FALSE), "NO ENCONTRADO EN PLANTA"))</f>
        <v/>
      </c>
      <c r="B908" s="3"/>
      <c r="C908" s="4" t="str">
        <f>IF(B908="","",IFERROR(VLOOKUP(B908, PLANTA_BASE!A:W, 3, FALSE), ""))</f>
        <v/>
      </c>
      <c r="D908" s="2" t="str">
        <f>IF(B908="","",IFERROR(VLOOKUP(B908, PLANTA_BASE!A:W, 5, FALSE), "NO ENCONTRADO EN PLANTA"))</f>
        <v/>
      </c>
      <c r="E908" s="2" t="str">
        <f>IF(B908="","",IFERROR(VLOOKUP(B908, PLANTA_BASE!A:W, 6, FALSE), "NO ENCONTRADO EN PLANTA"))</f>
        <v/>
      </c>
      <c r="F908" s="4" t="str">
        <f>IF(B908="","",IFERROR(VLOOKUP(B908, PLANTA_BASE!A:W, 8, FALSE), "DOCENTE / FACILITADOR"))</f>
        <v/>
      </c>
      <c r="G908" s="4" t="str">
        <f>IF(B908="","",IFERROR(VLOOKUP(B908, PLANTA_BASE!A:W, 9, FALSE), "GENERAL"))</f>
        <v/>
      </c>
      <c r="H908" s="2" t="str">
        <f>IF(B908="","",IFERROR(VLOOKUP(B908, PLANTA_BASE!A:W, 17, FALSE), "GENERAL"))</f>
        <v/>
      </c>
    </row>
    <row r="909" spans="1:8" ht="20.100000000000001" customHeight="1" x14ac:dyDescent="0.25">
      <c r="A909" s="5" t="str">
        <f>IF(B909="","",IFERROR(VLOOKUP(B909, PLANTA_BASE!A:W, 2, FALSE), "NO ENCONTRADO EN PLANTA"))</f>
        <v/>
      </c>
      <c r="B909" s="6"/>
      <c r="C909" s="7" t="str">
        <f>IF(B909="","",IFERROR(VLOOKUP(B909, PLANTA_BASE!A:W, 3, FALSE), ""))</f>
        <v/>
      </c>
      <c r="D909" s="5" t="str">
        <f>IF(B909="","",IFERROR(VLOOKUP(B909, PLANTA_BASE!A:W, 5, FALSE), "NO ENCONTRADO EN PLANTA"))</f>
        <v/>
      </c>
      <c r="E909" s="5" t="str">
        <f>IF(B909="","",IFERROR(VLOOKUP(B909, PLANTA_BASE!A:W, 6, FALSE), "NO ENCONTRADO EN PLANTA"))</f>
        <v/>
      </c>
      <c r="F909" s="7" t="str">
        <f>IF(B909="","",IFERROR(VLOOKUP(B909, PLANTA_BASE!A:W, 8, FALSE), "DOCENTE / FACILITADOR"))</f>
        <v/>
      </c>
      <c r="G909" s="7" t="str">
        <f>IF(B909="","",IFERROR(VLOOKUP(B909, PLANTA_BASE!A:W, 9, FALSE), "GENERAL"))</f>
        <v/>
      </c>
      <c r="H909" s="5" t="str">
        <f>IF(B909="","",IFERROR(VLOOKUP(B909, PLANTA_BASE!A:W, 17, FALSE), "GENERAL"))</f>
        <v/>
      </c>
    </row>
    <row r="910" spans="1:8" ht="20.100000000000001" customHeight="1" x14ac:dyDescent="0.25">
      <c r="A910" s="2" t="str">
        <f>IF(B910="","",IFERROR(VLOOKUP(B910, PLANTA_BASE!A:W, 2, FALSE), "NO ENCONTRADO EN PLANTA"))</f>
        <v/>
      </c>
      <c r="B910" s="3"/>
      <c r="C910" s="4" t="str">
        <f>IF(B910="","",IFERROR(VLOOKUP(B910, PLANTA_BASE!A:W, 3, FALSE), ""))</f>
        <v/>
      </c>
      <c r="D910" s="2" t="str">
        <f>IF(B910="","",IFERROR(VLOOKUP(B910, PLANTA_BASE!A:W, 5, FALSE), "NO ENCONTRADO EN PLANTA"))</f>
        <v/>
      </c>
      <c r="E910" s="2" t="str">
        <f>IF(B910="","",IFERROR(VLOOKUP(B910, PLANTA_BASE!A:W, 6, FALSE), "NO ENCONTRADO EN PLANTA"))</f>
        <v/>
      </c>
      <c r="F910" s="4" t="str">
        <f>IF(B910="","",IFERROR(VLOOKUP(B910, PLANTA_BASE!A:W, 8, FALSE), "DOCENTE / FACILITADOR"))</f>
        <v/>
      </c>
      <c r="G910" s="4" t="str">
        <f>IF(B910="","",IFERROR(VLOOKUP(B910, PLANTA_BASE!A:W, 9, FALSE), "GENERAL"))</f>
        <v/>
      </c>
      <c r="H910" s="2" t="str">
        <f>IF(B910="","",IFERROR(VLOOKUP(B910, PLANTA_BASE!A:W, 17, FALSE), "GENERAL"))</f>
        <v/>
      </c>
    </row>
    <row r="911" spans="1:8" ht="20.100000000000001" customHeight="1" x14ac:dyDescent="0.25">
      <c r="A911" s="5" t="str">
        <f>IF(B911="","",IFERROR(VLOOKUP(B911, PLANTA_BASE!A:W, 2, FALSE), "NO ENCONTRADO EN PLANTA"))</f>
        <v/>
      </c>
      <c r="B911" s="6"/>
      <c r="C911" s="7" t="str">
        <f>IF(B911="","",IFERROR(VLOOKUP(B911, PLANTA_BASE!A:W, 3, FALSE), ""))</f>
        <v/>
      </c>
      <c r="D911" s="5" t="str">
        <f>IF(B911="","",IFERROR(VLOOKUP(B911, PLANTA_BASE!A:W, 5, FALSE), "NO ENCONTRADO EN PLANTA"))</f>
        <v/>
      </c>
      <c r="E911" s="5" t="str">
        <f>IF(B911="","",IFERROR(VLOOKUP(B911, PLANTA_BASE!A:W, 6, FALSE), "NO ENCONTRADO EN PLANTA"))</f>
        <v/>
      </c>
      <c r="F911" s="7" t="str">
        <f>IF(B911="","",IFERROR(VLOOKUP(B911, PLANTA_BASE!A:W, 8, FALSE), "DOCENTE / FACILITADOR"))</f>
        <v/>
      </c>
      <c r="G911" s="7" t="str">
        <f>IF(B911="","",IFERROR(VLOOKUP(B911, PLANTA_BASE!A:W, 9, FALSE), "GENERAL"))</f>
        <v/>
      </c>
      <c r="H911" s="5" t="str">
        <f>IF(B911="","",IFERROR(VLOOKUP(B911, PLANTA_BASE!A:W, 17, FALSE), "GENERAL"))</f>
        <v/>
      </c>
    </row>
    <row r="912" spans="1:8" ht="20.100000000000001" customHeight="1" x14ac:dyDescent="0.25">
      <c r="A912" s="2" t="str">
        <f>IF(B912="","",IFERROR(VLOOKUP(B912, PLANTA_BASE!A:W, 2, FALSE), "NO ENCONTRADO EN PLANTA"))</f>
        <v/>
      </c>
      <c r="B912" s="3"/>
      <c r="C912" s="4" t="str">
        <f>IF(B912="","",IFERROR(VLOOKUP(B912, PLANTA_BASE!A:W, 3, FALSE), ""))</f>
        <v/>
      </c>
      <c r="D912" s="2" t="str">
        <f>IF(B912="","",IFERROR(VLOOKUP(B912, PLANTA_BASE!A:W, 5, FALSE), "NO ENCONTRADO EN PLANTA"))</f>
        <v/>
      </c>
      <c r="E912" s="2" t="str">
        <f>IF(B912="","",IFERROR(VLOOKUP(B912, PLANTA_BASE!A:W, 6, FALSE), "NO ENCONTRADO EN PLANTA"))</f>
        <v/>
      </c>
      <c r="F912" s="4" t="str">
        <f>IF(B912="","",IFERROR(VLOOKUP(B912, PLANTA_BASE!A:W, 8, FALSE), "DOCENTE / FACILITADOR"))</f>
        <v/>
      </c>
      <c r="G912" s="4" t="str">
        <f>IF(B912="","",IFERROR(VLOOKUP(B912, PLANTA_BASE!A:W, 9, FALSE), "GENERAL"))</f>
        <v/>
      </c>
      <c r="H912" s="2" t="str">
        <f>IF(B912="","",IFERROR(VLOOKUP(B912, PLANTA_BASE!A:W, 17, FALSE), "GENERAL"))</f>
        <v/>
      </c>
    </row>
    <row r="913" spans="1:8" ht="20.100000000000001" customHeight="1" x14ac:dyDescent="0.25">
      <c r="A913" s="5" t="str">
        <f>IF(B913="","",IFERROR(VLOOKUP(B913, PLANTA_BASE!A:W, 2, FALSE), "NO ENCONTRADO EN PLANTA"))</f>
        <v/>
      </c>
      <c r="B913" s="6"/>
      <c r="C913" s="7" t="str">
        <f>IF(B913="","",IFERROR(VLOOKUP(B913, PLANTA_BASE!A:W, 3, FALSE), ""))</f>
        <v/>
      </c>
      <c r="D913" s="5" t="str">
        <f>IF(B913="","",IFERROR(VLOOKUP(B913, PLANTA_BASE!A:W, 5, FALSE), "NO ENCONTRADO EN PLANTA"))</f>
        <v/>
      </c>
      <c r="E913" s="5" t="str">
        <f>IF(B913="","",IFERROR(VLOOKUP(B913, PLANTA_BASE!A:W, 6, FALSE), "NO ENCONTRADO EN PLANTA"))</f>
        <v/>
      </c>
      <c r="F913" s="7" t="str">
        <f>IF(B913="","",IFERROR(VLOOKUP(B913, PLANTA_BASE!A:W, 8, FALSE), "DOCENTE / FACILITADOR"))</f>
        <v/>
      </c>
      <c r="G913" s="7" t="str">
        <f>IF(B913="","",IFERROR(VLOOKUP(B913, PLANTA_BASE!A:W, 9, FALSE), "GENERAL"))</f>
        <v/>
      </c>
      <c r="H913" s="5" t="str">
        <f>IF(B913="","",IFERROR(VLOOKUP(B913, PLANTA_BASE!A:W, 17, FALSE), "GENERAL"))</f>
        <v/>
      </c>
    </row>
    <row r="914" spans="1:8" ht="20.100000000000001" customHeight="1" x14ac:dyDescent="0.25">
      <c r="A914" s="2" t="str">
        <f>IF(B914="","",IFERROR(VLOOKUP(B914, PLANTA_BASE!A:W, 2, FALSE), "NO ENCONTRADO EN PLANTA"))</f>
        <v/>
      </c>
      <c r="B914" s="3"/>
      <c r="C914" s="4" t="str">
        <f>IF(B914="","",IFERROR(VLOOKUP(B914, PLANTA_BASE!A:W, 3, FALSE), ""))</f>
        <v/>
      </c>
      <c r="D914" s="2" t="str">
        <f>IF(B914="","",IFERROR(VLOOKUP(B914, PLANTA_BASE!A:W, 5, FALSE), "NO ENCONTRADO EN PLANTA"))</f>
        <v/>
      </c>
      <c r="E914" s="2" t="str">
        <f>IF(B914="","",IFERROR(VLOOKUP(B914, PLANTA_BASE!A:W, 6, FALSE), "NO ENCONTRADO EN PLANTA"))</f>
        <v/>
      </c>
      <c r="F914" s="4" t="str">
        <f>IF(B914="","",IFERROR(VLOOKUP(B914, PLANTA_BASE!A:W, 8, FALSE), "DOCENTE / FACILITADOR"))</f>
        <v/>
      </c>
      <c r="G914" s="4" t="str">
        <f>IF(B914="","",IFERROR(VLOOKUP(B914, PLANTA_BASE!A:W, 9, FALSE), "GENERAL"))</f>
        <v/>
      </c>
      <c r="H914" s="2" t="str">
        <f>IF(B914="","",IFERROR(VLOOKUP(B914, PLANTA_BASE!A:W, 17, FALSE), "GENERAL"))</f>
        <v/>
      </c>
    </row>
    <row r="915" spans="1:8" ht="20.100000000000001" customHeight="1" x14ac:dyDescent="0.25">
      <c r="A915" s="5" t="str">
        <f>IF(B915="","",IFERROR(VLOOKUP(B915, PLANTA_BASE!A:W, 2, FALSE), "NO ENCONTRADO EN PLANTA"))</f>
        <v/>
      </c>
      <c r="B915" s="6"/>
      <c r="C915" s="7" t="str">
        <f>IF(B915="","",IFERROR(VLOOKUP(B915, PLANTA_BASE!A:W, 3, FALSE), ""))</f>
        <v/>
      </c>
      <c r="D915" s="5" t="str">
        <f>IF(B915="","",IFERROR(VLOOKUP(B915, PLANTA_BASE!A:W, 5, FALSE), "NO ENCONTRADO EN PLANTA"))</f>
        <v/>
      </c>
      <c r="E915" s="5" t="str">
        <f>IF(B915="","",IFERROR(VLOOKUP(B915, PLANTA_BASE!A:W, 6, FALSE), "NO ENCONTRADO EN PLANTA"))</f>
        <v/>
      </c>
      <c r="F915" s="7" t="str">
        <f>IF(B915="","",IFERROR(VLOOKUP(B915, PLANTA_BASE!A:W, 8, FALSE), "DOCENTE / FACILITADOR"))</f>
        <v/>
      </c>
      <c r="G915" s="7" t="str">
        <f>IF(B915="","",IFERROR(VLOOKUP(B915, PLANTA_BASE!A:W, 9, FALSE), "GENERAL"))</f>
        <v/>
      </c>
      <c r="H915" s="5" t="str">
        <f>IF(B915="","",IFERROR(VLOOKUP(B915, PLANTA_BASE!A:W, 17, FALSE), "GENERAL"))</f>
        <v/>
      </c>
    </row>
    <row r="916" spans="1:8" ht="20.100000000000001" customHeight="1" x14ac:dyDescent="0.25">
      <c r="A916" s="2" t="str">
        <f>IF(B916="","",IFERROR(VLOOKUP(B916, PLANTA_BASE!A:W, 2, FALSE), "NO ENCONTRADO EN PLANTA"))</f>
        <v/>
      </c>
      <c r="B916" s="3"/>
      <c r="C916" s="4" t="str">
        <f>IF(B916="","",IFERROR(VLOOKUP(B916, PLANTA_BASE!A:W, 3, FALSE), ""))</f>
        <v/>
      </c>
      <c r="D916" s="2" t="str">
        <f>IF(B916="","",IFERROR(VLOOKUP(B916, PLANTA_BASE!A:W, 5, FALSE), "NO ENCONTRADO EN PLANTA"))</f>
        <v/>
      </c>
      <c r="E916" s="2" t="str">
        <f>IF(B916="","",IFERROR(VLOOKUP(B916, PLANTA_BASE!A:W, 6, FALSE), "NO ENCONTRADO EN PLANTA"))</f>
        <v/>
      </c>
      <c r="F916" s="4" t="str">
        <f>IF(B916="","",IFERROR(VLOOKUP(B916, PLANTA_BASE!A:W, 8, FALSE), "DOCENTE / FACILITADOR"))</f>
        <v/>
      </c>
      <c r="G916" s="4" t="str">
        <f>IF(B916="","",IFERROR(VLOOKUP(B916, PLANTA_BASE!A:W, 9, FALSE), "GENERAL"))</f>
        <v/>
      </c>
      <c r="H916" s="2" t="str">
        <f>IF(B916="","",IFERROR(VLOOKUP(B916, PLANTA_BASE!A:W, 17, FALSE), "GENERAL"))</f>
        <v/>
      </c>
    </row>
    <row r="917" spans="1:8" ht="20.100000000000001" customHeight="1" x14ac:dyDescent="0.25">
      <c r="A917" s="5" t="str">
        <f>IF(B917="","",IFERROR(VLOOKUP(B917, PLANTA_BASE!A:W, 2, FALSE), "NO ENCONTRADO EN PLANTA"))</f>
        <v/>
      </c>
      <c r="B917" s="6"/>
      <c r="C917" s="7" t="str">
        <f>IF(B917="","",IFERROR(VLOOKUP(B917, PLANTA_BASE!A:W, 3, FALSE), ""))</f>
        <v/>
      </c>
      <c r="D917" s="5" t="str">
        <f>IF(B917="","",IFERROR(VLOOKUP(B917, PLANTA_BASE!A:W, 5, FALSE), "NO ENCONTRADO EN PLANTA"))</f>
        <v/>
      </c>
      <c r="E917" s="5" t="str">
        <f>IF(B917="","",IFERROR(VLOOKUP(B917, PLANTA_BASE!A:W, 6, FALSE), "NO ENCONTRADO EN PLANTA"))</f>
        <v/>
      </c>
      <c r="F917" s="7" t="str">
        <f>IF(B917="","",IFERROR(VLOOKUP(B917, PLANTA_BASE!A:W, 8, FALSE), "DOCENTE / FACILITADOR"))</f>
        <v/>
      </c>
      <c r="G917" s="7" t="str">
        <f>IF(B917="","",IFERROR(VLOOKUP(B917, PLANTA_BASE!A:W, 9, FALSE), "GENERAL"))</f>
        <v/>
      </c>
      <c r="H917" s="5" t="str">
        <f>IF(B917="","",IFERROR(VLOOKUP(B917, PLANTA_BASE!A:W, 17, FALSE), "GENERAL"))</f>
        <v/>
      </c>
    </row>
    <row r="918" spans="1:8" ht="20.100000000000001" customHeight="1" x14ac:dyDescent="0.25">
      <c r="A918" s="2" t="str">
        <f>IF(B918="","",IFERROR(VLOOKUP(B918, PLANTA_BASE!A:W, 2, FALSE), "NO ENCONTRADO EN PLANTA"))</f>
        <v/>
      </c>
      <c r="B918" s="3"/>
      <c r="C918" s="4" t="str">
        <f>IF(B918="","",IFERROR(VLOOKUP(B918, PLANTA_BASE!A:W, 3, FALSE), ""))</f>
        <v/>
      </c>
      <c r="D918" s="2" t="str">
        <f>IF(B918="","",IFERROR(VLOOKUP(B918, PLANTA_BASE!A:W, 5, FALSE), "NO ENCONTRADO EN PLANTA"))</f>
        <v/>
      </c>
      <c r="E918" s="2" t="str">
        <f>IF(B918="","",IFERROR(VLOOKUP(B918, PLANTA_BASE!A:W, 6, FALSE), "NO ENCONTRADO EN PLANTA"))</f>
        <v/>
      </c>
      <c r="F918" s="4" t="str">
        <f>IF(B918="","",IFERROR(VLOOKUP(B918, PLANTA_BASE!A:W, 8, FALSE), "DOCENTE / FACILITADOR"))</f>
        <v/>
      </c>
      <c r="G918" s="4" t="str">
        <f>IF(B918="","",IFERROR(VLOOKUP(B918, PLANTA_BASE!A:W, 9, FALSE), "GENERAL"))</f>
        <v/>
      </c>
      <c r="H918" s="2" t="str">
        <f>IF(B918="","",IFERROR(VLOOKUP(B918, PLANTA_BASE!A:W, 17, FALSE), "GENERAL"))</f>
        <v/>
      </c>
    </row>
    <row r="919" spans="1:8" ht="20.100000000000001" customHeight="1" x14ac:dyDescent="0.25">
      <c r="A919" s="5" t="str">
        <f>IF(B919="","",IFERROR(VLOOKUP(B919, PLANTA_BASE!A:W, 2, FALSE), "NO ENCONTRADO EN PLANTA"))</f>
        <v/>
      </c>
      <c r="B919" s="6"/>
      <c r="C919" s="7" t="str">
        <f>IF(B919="","",IFERROR(VLOOKUP(B919, PLANTA_BASE!A:W, 3, FALSE), ""))</f>
        <v/>
      </c>
      <c r="D919" s="5" t="str">
        <f>IF(B919="","",IFERROR(VLOOKUP(B919, PLANTA_BASE!A:W, 5, FALSE), "NO ENCONTRADO EN PLANTA"))</f>
        <v/>
      </c>
      <c r="E919" s="5" t="str">
        <f>IF(B919="","",IFERROR(VLOOKUP(B919, PLANTA_BASE!A:W, 6, FALSE), "NO ENCONTRADO EN PLANTA"))</f>
        <v/>
      </c>
      <c r="F919" s="7" t="str">
        <f>IF(B919="","",IFERROR(VLOOKUP(B919, PLANTA_BASE!A:W, 8, FALSE), "DOCENTE / FACILITADOR"))</f>
        <v/>
      </c>
      <c r="G919" s="7" t="str">
        <f>IF(B919="","",IFERROR(VLOOKUP(B919, PLANTA_BASE!A:W, 9, FALSE), "GENERAL"))</f>
        <v/>
      </c>
      <c r="H919" s="5" t="str">
        <f>IF(B919="","",IFERROR(VLOOKUP(B919, PLANTA_BASE!A:W, 17, FALSE), "GENERAL"))</f>
        <v/>
      </c>
    </row>
    <row r="920" spans="1:8" ht="20.100000000000001" customHeight="1" x14ac:dyDescent="0.25">
      <c r="A920" s="2" t="str">
        <f>IF(B920="","",IFERROR(VLOOKUP(B920, PLANTA_BASE!A:W, 2, FALSE), "NO ENCONTRADO EN PLANTA"))</f>
        <v/>
      </c>
      <c r="B920" s="3"/>
      <c r="C920" s="4" t="str">
        <f>IF(B920="","",IFERROR(VLOOKUP(B920, PLANTA_BASE!A:W, 3, FALSE), ""))</f>
        <v/>
      </c>
      <c r="D920" s="2" t="str">
        <f>IF(B920="","",IFERROR(VLOOKUP(B920, PLANTA_BASE!A:W, 5, FALSE), "NO ENCONTRADO EN PLANTA"))</f>
        <v/>
      </c>
      <c r="E920" s="2" t="str">
        <f>IF(B920="","",IFERROR(VLOOKUP(B920, PLANTA_BASE!A:W, 6, FALSE), "NO ENCONTRADO EN PLANTA"))</f>
        <v/>
      </c>
      <c r="F920" s="4" t="str">
        <f>IF(B920="","",IFERROR(VLOOKUP(B920, PLANTA_BASE!A:W, 8, FALSE), "DOCENTE / FACILITADOR"))</f>
        <v/>
      </c>
      <c r="G920" s="4" t="str">
        <f>IF(B920="","",IFERROR(VLOOKUP(B920, PLANTA_BASE!A:W, 9, FALSE), "GENERAL"))</f>
        <v/>
      </c>
      <c r="H920" s="2" t="str">
        <f>IF(B920="","",IFERROR(VLOOKUP(B920, PLANTA_BASE!A:W, 17, FALSE), "GENERAL"))</f>
        <v/>
      </c>
    </row>
    <row r="921" spans="1:8" ht="20.100000000000001" customHeight="1" x14ac:dyDescent="0.25">
      <c r="A921" s="5" t="str">
        <f>IF(B921="","",IFERROR(VLOOKUP(B921, PLANTA_BASE!A:W, 2, FALSE), "NO ENCONTRADO EN PLANTA"))</f>
        <v/>
      </c>
      <c r="B921" s="6"/>
      <c r="C921" s="7" t="str">
        <f>IF(B921="","",IFERROR(VLOOKUP(B921, PLANTA_BASE!A:W, 3, FALSE), ""))</f>
        <v/>
      </c>
      <c r="D921" s="5" t="str">
        <f>IF(B921="","",IFERROR(VLOOKUP(B921, PLANTA_BASE!A:W, 5, FALSE), "NO ENCONTRADO EN PLANTA"))</f>
        <v/>
      </c>
      <c r="E921" s="5" t="str">
        <f>IF(B921="","",IFERROR(VLOOKUP(B921, PLANTA_BASE!A:W, 6, FALSE), "NO ENCONTRADO EN PLANTA"))</f>
        <v/>
      </c>
      <c r="F921" s="7" t="str">
        <f>IF(B921="","",IFERROR(VLOOKUP(B921, PLANTA_BASE!A:W, 8, FALSE), "DOCENTE / FACILITADOR"))</f>
        <v/>
      </c>
      <c r="G921" s="7" t="str">
        <f>IF(B921="","",IFERROR(VLOOKUP(B921, PLANTA_BASE!A:W, 9, FALSE), "GENERAL"))</f>
        <v/>
      </c>
      <c r="H921" s="5" t="str">
        <f>IF(B921="","",IFERROR(VLOOKUP(B921, PLANTA_BASE!A:W, 17, FALSE), "GENERAL"))</f>
        <v/>
      </c>
    </row>
    <row r="922" spans="1:8" ht="20.100000000000001" customHeight="1" x14ac:dyDescent="0.25">
      <c r="A922" s="2" t="str">
        <f>IF(B922="","",IFERROR(VLOOKUP(B922, PLANTA_BASE!A:W, 2, FALSE), "NO ENCONTRADO EN PLANTA"))</f>
        <v/>
      </c>
      <c r="B922" s="3"/>
      <c r="C922" s="4" t="str">
        <f>IF(B922="","",IFERROR(VLOOKUP(B922, PLANTA_BASE!A:W, 3, FALSE), ""))</f>
        <v/>
      </c>
      <c r="D922" s="2" t="str">
        <f>IF(B922="","",IFERROR(VLOOKUP(B922, PLANTA_BASE!A:W, 5, FALSE), "NO ENCONTRADO EN PLANTA"))</f>
        <v/>
      </c>
      <c r="E922" s="2" t="str">
        <f>IF(B922="","",IFERROR(VLOOKUP(B922, PLANTA_BASE!A:W, 6, FALSE), "NO ENCONTRADO EN PLANTA"))</f>
        <v/>
      </c>
      <c r="F922" s="4" t="str">
        <f>IF(B922="","",IFERROR(VLOOKUP(B922, PLANTA_BASE!A:W, 8, FALSE), "DOCENTE / FACILITADOR"))</f>
        <v/>
      </c>
      <c r="G922" s="4" t="str">
        <f>IF(B922="","",IFERROR(VLOOKUP(B922, PLANTA_BASE!A:W, 9, FALSE), "GENERAL"))</f>
        <v/>
      </c>
      <c r="H922" s="2" t="str">
        <f>IF(B922="","",IFERROR(VLOOKUP(B922, PLANTA_BASE!A:W, 17, FALSE), "GENERAL"))</f>
        <v/>
      </c>
    </row>
    <row r="923" spans="1:8" ht="20.100000000000001" customHeight="1" x14ac:dyDescent="0.25">
      <c r="A923" s="5" t="str">
        <f>IF(B923="","",IFERROR(VLOOKUP(B923, PLANTA_BASE!A:W, 2, FALSE), "NO ENCONTRADO EN PLANTA"))</f>
        <v/>
      </c>
      <c r="B923" s="6"/>
      <c r="C923" s="7" t="str">
        <f>IF(B923="","",IFERROR(VLOOKUP(B923, PLANTA_BASE!A:W, 3, FALSE), ""))</f>
        <v/>
      </c>
      <c r="D923" s="5" t="str">
        <f>IF(B923="","",IFERROR(VLOOKUP(B923, PLANTA_BASE!A:W, 5, FALSE), "NO ENCONTRADO EN PLANTA"))</f>
        <v/>
      </c>
      <c r="E923" s="5" t="str">
        <f>IF(B923="","",IFERROR(VLOOKUP(B923, PLANTA_BASE!A:W, 6, FALSE), "NO ENCONTRADO EN PLANTA"))</f>
        <v/>
      </c>
      <c r="F923" s="7" t="str">
        <f>IF(B923="","",IFERROR(VLOOKUP(B923, PLANTA_BASE!A:W, 8, FALSE), "DOCENTE / FACILITADOR"))</f>
        <v/>
      </c>
      <c r="G923" s="7" t="str">
        <f>IF(B923="","",IFERROR(VLOOKUP(B923, PLANTA_BASE!A:W, 9, FALSE), "GENERAL"))</f>
        <v/>
      </c>
      <c r="H923" s="5" t="str">
        <f>IF(B923="","",IFERROR(VLOOKUP(B923, PLANTA_BASE!A:W, 17, FALSE), "GENERAL"))</f>
        <v/>
      </c>
    </row>
    <row r="924" spans="1:8" ht="20.100000000000001" customHeight="1" x14ac:dyDescent="0.25">
      <c r="A924" s="2" t="str">
        <f>IF(B924="","",IFERROR(VLOOKUP(B924, PLANTA_BASE!A:W, 2, FALSE), "NO ENCONTRADO EN PLANTA"))</f>
        <v/>
      </c>
      <c r="B924" s="3"/>
      <c r="C924" s="4" t="str">
        <f>IF(B924="","",IFERROR(VLOOKUP(B924, PLANTA_BASE!A:W, 3, FALSE), ""))</f>
        <v/>
      </c>
      <c r="D924" s="2" t="str">
        <f>IF(B924="","",IFERROR(VLOOKUP(B924, PLANTA_BASE!A:W, 5, FALSE), "NO ENCONTRADO EN PLANTA"))</f>
        <v/>
      </c>
      <c r="E924" s="2" t="str">
        <f>IF(B924="","",IFERROR(VLOOKUP(B924, PLANTA_BASE!A:W, 6, FALSE), "NO ENCONTRADO EN PLANTA"))</f>
        <v/>
      </c>
      <c r="F924" s="4" t="str">
        <f>IF(B924="","",IFERROR(VLOOKUP(B924, PLANTA_BASE!A:W, 8, FALSE), "DOCENTE / FACILITADOR"))</f>
        <v/>
      </c>
      <c r="G924" s="4" t="str">
        <f>IF(B924="","",IFERROR(VLOOKUP(B924, PLANTA_BASE!A:W, 9, FALSE), "GENERAL"))</f>
        <v/>
      </c>
      <c r="H924" s="2" t="str">
        <f>IF(B924="","",IFERROR(VLOOKUP(B924, PLANTA_BASE!A:W, 17, FALSE), "GENERAL"))</f>
        <v/>
      </c>
    </row>
    <row r="925" spans="1:8" ht="20.100000000000001" customHeight="1" x14ac:dyDescent="0.25">
      <c r="A925" s="5" t="str">
        <f>IF(B925="","",IFERROR(VLOOKUP(B925, PLANTA_BASE!A:W, 2, FALSE), "NO ENCONTRADO EN PLANTA"))</f>
        <v/>
      </c>
      <c r="B925" s="6"/>
      <c r="C925" s="7" t="str">
        <f>IF(B925="","",IFERROR(VLOOKUP(B925, PLANTA_BASE!A:W, 3, FALSE), ""))</f>
        <v/>
      </c>
      <c r="D925" s="5" t="str">
        <f>IF(B925="","",IFERROR(VLOOKUP(B925, PLANTA_BASE!A:W, 5, FALSE), "NO ENCONTRADO EN PLANTA"))</f>
        <v/>
      </c>
      <c r="E925" s="5" t="str">
        <f>IF(B925="","",IFERROR(VLOOKUP(B925, PLANTA_BASE!A:W, 6, FALSE), "NO ENCONTRADO EN PLANTA"))</f>
        <v/>
      </c>
      <c r="F925" s="7" t="str">
        <f>IF(B925="","",IFERROR(VLOOKUP(B925, PLANTA_BASE!A:W, 8, FALSE), "DOCENTE / FACILITADOR"))</f>
        <v/>
      </c>
      <c r="G925" s="7" t="str">
        <f>IF(B925="","",IFERROR(VLOOKUP(B925, PLANTA_BASE!A:W, 9, FALSE), "GENERAL"))</f>
        <v/>
      </c>
      <c r="H925" s="5" t="str">
        <f>IF(B925="","",IFERROR(VLOOKUP(B925, PLANTA_BASE!A:W, 17, FALSE), "GENERAL"))</f>
        <v/>
      </c>
    </row>
    <row r="926" spans="1:8" ht="20.100000000000001" customHeight="1" x14ac:dyDescent="0.25">
      <c r="A926" s="2" t="str">
        <f>IF(B926="","",IFERROR(VLOOKUP(B926, PLANTA_BASE!A:W, 2, FALSE), "NO ENCONTRADO EN PLANTA"))</f>
        <v/>
      </c>
      <c r="B926" s="3"/>
      <c r="C926" s="4" t="str">
        <f>IF(B926="","",IFERROR(VLOOKUP(B926, PLANTA_BASE!A:W, 3, FALSE), ""))</f>
        <v/>
      </c>
      <c r="D926" s="2" t="str">
        <f>IF(B926="","",IFERROR(VLOOKUP(B926, PLANTA_BASE!A:W, 5, FALSE), "NO ENCONTRADO EN PLANTA"))</f>
        <v/>
      </c>
      <c r="E926" s="2" t="str">
        <f>IF(B926="","",IFERROR(VLOOKUP(B926, PLANTA_BASE!A:W, 6, FALSE), "NO ENCONTRADO EN PLANTA"))</f>
        <v/>
      </c>
      <c r="F926" s="4" t="str">
        <f>IF(B926="","",IFERROR(VLOOKUP(B926, PLANTA_BASE!A:W, 8, FALSE), "DOCENTE / FACILITADOR"))</f>
        <v/>
      </c>
      <c r="G926" s="4" t="str">
        <f>IF(B926="","",IFERROR(VLOOKUP(B926, PLANTA_BASE!A:W, 9, FALSE), "GENERAL"))</f>
        <v/>
      </c>
      <c r="H926" s="2" t="str">
        <f>IF(B926="","",IFERROR(VLOOKUP(B926, PLANTA_BASE!A:W, 17, FALSE), "GENERAL"))</f>
        <v/>
      </c>
    </row>
    <row r="927" spans="1:8" ht="20.100000000000001" customHeight="1" x14ac:dyDescent="0.25">
      <c r="A927" s="5" t="str">
        <f>IF(B927="","",IFERROR(VLOOKUP(B927, PLANTA_BASE!A:W, 2, FALSE), "NO ENCONTRADO EN PLANTA"))</f>
        <v/>
      </c>
      <c r="B927" s="6"/>
      <c r="C927" s="7" t="str">
        <f>IF(B927="","",IFERROR(VLOOKUP(B927, PLANTA_BASE!A:W, 3, FALSE), ""))</f>
        <v/>
      </c>
      <c r="D927" s="5" t="str">
        <f>IF(B927="","",IFERROR(VLOOKUP(B927, PLANTA_BASE!A:W, 5, FALSE), "NO ENCONTRADO EN PLANTA"))</f>
        <v/>
      </c>
      <c r="E927" s="5" t="str">
        <f>IF(B927="","",IFERROR(VLOOKUP(B927, PLANTA_BASE!A:W, 6, FALSE), "NO ENCONTRADO EN PLANTA"))</f>
        <v/>
      </c>
      <c r="F927" s="7" t="str">
        <f>IF(B927="","",IFERROR(VLOOKUP(B927, PLANTA_BASE!A:W, 8, FALSE), "DOCENTE / FACILITADOR"))</f>
        <v/>
      </c>
      <c r="G927" s="7" t="str">
        <f>IF(B927="","",IFERROR(VLOOKUP(B927, PLANTA_BASE!A:W, 9, FALSE), "GENERAL"))</f>
        <v/>
      </c>
      <c r="H927" s="5" t="str">
        <f>IF(B927="","",IFERROR(VLOOKUP(B927, PLANTA_BASE!A:W, 17, FALSE), "GENERAL"))</f>
        <v/>
      </c>
    </row>
    <row r="928" spans="1:8" ht="20.100000000000001" customHeight="1" x14ac:dyDescent="0.25">
      <c r="A928" s="2" t="str">
        <f>IF(B928="","",IFERROR(VLOOKUP(B928, PLANTA_BASE!A:W, 2, FALSE), "NO ENCONTRADO EN PLANTA"))</f>
        <v/>
      </c>
      <c r="B928" s="3"/>
      <c r="C928" s="4" t="str">
        <f>IF(B928="","",IFERROR(VLOOKUP(B928, PLANTA_BASE!A:W, 3, FALSE), ""))</f>
        <v/>
      </c>
      <c r="D928" s="2" t="str">
        <f>IF(B928="","",IFERROR(VLOOKUP(B928, PLANTA_BASE!A:W, 5, FALSE), "NO ENCONTRADO EN PLANTA"))</f>
        <v/>
      </c>
      <c r="E928" s="2" t="str">
        <f>IF(B928="","",IFERROR(VLOOKUP(B928, PLANTA_BASE!A:W, 6, FALSE), "NO ENCONTRADO EN PLANTA"))</f>
        <v/>
      </c>
      <c r="F928" s="4" t="str">
        <f>IF(B928="","",IFERROR(VLOOKUP(B928, PLANTA_BASE!A:W, 8, FALSE), "DOCENTE / FACILITADOR"))</f>
        <v/>
      </c>
      <c r="G928" s="4" t="str">
        <f>IF(B928="","",IFERROR(VLOOKUP(B928, PLANTA_BASE!A:W, 9, FALSE), "GENERAL"))</f>
        <v/>
      </c>
      <c r="H928" s="2" t="str">
        <f>IF(B928="","",IFERROR(VLOOKUP(B928, PLANTA_BASE!A:W, 17, FALSE), "GENERAL"))</f>
        <v/>
      </c>
    </row>
    <row r="929" spans="1:8" ht="20.100000000000001" customHeight="1" x14ac:dyDescent="0.25">
      <c r="A929" s="5" t="str">
        <f>IF(B929="","",IFERROR(VLOOKUP(B929, PLANTA_BASE!A:W, 2, FALSE), "NO ENCONTRADO EN PLANTA"))</f>
        <v/>
      </c>
      <c r="B929" s="6"/>
      <c r="C929" s="7" t="str">
        <f>IF(B929="","",IFERROR(VLOOKUP(B929, PLANTA_BASE!A:W, 3, FALSE), ""))</f>
        <v/>
      </c>
      <c r="D929" s="5" t="str">
        <f>IF(B929="","",IFERROR(VLOOKUP(B929, PLANTA_BASE!A:W, 5, FALSE), "NO ENCONTRADO EN PLANTA"))</f>
        <v/>
      </c>
      <c r="E929" s="5" t="str">
        <f>IF(B929="","",IFERROR(VLOOKUP(B929, PLANTA_BASE!A:W, 6, FALSE), "NO ENCONTRADO EN PLANTA"))</f>
        <v/>
      </c>
      <c r="F929" s="7" t="str">
        <f>IF(B929="","",IFERROR(VLOOKUP(B929, PLANTA_BASE!A:W, 8, FALSE), "DOCENTE / FACILITADOR"))</f>
        <v/>
      </c>
      <c r="G929" s="7" t="str">
        <f>IF(B929="","",IFERROR(VLOOKUP(B929, PLANTA_BASE!A:W, 9, FALSE), "GENERAL"))</f>
        <v/>
      </c>
      <c r="H929" s="5" t="str">
        <f>IF(B929="","",IFERROR(VLOOKUP(B929, PLANTA_BASE!A:W, 17, FALSE), "GENERAL"))</f>
        <v/>
      </c>
    </row>
    <row r="930" spans="1:8" ht="20.100000000000001" customHeight="1" x14ac:dyDescent="0.25">
      <c r="A930" s="2" t="str">
        <f>IF(B930="","",IFERROR(VLOOKUP(B930, PLANTA_BASE!A:W, 2, FALSE), "NO ENCONTRADO EN PLANTA"))</f>
        <v/>
      </c>
      <c r="B930" s="3"/>
      <c r="C930" s="4" t="str">
        <f>IF(B930="","",IFERROR(VLOOKUP(B930, PLANTA_BASE!A:W, 3, FALSE), ""))</f>
        <v/>
      </c>
      <c r="D930" s="2" t="str">
        <f>IF(B930="","",IFERROR(VLOOKUP(B930, PLANTA_BASE!A:W, 5, FALSE), "NO ENCONTRADO EN PLANTA"))</f>
        <v/>
      </c>
      <c r="E930" s="2" t="str">
        <f>IF(B930="","",IFERROR(VLOOKUP(B930, PLANTA_BASE!A:W, 6, FALSE), "NO ENCONTRADO EN PLANTA"))</f>
        <v/>
      </c>
      <c r="F930" s="4" t="str">
        <f>IF(B930="","",IFERROR(VLOOKUP(B930, PLANTA_BASE!A:W, 8, FALSE), "DOCENTE / FACILITADOR"))</f>
        <v/>
      </c>
      <c r="G930" s="4" t="str">
        <f>IF(B930="","",IFERROR(VLOOKUP(B930, PLANTA_BASE!A:W, 9, FALSE), "GENERAL"))</f>
        <v/>
      </c>
      <c r="H930" s="2" t="str">
        <f>IF(B930="","",IFERROR(VLOOKUP(B930, PLANTA_BASE!A:W, 17, FALSE), "GENERAL"))</f>
        <v/>
      </c>
    </row>
    <row r="931" spans="1:8" ht="20.100000000000001" customHeight="1" x14ac:dyDescent="0.25">
      <c r="A931" s="5" t="str">
        <f>IF(B931="","",IFERROR(VLOOKUP(B931, PLANTA_BASE!A:W, 2, FALSE), "NO ENCONTRADO EN PLANTA"))</f>
        <v/>
      </c>
      <c r="B931" s="6"/>
      <c r="C931" s="7" t="str">
        <f>IF(B931="","",IFERROR(VLOOKUP(B931, PLANTA_BASE!A:W, 3, FALSE), ""))</f>
        <v/>
      </c>
      <c r="D931" s="5" t="str">
        <f>IF(B931="","",IFERROR(VLOOKUP(B931, PLANTA_BASE!A:W, 5, FALSE), "NO ENCONTRADO EN PLANTA"))</f>
        <v/>
      </c>
      <c r="E931" s="5" t="str">
        <f>IF(B931="","",IFERROR(VLOOKUP(B931, PLANTA_BASE!A:W, 6, FALSE), "NO ENCONTRADO EN PLANTA"))</f>
        <v/>
      </c>
      <c r="F931" s="7" t="str">
        <f>IF(B931="","",IFERROR(VLOOKUP(B931, PLANTA_BASE!A:W, 8, FALSE), "DOCENTE / FACILITADOR"))</f>
        <v/>
      </c>
      <c r="G931" s="7" t="str">
        <f>IF(B931="","",IFERROR(VLOOKUP(B931, PLANTA_BASE!A:W, 9, FALSE), "GENERAL"))</f>
        <v/>
      </c>
      <c r="H931" s="5" t="str">
        <f>IF(B931="","",IFERROR(VLOOKUP(B931, PLANTA_BASE!A:W, 17, FALSE), "GENERAL"))</f>
        <v/>
      </c>
    </row>
    <row r="932" spans="1:8" ht="20.100000000000001" customHeight="1" x14ac:dyDescent="0.25">
      <c r="A932" s="2" t="str">
        <f>IF(B932="","",IFERROR(VLOOKUP(B932, PLANTA_BASE!A:W, 2, FALSE), "NO ENCONTRADO EN PLANTA"))</f>
        <v/>
      </c>
      <c r="B932" s="3"/>
      <c r="C932" s="4" t="str">
        <f>IF(B932="","",IFERROR(VLOOKUP(B932, PLANTA_BASE!A:W, 3, FALSE), ""))</f>
        <v/>
      </c>
      <c r="D932" s="2" t="str">
        <f>IF(B932="","",IFERROR(VLOOKUP(B932, PLANTA_BASE!A:W, 5, FALSE), "NO ENCONTRADO EN PLANTA"))</f>
        <v/>
      </c>
      <c r="E932" s="2" t="str">
        <f>IF(B932="","",IFERROR(VLOOKUP(B932, PLANTA_BASE!A:W, 6, FALSE), "NO ENCONTRADO EN PLANTA"))</f>
        <v/>
      </c>
      <c r="F932" s="4" t="str">
        <f>IF(B932="","",IFERROR(VLOOKUP(B932, PLANTA_BASE!A:W, 8, FALSE), "DOCENTE / FACILITADOR"))</f>
        <v/>
      </c>
      <c r="G932" s="4" t="str">
        <f>IF(B932="","",IFERROR(VLOOKUP(B932, PLANTA_BASE!A:W, 9, FALSE), "GENERAL"))</f>
        <v/>
      </c>
      <c r="H932" s="2" t="str">
        <f>IF(B932="","",IFERROR(VLOOKUP(B932, PLANTA_BASE!A:W, 17, FALSE), "GENERAL"))</f>
        <v/>
      </c>
    </row>
    <row r="933" spans="1:8" ht="20.100000000000001" customHeight="1" x14ac:dyDescent="0.25">
      <c r="A933" s="5" t="str">
        <f>IF(B933="","",IFERROR(VLOOKUP(B933, PLANTA_BASE!A:W, 2, FALSE), "NO ENCONTRADO EN PLANTA"))</f>
        <v/>
      </c>
      <c r="B933" s="6"/>
      <c r="C933" s="7" t="str">
        <f>IF(B933="","",IFERROR(VLOOKUP(B933, PLANTA_BASE!A:W, 3, FALSE), ""))</f>
        <v/>
      </c>
      <c r="D933" s="5" t="str">
        <f>IF(B933="","",IFERROR(VLOOKUP(B933, PLANTA_BASE!A:W, 5, FALSE), "NO ENCONTRADO EN PLANTA"))</f>
        <v/>
      </c>
      <c r="E933" s="5" t="str">
        <f>IF(B933="","",IFERROR(VLOOKUP(B933, PLANTA_BASE!A:W, 6, FALSE), "NO ENCONTRADO EN PLANTA"))</f>
        <v/>
      </c>
      <c r="F933" s="7" t="str">
        <f>IF(B933="","",IFERROR(VLOOKUP(B933, PLANTA_BASE!A:W, 8, FALSE), "DOCENTE / FACILITADOR"))</f>
        <v/>
      </c>
      <c r="G933" s="7" t="str">
        <f>IF(B933="","",IFERROR(VLOOKUP(B933, PLANTA_BASE!A:W, 9, FALSE), "GENERAL"))</f>
        <v/>
      </c>
      <c r="H933" s="5" t="str">
        <f>IF(B933="","",IFERROR(VLOOKUP(B933, PLANTA_BASE!A:W, 17, FALSE), "GENERAL"))</f>
        <v/>
      </c>
    </row>
    <row r="934" spans="1:8" ht="20.100000000000001" customHeight="1" x14ac:dyDescent="0.25">
      <c r="A934" s="2" t="str">
        <f>IF(B934="","",IFERROR(VLOOKUP(B934, PLANTA_BASE!A:W, 2, FALSE), "NO ENCONTRADO EN PLANTA"))</f>
        <v/>
      </c>
      <c r="B934" s="3"/>
      <c r="C934" s="4" t="str">
        <f>IF(B934="","",IFERROR(VLOOKUP(B934, PLANTA_BASE!A:W, 3, FALSE), ""))</f>
        <v/>
      </c>
      <c r="D934" s="2" t="str">
        <f>IF(B934="","",IFERROR(VLOOKUP(B934, PLANTA_BASE!A:W, 5, FALSE), "NO ENCONTRADO EN PLANTA"))</f>
        <v/>
      </c>
      <c r="E934" s="2" t="str">
        <f>IF(B934="","",IFERROR(VLOOKUP(B934, PLANTA_BASE!A:W, 6, FALSE), "NO ENCONTRADO EN PLANTA"))</f>
        <v/>
      </c>
      <c r="F934" s="4" t="str">
        <f>IF(B934="","",IFERROR(VLOOKUP(B934, PLANTA_BASE!A:W, 8, FALSE), "DOCENTE / FACILITADOR"))</f>
        <v/>
      </c>
      <c r="G934" s="4" t="str">
        <f>IF(B934="","",IFERROR(VLOOKUP(B934, PLANTA_BASE!A:W, 9, FALSE), "GENERAL"))</f>
        <v/>
      </c>
      <c r="H934" s="2" t="str">
        <f>IF(B934="","",IFERROR(VLOOKUP(B934, PLANTA_BASE!A:W, 17, FALSE), "GENERAL"))</f>
        <v/>
      </c>
    </row>
    <row r="935" spans="1:8" ht="20.100000000000001" customHeight="1" x14ac:dyDescent="0.25">
      <c r="A935" s="5" t="str">
        <f>IF(B935="","",IFERROR(VLOOKUP(B935, PLANTA_BASE!A:W, 2, FALSE), "NO ENCONTRADO EN PLANTA"))</f>
        <v/>
      </c>
      <c r="B935" s="6"/>
      <c r="C935" s="7" t="str">
        <f>IF(B935="","",IFERROR(VLOOKUP(B935, PLANTA_BASE!A:W, 3, FALSE), ""))</f>
        <v/>
      </c>
      <c r="D935" s="5" t="str">
        <f>IF(B935="","",IFERROR(VLOOKUP(B935, PLANTA_BASE!A:W, 5, FALSE), "NO ENCONTRADO EN PLANTA"))</f>
        <v/>
      </c>
      <c r="E935" s="5" t="str">
        <f>IF(B935="","",IFERROR(VLOOKUP(B935, PLANTA_BASE!A:W, 6, FALSE), "NO ENCONTRADO EN PLANTA"))</f>
        <v/>
      </c>
      <c r="F935" s="7" t="str">
        <f>IF(B935="","",IFERROR(VLOOKUP(B935, PLANTA_BASE!A:W, 8, FALSE), "DOCENTE / FACILITADOR"))</f>
        <v/>
      </c>
      <c r="G935" s="7" t="str">
        <f>IF(B935="","",IFERROR(VLOOKUP(B935, PLANTA_BASE!A:W, 9, FALSE), "GENERAL"))</f>
        <v/>
      </c>
      <c r="H935" s="5" t="str">
        <f>IF(B935="","",IFERROR(VLOOKUP(B935, PLANTA_BASE!A:W, 17, FALSE), "GENERAL"))</f>
        <v/>
      </c>
    </row>
    <row r="936" spans="1:8" ht="20.100000000000001" customHeight="1" x14ac:dyDescent="0.25">
      <c r="A936" s="2" t="str">
        <f>IF(B936="","",IFERROR(VLOOKUP(B936, PLANTA_BASE!A:W, 2, FALSE), "NO ENCONTRADO EN PLANTA"))</f>
        <v/>
      </c>
      <c r="B936" s="3"/>
      <c r="C936" s="4" t="str">
        <f>IF(B936="","",IFERROR(VLOOKUP(B936, PLANTA_BASE!A:W, 3, FALSE), ""))</f>
        <v/>
      </c>
      <c r="D936" s="2" t="str">
        <f>IF(B936="","",IFERROR(VLOOKUP(B936, PLANTA_BASE!A:W, 5, FALSE), "NO ENCONTRADO EN PLANTA"))</f>
        <v/>
      </c>
      <c r="E936" s="2" t="str">
        <f>IF(B936="","",IFERROR(VLOOKUP(B936, PLANTA_BASE!A:W, 6, FALSE), "NO ENCONTRADO EN PLANTA"))</f>
        <v/>
      </c>
      <c r="F936" s="4" t="str">
        <f>IF(B936="","",IFERROR(VLOOKUP(B936, PLANTA_BASE!A:W, 8, FALSE), "DOCENTE / FACILITADOR"))</f>
        <v/>
      </c>
      <c r="G936" s="4" t="str">
        <f>IF(B936="","",IFERROR(VLOOKUP(B936, PLANTA_BASE!A:W, 9, FALSE), "GENERAL"))</f>
        <v/>
      </c>
      <c r="H936" s="2" t="str">
        <f>IF(B936="","",IFERROR(VLOOKUP(B936, PLANTA_BASE!A:W, 17, FALSE), "GENERAL"))</f>
        <v/>
      </c>
    </row>
    <row r="937" spans="1:8" ht="20.100000000000001" customHeight="1" x14ac:dyDescent="0.25">
      <c r="A937" s="5" t="str">
        <f>IF(B937="","",IFERROR(VLOOKUP(B937, PLANTA_BASE!A:W, 2, FALSE), "NO ENCONTRADO EN PLANTA"))</f>
        <v/>
      </c>
      <c r="B937" s="6"/>
      <c r="C937" s="7" t="str">
        <f>IF(B937="","",IFERROR(VLOOKUP(B937, PLANTA_BASE!A:W, 3, FALSE), ""))</f>
        <v/>
      </c>
      <c r="D937" s="5" t="str">
        <f>IF(B937="","",IFERROR(VLOOKUP(B937, PLANTA_BASE!A:W, 5, FALSE), "NO ENCONTRADO EN PLANTA"))</f>
        <v/>
      </c>
      <c r="E937" s="5" t="str">
        <f>IF(B937="","",IFERROR(VLOOKUP(B937, PLANTA_BASE!A:W, 6, FALSE), "NO ENCONTRADO EN PLANTA"))</f>
        <v/>
      </c>
      <c r="F937" s="7" t="str">
        <f>IF(B937="","",IFERROR(VLOOKUP(B937, PLANTA_BASE!A:W, 8, FALSE), "DOCENTE / FACILITADOR"))</f>
        <v/>
      </c>
      <c r="G937" s="7" t="str">
        <f>IF(B937="","",IFERROR(VLOOKUP(B937, PLANTA_BASE!A:W, 9, FALSE), "GENERAL"))</f>
        <v/>
      </c>
      <c r="H937" s="5" t="str">
        <f>IF(B937="","",IFERROR(VLOOKUP(B937, PLANTA_BASE!A:W, 17, FALSE), "GENERAL"))</f>
        <v/>
      </c>
    </row>
    <row r="938" spans="1:8" ht="20.100000000000001" customHeight="1" x14ac:dyDescent="0.25">
      <c r="A938" s="2" t="str">
        <f>IF(B938="","",IFERROR(VLOOKUP(B938, PLANTA_BASE!A:W, 2, FALSE), "NO ENCONTRADO EN PLANTA"))</f>
        <v/>
      </c>
      <c r="B938" s="3"/>
      <c r="C938" s="4" t="str">
        <f>IF(B938="","",IFERROR(VLOOKUP(B938, PLANTA_BASE!A:W, 3, FALSE), ""))</f>
        <v/>
      </c>
      <c r="D938" s="2" t="str">
        <f>IF(B938="","",IFERROR(VLOOKUP(B938, PLANTA_BASE!A:W, 5, FALSE), "NO ENCONTRADO EN PLANTA"))</f>
        <v/>
      </c>
      <c r="E938" s="2" t="str">
        <f>IF(B938="","",IFERROR(VLOOKUP(B938, PLANTA_BASE!A:W, 6, FALSE), "NO ENCONTRADO EN PLANTA"))</f>
        <v/>
      </c>
      <c r="F938" s="4" t="str">
        <f>IF(B938="","",IFERROR(VLOOKUP(B938, PLANTA_BASE!A:W, 8, FALSE), "DOCENTE / FACILITADOR"))</f>
        <v/>
      </c>
      <c r="G938" s="4" t="str">
        <f>IF(B938="","",IFERROR(VLOOKUP(B938, PLANTA_BASE!A:W, 9, FALSE), "GENERAL"))</f>
        <v/>
      </c>
      <c r="H938" s="2" t="str">
        <f>IF(B938="","",IFERROR(VLOOKUP(B938, PLANTA_BASE!A:W, 17, FALSE), "GENERAL"))</f>
        <v/>
      </c>
    </row>
    <row r="939" spans="1:8" ht="20.100000000000001" customHeight="1" x14ac:dyDescent="0.25">
      <c r="A939" s="5" t="str">
        <f>IF(B939="","",IFERROR(VLOOKUP(B939, PLANTA_BASE!A:W, 2, FALSE), "NO ENCONTRADO EN PLANTA"))</f>
        <v/>
      </c>
      <c r="B939" s="6"/>
      <c r="C939" s="7" t="str">
        <f>IF(B939="","",IFERROR(VLOOKUP(B939, PLANTA_BASE!A:W, 3, FALSE), ""))</f>
        <v/>
      </c>
      <c r="D939" s="5" t="str">
        <f>IF(B939="","",IFERROR(VLOOKUP(B939, PLANTA_BASE!A:W, 5, FALSE), "NO ENCONTRADO EN PLANTA"))</f>
        <v/>
      </c>
      <c r="E939" s="5" t="str">
        <f>IF(B939="","",IFERROR(VLOOKUP(B939, PLANTA_BASE!A:W, 6, FALSE), "NO ENCONTRADO EN PLANTA"))</f>
        <v/>
      </c>
      <c r="F939" s="7" t="str">
        <f>IF(B939="","",IFERROR(VLOOKUP(B939, PLANTA_BASE!A:W, 8, FALSE), "DOCENTE / FACILITADOR"))</f>
        <v/>
      </c>
      <c r="G939" s="7" t="str">
        <f>IF(B939="","",IFERROR(VLOOKUP(B939, PLANTA_BASE!A:W, 9, FALSE), "GENERAL"))</f>
        <v/>
      </c>
      <c r="H939" s="5" t="str">
        <f>IF(B939="","",IFERROR(VLOOKUP(B939, PLANTA_BASE!A:W, 17, FALSE), "GENERAL"))</f>
        <v/>
      </c>
    </row>
    <row r="940" spans="1:8" ht="20.100000000000001" customHeight="1" x14ac:dyDescent="0.25">
      <c r="A940" s="2" t="str">
        <f>IF(B940="","",IFERROR(VLOOKUP(B940, PLANTA_BASE!A:W, 2, FALSE), "NO ENCONTRADO EN PLANTA"))</f>
        <v/>
      </c>
      <c r="B940" s="3"/>
      <c r="C940" s="4" t="str">
        <f>IF(B940="","",IFERROR(VLOOKUP(B940, PLANTA_BASE!A:W, 3, FALSE), ""))</f>
        <v/>
      </c>
      <c r="D940" s="2" t="str">
        <f>IF(B940="","",IFERROR(VLOOKUP(B940, PLANTA_BASE!A:W, 5, FALSE), "NO ENCONTRADO EN PLANTA"))</f>
        <v/>
      </c>
      <c r="E940" s="2" t="str">
        <f>IF(B940="","",IFERROR(VLOOKUP(B940, PLANTA_BASE!A:W, 6, FALSE), "NO ENCONTRADO EN PLANTA"))</f>
        <v/>
      </c>
      <c r="F940" s="4" t="str">
        <f>IF(B940="","",IFERROR(VLOOKUP(B940, PLANTA_BASE!A:W, 8, FALSE), "DOCENTE / FACILITADOR"))</f>
        <v/>
      </c>
      <c r="G940" s="4" t="str">
        <f>IF(B940="","",IFERROR(VLOOKUP(B940, PLANTA_BASE!A:W, 9, FALSE), "GENERAL"))</f>
        <v/>
      </c>
      <c r="H940" s="2" t="str">
        <f>IF(B940="","",IFERROR(VLOOKUP(B940, PLANTA_BASE!A:W, 17, FALSE), "GENERAL"))</f>
        <v/>
      </c>
    </row>
    <row r="941" spans="1:8" ht="20.100000000000001" customHeight="1" x14ac:dyDescent="0.25">
      <c r="A941" s="5" t="str">
        <f>IF(B941="","",IFERROR(VLOOKUP(B941, PLANTA_BASE!A:W, 2, FALSE), "NO ENCONTRADO EN PLANTA"))</f>
        <v/>
      </c>
      <c r="B941" s="6"/>
      <c r="C941" s="7" t="str">
        <f>IF(B941="","",IFERROR(VLOOKUP(B941, PLANTA_BASE!A:W, 3, FALSE), ""))</f>
        <v/>
      </c>
      <c r="D941" s="5" t="str">
        <f>IF(B941="","",IFERROR(VLOOKUP(B941, PLANTA_BASE!A:W, 5, FALSE), "NO ENCONTRADO EN PLANTA"))</f>
        <v/>
      </c>
      <c r="E941" s="5" t="str">
        <f>IF(B941="","",IFERROR(VLOOKUP(B941, PLANTA_BASE!A:W, 6, FALSE), "NO ENCONTRADO EN PLANTA"))</f>
        <v/>
      </c>
      <c r="F941" s="7" t="str">
        <f>IF(B941="","",IFERROR(VLOOKUP(B941, PLANTA_BASE!A:W, 8, FALSE), "DOCENTE / FACILITADOR"))</f>
        <v/>
      </c>
      <c r="G941" s="7" t="str">
        <f>IF(B941="","",IFERROR(VLOOKUP(B941, PLANTA_BASE!A:W, 9, FALSE), "GENERAL"))</f>
        <v/>
      </c>
      <c r="H941" s="5" t="str">
        <f>IF(B941="","",IFERROR(VLOOKUP(B941, PLANTA_BASE!A:W, 17, FALSE), "GENERAL"))</f>
        <v/>
      </c>
    </row>
    <row r="942" spans="1:8" ht="20.100000000000001" customHeight="1" x14ac:dyDescent="0.25">
      <c r="A942" s="2" t="str">
        <f>IF(B942="","",IFERROR(VLOOKUP(B942, PLANTA_BASE!A:W, 2, FALSE), "NO ENCONTRADO EN PLANTA"))</f>
        <v/>
      </c>
      <c r="B942" s="3"/>
      <c r="C942" s="4" t="str">
        <f>IF(B942="","",IFERROR(VLOOKUP(B942, PLANTA_BASE!A:W, 3, FALSE), ""))</f>
        <v/>
      </c>
      <c r="D942" s="2" t="str">
        <f>IF(B942="","",IFERROR(VLOOKUP(B942, PLANTA_BASE!A:W, 5, FALSE), "NO ENCONTRADO EN PLANTA"))</f>
        <v/>
      </c>
      <c r="E942" s="2" t="str">
        <f>IF(B942="","",IFERROR(VLOOKUP(B942, PLANTA_BASE!A:W, 6, FALSE), "NO ENCONTRADO EN PLANTA"))</f>
        <v/>
      </c>
      <c r="F942" s="4" t="str">
        <f>IF(B942="","",IFERROR(VLOOKUP(B942, PLANTA_BASE!A:W, 8, FALSE), "DOCENTE / FACILITADOR"))</f>
        <v/>
      </c>
      <c r="G942" s="4" t="str">
        <f>IF(B942="","",IFERROR(VLOOKUP(B942, PLANTA_BASE!A:W, 9, FALSE), "GENERAL"))</f>
        <v/>
      </c>
      <c r="H942" s="2" t="str">
        <f>IF(B942="","",IFERROR(VLOOKUP(B942, PLANTA_BASE!A:W, 17, FALSE), "GENERAL"))</f>
        <v/>
      </c>
    </row>
    <row r="943" spans="1:8" ht="20.100000000000001" customHeight="1" x14ac:dyDescent="0.25">
      <c r="A943" s="5" t="str">
        <f>IF(B943="","",IFERROR(VLOOKUP(B943, PLANTA_BASE!A:W, 2, FALSE), "NO ENCONTRADO EN PLANTA"))</f>
        <v/>
      </c>
      <c r="B943" s="6"/>
      <c r="C943" s="7" t="str">
        <f>IF(B943="","",IFERROR(VLOOKUP(B943, PLANTA_BASE!A:W, 3, FALSE), ""))</f>
        <v/>
      </c>
      <c r="D943" s="5" t="str">
        <f>IF(B943="","",IFERROR(VLOOKUP(B943, PLANTA_BASE!A:W, 5, FALSE), "NO ENCONTRADO EN PLANTA"))</f>
        <v/>
      </c>
      <c r="E943" s="5" t="str">
        <f>IF(B943="","",IFERROR(VLOOKUP(B943, PLANTA_BASE!A:W, 6, FALSE), "NO ENCONTRADO EN PLANTA"))</f>
        <v/>
      </c>
      <c r="F943" s="7" t="str">
        <f>IF(B943="","",IFERROR(VLOOKUP(B943, PLANTA_BASE!A:W, 8, FALSE), "DOCENTE / FACILITADOR"))</f>
        <v/>
      </c>
      <c r="G943" s="7" t="str">
        <f>IF(B943="","",IFERROR(VLOOKUP(B943, PLANTA_BASE!A:W, 9, FALSE), "GENERAL"))</f>
        <v/>
      </c>
      <c r="H943" s="5" t="str">
        <f>IF(B943="","",IFERROR(VLOOKUP(B943, PLANTA_BASE!A:W, 17, FALSE), "GENERAL"))</f>
        <v/>
      </c>
    </row>
    <row r="944" spans="1:8" ht="20.100000000000001" customHeight="1" x14ac:dyDescent="0.25">
      <c r="A944" s="2" t="str">
        <f>IF(B944="","",IFERROR(VLOOKUP(B944, PLANTA_BASE!A:W, 2, FALSE), "NO ENCONTRADO EN PLANTA"))</f>
        <v/>
      </c>
      <c r="B944" s="3"/>
      <c r="C944" s="4" t="str">
        <f>IF(B944="","",IFERROR(VLOOKUP(B944, PLANTA_BASE!A:W, 3, FALSE), ""))</f>
        <v/>
      </c>
      <c r="D944" s="2" t="str">
        <f>IF(B944="","",IFERROR(VLOOKUP(B944, PLANTA_BASE!A:W, 5, FALSE), "NO ENCONTRADO EN PLANTA"))</f>
        <v/>
      </c>
      <c r="E944" s="2" t="str">
        <f>IF(B944="","",IFERROR(VLOOKUP(B944, PLANTA_BASE!A:W, 6, FALSE), "NO ENCONTRADO EN PLANTA"))</f>
        <v/>
      </c>
      <c r="F944" s="4" t="str">
        <f>IF(B944="","",IFERROR(VLOOKUP(B944, PLANTA_BASE!A:W, 8, FALSE), "DOCENTE / FACILITADOR"))</f>
        <v/>
      </c>
      <c r="G944" s="4" t="str">
        <f>IF(B944="","",IFERROR(VLOOKUP(B944, PLANTA_BASE!A:W, 9, FALSE), "GENERAL"))</f>
        <v/>
      </c>
      <c r="H944" s="2" t="str">
        <f>IF(B944="","",IFERROR(VLOOKUP(B944, PLANTA_BASE!A:W, 17, FALSE), "GENERAL"))</f>
        <v/>
      </c>
    </row>
    <row r="945" spans="1:8" ht="20.100000000000001" customHeight="1" x14ac:dyDescent="0.25">
      <c r="A945" s="5" t="str">
        <f>IF(B945="","",IFERROR(VLOOKUP(B945, PLANTA_BASE!A:W, 2, FALSE), "NO ENCONTRADO EN PLANTA"))</f>
        <v/>
      </c>
      <c r="B945" s="6"/>
      <c r="C945" s="7" t="str">
        <f>IF(B945="","",IFERROR(VLOOKUP(B945, PLANTA_BASE!A:W, 3, FALSE), ""))</f>
        <v/>
      </c>
      <c r="D945" s="5" t="str">
        <f>IF(B945="","",IFERROR(VLOOKUP(B945, PLANTA_BASE!A:W, 5, FALSE), "NO ENCONTRADO EN PLANTA"))</f>
        <v/>
      </c>
      <c r="E945" s="5" t="str">
        <f>IF(B945="","",IFERROR(VLOOKUP(B945, PLANTA_BASE!A:W, 6, FALSE), "NO ENCONTRADO EN PLANTA"))</f>
        <v/>
      </c>
      <c r="F945" s="7" t="str">
        <f>IF(B945="","",IFERROR(VLOOKUP(B945, PLANTA_BASE!A:W, 8, FALSE), "DOCENTE / FACILITADOR"))</f>
        <v/>
      </c>
      <c r="G945" s="7" t="str">
        <f>IF(B945="","",IFERROR(VLOOKUP(B945, PLANTA_BASE!A:W, 9, FALSE), "GENERAL"))</f>
        <v/>
      </c>
      <c r="H945" s="5" t="str">
        <f>IF(B945="","",IFERROR(VLOOKUP(B945, PLANTA_BASE!A:W, 17, FALSE), "GENERAL"))</f>
        <v/>
      </c>
    </row>
    <row r="946" spans="1:8" ht="20.100000000000001" customHeight="1" x14ac:dyDescent="0.25">
      <c r="A946" s="2" t="str">
        <f>IF(B946="","",IFERROR(VLOOKUP(B946, PLANTA_BASE!A:W, 2, FALSE), "NO ENCONTRADO EN PLANTA"))</f>
        <v/>
      </c>
      <c r="B946" s="3"/>
      <c r="C946" s="4" t="str">
        <f>IF(B946="","",IFERROR(VLOOKUP(B946, PLANTA_BASE!A:W, 3, FALSE), ""))</f>
        <v/>
      </c>
      <c r="D946" s="2" t="str">
        <f>IF(B946="","",IFERROR(VLOOKUP(B946, PLANTA_BASE!A:W, 5, FALSE), "NO ENCONTRADO EN PLANTA"))</f>
        <v/>
      </c>
      <c r="E946" s="2" t="str">
        <f>IF(B946="","",IFERROR(VLOOKUP(B946, PLANTA_BASE!A:W, 6, FALSE), "NO ENCONTRADO EN PLANTA"))</f>
        <v/>
      </c>
      <c r="F946" s="4" t="str">
        <f>IF(B946="","",IFERROR(VLOOKUP(B946, PLANTA_BASE!A:W, 8, FALSE), "DOCENTE / FACILITADOR"))</f>
        <v/>
      </c>
      <c r="G946" s="4" t="str">
        <f>IF(B946="","",IFERROR(VLOOKUP(B946, PLANTA_BASE!A:W, 9, FALSE), "GENERAL"))</f>
        <v/>
      </c>
      <c r="H946" s="2" t="str">
        <f>IF(B946="","",IFERROR(VLOOKUP(B946, PLANTA_BASE!A:W, 17, FALSE), "GENERAL"))</f>
        <v/>
      </c>
    </row>
    <row r="947" spans="1:8" ht="20.100000000000001" customHeight="1" x14ac:dyDescent="0.25">
      <c r="A947" s="5" t="str">
        <f>IF(B947="","",IFERROR(VLOOKUP(B947, PLANTA_BASE!A:W, 2, FALSE), "NO ENCONTRADO EN PLANTA"))</f>
        <v/>
      </c>
      <c r="B947" s="6"/>
      <c r="C947" s="7" t="str">
        <f>IF(B947="","",IFERROR(VLOOKUP(B947, PLANTA_BASE!A:W, 3, FALSE), ""))</f>
        <v/>
      </c>
      <c r="D947" s="5" t="str">
        <f>IF(B947="","",IFERROR(VLOOKUP(B947, PLANTA_BASE!A:W, 5, FALSE), "NO ENCONTRADO EN PLANTA"))</f>
        <v/>
      </c>
      <c r="E947" s="5" t="str">
        <f>IF(B947="","",IFERROR(VLOOKUP(B947, PLANTA_BASE!A:W, 6, FALSE), "NO ENCONTRADO EN PLANTA"))</f>
        <v/>
      </c>
      <c r="F947" s="7" t="str">
        <f>IF(B947="","",IFERROR(VLOOKUP(B947, PLANTA_BASE!A:W, 8, FALSE), "DOCENTE / FACILITADOR"))</f>
        <v/>
      </c>
      <c r="G947" s="7" t="str">
        <f>IF(B947="","",IFERROR(VLOOKUP(B947, PLANTA_BASE!A:W, 9, FALSE), "GENERAL"))</f>
        <v/>
      </c>
      <c r="H947" s="5" t="str">
        <f>IF(B947="","",IFERROR(VLOOKUP(B947, PLANTA_BASE!A:W, 17, FALSE), "GENERAL"))</f>
        <v/>
      </c>
    </row>
    <row r="948" spans="1:8" ht="20.100000000000001" customHeight="1" x14ac:dyDescent="0.25">
      <c r="A948" s="2" t="str">
        <f>IF(B948="","",IFERROR(VLOOKUP(B948, PLANTA_BASE!A:W, 2, FALSE), "NO ENCONTRADO EN PLANTA"))</f>
        <v/>
      </c>
      <c r="B948" s="3"/>
      <c r="C948" s="4" t="str">
        <f>IF(B948="","",IFERROR(VLOOKUP(B948, PLANTA_BASE!A:W, 3, FALSE), ""))</f>
        <v/>
      </c>
      <c r="D948" s="2" t="str">
        <f>IF(B948="","",IFERROR(VLOOKUP(B948, PLANTA_BASE!A:W, 5, FALSE), "NO ENCONTRADO EN PLANTA"))</f>
        <v/>
      </c>
      <c r="E948" s="2" t="str">
        <f>IF(B948="","",IFERROR(VLOOKUP(B948, PLANTA_BASE!A:W, 6, FALSE), "NO ENCONTRADO EN PLANTA"))</f>
        <v/>
      </c>
      <c r="F948" s="4" t="str">
        <f>IF(B948="","",IFERROR(VLOOKUP(B948, PLANTA_BASE!A:W, 8, FALSE), "DOCENTE / FACILITADOR"))</f>
        <v/>
      </c>
      <c r="G948" s="4" t="str">
        <f>IF(B948="","",IFERROR(VLOOKUP(B948, PLANTA_BASE!A:W, 9, FALSE), "GENERAL"))</f>
        <v/>
      </c>
      <c r="H948" s="2" t="str">
        <f>IF(B948="","",IFERROR(VLOOKUP(B948, PLANTA_BASE!A:W, 17, FALSE), "GENERAL"))</f>
        <v/>
      </c>
    </row>
    <row r="949" spans="1:8" ht="20.100000000000001" customHeight="1" x14ac:dyDescent="0.25">
      <c r="A949" s="5" t="str">
        <f>IF(B949="","",IFERROR(VLOOKUP(B949, PLANTA_BASE!A:W, 2, FALSE), "NO ENCONTRADO EN PLANTA"))</f>
        <v/>
      </c>
      <c r="B949" s="6"/>
      <c r="C949" s="7" t="str">
        <f>IF(B949="","",IFERROR(VLOOKUP(B949, PLANTA_BASE!A:W, 3, FALSE), ""))</f>
        <v/>
      </c>
      <c r="D949" s="5" t="str">
        <f>IF(B949="","",IFERROR(VLOOKUP(B949, PLANTA_BASE!A:W, 5, FALSE), "NO ENCONTRADO EN PLANTA"))</f>
        <v/>
      </c>
      <c r="E949" s="5" t="str">
        <f>IF(B949="","",IFERROR(VLOOKUP(B949, PLANTA_BASE!A:W, 6, FALSE), "NO ENCONTRADO EN PLANTA"))</f>
        <v/>
      </c>
      <c r="F949" s="7" t="str">
        <f>IF(B949="","",IFERROR(VLOOKUP(B949, PLANTA_BASE!A:W, 8, FALSE), "DOCENTE / FACILITADOR"))</f>
        <v/>
      </c>
      <c r="G949" s="7" t="str">
        <f>IF(B949="","",IFERROR(VLOOKUP(B949, PLANTA_BASE!A:W, 9, FALSE), "GENERAL"))</f>
        <v/>
      </c>
      <c r="H949" s="5" t="str">
        <f>IF(B949="","",IFERROR(VLOOKUP(B949, PLANTA_BASE!A:W, 17, FALSE), "GENERAL"))</f>
        <v/>
      </c>
    </row>
    <row r="950" spans="1:8" ht="20.100000000000001" customHeight="1" x14ac:dyDescent="0.25">
      <c r="A950" s="2" t="str">
        <f>IF(B950="","",IFERROR(VLOOKUP(B950, PLANTA_BASE!A:W, 2, FALSE), "NO ENCONTRADO EN PLANTA"))</f>
        <v/>
      </c>
      <c r="B950" s="3"/>
      <c r="C950" s="4" t="str">
        <f>IF(B950="","",IFERROR(VLOOKUP(B950, PLANTA_BASE!A:W, 3, FALSE), ""))</f>
        <v/>
      </c>
      <c r="D950" s="2" t="str">
        <f>IF(B950="","",IFERROR(VLOOKUP(B950, PLANTA_BASE!A:W, 5, FALSE), "NO ENCONTRADO EN PLANTA"))</f>
        <v/>
      </c>
      <c r="E950" s="2" t="str">
        <f>IF(B950="","",IFERROR(VLOOKUP(B950, PLANTA_BASE!A:W, 6, FALSE), "NO ENCONTRADO EN PLANTA"))</f>
        <v/>
      </c>
      <c r="F950" s="4" t="str">
        <f>IF(B950="","",IFERROR(VLOOKUP(B950, PLANTA_BASE!A:W, 8, FALSE), "DOCENTE / FACILITADOR"))</f>
        <v/>
      </c>
      <c r="G950" s="4" t="str">
        <f>IF(B950="","",IFERROR(VLOOKUP(B950, PLANTA_BASE!A:W, 9, FALSE), "GENERAL"))</f>
        <v/>
      </c>
      <c r="H950" s="2" t="str">
        <f>IF(B950="","",IFERROR(VLOOKUP(B950, PLANTA_BASE!A:W, 17, FALSE), "GENERAL"))</f>
        <v/>
      </c>
    </row>
    <row r="951" spans="1:8" ht="20.100000000000001" customHeight="1" x14ac:dyDescent="0.25">
      <c r="A951" s="5" t="str">
        <f>IF(B951="","",IFERROR(VLOOKUP(B951, PLANTA_BASE!A:W, 2, FALSE), "NO ENCONTRADO EN PLANTA"))</f>
        <v/>
      </c>
      <c r="B951" s="6"/>
      <c r="C951" s="7" t="str">
        <f>IF(B951="","",IFERROR(VLOOKUP(B951, PLANTA_BASE!A:W, 3, FALSE), ""))</f>
        <v/>
      </c>
      <c r="D951" s="5" t="str">
        <f>IF(B951="","",IFERROR(VLOOKUP(B951, PLANTA_BASE!A:W, 5, FALSE), "NO ENCONTRADO EN PLANTA"))</f>
        <v/>
      </c>
      <c r="E951" s="5" t="str">
        <f>IF(B951="","",IFERROR(VLOOKUP(B951, PLANTA_BASE!A:W, 6, FALSE), "NO ENCONTRADO EN PLANTA"))</f>
        <v/>
      </c>
      <c r="F951" s="7" t="str">
        <f>IF(B951="","",IFERROR(VLOOKUP(B951, PLANTA_BASE!A:W, 8, FALSE), "DOCENTE / FACILITADOR"))</f>
        <v/>
      </c>
      <c r="G951" s="7" t="str">
        <f>IF(B951="","",IFERROR(VLOOKUP(B951, PLANTA_BASE!A:W, 9, FALSE), "GENERAL"))</f>
        <v/>
      </c>
      <c r="H951" s="5" t="str">
        <f>IF(B951="","",IFERROR(VLOOKUP(B951, PLANTA_BASE!A:W, 17, FALSE), "GENERAL"))</f>
        <v/>
      </c>
    </row>
    <row r="952" spans="1:8" ht="20.100000000000001" customHeight="1" x14ac:dyDescent="0.25">
      <c r="A952" s="2" t="str">
        <f>IF(B952="","",IFERROR(VLOOKUP(B952, PLANTA_BASE!A:W, 2, FALSE), "NO ENCONTRADO EN PLANTA"))</f>
        <v/>
      </c>
      <c r="B952" s="3"/>
      <c r="C952" s="4" t="str">
        <f>IF(B952="","",IFERROR(VLOOKUP(B952, PLANTA_BASE!A:W, 3, FALSE), ""))</f>
        <v/>
      </c>
      <c r="D952" s="2" t="str">
        <f>IF(B952="","",IFERROR(VLOOKUP(B952, PLANTA_BASE!A:W, 5, FALSE), "NO ENCONTRADO EN PLANTA"))</f>
        <v/>
      </c>
      <c r="E952" s="2" t="str">
        <f>IF(B952="","",IFERROR(VLOOKUP(B952, PLANTA_BASE!A:W, 6, FALSE), "NO ENCONTRADO EN PLANTA"))</f>
        <v/>
      </c>
      <c r="F952" s="4" t="str">
        <f>IF(B952="","",IFERROR(VLOOKUP(B952, PLANTA_BASE!A:W, 8, FALSE), "DOCENTE / FACILITADOR"))</f>
        <v/>
      </c>
      <c r="G952" s="4" t="str">
        <f>IF(B952="","",IFERROR(VLOOKUP(B952, PLANTA_BASE!A:W, 9, FALSE), "GENERAL"))</f>
        <v/>
      </c>
      <c r="H952" s="2" t="str">
        <f>IF(B952="","",IFERROR(VLOOKUP(B952, PLANTA_BASE!A:W, 17, FALSE), "GENERAL"))</f>
        <v/>
      </c>
    </row>
    <row r="953" spans="1:8" ht="20.100000000000001" customHeight="1" x14ac:dyDescent="0.25">
      <c r="A953" s="5" t="str">
        <f>IF(B953="","",IFERROR(VLOOKUP(B953, PLANTA_BASE!A:W, 2, FALSE), "NO ENCONTRADO EN PLANTA"))</f>
        <v/>
      </c>
      <c r="B953" s="6"/>
      <c r="C953" s="7" t="str">
        <f>IF(B953="","",IFERROR(VLOOKUP(B953, PLANTA_BASE!A:W, 3, FALSE), ""))</f>
        <v/>
      </c>
      <c r="D953" s="5" t="str">
        <f>IF(B953="","",IFERROR(VLOOKUP(B953, PLANTA_BASE!A:W, 5, FALSE), "NO ENCONTRADO EN PLANTA"))</f>
        <v/>
      </c>
      <c r="E953" s="5" t="str">
        <f>IF(B953="","",IFERROR(VLOOKUP(B953, PLANTA_BASE!A:W, 6, FALSE), "NO ENCONTRADO EN PLANTA"))</f>
        <v/>
      </c>
      <c r="F953" s="7" t="str">
        <f>IF(B953="","",IFERROR(VLOOKUP(B953, PLANTA_BASE!A:W, 8, FALSE), "DOCENTE / FACILITADOR"))</f>
        <v/>
      </c>
      <c r="G953" s="7" t="str">
        <f>IF(B953="","",IFERROR(VLOOKUP(B953, PLANTA_BASE!A:W, 9, FALSE), "GENERAL"))</f>
        <v/>
      </c>
      <c r="H953" s="5" t="str">
        <f>IF(B953="","",IFERROR(VLOOKUP(B953, PLANTA_BASE!A:W, 17, FALSE), "GENERAL"))</f>
        <v/>
      </c>
    </row>
    <row r="954" spans="1:8" ht="20.100000000000001" customHeight="1" x14ac:dyDescent="0.25">
      <c r="A954" s="2" t="str">
        <f>IF(B954="","",IFERROR(VLOOKUP(B954, PLANTA_BASE!A:W, 2, FALSE), "NO ENCONTRADO EN PLANTA"))</f>
        <v/>
      </c>
      <c r="B954" s="3"/>
      <c r="C954" s="4" t="str">
        <f>IF(B954="","",IFERROR(VLOOKUP(B954, PLANTA_BASE!A:W, 3, FALSE), ""))</f>
        <v/>
      </c>
      <c r="D954" s="2" t="str">
        <f>IF(B954="","",IFERROR(VLOOKUP(B954, PLANTA_BASE!A:W, 5, FALSE), "NO ENCONTRADO EN PLANTA"))</f>
        <v/>
      </c>
      <c r="E954" s="2" t="str">
        <f>IF(B954="","",IFERROR(VLOOKUP(B954, PLANTA_BASE!A:W, 6, FALSE), "NO ENCONTRADO EN PLANTA"))</f>
        <v/>
      </c>
      <c r="F954" s="4" t="str">
        <f>IF(B954="","",IFERROR(VLOOKUP(B954, PLANTA_BASE!A:W, 8, FALSE), "DOCENTE / FACILITADOR"))</f>
        <v/>
      </c>
      <c r="G954" s="4" t="str">
        <f>IF(B954="","",IFERROR(VLOOKUP(B954, PLANTA_BASE!A:W, 9, FALSE), "GENERAL"))</f>
        <v/>
      </c>
      <c r="H954" s="2" t="str">
        <f>IF(B954="","",IFERROR(VLOOKUP(B954, PLANTA_BASE!A:W, 17, FALSE), "GENERAL"))</f>
        <v/>
      </c>
    </row>
    <row r="955" spans="1:8" ht="20.100000000000001" customHeight="1" x14ac:dyDescent="0.25">
      <c r="A955" s="5" t="str">
        <f>IF(B955="","",IFERROR(VLOOKUP(B955, PLANTA_BASE!A:W, 2, FALSE), "NO ENCONTRADO EN PLANTA"))</f>
        <v/>
      </c>
      <c r="B955" s="6"/>
      <c r="C955" s="7" t="str">
        <f>IF(B955="","",IFERROR(VLOOKUP(B955, PLANTA_BASE!A:W, 3, FALSE), ""))</f>
        <v/>
      </c>
      <c r="D955" s="5" t="str">
        <f>IF(B955="","",IFERROR(VLOOKUP(B955, PLANTA_BASE!A:W, 5, FALSE), "NO ENCONTRADO EN PLANTA"))</f>
        <v/>
      </c>
      <c r="E955" s="5" t="str">
        <f>IF(B955="","",IFERROR(VLOOKUP(B955, PLANTA_BASE!A:W, 6, FALSE), "NO ENCONTRADO EN PLANTA"))</f>
        <v/>
      </c>
      <c r="F955" s="7" t="str">
        <f>IF(B955="","",IFERROR(VLOOKUP(B955, PLANTA_BASE!A:W, 8, FALSE), "DOCENTE / FACILITADOR"))</f>
        <v/>
      </c>
      <c r="G955" s="7" t="str">
        <f>IF(B955="","",IFERROR(VLOOKUP(B955, PLANTA_BASE!A:W, 9, FALSE), "GENERAL"))</f>
        <v/>
      </c>
      <c r="H955" s="5" t="str">
        <f>IF(B955="","",IFERROR(VLOOKUP(B955, PLANTA_BASE!A:W, 17, FALSE), "GENERAL"))</f>
        <v/>
      </c>
    </row>
    <row r="956" spans="1:8" ht="20.100000000000001" customHeight="1" x14ac:dyDescent="0.25">
      <c r="A956" s="2" t="str">
        <f>IF(B956="","",IFERROR(VLOOKUP(B956, PLANTA_BASE!A:W, 2, FALSE), "NO ENCONTRADO EN PLANTA"))</f>
        <v/>
      </c>
      <c r="B956" s="3"/>
      <c r="C956" s="4" t="str">
        <f>IF(B956="","",IFERROR(VLOOKUP(B956, PLANTA_BASE!A:W, 3, FALSE), ""))</f>
        <v/>
      </c>
      <c r="D956" s="2" t="str">
        <f>IF(B956="","",IFERROR(VLOOKUP(B956, PLANTA_BASE!A:W, 5, FALSE), "NO ENCONTRADO EN PLANTA"))</f>
        <v/>
      </c>
      <c r="E956" s="2" t="str">
        <f>IF(B956="","",IFERROR(VLOOKUP(B956, PLANTA_BASE!A:W, 6, FALSE), "NO ENCONTRADO EN PLANTA"))</f>
        <v/>
      </c>
      <c r="F956" s="4" t="str">
        <f>IF(B956="","",IFERROR(VLOOKUP(B956, PLANTA_BASE!A:W, 8, FALSE), "DOCENTE / FACILITADOR"))</f>
        <v/>
      </c>
      <c r="G956" s="4" t="str">
        <f>IF(B956="","",IFERROR(VLOOKUP(B956, PLANTA_BASE!A:W, 9, FALSE), "GENERAL"))</f>
        <v/>
      </c>
      <c r="H956" s="2" t="str">
        <f>IF(B956="","",IFERROR(VLOOKUP(B956, PLANTA_BASE!A:W, 17, FALSE), "GENERAL"))</f>
        <v/>
      </c>
    </row>
    <row r="957" spans="1:8" ht="20.100000000000001" customHeight="1" x14ac:dyDescent="0.25">
      <c r="A957" s="5" t="str">
        <f>IF(B957="","",IFERROR(VLOOKUP(B957, PLANTA_BASE!A:W, 2, FALSE), "NO ENCONTRADO EN PLANTA"))</f>
        <v/>
      </c>
      <c r="B957" s="6"/>
      <c r="C957" s="7" t="str">
        <f>IF(B957="","",IFERROR(VLOOKUP(B957, PLANTA_BASE!A:W, 3, FALSE), ""))</f>
        <v/>
      </c>
      <c r="D957" s="5" t="str">
        <f>IF(B957="","",IFERROR(VLOOKUP(B957, PLANTA_BASE!A:W, 5, FALSE), "NO ENCONTRADO EN PLANTA"))</f>
        <v/>
      </c>
      <c r="E957" s="5" t="str">
        <f>IF(B957="","",IFERROR(VLOOKUP(B957, PLANTA_BASE!A:W, 6, FALSE), "NO ENCONTRADO EN PLANTA"))</f>
        <v/>
      </c>
      <c r="F957" s="7" t="str">
        <f>IF(B957="","",IFERROR(VLOOKUP(B957, PLANTA_BASE!A:W, 8, FALSE), "DOCENTE / FACILITADOR"))</f>
        <v/>
      </c>
      <c r="G957" s="7" t="str">
        <f>IF(B957="","",IFERROR(VLOOKUP(B957, PLANTA_BASE!A:W, 9, FALSE), "GENERAL"))</f>
        <v/>
      </c>
      <c r="H957" s="5" t="str">
        <f>IF(B957="","",IFERROR(VLOOKUP(B957, PLANTA_BASE!A:W, 17, FALSE), "GENERAL"))</f>
        <v/>
      </c>
    </row>
    <row r="958" spans="1:8" ht="20.100000000000001" customHeight="1" x14ac:dyDescent="0.25">
      <c r="A958" s="2" t="str">
        <f>IF(B958="","",IFERROR(VLOOKUP(B958, PLANTA_BASE!A:W, 2, FALSE), "NO ENCONTRADO EN PLANTA"))</f>
        <v/>
      </c>
      <c r="B958" s="3"/>
      <c r="C958" s="4" t="str">
        <f>IF(B958="","",IFERROR(VLOOKUP(B958, PLANTA_BASE!A:W, 3, FALSE), ""))</f>
        <v/>
      </c>
      <c r="D958" s="2" t="str">
        <f>IF(B958="","",IFERROR(VLOOKUP(B958, PLANTA_BASE!A:W, 5, FALSE), "NO ENCONTRADO EN PLANTA"))</f>
        <v/>
      </c>
      <c r="E958" s="2" t="str">
        <f>IF(B958="","",IFERROR(VLOOKUP(B958, PLANTA_BASE!A:W, 6, FALSE), "NO ENCONTRADO EN PLANTA"))</f>
        <v/>
      </c>
      <c r="F958" s="4" t="str">
        <f>IF(B958="","",IFERROR(VLOOKUP(B958, PLANTA_BASE!A:W, 8, FALSE), "DOCENTE / FACILITADOR"))</f>
        <v/>
      </c>
      <c r="G958" s="4" t="str">
        <f>IF(B958="","",IFERROR(VLOOKUP(B958, PLANTA_BASE!A:W, 9, FALSE), "GENERAL"))</f>
        <v/>
      </c>
      <c r="H958" s="2" t="str">
        <f>IF(B958="","",IFERROR(VLOOKUP(B958, PLANTA_BASE!A:W, 17, FALSE), "GENERAL"))</f>
        <v/>
      </c>
    </row>
    <row r="959" spans="1:8" ht="20.100000000000001" customHeight="1" x14ac:dyDescent="0.25">
      <c r="A959" s="5" t="str">
        <f>IF(B959="","",IFERROR(VLOOKUP(B959, PLANTA_BASE!A:W, 2, FALSE), "NO ENCONTRADO EN PLANTA"))</f>
        <v/>
      </c>
      <c r="B959" s="6"/>
      <c r="C959" s="7" t="str">
        <f>IF(B959="","",IFERROR(VLOOKUP(B959, PLANTA_BASE!A:W, 3, FALSE), ""))</f>
        <v/>
      </c>
      <c r="D959" s="5" t="str">
        <f>IF(B959="","",IFERROR(VLOOKUP(B959, PLANTA_BASE!A:W, 5, FALSE), "NO ENCONTRADO EN PLANTA"))</f>
        <v/>
      </c>
      <c r="E959" s="5" t="str">
        <f>IF(B959="","",IFERROR(VLOOKUP(B959, PLANTA_BASE!A:W, 6, FALSE), "NO ENCONTRADO EN PLANTA"))</f>
        <v/>
      </c>
      <c r="F959" s="7" t="str">
        <f>IF(B959="","",IFERROR(VLOOKUP(B959, PLANTA_BASE!A:W, 8, FALSE), "DOCENTE / FACILITADOR"))</f>
        <v/>
      </c>
      <c r="G959" s="7" t="str">
        <f>IF(B959="","",IFERROR(VLOOKUP(B959, PLANTA_BASE!A:W, 9, FALSE), "GENERAL"))</f>
        <v/>
      </c>
      <c r="H959" s="5" t="str">
        <f>IF(B959="","",IFERROR(VLOOKUP(B959, PLANTA_BASE!A:W, 17, FALSE), "GENERAL"))</f>
        <v/>
      </c>
    </row>
    <row r="960" spans="1:8" ht="20.100000000000001" customHeight="1" x14ac:dyDescent="0.25">
      <c r="A960" s="2" t="str">
        <f>IF(B960="","",IFERROR(VLOOKUP(B960, PLANTA_BASE!A:W, 2, FALSE), "NO ENCONTRADO EN PLANTA"))</f>
        <v/>
      </c>
      <c r="B960" s="3"/>
      <c r="C960" s="4" t="str">
        <f>IF(B960="","",IFERROR(VLOOKUP(B960, PLANTA_BASE!A:W, 3, FALSE), ""))</f>
        <v/>
      </c>
      <c r="D960" s="2" t="str">
        <f>IF(B960="","",IFERROR(VLOOKUP(B960, PLANTA_BASE!A:W, 5, FALSE), "NO ENCONTRADO EN PLANTA"))</f>
        <v/>
      </c>
      <c r="E960" s="2" t="str">
        <f>IF(B960="","",IFERROR(VLOOKUP(B960, PLANTA_BASE!A:W, 6, FALSE), "NO ENCONTRADO EN PLANTA"))</f>
        <v/>
      </c>
      <c r="F960" s="4" t="str">
        <f>IF(B960="","",IFERROR(VLOOKUP(B960, PLANTA_BASE!A:W, 8, FALSE), "DOCENTE / FACILITADOR"))</f>
        <v/>
      </c>
      <c r="G960" s="4" t="str">
        <f>IF(B960="","",IFERROR(VLOOKUP(B960, PLANTA_BASE!A:W, 9, FALSE), "GENERAL"))</f>
        <v/>
      </c>
      <c r="H960" s="2" t="str">
        <f>IF(B960="","",IFERROR(VLOOKUP(B960, PLANTA_BASE!A:W, 17, FALSE), "GENERAL"))</f>
        <v/>
      </c>
    </row>
    <row r="961" spans="1:8" ht="20.100000000000001" customHeight="1" x14ac:dyDescent="0.25">
      <c r="A961" s="5" t="str">
        <f>IF(B961="","",IFERROR(VLOOKUP(B961, PLANTA_BASE!A:W, 2, FALSE), "NO ENCONTRADO EN PLANTA"))</f>
        <v/>
      </c>
      <c r="B961" s="6"/>
      <c r="C961" s="7" t="str">
        <f>IF(B961="","",IFERROR(VLOOKUP(B961, PLANTA_BASE!A:W, 3, FALSE), ""))</f>
        <v/>
      </c>
      <c r="D961" s="5" t="str">
        <f>IF(B961="","",IFERROR(VLOOKUP(B961, PLANTA_BASE!A:W, 5, FALSE), "NO ENCONTRADO EN PLANTA"))</f>
        <v/>
      </c>
      <c r="E961" s="5" t="str">
        <f>IF(B961="","",IFERROR(VLOOKUP(B961, PLANTA_BASE!A:W, 6, FALSE), "NO ENCONTRADO EN PLANTA"))</f>
        <v/>
      </c>
      <c r="F961" s="7" t="str">
        <f>IF(B961="","",IFERROR(VLOOKUP(B961, PLANTA_BASE!A:W, 8, FALSE), "DOCENTE / FACILITADOR"))</f>
        <v/>
      </c>
      <c r="G961" s="7" t="str">
        <f>IF(B961="","",IFERROR(VLOOKUP(B961, PLANTA_BASE!A:W, 9, FALSE), "GENERAL"))</f>
        <v/>
      </c>
      <c r="H961" s="5" t="str">
        <f>IF(B961="","",IFERROR(VLOOKUP(B961, PLANTA_BASE!A:W, 17, FALSE), "GENERAL"))</f>
        <v/>
      </c>
    </row>
    <row r="962" spans="1:8" ht="20.100000000000001" customHeight="1" x14ac:dyDescent="0.25">
      <c r="A962" s="2" t="str">
        <f>IF(B962="","",IFERROR(VLOOKUP(B962, PLANTA_BASE!A:W, 2, FALSE), "NO ENCONTRADO EN PLANTA"))</f>
        <v/>
      </c>
      <c r="B962" s="3"/>
      <c r="C962" s="4" t="str">
        <f>IF(B962="","",IFERROR(VLOOKUP(B962, PLANTA_BASE!A:W, 3, FALSE), ""))</f>
        <v/>
      </c>
      <c r="D962" s="2" t="str">
        <f>IF(B962="","",IFERROR(VLOOKUP(B962, PLANTA_BASE!A:W, 5, FALSE), "NO ENCONTRADO EN PLANTA"))</f>
        <v/>
      </c>
      <c r="E962" s="2" t="str">
        <f>IF(B962="","",IFERROR(VLOOKUP(B962, PLANTA_BASE!A:W, 6, FALSE), "NO ENCONTRADO EN PLANTA"))</f>
        <v/>
      </c>
      <c r="F962" s="4" t="str">
        <f>IF(B962="","",IFERROR(VLOOKUP(B962, PLANTA_BASE!A:W, 8, FALSE), "DOCENTE / FACILITADOR"))</f>
        <v/>
      </c>
      <c r="G962" s="4" t="str">
        <f>IF(B962="","",IFERROR(VLOOKUP(B962, PLANTA_BASE!A:W, 9, FALSE), "GENERAL"))</f>
        <v/>
      </c>
      <c r="H962" s="2" t="str">
        <f>IF(B962="","",IFERROR(VLOOKUP(B962, PLANTA_BASE!A:W, 17, FALSE), "GENERAL"))</f>
        <v/>
      </c>
    </row>
    <row r="963" spans="1:8" ht="20.100000000000001" customHeight="1" x14ac:dyDescent="0.25">
      <c r="A963" s="5" t="str">
        <f>IF(B963="","",IFERROR(VLOOKUP(B963, PLANTA_BASE!A:W, 2, FALSE), "NO ENCONTRADO EN PLANTA"))</f>
        <v/>
      </c>
      <c r="B963" s="6"/>
      <c r="C963" s="7" t="str">
        <f>IF(B963="","",IFERROR(VLOOKUP(B963, PLANTA_BASE!A:W, 3, FALSE), ""))</f>
        <v/>
      </c>
      <c r="D963" s="5" t="str">
        <f>IF(B963="","",IFERROR(VLOOKUP(B963, PLANTA_BASE!A:W, 5, FALSE), "NO ENCONTRADO EN PLANTA"))</f>
        <v/>
      </c>
      <c r="E963" s="5" t="str">
        <f>IF(B963="","",IFERROR(VLOOKUP(B963, PLANTA_BASE!A:W, 6, FALSE), "NO ENCONTRADO EN PLANTA"))</f>
        <v/>
      </c>
      <c r="F963" s="7" t="str">
        <f>IF(B963="","",IFERROR(VLOOKUP(B963, PLANTA_BASE!A:W, 8, FALSE), "DOCENTE / FACILITADOR"))</f>
        <v/>
      </c>
      <c r="G963" s="7" t="str">
        <f>IF(B963="","",IFERROR(VLOOKUP(B963, PLANTA_BASE!A:W, 9, FALSE), "GENERAL"))</f>
        <v/>
      </c>
      <c r="H963" s="5" t="str">
        <f>IF(B963="","",IFERROR(VLOOKUP(B963, PLANTA_BASE!A:W, 17, FALSE), "GENERAL"))</f>
        <v/>
      </c>
    </row>
    <row r="964" spans="1:8" ht="20.100000000000001" customHeight="1" x14ac:dyDescent="0.25">
      <c r="A964" s="2" t="str">
        <f>IF(B964="","",IFERROR(VLOOKUP(B964, PLANTA_BASE!A:W, 2, FALSE), "NO ENCONTRADO EN PLANTA"))</f>
        <v/>
      </c>
      <c r="B964" s="3"/>
      <c r="C964" s="4" t="str">
        <f>IF(B964="","",IFERROR(VLOOKUP(B964, PLANTA_BASE!A:W, 3, FALSE), ""))</f>
        <v/>
      </c>
      <c r="D964" s="2" t="str">
        <f>IF(B964="","",IFERROR(VLOOKUP(B964, PLANTA_BASE!A:W, 5, FALSE), "NO ENCONTRADO EN PLANTA"))</f>
        <v/>
      </c>
      <c r="E964" s="2" t="str">
        <f>IF(B964="","",IFERROR(VLOOKUP(B964, PLANTA_BASE!A:W, 6, FALSE), "NO ENCONTRADO EN PLANTA"))</f>
        <v/>
      </c>
      <c r="F964" s="4" t="str">
        <f>IF(B964="","",IFERROR(VLOOKUP(B964, PLANTA_BASE!A:W, 8, FALSE), "DOCENTE / FACILITADOR"))</f>
        <v/>
      </c>
      <c r="G964" s="4" t="str">
        <f>IF(B964="","",IFERROR(VLOOKUP(B964, PLANTA_BASE!A:W, 9, FALSE), "GENERAL"))</f>
        <v/>
      </c>
      <c r="H964" s="2" t="str">
        <f>IF(B964="","",IFERROR(VLOOKUP(B964, PLANTA_BASE!A:W, 17, FALSE), "GENERAL"))</f>
        <v/>
      </c>
    </row>
    <row r="965" spans="1:8" ht="20.100000000000001" customHeight="1" x14ac:dyDescent="0.25">
      <c r="A965" s="5" t="str">
        <f>IF(B965="","",IFERROR(VLOOKUP(B965, PLANTA_BASE!A:W, 2, FALSE), "NO ENCONTRADO EN PLANTA"))</f>
        <v/>
      </c>
      <c r="B965" s="6"/>
      <c r="C965" s="7" t="str">
        <f>IF(B965="","",IFERROR(VLOOKUP(B965, PLANTA_BASE!A:W, 3, FALSE), ""))</f>
        <v/>
      </c>
      <c r="D965" s="5" t="str">
        <f>IF(B965="","",IFERROR(VLOOKUP(B965, PLANTA_BASE!A:W, 5, FALSE), "NO ENCONTRADO EN PLANTA"))</f>
        <v/>
      </c>
      <c r="E965" s="5" t="str">
        <f>IF(B965="","",IFERROR(VLOOKUP(B965, PLANTA_BASE!A:W, 6, FALSE), "NO ENCONTRADO EN PLANTA"))</f>
        <v/>
      </c>
      <c r="F965" s="7" t="str">
        <f>IF(B965="","",IFERROR(VLOOKUP(B965, PLANTA_BASE!A:W, 8, FALSE), "DOCENTE / FACILITADOR"))</f>
        <v/>
      </c>
      <c r="G965" s="7" t="str">
        <f>IF(B965="","",IFERROR(VLOOKUP(B965, PLANTA_BASE!A:W, 9, FALSE), "GENERAL"))</f>
        <v/>
      </c>
      <c r="H965" s="5" t="str">
        <f>IF(B965="","",IFERROR(VLOOKUP(B965, PLANTA_BASE!A:W, 17, FALSE), "GENERAL"))</f>
        <v/>
      </c>
    </row>
    <row r="966" spans="1:8" ht="20.100000000000001" customHeight="1" x14ac:dyDescent="0.25">
      <c r="A966" s="2" t="str">
        <f>IF(B966="","",IFERROR(VLOOKUP(B966, PLANTA_BASE!A:W, 2, FALSE), "NO ENCONTRADO EN PLANTA"))</f>
        <v/>
      </c>
      <c r="B966" s="3"/>
      <c r="C966" s="4" t="str">
        <f>IF(B966="","",IFERROR(VLOOKUP(B966, PLANTA_BASE!A:W, 3, FALSE), ""))</f>
        <v/>
      </c>
      <c r="D966" s="2" t="str">
        <f>IF(B966="","",IFERROR(VLOOKUP(B966, PLANTA_BASE!A:W, 5, FALSE), "NO ENCONTRADO EN PLANTA"))</f>
        <v/>
      </c>
      <c r="E966" s="2" t="str">
        <f>IF(B966="","",IFERROR(VLOOKUP(B966, PLANTA_BASE!A:W, 6, FALSE), "NO ENCONTRADO EN PLANTA"))</f>
        <v/>
      </c>
      <c r="F966" s="4" t="str">
        <f>IF(B966="","",IFERROR(VLOOKUP(B966, PLANTA_BASE!A:W, 8, FALSE), "DOCENTE / FACILITADOR"))</f>
        <v/>
      </c>
      <c r="G966" s="4" t="str">
        <f>IF(B966="","",IFERROR(VLOOKUP(B966, PLANTA_BASE!A:W, 9, FALSE), "GENERAL"))</f>
        <v/>
      </c>
      <c r="H966" s="2" t="str">
        <f>IF(B966="","",IFERROR(VLOOKUP(B966, PLANTA_BASE!A:W, 17, FALSE), "GENERAL"))</f>
        <v/>
      </c>
    </row>
    <row r="967" spans="1:8" ht="20.100000000000001" customHeight="1" x14ac:dyDescent="0.25">
      <c r="A967" s="5" t="str">
        <f>IF(B967="","",IFERROR(VLOOKUP(B967, PLANTA_BASE!A:W, 2, FALSE), "NO ENCONTRADO EN PLANTA"))</f>
        <v/>
      </c>
      <c r="B967" s="6"/>
      <c r="C967" s="7" t="str">
        <f>IF(B967="","",IFERROR(VLOOKUP(B967, PLANTA_BASE!A:W, 3, FALSE), ""))</f>
        <v/>
      </c>
      <c r="D967" s="5" t="str">
        <f>IF(B967="","",IFERROR(VLOOKUP(B967, PLANTA_BASE!A:W, 5, FALSE), "NO ENCONTRADO EN PLANTA"))</f>
        <v/>
      </c>
      <c r="E967" s="5" t="str">
        <f>IF(B967="","",IFERROR(VLOOKUP(B967, PLANTA_BASE!A:W, 6, FALSE), "NO ENCONTRADO EN PLANTA"))</f>
        <v/>
      </c>
      <c r="F967" s="7" t="str">
        <f>IF(B967="","",IFERROR(VLOOKUP(B967, PLANTA_BASE!A:W, 8, FALSE), "DOCENTE / FACILITADOR"))</f>
        <v/>
      </c>
      <c r="G967" s="7" t="str">
        <f>IF(B967="","",IFERROR(VLOOKUP(B967, PLANTA_BASE!A:W, 9, FALSE), "GENERAL"))</f>
        <v/>
      </c>
      <c r="H967" s="5" t="str">
        <f>IF(B967="","",IFERROR(VLOOKUP(B967, PLANTA_BASE!A:W, 17, FALSE), "GENERAL"))</f>
        <v/>
      </c>
    </row>
    <row r="968" spans="1:8" ht="20.100000000000001" customHeight="1" x14ac:dyDescent="0.25">
      <c r="A968" s="2" t="str">
        <f>IF(B968="","",IFERROR(VLOOKUP(B968, PLANTA_BASE!A:W, 2, FALSE), "NO ENCONTRADO EN PLANTA"))</f>
        <v/>
      </c>
      <c r="B968" s="3"/>
      <c r="C968" s="4" t="str">
        <f>IF(B968="","",IFERROR(VLOOKUP(B968, PLANTA_BASE!A:W, 3, FALSE), ""))</f>
        <v/>
      </c>
      <c r="D968" s="2" t="str">
        <f>IF(B968="","",IFERROR(VLOOKUP(B968, PLANTA_BASE!A:W, 5, FALSE), "NO ENCONTRADO EN PLANTA"))</f>
        <v/>
      </c>
      <c r="E968" s="2" t="str">
        <f>IF(B968="","",IFERROR(VLOOKUP(B968, PLANTA_BASE!A:W, 6, FALSE), "NO ENCONTRADO EN PLANTA"))</f>
        <v/>
      </c>
      <c r="F968" s="4" t="str">
        <f>IF(B968="","",IFERROR(VLOOKUP(B968, PLANTA_BASE!A:W, 8, FALSE), "DOCENTE / FACILITADOR"))</f>
        <v/>
      </c>
      <c r="G968" s="4" t="str">
        <f>IF(B968="","",IFERROR(VLOOKUP(B968, PLANTA_BASE!A:W, 9, FALSE), "GENERAL"))</f>
        <v/>
      </c>
      <c r="H968" s="2" t="str">
        <f>IF(B968="","",IFERROR(VLOOKUP(B968, PLANTA_BASE!A:W, 17, FALSE), "GENERAL"))</f>
        <v/>
      </c>
    </row>
    <row r="969" spans="1:8" ht="20.100000000000001" customHeight="1" x14ac:dyDescent="0.25">
      <c r="A969" s="5" t="str">
        <f>IF(B969="","",IFERROR(VLOOKUP(B969, PLANTA_BASE!A:W, 2, FALSE), "NO ENCONTRADO EN PLANTA"))</f>
        <v/>
      </c>
      <c r="B969" s="6"/>
      <c r="C969" s="7" t="str">
        <f>IF(B969="","",IFERROR(VLOOKUP(B969, PLANTA_BASE!A:W, 3, FALSE), ""))</f>
        <v/>
      </c>
      <c r="D969" s="5" t="str">
        <f>IF(B969="","",IFERROR(VLOOKUP(B969, PLANTA_BASE!A:W, 5, FALSE), "NO ENCONTRADO EN PLANTA"))</f>
        <v/>
      </c>
      <c r="E969" s="5" t="str">
        <f>IF(B969="","",IFERROR(VLOOKUP(B969, PLANTA_BASE!A:W, 6, FALSE), "NO ENCONTRADO EN PLANTA"))</f>
        <v/>
      </c>
      <c r="F969" s="7" t="str">
        <f>IF(B969="","",IFERROR(VLOOKUP(B969, PLANTA_BASE!A:W, 8, FALSE), "DOCENTE / FACILITADOR"))</f>
        <v/>
      </c>
      <c r="G969" s="7" t="str">
        <f>IF(B969="","",IFERROR(VLOOKUP(B969, PLANTA_BASE!A:W, 9, FALSE), "GENERAL"))</f>
        <v/>
      </c>
      <c r="H969" s="5" t="str">
        <f>IF(B969="","",IFERROR(VLOOKUP(B969, PLANTA_BASE!A:W, 17, FALSE), "GENERAL"))</f>
        <v/>
      </c>
    </row>
    <row r="970" spans="1:8" ht="20.100000000000001" customHeight="1" x14ac:dyDescent="0.25">
      <c r="A970" s="2" t="str">
        <f>IF(B970="","",IFERROR(VLOOKUP(B970, PLANTA_BASE!A:W, 2, FALSE), "NO ENCONTRADO EN PLANTA"))</f>
        <v/>
      </c>
      <c r="B970" s="3"/>
      <c r="C970" s="4" t="str">
        <f>IF(B970="","",IFERROR(VLOOKUP(B970, PLANTA_BASE!A:W, 3, FALSE), ""))</f>
        <v/>
      </c>
      <c r="D970" s="2" t="str">
        <f>IF(B970="","",IFERROR(VLOOKUP(B970, PLANTA_BASE!A:W, 5, FALSE), "NO ENCONTRADO EN PLANTA"))</f>
        <v/>
      </c>
      <c r="E970" s="2" t="str">
        <f>IF(B970="","",IFERROR(VLOOKUP(B970, PLANTA_BASE!A:W, 6, FALSE), "NO ENCONTRADO EN PLANTA"))</f>
        <v/>
      </c>
      <c r="F970" s="4" t="str">
        <f>IF(B970="","",IFERROR(VLOOKUP(B970, PLANTA_BASE!A:W, 8, FALSE), "DOCENTE / FACILITADOR"))</f>
        <v/>
      </c>
      <c r="G970" s="4" t="str">
        <f>IF(B970="","",IFERROR(VLOOKUP(B970, PLANTA_BASE!A:W, 9, FALSE), "GENERAL"))</f>
        <v/>
      </c>
      <c r="H970" s="2" t="str">
        <f>IF(B970="","",IFERROR(VLOOKUP(B970, PLANTA_BASE!A:W, 17, FALSE), "GENERAL"))</f>
        <v/>
      </c>
    </row>
    <row r="971" spans="1:8" ht="20.100000000000001" customHeight="1" x14ac:dyDescent="0.25">
      <c r="A971" s="5" t="str">
        <f>IF(B971="","",IFERROR(VLOOKUP(B971, PLANTA_BASE!A:W, 2, FALSE), "NO ENCONTRADO EN PLANTA"))</f>
        <v/>
      </c>
      <c r="B971" s="6"/>
      <c r="C971" s="7" t="str">
        <f>IF(B971="","",IFERROR(VLOOKUP(B971, PLANTA_BASE!A:W, 3, FALSE), ""))</f>
        <v/>
      </c>
      <c r="D971" s="5" t="str">
        <f>IF(B971="","",IFERROR(VLOOKUP(B971, PLANTA_BASE!A:W, 5, FALSE), "NO ENCONTRADO EN PLANTA"))</f>
        <v/>
      </c>
      <c r="E971" s="5" t="str">
        <f>IF(B971="","",IFERROR(VLOOKUP(B971, PLANTA_BASE!A:W, 6, FALSE), "NO ENCONTRADO EN PLANTA"))</f>
        <v/>
      </c>
      <c r="F971" s="7" t="str">
        <f>IF(B971="","",IFERROR(VLOOKUP(B971, PLANTA_BASE!A:W, 8, FALSE), "DOCENTE / FACILITADOR"))</f>
        <v/>
      </c>
      <c r="G971" s="7" t="str">
        <f>IF(B971="","",IFERROR(VLOOKUP(B971, PLANTA_BASE!A:W, 9, FALSE), "GENERAL"))</f>
        <v/>
      </c>
      <c r="H971" s="5" t="str">
        <f>IF(B971="","",IFERROR(VLOOKUP(B971, PLANTA_BASE!A:W, 17, FALSE), "GENERAL"))</f>
        <v/>
      </c>
    </row>
    <row r="972" spans="1:8" ht="20.100000000000001" customHeight="1" x14ac:dyDescent="0.25">
      <c r="A972" s="2" t="str">
        <f>IF(B972="","",IFERROR(VLOOKUP(B972, PLANTA_BASE!A:W, 2, FALSE), "NO ENCONTRADO EN PLANTA"))</f>
        <v/>
      </c>
      <c r="B972" s="3"/>
      <c r="C972" s="4" t="str">
        <f>IF(B972="","",IFERROR(VLOOKUP(B972, PLANTA_BASE!A:W, 3, FALSE), ""))</f>
        <v/>
      </c>
      <c r="D972" s="2" t="str">
        <f>IF(B972="","",IFERROR(VLOOKUP(B972, PLANTA_BASE!A:W, 5, FALSE), "NO ENCONTRADO EN PLANTA"))</f>
        <v/>
      </c>
      <c r="E972" s="2" t="str">
        <f>IF(B972="","",IFERROR(VLOOKUP(B972, PLANTA_BASE!A:W, 6, FALSE), "NO ENCONTRADO EN PLANTA"))</f>
        <v/>
      </c>
      <c r="F972" s="4" t="str">
        <f>IF(B972="","",IFERROR(VLOOKUP(B972, PLANTA_BASE!A:W, 8, FALSE), "DOCENTE / FACILITADOR"))</f>
        <v/>
      </c>
      <c r="G972" s="4" t="str">
        <f>IF(B972="","",IFERROR(VLOOKUP(B972, PLANTA_BASE!A:W, 9, FALSE), "GENERAL"))</f>
        <v/>
      </c>
      <c r="H972" s="2" t="str">
        <f>IF(B972="","",IFERROR(VLOOKUP(B972, PLANTA_BASE!A:W, 17, FALSE), "GENERAL"))</f>
        <v/>
      </c>
    </row>
    <row r="973" spans="1:8" ht="20.100000000000001" customHeight="1" x14ac:dyDescent="0.25">
      <c r="A973" s="5" t="str">
        <f>IF(B973="","",IFERROR(VLOOKUP(B973, PLANTA_BASE!A:W, 2, FALSE), "NO ENCONTRADO EN PLANTA"))</f>
        <v/>
      </c>
      <c r="B973" s="6"/>
      <c r="C973" s="7" t="str">
        <f>IF(B973="","",IFERROR(VLOOKUP(B973, PLANTA_BASE!A:W, 3, FALSE), ""))</f>
        <v/>
      </c>
      <c r="D973" s="5" t="str">
        <f>IF(B973="","",IFERROR(VLOOKUP(B973, PLANTA_BASE!A:W, 5, FALSE), "NO ENCONTRADO EN PLANTA"))</f>
        <v/>
      </c>
      <c r="E973" s="5" t="str">
        <f>IF(B973="","",IFERROR(VLOOKUP(B973, PLANTA_BASE!A:W, 6, FALSE), "NO ENCONTRADO EN PLANTA"))</f>
        <v/>
      </c>
      <c r="F973" s="7" t="str">
        <f>IF(B973="","",IFERROR(VLOOKUP(B973, PLANTA_BASE!A:W, 8, FALSE), "DOCENTE / FACILITADOR"))</f>
        <v/>
      </c>
      <c r="G973" s="7" t="str">
        <f>IF(B973="","",IFERROR(VLOOKUP(B973, PLANTA_BASE!A:W, 9, FALSE), "GENERAL"))</f>
        <v/>
      </c>
      <c r="H973" s="5" t="str">
        <f>IF(B973="","",IFERROR(VLOOKUP(B973, PLANTA_BASE!A:W, 17, FALSE), "GENERAL"))</f>
        <v/>
      </c>
    </row>
    <row r="974" spans="1:8" ht="20.100000000000001" customHeight="1" x14ac:dyDescent="0.25">
      <c r="A974" s="2" t="str">
        <f>IF(B974="","",IFERROR(VLOOKUP(B974, PLANTA_BASE!A:W, 2, FALSE), "NO ENCONTRADO EN PLANTA"))</f>
        <v/>
      </c>
      <c r="B974" s="3"/>
      <c r="C974" s="4" t="str">
        <f>IF(B974="","",IFERROR(VLOOKUP(B974, PLANTA_BASE!A:W, 3, FALSE), ""))</f>
        <v/>
      </c>
      <c r="D974" s="2" t="str">
        <f>IF(B974="","",IFERROR(VLOOKUP(B974, PLANTA_BASE!A:W, 5, FALSE), "NO ENCONTRADO EN PLANTA"))</f>
        <v/>
      </c>
      <c r="E974" s="2" t="str">
        <f>IF(B974="","",IFERROR(VLOOKUP(B974, PLANTA_BASE!A:W, 6, FALSE), "NO ENCONTRADO EN PLANTA"))</f>
        <v/>
      </c>
      <c r="F974" s="4" t="str">
        <f>IF(B974="","",IFERROR(VLOOKUP(B974, PLANTA_BASE!A:W, 8, FALSE), "DOCENTE / FACILITADOR"))</f>
        <v/>
      </c>
      <c r="G974" s="4" t="str">
        <f>IF(B974="","",IFERROR(VLOOKUP(B974, PLANTA_BASE!A:W, 9, FALSE), "GENERAL"))</f>
        <v/>
      </c>
      <c r="H974" s="2" t="str">
        <f>IF(B974="","",IFERROR(VLOOKUP(B974, PLANTA_BASE!A:W, 17, FALSE), "GENERAL"))</f>
        <v/>
      </c>
    </row>
    <row r="975" spans="1:8" ht="20.100000000000001" customHeight="1" x14ac:dyDescent="0.25">
      <c r="A975" s="5" t="str">
        <f>IF(B975="","",IFERROR(VLOOKUP(B975, PLANTA_BASE!A:W, 2, FALSE), "NO ENCONTRADO EN PLANTA"))</f>
        <v/>
      </c>
      <c r="B975" s="6"/>
      <c r="C975" s="7" t="str">
        <f>IF(B975="","",IFERROR(VLOOKUP(B975, PLANTA_BASE!A:W, 3, FALSE), ""))</f>
        <v/>
      </c>
      <c r="D975" s="5" t="str">
        <f>IF(B975="","",IFERROR(VLOOKUP(B975, PLANTA_BASE!A:W, 5, FALSE), "NO ENCONTRADO EN PLANTA"))</f>
        <v/>
      </c>
      <c r="E975" s="5" t="str">
        <f>IF(B975="","",IFERROR(VLOOKUP(B975, PLANTA_BASE!A:W, 6, FALSE), "NO ENCONTRADO EN PLANTA"))</f>
        <v/>
      </c>
      <c r="F975" s="7" t="str">
        <f>IF(B975="","",IFERROR(VLOOKUP(B975, PLANTA_BASE!A:W, 8, FALSE), "DOCENTE / FACILITADOR"))</f>
        <v/>
      </c>
      <c r="G975" s="7" t="str">
        <f>IF(B975="","",IFERROR(VLOOKUP(B975, PLANTA_BASE!A:W, 9, FALSE), "GENERAL"))</f>
        <v/>
      </c>
      <c r="H975" s="5" t="str">
        <f>IF(B975="","",IFERROR(VLOOKUP(B975, PLANTA_BASE!A:W, 17, FALSE), "GENERAL"))</f>
        <v/>
      </c>
    </row>
    <row r="976" spans="1:8" ht="20.100000000000001" customHeight="1" x14ac:dyDescent="0.25">
      <c r="A976" s="2" t="str">
        <f>IF(B976="","",IFERROR(VLOOKUP(B976, PLANTA_BASE!A:W, 2, FALSE), "NO ENCONTRADO EN PLANTA"))</f>
        <v/>
      </c>
      <c r="B976" s="3"/>
      <c r="C976" s="4" t="str">
        <f>IF(B976="","",IFERROR(VLOOKUP(B976, PLANTA_BASE!A:W, 3, FALSE), ""))</f>
        <v/>
      </c>
      <c r="D976" s="2" t="str">
        <f>IF(B976="","",IFERROR(VLOOKUP(B976, PLANTA_BASE!A:W, 5, FALSE), "NO ENCONTRADO EN PLANTA"))</f>
        <v/>
      </c>
      <c r="E976" s="2" t="str">
        <f>IF(B976="","",IFERROR(VLOOKUP(B976, PLANTA_BASE!A:W, 6, FALSE), "NO ENCONTRADO EN PLANTA"))</f>
        <v/>
      </c>
      <c r="F976" s="4" t="str">
        <f>IF(B976="","",IFERROR(VLOOKUP(B976, PLANTA_BASE!A:W, 8, FALSE), "DOCENTE / FACILITADOR"))</f>
        <v/>
      </c>
      <c r="G976" s="4" t="str">
        <f>IF(B976="","",IFERROR(VLOOKUP(B976, PLANTA_BASE!A:W, 9, FALSE), "GENERAL"))</f>
        <v/>
      </c>
      <c r="H976" s="2" t="str">
        <f>IF(B976="","",IFERROR(VLOOKUP(B976, PLANTA_BASE!A:W, 17, FALSE), "GENERAL"))</f>
        <v/>
      </c>
    </row>
    <row r="977" spans="1:8" ht="20.100000000000001" customHeight="1" x14ac:dyDescent="0.25">
      <c r="A977" s="5" t="str">
        <f>IF(B977="","",IFERROR(VLOOKUP(B977, PLANTA_BASE!A:W, 2, FALSE), "NO ENCONTRADO EN PLANTA"))</f>
        <v/>
      </c>
      <c r="B977" s="6"/>
      <c r="C977" s="7" t="str">
        <f>IF(B977="","",IFERROR(VLOOKUP(B977, PLANTA_BASE!A:W, 3, FALSE), ""))</f>
        <v/>
      </c>
      <c r="D977" s="5" t="str">
        <f>IF(B977="","",IFERROR(VLOOKUP(B977, PLANTA_BASE!A:W, 5, FALSE), "NO ENCONTRADO EN PLANTA"))</f>
        <v/>
      </c>
      <c r="E977" s="5" t="str">
        <f>IF(B977="","",IFERROR(VLOOKUP(B977, PLANTA_BASE!A:W, 6, FALSE), "NO ENCONTRADO EN PLANTA"))</f>
        <v/>
      </c>
      <c r="F977" s="7" t="str">
        <f>IF(B977="","",IFERROR(VLOOKUP(B977, PLANTA_BASE!A:W, 8, FALSE), "DOCENTE / FACILITADOR"))</f>
        <v/>
      </c>
      <c r="G977" s="7" t="str">
        <f>IF(B977="","",IFERROR(VLOOKUP(B977, PLANTA_BASE!A:W, 9, FALSE), "GENERAL"))</f>
        <v/>
      </c>
      <c r="H977" s="5" t="str">
        <f>IF(B977="","",IFERROR(VLOOKUP(B977, PLANTA_BASE!A:W, 17, FALSE), "GENERAL"))</f>
        <v/>
      </c>
    </row>
    <row r="978" spans="1:8" ht="20.100000000000001" customHeight="1" x14ac:dyDescent="0.25">
      <c r="A978" s="2" t="str">
        <f>IF(B978="","",IFERROR(VLOOKUP(B978, PLANTA_BASE!A:W, 2, FALSE), "NO ENCONTRADO EN PLANTA"))</f>
        <v/>
      </c>
      <c r="B978" s="3"/>
      <c r="C978" s="4" t="str">
        <f>IF(B978="","",IFERROR(VLOOKUP(B978, PLANTA_BASE!A:W, 3, FALSE), ""))</f>
        <v/>
      </c>
      <c r="D978" s="2" t="str">
        <f>IF(B978="","",IFERROR(VLOOKUP(B978, PLANTA_BASE!A:W, 5, FALSE), "NO ENCONTRADO EN PLANTA"))</f>
        <v/>
      </c>
      <c r="E978" s="2" t="str">
        <f>IF(B978="","",IFERROR(VLOOKUP(B978, PLANTA_BASE!A:W, 6, FALSE), "NO ENCONTRADO EN PLANTA"))</f>
        <v/>
      </c>
      <c r="F978" s="4" t="str">
        <f>IF(B978="","",IFERROR(VLOOKUP(B978, PLANTA_BASE!A:W, 8, FALSE), "DOCENTE / FACILITADOR"))</f>
        <v/>
      </c>
      <c r="G978" s="4" t="str">
        <f>IF(B978="","",IFERROR(VLOOKUP(B978, PLANTA_BASE!A:W, 9, FALSE), "GENERAL"))</f>
        <v/>
      </c>
      <c r="H978" s="2" t="str">
        <f>IF(B978="","",IFERROR(VLOOKUP(B978, PLANTA_BASE!A:W, 17, FALSE), "GENERAL"))</f>
        <v/>
      </c>
    </row>
    <row r="979" spans="1:8" ht="20.100000000000001" customHeight="1" x14ac:dyDescent="0.25">
      <c r="A979" s="5" t="str">
        <f>IF(B979="","",IFERROR(VLOOKUP(B979, PLANTA_BASE!A:W, 2, FALSE), "NO ENCONTRADO EN PLANTA"))</f>
        <v/>
      </c>
      <c r="B979" s="6"/>
      <c r="C979" s="7" t="str">
        <f>IF(B979="","",IFERROR(VLOOKUP(B979, PLANTA_BASE!A:W, 3, FALSE), ""))</f>
        <v/>
      </c>
      <c r="D979" s="5" t="str">
        <f>IF(B979="","",IFERROR(VLOOKUP(B979, PLANTA_BASE!A:W, 5, FALSE), "NO ENCONTRADO EN PLANTA"))</f>
        <v/>
      </c>
      <c r="E979" s="5" t="str">
        <f>IF(B979="","",IFERROR(VLOOKUP(B979, PLANTA_BASE!A:W, 6, FALSE), "NO ENCONTRADO EN PLANTA"))</f>
        <v/>
      </c>
      <c r="F979" s="7" t="str">
        <f>IF(B979="","",IFERROR(VLOOKUP(B979, PLANTA_BASE!A:W, 8, FALSE), "DOCENTE / FACILITADOR"))</f>
        <v/>
      </c>
      <c r="G979" s="7" t="str">
        <f>IF(B979="","",IFERROR(VLOOKUP(B979, PLANTA_BASE!A:W, 9, FALSE), "GENERAL"))</f>
        <v/>
      </c>
      <c r="H979" s="5" t="str">
        <f>IF(B979="","",IFERROR(VLOOKUP(B979, PLANTA_BASE!A:W, 17, FALSE), "GENERAL"))</f>
        <v/>
      </c>
    </row>
    <row r="980" spans="1:8" ht="20.100000000000001" customHeight="1" x14ac:dyDescent="0.25">
      <c r="A980" s="2" t="str">
        <f>IF(B980="","",IFERROR(VLOOKUP(B980, PLANTA_BASE!A:W, 2, FALSE), "NO ENCONTRADO EN PLANTA"))</f>
        <v/>
      </c>
      <c r="B980" s="3"/>
      <c r="C980" s="4" t="str">
        <f>IF(B980="","",IFERROR(VLOOKUP(B980, PLANTA_BASE!A:W, 3, FALSE), ""))</f>
        <v/>
      </c>
      <c r="D980" s="2" t="str">
        <f>IF(B980="","",IFERROR(VLOOKUP(B980, PLANTA_BASE!A:W, 5, FALSE), "NO ENCONTRADO EN PLANTA"))</f>
        <v/>
      </c>
      <c r="E980" s="2" t="str">
        <f>IF(B980="","",IFERROR(VLOOKUP(B980, PLANTA_BASE!A:W, 6, FALSE), "NO ENCONTRADO EN PLANTA"))</f>
        <v/>
      </c>
      <c r="F980" s="4" t="str">
        <f>IF(B980="","",IFERROR(VLOOKUP(B980, PLANTA_BASE!A:W, 8, FALSE), "DOCENTE / FACILITADOR"))</f>
        <v/>
      </c>
      <c r="G980" s="4" t="str">
        <f>IF(B980="","",IFERROR(VLOOKUP(B980, PLANTA_BASE!A:W, 9, FALSE), "GENERAL"))</f>
        <v/>
      </c>
      <c r="H980" s="2" t="str">
        <f>IF(B980="","",IFERROR(VLOOKUP(B980, PLANTA_BASE!A:W, 17, FALSE), "GENERAL"))</f>
        <v/>
      </c>
    </row>
    <row r="981" spans="1:8" ht="20.100000000000001" customHeight="1" x14ac:dyDescent="0.25">
      <c r="A981" s="5" t="str">
        <f>IF(B981="","",IFERROR(VLOOKUP(B981, PLANTA_BASE!A:W, 2, FALSE), "NO ENCONTRADO EN PLANTA"))</f>
        <v/>
      </c>
      <c r="B981" s="6"/>
      <c r="C981" s="7" t="str">
        <f>IF(B981="","",IFERROR(VLOOKUP(B981, PLANTA_BASE!A:W, 3, FALSE), ""))</f>
        <v/>
      </c>
      <c r="D981" s="5" t="str">
        <f>IF(B981="","",IFERROR(VLOOKUP(B981, PLANTA_BASE!A:W, 5, FALSE), "NO ENCONTRADO EN PLANTA"))</f>
        <v/>
      </c>
      <c r="E981" s="5" t="str">
        <f>IF(B981="","",IFERROR(VLOOKUP(B981, PLANTA_BASE!A:W, 6, FALSE), "NO ENCONTRADO EN PLANTA"))</f>
        <v/>
      </c>
      <c r="F981" s="7" t="str">
        <f>IF(B981="","",IFERROR(VLOOKUP(B981, PLANTA_BASE!A:W, 8, FALSE), "DOCENTE / FACILITADOR"))</f>
        <v/>
      </c>
      <c r="G981" s="7" t="str">
        <f>IF(B981="","",IFERROR(VLOOKUP(B981, PLANTA_BASE!A:W, 9, FALSE), "GENERAL"))</f>
        <v/>
      </c>
      <c r="H981" s="5" t="str">
        <f>IF(B981="","",IFERROR(VLOOKUP(B981, PLANTA_BASE!A:W, 17, FALSE), "GENERAL"))</f>
        <v/>
      </c>
    </row>
    <row r="982" spans="1:8" ht="20.100000000000001" customHeight="1" x14ac:dyDescent="0.25">
      <c r="A982" s="2" t="str">
        <f>IF(B982="","",IFERROR(VLOOKUP(B982, PLANTA_BASE!A:W, 2, FALSE), "NO ENCONTRADO EN PLANTA"))</f>
        <v/>
      </c>
      <c r="B982" s="3"/>
      <c r="C982" s="4" t="str">
        <f>IF(B982="","",IFERROR(VLOOKUP(B982, PLANTA_BASE!A:W, 3, FALSE), ""))</f>
        <v/>
      </c>
      <c r="D982" s="2" t="str">
        <f>IF(B982="","",IFERROR(VLOOKUP(B982, PLANTA_BASE!A:W, 5, FALSE), "NO ENCONTRADO EN PLANTA"))</f>
        <v/>
      </c>
      <c r="E982" s="2" t="str">
        <f>IF(B982="","",IFERROR(VLOOKUP(B982, PLANTA_BASE!A:W, 6, FALSE), "NO ENCONTRADO EN PLANTA"))</f>
        <v/>
      </c>
      <c r="F982" s="4" t="str">
        <f>IF(B982="","",IFERROR(VLOOKUP(B982, PLANTA_BASE!A:W, 8, FALSE), "DOCENTE / FACILITADOR"))</f>
        <v/>
      </c>
      <c r="G982" s="4" t="str">
        <f>IF(B982="","",IFERROR(VLOOKUP(B982, PLANTA_BASE!A:W, 9, FALSE), "GENERAL"))</f>
        <v/>
      </c>
      <c r="H982" s="2" t="str">
        <f>IF(B982="","",IFERROR(VLOOKUP(B982, PLANTA_BASE!A:W, 17, FALSE), "GENERAL"))</f>
        <v/>
      </c>
    </row>
    <row r="983" spans="1:8" ht="20.100000000000001" customHeight="1" x14ac:dyDescent="0.25">
      <c r="A983" s="5" t="str">
        <f>IF(B983="","",IFERROR(VLOOKUP(B983, PLANTA_BASE!A:W, 2, FALSE), "NO ENCONTRADO EN PLANTA"))</f>
        <v/>
      </c>
      <c r="B983" s="6"/>
      <c r="C983" s="7" t="str">
        <f>IF(B983="","",IFERROR(VLOOKUP(B983, PLANTA_BASE!A:W, 3, FALSE), ""))</f>
        <v/>
      </c>
      <c r="D983" s="5" t="str">
        <f>IF(B983="","",IFERROR(VLOOKUP(B983, PLANTA_BASE!A:W, 5, FALSE), "NO ENCONTRADO EN PLANTA"))</f>
        <v/>
      </c>
      <c r="E983" s="5" t="str">
        <f>IF(B983="","",IFERROR(VLOOKUP(B983, PLANTA_BASE!A:W, 6, FALSE), "NO ENCONTRADO EN PLANTA"))</f>
        <v/>
      </c>
      <c r="F983" s="7" t="str">
        <f>IF(B983="","",IFERROR(VLOOKUP(B983, PLANTA_BASE!A:W, 8, FALSE), "DOCENTE / FACILITADOR"))</f>
        <v/>
      </c>
      <c r="G983" s="7" t="str">
        <f>IF(B983="","",IFERROR(VLOOKUP(B983, PLANTA_BASE!A:W, 9, FALSE), "GENERAL"))</f>
        <v/>
      </c>
      <c r="H983" s="5" t="str">
        <f>IF(B983="","",IFERROR(VLOOKUP(B983, PLANTA_BASE!A:W, 17, FALSE), "GENERAL"))</f>
        <v/>
      </c>
    </row>
    <row r="984" spans="1:8" ht="20.100000000000001" customHeight="1" x14ac:dyDescent="0.25">
      <c r="A984" s="2" t="str">
        <f>IF(B984="","",IFERROR(VLOOKUP(B984, PLANTA_BASE!A:W, 2, FALSE), "NO ENCONTRADO EN PLANTA"))</f>
        <v/>
      </c>
      <c r="B984" s="3"/>
      <c r="C984" s="4" t="str">
        <f>IF(B984="","",IFERROR(VLOOKUP(B984, PLANTA_BASE!A:W, 3, FALSE), ""))</f>
        <v/>
      </c>
      <c r="D984" s="2" t="str">
        <f>IF(B984="","",IFERROR(VLOOKUP(B984, PLANTA_BASE!A:W, 5, FALSE), "NO ENCONTRADO EN PLANTA"))</f>
        <v/>
      </c>
      <c r="E984" s="2" t="str">
        <f>IF(B984="","",IFERROR(VLOOKUP(B984, PLANTA_BASE!A:W, 6, FALSE), "NO ENCONTRADO EN PLANTA"))</f>
        <v/>
      </c>
      <c r="F984" s="4" t="str">
        <f>IF(B984="","",IFERROR(VLOOKUP(B984, PLANTA_BASE!A:W, 8, FALSE), "DOCENTE / FACILITADOR"))</f>
        <v/>
      </c>
      <c r="G984" s="4" t="str">
        <f>IF(B984="","",IFERROR(VLOOKUP(B984, PLANTA_BASE!A:W, 9, FALSE), "GENERAL"))</f>
        <v/>
      </c>
      <c r="H984" s="2" t="str">
        <f>IF(B984="","",IFERROR(VLOOKUP(B984, PLANTA_BASE!A:W, 17, FALSE), "GENERAL"))</f>
        <v/>
      </c>
    </row>
    <row r="985" spans="1:8" ht="20.100000000000001" customHeight="1" x14ac:dyDescent="0.25">
      <c r="A985" s="5" t="str">
        <f>IF(B985="","",IFERROR(VLOOKUP(B985, PLANTA_BASE!A:W, 2, FALSE), "NO ENCONTRADO EN PLANTA"))</f>
        <v/>
      </c>
      <c r="B985" s="6"/>
      <c r="C985" s="7" t="str">
        <f>IF(B985="","",IFERROR(VLOOKUP(B985, PLANTA_BASE!A:W, 3, FALSE), ""))</f>
        <v/>
      </c>
      <c r="D985" s="5" t="str">
        <f>IF(B985="","",IFERROR(VLOOKUP(B985, PLANTA_BASE!A:W, 5, FALSE), "NO ENCONTRADO EN PLANTA"))</f>
        <v/>
      </c>
      <c r="E985" s="5" t="str">
        <f>IF(B985="","",IFERROR(VLOOKUP(B985, PLANTA_BASE!A:W, 6, FALSE), "NO ENCONTRADO EN PLANTA"))</f>
        <v/>
      </c>
      <c r="F985" s="7" t="str">
        <f>IF(B985="","",IFERROR(VLOOKUP(B985, PLANTA_BASE!A:W, 8, FALSE), "DOCENTE / FACILITADOR"))</f>
        <v/>
      </c>
      <c r="G985" s="7" t="str">
        <f>IF(B985="","",IFERROR(VLOOKUP(B985, PLANTA_BASE!A:W, 9, FALSE), "GENERAL"))</f>
        <v/>
      </c>
      <c r="H985" s="5" t="str">
        <f>IF(B985="","",IFERROR(VLOOKUP(B985, PLANTA_BASE!A:W, 17, FALSE), "GENERAL"))</f>
        <v/>
      </c>
    </row>
    <row r="986" spans="1:8" ht="20.100000000000001" customHeight="1" x14ac:dyDescent="0.25">
      <c r="A986" s="2" t="str">
        <f>IF(B986="","",IFERROR(VLOOKUP(B986, PLANTA_BASE!A:W, 2, FALSE), "NO ENCONTRADO EN PLANTA"))</f>
        <v/>
      </c>
      <c r="B986" s="3"/>
      <c r="C986" s="4" t="str">
        <f>IF(B986="","",IFERROR(VLOOKUP(B986, PLANTA_BASE!A:W, 3, FALSE), ""))</f>
        <v/>
      </c>
      <c r="D986" s="2" t="str">
        <f>IF(B986="","",IFERROR(VLOOKUP(B986, PLANTA_BASE!A:W, 5, FALSE), "NO ENCONTRADO EN PLANTA"))</f>
        <v/>
      </c>
      <c r="E986" s="2" t="str">
        <f>IF(B986="","",IFERROR(VLOOKUP(B986, PLANTA_BASE!A:W, 6, FALSE), "NO ENCONTRADO EN PLANTA"))</f>
        <v/>
      </c>
      <c r="F986" s="4" t="str">
        <f>IF(B986="","",IFERROR(VLOOKUP(B986, PLANTA_BASE!A:W, 8, FALSE), "DOCENTE / FACILITADOR"))</f>
        <v/>
      </c>
      <c r="G986" s="4" t="str">
        <f>IF(B986="","",IFERROR(VLOOKUP(B986, PLANTA_BASE!A:W, 9, FALSE), "GENERAL"))</f>
        <v/>
      </c>
      <c r="H986" s="2" t="str">
        <f>IF(B986="","",IFERROR(VLOOKUP(B986, PLANTA_BASE!A:W, 17, FALSE), "GENERAL"))</f>
        <v/>
      </c>
    </row>
    <row r="987" spans="1:8" ht="20.100000000000001" customHeight="1" x14ac:dyDescent="0.25">
      <c r="A987" s="5" t="str">
        <f>IF(B987="","",IFERROR(VLOOKUP(B987, PLANTA_BASE!A:W, 2, FALSE), "NO ENCONTRADO EN PLANTA"))</f>
        <v/>
      </c>
      <c r="B987" s="6"/>
      <c r="C987" s="7" t="str">
        <f>IF(B987="","",IFERROR(VLOOKUP(B987, PLANTA_BASE!A:W, 3, FALSE), ""))</f>
        <v/>
      </c>
      <c r="D987" s="5" t="str">
        <f>IF(B987="","",IFERROR(VLOOKUP(B987, PLANTA_BASE!A:W, 5, FALSE), "NO ENCONTRADO EN PLANTA"))</f>
        <v/>
      </c>
      <c r="E987" s="5" t="str">
        <f>IF(B987="","",IFERROR(VLOOKUP(B987, PLANTA_BASE!A:W, 6, FALSE), "NO ENCONTRADO EN PLANTA"))</f>
        <v/>
      </c>
      <c r="F987" s="7" t="str">
        <f>IF(B987="","",IFERROR(VLOOKUP(B987, PLANTA_BASE!A:W, 8, FALSE), "DOCENTE / FACILITADOR"))</f>
        <v/>
      </c>
      <c r="G987" s="7" t="str">
        <f>IF(B987="","",IFERROR(VLOOKUP(B987, PLANTA_BASE!A:W, 9, FALSE), "GENERAL"))</f>
        <v/>
      </c>
      <c r="H987" s="5" t="str">
        <f>IF(B987="","",IFERROR(VLOOKUP(B987, PLANTA_BASE!A:W, 17, FALSE), "GENERAL"))</f>
        <v/>
      </c>
    </row>
    <row r="988" spans="1:8" ht="20.100000000000001" customHeight="1" x14ac:dyDescent="0.25">
      <c r="A988" s="2" t="str">
        <f>IF(B988="","",IFERROR(VLOOKUP(B988, PLANTA_BASE!A:W, 2, FALSE), "NO ENCONTRADO EN PLANTA"))</f>
        <v/>
      </c>
      <c r="B988" s="3"/>
      <c r="C988" s="4" t="str">
        <f>IF(B988="","",IFERROR(VLOOKUP(B988, PLANTA_BASE!A:W, 3, FALSE), ""))</f>
        <v/>
      </c>
      <c r="D988" s="2" t="str">
        <f>IF(B988="","",IFERROR(VLOOKUP(B988, PLANTA_BASE!A:W, 5, FALSE), "NO ENCONTRADO EN PLANTA"))</f>
        <v/>
      </c>
      <c r="E988" s="2" t="str">
        <f>IF(B988="","",IFERROR(VLOOKUP(B988, PLANTA_BASE!A:W, 6, FALSE), "NO ENCONTRADO EN PLANTA"))</f>
        <v/>
      </c>
      <c r="F988" s="4" t="str">
        <f>IF(B988="","",IFERROR(VLOOKUP(B988, PLANTA_BASE!A:W, 8, FALSE), "DOCENTE / FACILITADOR"))</f>
        <v/>
      </c>
      <c r="G988" s="4" t="str">
        <f>IF(B988="","",IFERROR(VLOOKUP(B988, PLANTA_BASE!A:W, 9, FALSE), "GENERAL"))</f>
        <v/>
      </c>
      <c r="H988" s="2" t="str">
        <f>IF(B988="","",IFERROR(VLOOKUP(B988, PLANTA_BASE!A:W, 17, FALSE), "GENERAL"))</f>
        <v/>
      </c>
    </row>
    <row r="989" spans="1:8" ht="20.100000000000001" customHeight="1" x14ac:dyDescent="0.25">
      <c r="A989" s="5" t="str">
        <f>IF(B989="","",IFERROR(VLOOKUP(B989, PLANTA_BASE!A:W, 2, FALSE), "NO ENCONTRADO EN PLANTA"))</f>
        <v/>
      </c>
      <c r="B989" s="6"/>
      <c r="C989" s="7" t="str">
        <f>IF(B989="","",IFERROR(VLOOKUP(B989, PLANTA_BASE!A:W, 3, FALSE), ""))</f>
        <v/>
      </c>
      <c r="D989" s="5" t="str">
        <f>IF(B989="","",IFERROR(VLOOKUP(B989, PLANTA_BASE!A:W, 5, FALSE), "NO ENCONTRADO EN PLANTA"))</f>
        <v/>
      </c>
      <c r="E989" s="5" t="str">
        <f>IF(B989="","",IFERROR(VLOOKUP(B989, PLANTA_BASE!A:W, 6, FALSE), "NO ENCONTRADO EN PLANTA"))</f>
        <v/>
      </c>
      <c r="F989" s="7" t="str">
        <f>IF(B989="","",IFERROR(VLOOKUP(B989, PLANTA_BASE!A:W, 8, FALSE), "DOCENTE / FACILITADOR"))</f>
        <v/>
      </c>
      <c r="G989" s="7" t="str">
        <f>IF(B989="","",IFERROR(VLOOKUP(B989, PLANTA_BASE!A:W, 9, FALSE), "GENERAL"))</f>
        <v/>
      </c>
      <c r="H989" s="5" t="str">
        <f>IF(B989="","",IFERROR(VLOOKUP(B989, PLANTA_BASE!A:W, 17, FALSE), "GENERAL"))</f>
        <v/>
      </c>
    </row>
    <row r="990" spans="1:8" ht="20.100000000000001" customHeight="1" x14ac:dyDescent="0.25">
      <c r="A990" s="2" t="str">
        <f>IF(B990="","",IFERROR(VLOOKUP(B990, PLANTA_BASE!A:W, 2, FALSE), "NO ENCONTRADO EN PLANTA"))</f>
        <v/>
      </c>
      <c r="B990" s="3"/>
      <c r="C990" s="4" t="str">
        <f>IF(B990="","",IFERROR(VLOOKUP(B990, PLANTA_BASE!A:W, 3, FALSE), ""))</f>
        <v/>
      </c>
      <c r="D990" s="2" t="str">
        <f>IF(B990="","",IFERROR(VLOOKUP(B990, PLANTA_BASE!A:W, 5, FALSE), "NO ENCONTRADO EN PLANTA"))</f>
        <v/>
      </c>
      <c r="E990" s="2" t="str">
        <f>IF(B990="","",IFERROR(VLOOKUP(B990, PLANTA_BASE!A:W, 6, FALSE), "NO ENCONTRADO EN PLANTA"))</f>
        <v/>
      </c>
      <c r="F990" s="4" t="str">
        <f>IF(B990="","",IFERROR(VLOOKUP(B990, PLANTA_BASE!A:W, 8, FALSE), "DOCENTE / FACILITADOR"))</f>
        <v/>
      </c>
      <c r="G990" s="4" t="str">
        <f>IF(B990="","",IFERROR(VLOOKUP(B990, PLANTA_BASE!A:W, 9, FALSE), "GENERAL"))</f>
        <v/>
      </c>
      <c r="H990" s="2" t="str">
        <f>IF(B990="","",IFERROR(VLOOKUP(B990, PLANTA_BASE!A:W, 17, FALSE), "GENERAL"))</f>
        <v/>
      </c>
    </row>
    <row r="991" spans="1:8" ht="20.100000000000001" customHeight="1" x14ac:dyDescent="0.25">
      <c r="A991" s="5" t="str">
        <f>IF(B991="","",IFERROR(VLOOKUP(B991, PLANTA_BASE!A:W, 2, FALSE), "NO ENCONTRADO EN PLANTA"))</f>
        <v/>
      </c>
      <c r="B991" s="6"/>
      <c r="C991" s="7" t="str">
        <f>IF(B991="","",IFERROR(VLOOKUP(B991, PLANTA_BASE!A:W, 3, FALSE), ""))</f>
        <v/>
      </c>
      <c r="D991" s="5" t="str">
        <f>IF(B991="","",IFERROR(VLOOKUP(B991, PLANTA_BASE!A:W, 5, FALSE), "NO ENCONTRADO EN PLANTA"))</f>
        <v/>
      </c>
      <c r="E991" s="5" t="str">
        <f>IF(B991="","",IFERROR(VLOOKUP(B991, PLANTA_BASE!A:W, 6, FALSE), "NO ENCONTRADO EN PLANTA"))</f>
        <v/>
      </c>
      <c r="F991" s="7" t="str">
        <f>IF(B991="","",IFERROR(VLOOKUP(B991, PLANTA_BASE!A:W, 8, FALSE), "DOCENTE / FACILITADOR"))</f>
        <v/>
      </c>
      <c r="G991" s="7" t="str">
        <f>IF(B991="","",IFERROR(VLOOKUP(B991, PLANTA_BASE!A:W, 9, FALSE), "GENERAL"))</f>
        <v/>
      </c>
      <c r="H991" s="5" t="str">
        <f>IF(B991="","",IFERROR(VLOOKUP(B991, PLANTA_BASE!A:W, 17, FALSE), "GENERAL"))</f>
        <v/>
      </c>
    </row>
    <row r="992" spans="1:8" ht="20.100000000000001" customHeight="1" x14ac:dyDescent="0.25">
      <c r="A992" s="2" t="str">
        <f>IF(B992="","",IFERROR(VLOOKUP(B992, PLANTA_BASE!A:W, 2, FALSE), "NO ENCONTRADO EN PLANTA"))</f>
        <v/>
      </c>
      <c r="B992" s="3"/>
      <c r="C992" s="4" t="str">
        <f>IF(B992="","",IFERROR(VLOOKUP(B992, PLANTA_BASE!A:W, 3, FALSE), ""))</f>
        <v/>
      </c>
      <c r="D992" s="2" t="str">
        <f>IF(B992="","",IFERROR(VLOOKUP(B992, PLANTA_BASE!A:W, 5, FALSE), "NO ENCONTRADO EN PLANTA"))</f>
        <v/>
      </c>
      <c r="E992" s="2" t="str">
        <f>IF(B992="","",IFERROR(VLOOKUP(B992, PLANTA_BASE!A:W, 6, FALSE), "NO ENCONTRADO EN PLANTA"))</f>
        <v/>
      </c>
      <c r="F992" s="4" t="str">
        <f>IF(B992="","",IFERROR(VLOOKUP(B992, PLANTA_BASE!A:W, 8, FALSE), "DOCENTE / FACILITADOR"))</f>
        <v/>
      </c>
      <c r="G992" s="4" t="str">
        <f>IF(B992="","",IFERROR(VLOOKUP(B992, PLANTA_BASE!A:W, 9, FALSE), "GENERAL"))</f>
        <v/>
      </c>
      <c r="H992" s="2" t="str">
        <f>IF(B992="","",IFERROR(VLOOKUP(B992, PLANTA_BASE!A:W, 17, FALSE), "GENERAL"))</f>
        <v/>
      </c>
    </row>
    <row r="993" spans="1:8" ht="20.100000000000001" customHeight="1" x14ac:dyDescent="0.25">
      <c r="A993" s="5" t="str">
        <f>IF(B993="","",IFERROR(VLOOKUP(B993, PLANTA_BASE!A:W, 2, FALSE), "NO ENCONTRADO EN PLANTA"))</f>
        <v/>
      </c>
      <c r="B993" s="6"/>
      <c r="C993" s="7" t="str">
        <f>IF(B993="","",IFERROR(VLOOKUP(B993, PLANTA_BASE!A:W, 3, FALSE), ""))</f>
        <v/>
      </c>
      <c r="D993" s="5" t="str">
        <f>IF(B993="","",IFERROR(VLOOKUP(B993, PLANTA_BASE!A:W, 5, FALSE), "NO ENCONTRADO EN PLANTA"))</f>
        <v/>
      </c>
      <c r="E993" s="5" t="str">
        <f>IF(B993="","",IFERROR(VLOOKUP(B993, PLANTA_BASE!A:W, 6, FALSE), "NO ENCONTRADO EN PLANTA"))</f>
        <v/>
      </c>
      <c r="F993" s="7" t="str">
        <f>IF(B993="","",IFERROR(VLOOKUP(B993, PLANTA_BASE!A:W, 8, FALSE), "DOCENTE / FACILITADOR"))</f>
        <v/>
      </c>
      <c r="G993" s="7" t="str">
        <f>IF(B993="","",IFERROR(VLOOKUP(B993, PLANTA_BASE!A:W, 9, FALSE), "GENERAL"))</f>
        <v/>
      </c>
      <c r="H993" s="5" t="str">
        <f>IF(B993="","",IFERROR(VLOOKUP(B993, PLANTA_BASE!A:W, 17, FALSE), "GENERAL"))</f>
        <v/>
      </c>
    </row>
    <row r="994" spans="1:8" ht="20.100000000000001" customHeight="1" x14ac:dyDescent="0.25">
      <c r="A994" s="2" t="str">
        <f>IF(B994="","",IFERROR(VLOOKUP(B994, PLANTA_BASE!A:W, 2, FALSE), "NO ENCONTRADO EN PLANTA"))</f>
        <v/>
      </c>
      <c r="B994" s="3"/>
      <c r="C994" s="4" t="str">
        <f>IF(B994="","",IFERROR(VLOOKUP(B994, PLANTA_BASE!A:W, 3, FALSE), ""))</f>
        <v/>
      </c>
      <c r="D994" s="2" t="str">
        <f>IF(B994="","",IFERROR(VLOOKUP(B994, PLANTA_BASE!A:W, 5, FALSE), "NO ENCONTRADO EN PLANTA"))</f>
        <v/>
      </c>
      <c r="E994" s="2" t="str">
        <f>IF(B994="","",IFERROR(VLOOKUP(B994, PLANTA_BASE!A:W, 6, FALSE), "NO ENCONTRADO EN PLANTA"))</f>
        <v/>
      </c>
      <c r="F994" s="4" t="str">
        <f>IF(B994="","",IFERROR(VLOOKUP(B994, PLANTA_BASE!A:W, 8, FALSE), "DOCENTE / FACILITADOR"))</f>
        <v/>
      </c>
      <c r="G994" s="4" t="str">
        <f>IF(B994="","",IFERROR(VLOOKUP(B994, PLANTA_BASE!A:W, 9, FALSE), "GENERAL"))</f>
        <v/>
      </c>
      <c r="H994" s="2" t="str">
        <f>IF(B994="","",IFERROR(VLOOKUP(B994, PLANTA_BASE!A:W, 17, FALSE), "GENERAL"))</f>
        <v/>
      </c>
    </row>
    <row r="995" spans="1:8" ht="20.100000000000001" customHeight="1" x14ac:dyDescent="0.25">
      <c r="A995" s="5" t="str">
        <f>IF(B995="","",IFERROR(VLOOKUP(B995, PLANTA_BASE!A:W, 2, FALSE), "NO ENCONTRADO EN PLANTA"))</f>
        <v/>
      </c>
      <c r="B995" s="6"/>
      <c r="C995" s="7" t="str">
        <f>IF(B995="","",IFERROR(VLOOKUP(B995, PLANTA_BASE!A:W, 3, FALSE), ""))</f>
        <v/>
      </c>
      <c r="D995" s="5" t="str">
        <f>IF(B995="","",IFERROR(VLOOKUP(B995, PLANTA_BASE!A:W, 5, FALSE), "NO ENCONTRADO EN PLANTA"))</f>
        <v/>
      </c>
      <c r="E995" s="5" t="str">
        <f>IF(B995="","",IFERROR(VLOOKUP(B995, PLANTA_BASE!A:W, 6, FALSE), "NO ENCONTRADO EN PLANTA"))</f>
        <v/>
      </c>
      <c r="F995" s="7" t="str">
        <f>IF(B995="","",IFERROR(VLOOKUP(B995, PLANTA_BASE!A:W, 8, FALSE), "DOCENTE / FACILITADOR"))</f>
        <v/>
      </c>
      <c r="G995" s="7" t="str">
        <f>IF(B995="","",IFERROR(VLOOKUP(B995, PLANTA_BASE!A:W, 9, FALSE), "GENERAL"))</f>
        <v/>
      </c>
      <c r="H995" s="5" t="str">
        <f>IF(B995="","",IFERROR(VLOOKUP(B995, PLANTA_BASE!A:W, 17, FALSE), "GENERAL"))</f>
        <v/>
      </c>
    </row>
    <row r="996" spans="1:8" ht="20.100000000000001" customHeight="1" x14ac:dyDescent="0.25">
      <c r="A996" s="2" t="str">
        <f>IF(B996="","",IFERROR(VLOOKUP(B996, PLANTA_BASE!A:W, 2, FALSE), "NO ENCONTRADO EN PLANTA"))</f>
        <v/>
      </c>
      <c r="B996" s="3"/>
      <c r="C996" s="4" t="str">
        <f>IF(B996="","",IFERROR(VLOOKUP(B996, PLANTA_BASE!A:W, 3, FALSE), ""))</f>
        <v/>
      </c>
      <c r="D996" s="2" t="str">
        <f>IF(B996="","",IFERROR(VLOOKUP(B996, PLANTA_BASE!A:W, 5, FALSE), "NO ENCONTRADO EN PLANTA"))</f>
        <v/>
      </c>
      <c r="E996" s="2" t="str">
        <f>IF(B996="","",IFERROR(VLOOKUP(B996, PLANTA_BASE!A:W, 6, FALSE), "NO ENCONTRADO EN PLANTA"))</f>
        <v/>
      </c>
      <c r="F996" s="4" t="str">
        <f>IF(B996="","",IFERROR(VLOOKUP(B996, PLANTA_BASE!A:W, 8, FALSE), "DOCENTE / FACILITADOR"))</f>
        <v/>
      </c>
      <c r="G996" s="4" t="str">
        <f>IF(B996="","",IFERROR(VLOOKUP(B996, PLANTA_BASE!A:W, 9, FALSE), "GENERAL"))</f>
        <v/>
      </c>
      <c r="H996" s="2" t="str">
        <f>IF(B996="","",IFERROR(VLOOKUP(B996, PLANTA_BASE!A:W, 17, FALSE), "GENERAL"))</f>
        <v/>
      </c>
    </row>
    <row r="997" spans="1:8" ht="20.100000000000001" customHeight="1" x14ac:dyDescent="0.25">
      <c r="A997" s="5" t="str">
        <f>IF(B997="","",IFERROR(VLOOKUP(B997, PLANTA_BASE!A:W, 2, FALSE), "NO ENCONTRADO EN PLANTA"))</f>
        <v/>
      </c>
      <c r="B997" s="6"/>
      <c r="C997" s="7" t="str">
        <f>IF(B997="","",IFERROR(VLOOKUP(B997, PLANTA_BASE!A:W, 3, FALSE), ""))</f>
        <v/>
      </c>
      <c r="D997" s="5" t="str">
        <f>IF(B997="","",IFERROR(VLOOKUP(B997, PLANTA_BASE!A:W, 5, FALSE), "NO ENCONTRADO EN PLANTA"))</f>
        <v/>
      </c>
      <c r="E997" s="5" t="str">
        <f>IF(B997="","",IFERROR(VLOOKUP(B997, PLANTA_BASE!A:W, 6, FALSE), "NO ENCONTRADO EN PLANTA"))</f>
        <v/>
      </c>
      <c r="F997" s="7" t="str">
        <f>IF(B997="","",IFERROR(VLOOKUP(B997, PLANTA_BASE!A:W, 8, FALSE), "DOCENTE / FACILITADOR"))</f>
        <v/>
      </c>
      <c r="G997" s="7" t="str">
        <f>IF(B997="","",IFERROR(VLOOKUP(B997, PLANTA_BASE!A:W, 9, FALSE), "GENERAL"))</f>
        <v/>
      </c>
      <c r="H997" s="5" t="str">
        <f>IF(B997="","",IFERROR(VLOOKUP(B997, PLANTA_BASE!A:W, 17, FALSE), "GENERAL"))</f>
        <v/>
      </c>
    </row>
    <row r="998" spans="1:8" ht="20.100000000000001" customHeight="1" x14ac:dyDescent="0.25">
      <c r="A998" s="2" t="str">
        <f>IF(B998="","",IFERROR(VLOOKUP(B998, PLANTA_BASE!A:W, 2, FALSE), "NO ENCONTRADO EN PLANTA"))</f>
        <v/>
      </c>
      <c r="B998" s="3"/>
      <c r="C998" s="4" t="str">
        <f>IF(B998="","",IFERROR(VLOOKUP(B998, PLANTA_BASE!A:W, 3, FALSE), ""))</f>
        <v/>
      </c>
      <c r="D998" s="2" t="str">
        <f>IF(B998="","",IFERROR(VLOOKUP(B998, PLANTA_BASE!A:W, 5, FALSE), "NO ENCONTRADO EN PLANTA"))</f>
        <v/>
      </c>
      <c r="E998" s="2" t="str">
        <f>IF(B998="","",IFERROR(VLOOKUP(B998, PLANTA_BASE!A:W, 6, FALSE), "NO ENCONTRADO EN PLANTA"))</f>
        <v/>
      </c>
      <c r="F998" s="4" t="str">
        <f>IF(B998="","",IFERROR(VLOOKUP(B998, PLANTA_BASE!A:W, 8, FALSE), "DOCENTE / FACILITADOR"))</f>
        <v/>
      </c>
      <c r="G998" s="4" t="str">
        <f>IF(B998="","",IFERROR(VLOOKUP(B998, PLANTA_BASE!A:W, 9, FALSE), "GENERAL"))</f>
        <v/>
      </c>
      <c r="H998" s="2" t="str">
        <f>IF(B998="","",IFERROR(VLOOKUP(B998, PLANTA_BASE!A:W, 17, FALSE), "GENERAL"))</f>
        <v/>
      </c>
    </row>
    <row r="999" spans="1:8" ht="20.100000000000001" customHeight="1" x14ac:dyDescent="0.25">
      <c r="A999" s="5" t="str">
        <f>IF(B999="","",IFERROR(VLOOKUP(B999, PLANTA_BASE!A:W, 2, FALSE), "NO ENCONTRADO EN PLANTA"))</f>
        <v/>
      </c>
      <c r="B999" s="6"/>
      <c r="C999" s="7" t="str">
        <f>IF(B999="","",IFERROR(VLOOKUP(B999, PLANTA_BASE!A:W, 3, FALSE), ""))</f>
        <v/>
      </c>
      <c r="D999" s="5" t="str">
        <f>IF(B999="","",IFERROR(VLOOKUP(B999, PLANTA_BASE!A:W, 5, FALSE), "NO ENCONTRADO EN PLANTA"))</f>
        <v/>
      </c>
      <c r="E999" s="5" t="str">
        <f>IF(B999="","",IFERROR(VLOOKUP(B999, PLANTA_BASE!A:W, 6, FALSE), "NO ENCONTRADO EN PLANTA"))</f>
        <v/>
      </c>
      <c r="F999" s="7" t="str">
        <f>IF(B999="","",IFERROR(VLOOKUP(B999, PLANTA_BASE!A:W, 8, FALSE), "DOCENTE / FACILITADOR"))</f>
        <v/>
      </c>
      <c r="G999" s="7" t="str">
        <f>IF(B999="","",IFERROR(VLOOKUP(B999, PLANTA_BASE!A:W, 9, FALSE), "GENERAL"))</f>
        <v/>
      </c>
      <c r="H999" s="5" t="str">
        <f>IF(B999="","",IFERROR(VLOOKUP(B999, PLANTA_BASE!A:W, 17, FALSE), "GENERAL"))</f>
        <v/>
      </c>
    </row>
    <row r="1000" spans="1:8" ht="20.100000000000001" customHeight="1" x14ac:dyDescent="0.25">
      <c r="A1000" s="2" t="str">
        <f>IF(B1000="","",IFERROR(VLOOKUP(B1000, PLANTA_BASE!A:W, 2, FALSE), "NO ENCONTRADO EN PLANTA"))</f>
        <v/>
      </c>
      <c r="B1000" s="3"/>
      <c r="C1000" s="4" t="str">
        <f>IF(B1000="","",IFERROR(VLOOKUP(B1000, PLANTA_BASE!A:W, 3, FALSE), ""))</f>
        <v/>
      </c>
      <c r="D1000" s="2" t="str">
        <f>IF(B1000="","",IFERROR(VLOOKUP(B1000, PLANTA_BASE!A:W, 5, FALSE), "NO ENCONTRADO EN PLANTA"))</f>
        <v/>
      </c>
      <c r="E1000" s="2" t="str">
        <f>IF(B1000="","",IFERROR(VLOOKUP(B1000, PLANTA_BASE!A:W, 6, FALSE), "NO ENCONTRADO EN PLANTA"))</f>
        <v/>
      </c>
      <c r="F1000" s="4" t="str">
        <f>IF(B1000="","",IFERROR(VLOOKUP(B1000, PLANTA_BASE!A:W, 8, FALSE), "DOCENTE / FACILITADOR"))</f>
        <v/>
      </c>
      <c r="G1000" s="4" t="str">
        <f>IF(B1000="","",IFERROR(VLOOKUP(B1000, PLANTA_BASE!A:W, 9, FALSE), "GENERAL"))</f>
        <v/>
      </c>
      <c r="H1000" s="2" t="str">
        <f>IF(B1000="","",IFERROR(VLOOKUP(B1000, PLANTA_BASE!A:W, 17, FALSE), "GENERAL"))</f>
        <v/>
      </c>
    </row>
    <row r="1001" spans="1:8" ht="20.100000000000001" customHeight="1" x14ac:dyDescent="0.25">
      <c r="A1001" s="5" t="str">
        <f>IF(B1001="","",IFERROR(VLOOKUP(B1001, PLANTA_BASE!A:W, 2, FALSE), "NO ENCONTRADO EN PLANTA"))</f>
        <v/>
      </c>
      <c r="B1001" s="6"/>
      <c r="C1001" s="7" t="str">
        <f>IF(B1001="","",IFERROR(VLOOKUP(B1001, PLANTA_BASE!A:W, 3, FALSE), ""))</f>
        <v/>
      </c>
      <c r="D1001" s="5" t="str">
        <f>IF(B1001="","",IFERROR(VLOOKUP(B1001, PLANTA_BASE!A:W, 5, FALSE), "NO ENCONTRADO EN PLANTA"))</f>
        <v/>
      </c>
      <c r="E1001" s="5" t="str">
        <f>IF(B1001="","",IFERROR(VLOOKUP(B1001, PLANTA_BASE!A:W, 6, FALSE), "NO ENCONTRADO EN PLANTA"))</f>
        <v/>
      </c>
      <c r="F1001" s="7" t="str">
        <f>IF(B1001="","",IFERROR(VLOOKUP(B1001, PLANTA_BASE!A:W, 8, FALSE), "DOCENTE / FACILITADOR"))</f>
        <v/>
      </c>
      <c r="G1001" s="7" t="str">
        <f>IF(B1001="","",IFERROR(VLOOKUP(B1001, PLANTA_BASE!A:W, 9, FALSE), "GENERAL"))</f>
        <v/>
      </c>
      <c r="H1001" s="5" t="str">
        <f>IF(B1001="","",IFERROR(VLOOKUP(B1001, PLANTA_BASE!A:W, 17, FALSE), "GENERAL"))</f>
        <v/>
      </c>
    </row>
    <row r="1002" spans="1:8" ht="20.100000000000001" customHeight="1" x14ac:dyDescent="0.25">
      <c r="A1002" s="2" t="str">
        <f>IF(B1002="","",IFERROR(VLOOKUP(B1002, PLANTA_BASE!A:W, 2, FALSE), "NO ENCONTRADO EN PLANTA"))</f>
        <v/>
      </c>
      <c r="B1002" s="3"/>
      <c r="C1002" s="4" t="str">
        <f>IF(B1002="","",IFERROR(VLOOKUP(B1002, PLANTA_BASE!A:W, 3, FALSE), ""))</f>
        <v/>
      </c>
      <c r="D1002" s="2" t="str">
        <f>IF(B1002="","",IFERROR(VLOOKUP(B1002, PLANTA_BASE!A:W, 5, FALSE), "NO ENCONTRADO EN PLANTA"))</f>
        <v/>
      </c>
      <c r="E1002" s="2" t="str">
        <f>IF(B1002="","",IFERROR(VLOOKUP(B1002, PLANTA_BASE!A:W, 6, FALSE), "NO ENCONTRADO EN PLANTA"))</f>
        <v/>
      </c>
      <c r="F1002" s="4" t="str">
        <f>IF(B1002="","",IFERROR(VLOOKUP(B1002, PLANTA_BASE!A:W, 8, FALSE), "DOCENTE / FACILITADOR"))</f>
        <v/>
      </c>
      <c r="G1002" s="4" t="str">
        <f>IF(B1002="","",IFERROR(VLOOKUP(B1002, PLANTA_BASE!A:W, 9, FALSE), "GENERAL"))</f>
        <v/>
      </c>
      <c r="H1002" s="2" t="str">
        <f>IF(B1002="","",IFERROR(VLOOKUP(B1002, PLANTA_BASE!A:W, 17, FALSE), "GENERAL"))</f>
        <v/>
      </c>
    </row>
    <row r="1003" spans="1:8" ht="20.100000000000001" customHeight="1" x14ac:dyDescent="0.25">
      <c r="A1003" s="5" t="str">
        <f>IF(B1003="","",IFERROR(VLOOKUP(B1003, PLANTA_BASE!A:W, 2, FALSE), "NO ENCONTRADO EN PLANTA"))</f>
        <v/>
      </c>
      <c r="B1003" s="6"/>
      <c r="C1003" s="7" t="str">
        <f>IF(B1003="","",IFERROR(VLOOKUP(B1003, PLANTA_BASE!A:W, 3, FALSE), ""))</f>
        <v/>
      </c>
      <c r="D1003" s="5" t="str">
        <f>IF(B1003="","",IFERROR(VLOOKUP(B1003, PLANTA_BASE!A:W, 5, FALSE), "NO ENCONTRADO EN PLANTA"))</f>
        <v/>
      </c>
      <c r="E1003" s="5" t="str">
        <f>IF(B1003="","",IFERROR(VLOOKUP(B1003, PLANTA_BASE!A:W, 6, FALSE), "NO ENCONTRADO EN PLANTA"))</f>
        <v/>
      </c>
      <c r="F1003" s="7" t="str">
        <f>IF(B1003="","",IFERROR(VLOOKUP(B1003, PLANTA_BASE!A:W, 8, FALSE), "DOCENTE / FACILITADOR"))</f>
        <v/>
      </c>
      <c r="G1003" s="7" t="str">
        <f>IF(B1003="","",IFERROR(VLOOKUP(B1003, PLANTA_BASE!A:W, 9, FALSE), "GENERAL"))</f>
        <v/>
      </c>
      <c r="H1003" s="5" t="str">
        <f>IF(B1003="","",IFERROR(VLOOKUP(B1003, PLANTA_BASE!A:W, 17, FALSE), "GENERAL"))</f>
        <v/>
      </c>
    </row>
    <row r="1004" spans="1:8" ht="20.100000000000001" customHeight="1" x14ac:dyDescent="0.25">
      <c r="A1004" s="2" t="str">
        <f>IF(B1004="","",IFERROR(VLOOKUP(B1004, PLANTA_BASE!A:W, 2, FALSE), "NO ENCONTRADO EN PLANTA"))</f>
        <v/>
      </c>
      <c r="B1004" s="3"/>
      <c r="C1004" s="4" t="str">
        <f>IF(B1004="","",IFERROR(VLOOKUP(B1004, PLANTA_BASE!A:W, 3, FALSE), ""))</f>
        <v/>
      </c>
      <c r="D1004" s="2" t="str">
        <f>IF(B1004="","",IFERROR(VLOOKUP(B1004, PLANTA_BASE!A:W, 5, FALSE), "NO ENCONTRADO EN PLANTA"))</f>
        <v/>
      </c>
      <c r="E1004" s="2" t="str">
        <f>IF(B1004="","",IFERROR(VLOOKUP(B1004, PLANTA_BASE!A:W, 6, FALSE), "NO ENCONTRADO EN PLANTA"))</f>
        <v/>
      </c>
      <c r="F1004" s="4" t="str">
        <f>IF(B1004="","",IFERROR(VLOOKUP(B1004, PLANTA_BASE!A:W, 8, FALSE), "DOCENTE / FACILITADOR"))</f>
        <v/>
      </c>
      <c r="G1004" s="4" t="str">
        <f>IF(B1004="","",IFERROR(VLOOKUP(B1004, PLANTA_BASE!A:W, 9, FALSE), "GENERAL"))</f>
        <v/>
      </c>
      <c r="H1004" s="2" t="str">
        <f>IF(B1004="","",IFERROR(VLOOKUP(B1004, PLANTA_BASE!A:W, 17, FALSE), "GENERAL"))</f>
        <v/>
      </c>
    </row>
    <row r="1005" spans="1:8" ht="20.100000000000001" customHeight="1" x14ac:dyDescent="0.25">
      <c r="A1005" s="5" t="str">
        <f>IF(B1005="","",IFERROR(VLOOKUP(B1005, PLANTA_BASE!A:W, 2, FALSE), "NO ENCONTRADO EN PLANTA"))</f>
        <v/>
      </c>
      <c r="B1005" s="6"/>
      <c r="C1005" s="7" t="str">
        <f>IF(B1005="","",IFERROR(VLOOKUP(B1005, PLANTA_BASE!A:W, 3, FALSE), ""))</f>
        <v/>
      </c>
      <c r="D1005" s="5" t="str">
        <f>IF(B1005="","",IFERROR(VLOOKUP(B1005, PLANTA_BASE!A:W, 5, FALSE), "NO ENCONTRADO EN PLANTA"))</f>
        <v/>
      </c>
      <c r="E1005" s="5" t="str">
        <f>IF(B1005="","",IFERROR(VLOOKUP(B1005, PLANTA_BASE!A:W, 6, FALSE), "NO ENCONTRADO EN PLANTA"))</f>
        <v/>
      </c>
      <c r="F1005" s="7" t="str">
        <f>IF(B1005="","",IFERROR(VLOOKUP(B1005, PLANTA_BASE!A:W, 8, FALSE), "DOCENTE / FACILITADOR"))</f>
        <v/>
      </c>
      <c r="G1005" s="7" t="str">
        <f>IF(B1005="","",IFERROR(VLOOKUP(B1005, PLANTA_BASE!A:W, 9, FALSE), "GENERAL"))</f>
        <v/>
      </c>
      <c r="H1005" s="5" t="str">
        <f>IF(B1005="","",IFERROR(VLOOKUP(B1005, PLANTA_BASE!A:W, 17, FALSE), "GENERAL"))</f>
        <v/>
      </c>
    </row>
    <row r="1006" spans="1:8" ht="20.100000000000001" customHeight="1" x14ac:dyDescent="0.25">
      <c r="A1006" s="2" t="str">
        <f>IF(B1006="","",IFERROR(VLOOKUP(B1006, PLANTA_BASE!A:W, 2, FALSE), "NO ENCONTRADO EN PLANTA"))</f>
        <v/>
      </c>
      <c r="B1006" s="3"/>
      <c r="C1006" s="4" t="str">
        <f>IF(B1006="","",IFERROR(VLOOKUP(B1006, PLANTA_BASE!A:W, 3, FALSE), ""))</f>
        <v/>
      </c>
      <c r="D1006" s="2" t="str">
        <f>IF(B1006="","",IFERROR(VLOOKUP(B1006, PLANTA_BASE!A:W, 5, FALSE), "NO ENCONTRADO EN PLANTA"))</f>
        <v/>
      </c>
      <c r="E1006" s="2" t="str">
        <f>IF(B1006="","",IFERROR(VLOOKUP(B1006, PLANTA_BASE!A:W, 6, FALSE), "NO ENCONTRADO EN PLANTA"))</f>
        <v/>
      </c>
      <c r="F1006" s="4" t="str">
        <f>IF(B1006="","",IFERROR(VLOOKUP(B1006, PLANTA_BASE!A:W, 8, FALSE), "DOCENTE / FACILITADOR"))</f>
        <v/>
      </c>
      <c r="G1006" s="4" t="str">
        <f>IF(B1006="","",IFERROR(VLOOKUP(B1006, PLANTA_BASE!A:W, 9, FALSE), "GENERAL"))</f>
        <v/>
      </c>
      <c r="H1006" s="2" t="str">
        <f>IF(B1006="","",IFERROR(VLOOKUP(B1006, PLANTA_BASE!A:W, 17, FALSE), "GENERAL"))</f>
        <v/>
      </c>
    </row>
    <row r="1007" spans="1:8" ht="20.100000000000001" customHeight="1" x14ac:dyDescent="0.25">
      <c r="A1007" s="5" t="str">
        <f>IF(B1007="","",IFERROR(VLOOKUP(B1007, PLANTA_BASE!A:W, 2, FALSE), "NO ENCONTRADO EN PLANTA"))</f>
        <v/>
      </c>
      <c r="B1007" s="6"/>
      <c r="C1007" s="7" t="str">
        <f>IF(B1007="","",IFERROR(VLOOKUP(B1007, PLANTA_BASE!A:W, 3, FALSE), ""))</f>
        <v/>
      </c>
      <c r="D1007" s="5" t="str">
        <f>IF(B1007="","",IFERROR(VLOOKUP(B1007, PLANTA_BASE!A:W, 5, FALSE), "NO ENCONTRADO EN PLANTA"))</f>
        <v/>
      </c>
      <c r="E1007" s="5" t="str">
        <f>IF(B1007="","",IFERROR(VLOOKUP(B1007, PLANTA_BASE!A:W, 6, FALSE), "NO ENCONTRADO EN PLANTA"))</f>
        <v/>
      </c>
      <c r="F1007" s="7" t="str">
        <f>IF(B1007="","",IFERROR(VLOOKUP(B1007, PLANTA_BASE!A:W, 8, FALSE), "DOCENTE / FACILITADOR"))</f>
        <v/>
      </c>
      <c r="G1007" s="7" t="str">
        <f>IF(B1007="","",IFERROR(VLOOKUP(B1007, PLANTA_BASE!A:W, 9, FALSE), "GENERAL"))</f>
        <v/>
      </c>
      <c r="H1007" s="5" t="str">
        <f>IF(B1007="","",IFERROR(VLOOKUP(B1007, PLANTA_BASE!A:W, 17, FALSE), "GENERAL"))</f>
        <v/>
      </c>
    </row>
    <row r="1008" spans="1:8" ht="20.100000000000001" customHeight="1" x14ac:dyDescent="0.25">
      <c r="A1008" s="2" t="str">
        <f>IF(B1008="","",IFERROR(VLOOKUP(B1008, PLANTA_BASE!A:W, 2, FALSE), "NO ENCONTRADO EN PLANTA"))</f>
        <v/>
      </c>
      <c r="B1008" s="3"/>
      <c r="C1008" s="4" t="str">
        <f>IF(B1008="","",IFERROR(VLOOKUP(B1008, PLANTA_BASE!A:W, 3, FALSE), ""))</f>
        <v/>
      </c>
      <c r="D1008" s="2" t="str">
        <f>IF(B1008="","",IFERROR(VLOOKUP(B1008, PLANTA_BASE!A:W, 5, FALSE), "NO ENCONTRADO EN PLANTA"))</f>
        <v/>
      </c>
      <c r="E1008" s="2" t="str">
        <f>IF(B1008="","",IFERROR(VLOOKUP(B1008, PLANTA_BASE!A:W, 6, FALSE), "NO ENCONTRADO EN PLANTA"))</f>
        <v/>
      </c>
      <c r="F1008" s="4" t="str">
        <f>IF(B1008="","",IFERROR(VLOOKUP(B1008, PLANTA_BASE!A:W, 8, FALSE), "DOCENTE / FACILITADOR"))</f>
        <v/>
      </c>
      <c r="G1008" s="4" t="str">
        <f>IF(B1008="","",IFERROR(VLOOKUP(B1008, PLANTA_BASE!A:W, 9, FALSE), "GENERAL"))</f>
        <v/>
      </c>
      <c r="H1008" s="2" t="str">
        <f>IF(B1008="","",IFERROR(VLOOKUP(B1008, PLANTA_BASE!A:W, 17, FALSE), "GENERAL"))</f>
        <v/>
      </c>
    </row>
    <row r="1009" spans="1:8" ht="20.100000000000001" customHeight="1" x14ac:dyDescent="0.25">
      <c r="A1009" s="5" t="str">
        <f>IF(B1009="","",IFERROR(VLOOKUP(B1009, PLANTA_BASE!A:W, 2, FALSE), "NO ENCONTRADO EN PLANTA"))</f>
        <v/>
      </c>
      <c r="B1009" s="6"/>
      <c r="C1009" s="7" t="str">
        <f>IF(B1009="","",IFERROR(VLOOKUP(B1009, PLANTA_BASE!A:W, 3, FALSE), ""))</f>
        <v/>
      </c>
      <c r="D1009" s="5" t="str">
        <f>IF(B1009="","",IFERROR(VLOOKUP(B1009, PLANTA_BASE!A:W, 5, FALSE), "NO ENCONTRADO EN PLANTA"))</f>
        <v/>
      </c>
      <c r="E1009" s="5" t="str">
        <f>IF(B1009="","",IFERROR(VLOOKUP(B1009, PLANTA_BASE!A:W, 6, FALSE), "NO ENCONTRADO EN PLANTA"))</f>
        <v/>
      </c>
      <c r="F1009" s="7" t="str">
        <f>IF(B1009="","",IFERROR(VLOOKUP(B1009, PLANTA_BASE!A:W, 8, FALSE), "DOCENTE / FACILITADOR"))</f>
        <v/>
      </c>
      <c r="G1009" s="7" t="str">
        <f>IF(B1009="","",IFERROR(VLOOKUP(B1009, PLANTA_BASE!A:W, 9, FALSE), "GENERAL"))</f>
        <v/>
      </c>
      <c r="H1009" s="5" t="str">
        <f>IF(B1009="","",IFERROR(VLOOKUP(B1009, PLANTA_BASE!A:W, 17, FALSE), "GENERAL"))</f>
        <v/>
      </c>
    </row>
    <row r="1010" spans="1:8" ht="20.100000000000001" customHeight="1" x14ac:dyDescent="0.25">
      <c r="A1010" s="2" t="str">
        <f>IF(B1010="","",IFERROR(VLOOKUP(B1010, PLANTA_BASE!A:W, 2, FALSE), "NO ENCONTRADO EN PLANTA"))</f>
        <v/>
      </c>
      <c r="B1010" s="3"/>
      <c r="C1010" s="4" t="str">
        <f>IF(B1010="","",IFERROR(VLOOKUP(B1010, PLANTA_BASE!A:W, 3, FALSE), ""))</f>
        <v/>
      </c>
      <c r="D1010" s="2" t="str">
        <f>IF(B1010="","",IFERROR(VLOOKUP(B1010, PLANTA_BASE!A:W, 5, FALSE), "NO ENCONTRADO EN PLANTA"))</f>
        <v/>
      </c>
      <c r="E1010" s="2" t="str">
        <f>IF(B1010="","",IFERROR(VLOOKUP(B1010, PLANTA_BASE!A:W, 6, FALSE), "NO ENCONTRADO EN PLANTA"))</f>
        <v/>
      </c>
      <c r="F1010" s="4" t="str">
        <f>IF(B1010="","",IFERROR(VLOOKUP(B1010, PLANTA_BASE!A:W, 8, FALSE), "DOCENTE / FACILITADOR"))</f>
        <v/>
      </c>
      <c r="G1010" s="4" t="str">
        <f>IF(B1010="","",IFERROR(VLOOKUP(B1010, PLANTA_BASE!A:W, 9, FALSE), "GENERAL"))</f>
        <v/>
      </c>
      <c r="H1010" s="2" t="str">
        <f>IF(B1010="","",IFERROR(VLOOKUP(B1010, PLANTA_BASE!A:W, 17, FALSE), "GENERAL"))</f>
        <v/>
      </c>
    </row>
    <row r="1011" spans="1:8" ht="20.100000000000001" customHeight="1" x14ac:dyDescent="0.25">
      <c r="A1011" s="5" t="str">
        <f>IF(B1011="","",IFERROR(VLOOKUP(B1011, PLANTA_BASE!A:W, 2, FALSE), "NO ENCONTRADO EN PLANTA"))</f>
        <v/>
      </c>
      <c r="B1011" s="6"/>
      <c r="C1011" s="7" t="str">
        <f>IF(B1011="","",IFERROR(VLOOKUP(B1011, PLANTA_BASE!A:W, 3, FALSE), ""))</f>
        <v/>
      </c>
      <c r="D1011" s="5" t="str">
        <f>IF(B1011="","",IFERROR(VLOOKUP(B1011, PLANTA_BASE!A:W, 5, FALSE), "NO ENCONTRADO EN PLANTA"))</f>
        <v/>
      </c>
      <c r="E1011" s="5" t="str">
        <f>IF(B1011="","",IFERROR(VLOOKUP(B1011, PLANTA_BASE!A:W, 6, FALSE), "NO ENCONTRADO EN PLANTA"))</f>
        <v/>
      </c>
      <c r="F1011" s="7" t="str">
        <f>IF(B1011="","",IFERROR(VLOOKUP(B1011, PLANTA_BASE!A:W, 8, FALSE), "DOCENTE / FACILITADOR"))</f>
        <v/>
      </c>
      <c r="G1011" s="7" t="str">
        <f>IF(B1011="","",IFERROR(VLOOKUP(B1011, PLANTA_BASE!A:W, 9, FALSE), "GENERAL"))</f>
        <v/>
      </c>
      <c r="H1011" s="5" t="str">
        <f>IF(B1011="","",IFERROR(VLOOKUP(B1011, PLANTA_BASE!A:W, 17, FALSE), "GENERAL"))</f>
        <v/>
      </c>
    </row>
    <row r="1012" spans="1:8" ht="20.100000000000001" customHeight="1" x14ac:dyDescent="0.25">
      <c r="A1012" s="2" t="str">
        <f>IF(B1012="","",IFERROR(VLOOKUP(B1012, PLANTA_BASE!A:W, 2, FALSE), "NO ENCONTRADO EN PLANTA"))</f>
        <v/>
      </c>
      <c r="B1012" s="3"/>
      <c r="C1012" s="4" t="str">
        <f>IF(B1012="","",IFERROR(VLOOKUP(B1012, PLANTA_BASE!A:W, 3, FALSE), ""))</f>
        <v/>
      </c>
      <c r="D1012" s="2" t="str">
        <f>IF(B1012="","",IFERROR(VLOOKUP(B1012, PLANTA_BASE!A:W, 5, FALSE), "NO ENCONTRADO EN PLANTA"))</f>
        <v/>
      </c>
      <c r="E1012" s="2" t="str">
        <f>IF(B1012="","",IFERROR(VLOOKUP(B1012, PLANTA_BASE!A:W, 6, FALSE), "NO ENCONTRADO EN PLANTA"))</f>
        <v/>
      </c>
      <c r="F1012" s="4" t="str">
        <f>IF(B1012="","",IFERROR(VLOOKUP(B1012, PLANTA_BASE!A:W, 8, FALSE), "DOCENTE / FACILITADOR"))</f>
        <v/>
      </c>
      <c r="G1012" s="4" t="str">
        <f>IF(B1012="","",IFERROR(VLOOKUP(B1012, PLANTA_BASE!A:W, 9, FALSE), "GENERAL"))</f>
        <v/>
      </c>
      <c r="H1012" s="2" t="str">
        <f>IF(B1012="","",IFERROR(VLOOKUP(B1012, PLANTA_BASE!A:W, 17, FALSE), "GENERAL"))</f>
        <v/>
      </c>
    </row>
    <row r="1013" spans="1:8" ht="20.100000000000001" customHeight="1" x14ac:dyDescent="0.25">
      <c r="A1013" s="5" t="str">
        <f>IF(B1013="","",IFERROR(VLOOKUP(B1013, PLANTA_BASE!A:W, 2, FALSE), "NO ENCONTRADO EN PLANTA"))</f>
        <v/>
      </c>
      <c r="B1013" s="6"/>
      <c r="C1013" s="7" t="str">
        <f>IF(B1013="","",IFERROR(VLOOKUP(B1013, PLANTA_BASE!A:W, 3, FALSE), ""))</f>
        <v/>
      </c>
      <c r="D1013" s="5" t="str">
        <f>IF(B1013="","",IFERROR(VLOOKUP(B1013, PLANTA_BASE!A:W, 5, FALSE), "NO ENCONTRADO EN PLANTA"))</f>
        <v/>
      </c>
      <c r="E1013" s="5" t="str">
        <f>IF(B1013="","",IFERROR(VLOOKUP(B1013, PLANTA_BASE!A:W, 6, FALSE), "NO ENCONTRADO EN PLANTA"))</f>
        <v/>
      </c>
      <c r="F1013" s="7" t="str">
        <f>IF(B1013="","",IFERROR(VLOOKUP(B1013, PLANTA_BASE!A:W, 8, FALSE), "DOCENTE / FACILITADOR"))</f>
        <v/>
      </c>
      <c r="G1013" s="7" t="str">
        <f>IF(B1013="","",IFERROR(VLOOKUP(B1013, PLANTA_BASE!A:W, 9, FALSE), "GENERAL"))</f>
        <v/>
      </c>
      <c r="H1013" s="5" t="str">
        <f>IF(B1013="","",IFERROR(VLOOKUP(B1013, PLANTA_BASE!A:W, 17, FALSE), "GENERAL"))</f>
        <v/>
      </c>
    </row>
    <row r="1014" spans="1:8" ht="20.100000000000001" customHeight="1" x14ac:dyDescent="0.25">
      <c r="A1014" s="2" t="str">
        <f>IF(B1014="","",IFERROR(VLOOKUP(B1014, PLANTA_BASE!A:W, 2, FALSE), "NO ENCONTRADO EN PLANTA"))</f>
        <v/>
      </c>
      <c r="B1014" s="3"/>
      <c r="C1014" s="4" t="str">
        <f>IF(B1014="","",IFERROR(VLOOKUP(B1014, PLANTA_BASE!A:W, 3, FALSE), ""))</f>
        <v/>
      </c>
      <c r="D1014" s="2" t="str">
        <f>IF(B1014="","",IFERROR(VLOOKUP(B1014, PLANTA_BASE!A:W, 5, FALSE), "NO ENCONTRADO EN PLANTA"))</f>
        <v/>
      </c>
      <c r="E1014" s="2" t="str">
        <f>IF(B1014="","",IFERROR(VLOOKUP(B1014, PLANTA_BASE!A:W, 6, FALSE), "NO ENCONTRADO EN PLANTA"))</f>
        <v/>
      </c>
      <c r="F1014" s="4" t="str">
        <f>IF(B1014="","",IFERROR(VLOOKUP(B1014, PLANTA_BASE!A:W, 8, FALSE), "DOCENTE / FACILITADOR"))</f>
        <v/>
      </c>
      <c r="G1014" s="4" t="str">
        <f>IF(B1014="","",IFERROR(VLOOKUP(B1014, PLANTA_BASE!A:W, 9, FALSE), "GENERAL"))</f>
        <v/>
      </c>
      <c r="H1014" s="2" t="str">
        <f>IF(B1014="","",IFERROR(VLOOKUP(B1014, PLANTA_BASE!A:W, 17, FALSE), "GENERAL"))</f>
        <v/>
      </c>
    </row>
    <row r="1015" spans="1:8" ht="20.100000000000001" customHeight="1" x14ac:dyDescent="0.25">
      <c r="A1015" s="5" t="str">
        <f>IF(B1015="","",IFERROR(VLOOKUP(B1015, PLANTA_BASE!A:W, 2, FALSE), "NO ENCONTRADO EN PLANTA"))</f>
        <v/>
      </c>
      <c r="B1015" s="6"/>
      <c r="C1015" s="7" t="str">
        <f>IF(B1015="","",IFERROR(VLOOKUP(B1015, PLANTA_BASE!A:W, 3, FALSE), ""))</f>
        <v/>
      </c>
      <c r="D1015" s="5" t="str">
        <f>IF(B1015="","",IFERROR(VLOOKUP(B1015, PLANTA_BASE!A:W, 5, FALSE), "NO ENCONTRADO EN PLANTA"))</f>
        <v/>
      </c>
      <c r="E1015" s="5" t="str">
        <f>IF(B1015="","",IFERROR(VLOOKUP(B1015, PLANTA_BASE!A:W, 6, FALSE), "NO ENCONTRADO EN PLANTA"))</f>
        <v/>
      </c>
      <c r="F1015" s="7" t="str">
        <f>IF(B1015="","",IFERROR(VLOOKUP(B1015, PLANTA_BASE!A:W, 8, FALSE), "DOCENTE / FACILITADOR"))</f>
        <v/>
      </c>
      <c r="G1015" s="7" t="str">
        <f>IF(B1015="","",IFERROR(VLOOKUP(B1015, PLANTA_BASE!A:W, 9, FALSE), "GENERAL"))</f>
        <v/>
      </c>
      <c r="H1015" s="5" t="str">
        <f>IF(B1015="","",IFERROR(VLOOKUP(B1015, PLANTA_BASE!A:W, 17, FALSE), "GENERAL"))</f>
        <v/>
      </c>
    </row>
    <row r="1016" spans="1:8" ht="20.100000000000001" customHeight="1" x14ac:dyDescent="0.25">
      <c r="A1016" s="2" t="str">
        <f>IF(B1016="","",IFERROR(VLOOKUP(B1016, PLANTA_BASE!A:W, 2, FALSE), "NO ENCONTRADO EN PLANTA"))</f>
        <v/>
      </c>
      <c r="B1016" s="3"/>
      <c r="C1016" s="4" t="str">
        <f>IF(B1016="","",IFERROR(VLOOKUP(B1016, PLANTA_BASE!A:W, 3, FALSE), ""))</f>
        <v/>
      </c>
      <c r="D1016" s="2" t="str">
        <f>IF(B1016="","",IFERROR(VLOOKUP(B1016, PLANTA_BASE!A:W, 5, FALSE), "NO ENCONTRADO EN PLANTA"))</f>
        <v/>
      </c>
      <c r="E1016" s="2" t="str">
        <f>IF(B1016="","",IFERROR(VLOOKUP(B1016, PLANTA_BASE!A:W, 6, FALSE), "NO ENCONTRADO EN PLANTA"))</f>
        <v/>
      </c>
      <c r="F1016" s="4" t="str">
        <f>IF(B1016="","",IFERROR(VLOOKUP(B1016, PLANTA_BASE!A:W, 8, FALSE), "DOCENTE / FACILITADOR"))</f>
        <v/>
      </c>
      <c r="G1016" s="4" t="str">
        <f>IF(B1016="","",IFERROR(VLOOKUP(B1016, PLANTA_BASE!A:W, 9, FALSE), "GENERAL"))</f>
        <v/>
      </c>
      <c r="H1016" s="2" t="str">
        <f>IF(B1016="","",IFERROR(VLOOKUP(B1016, PLANTA_BASE!A:W, 17, FALSE), "GENERAL"))</f>
        <v/>
      </c>
    </row>
    <row r="1017" spans="1:8" ht="20.100000000000001" customHeight="1" x14ac:dyDescent="0.25">
      <c r="A1017" s="5" t="str">
        <f>IF(B1017="","",IFERROR(VLOOKUP(B1017, PLANTA_BASE!A:W, 2, FALSE), "NO ENCONTRADO EN PLANTA"))</f>
        <v/>
      </c>
      <c r="B1017" s="6"/>
      <c r="C1017" s="7" t="str">
        <f>IF(B1017="","",IFERROR(VLOOKUP(B1017, PLANTA_BASE!A:W, 3, FALSE), ""))</f>
        <v/>
      </c>
      <c r="D1017" s="5" t="str">
        <f>IF(B1017="","",IFERROR(VLOOKUP(B1017, PLANTA_BASE!A:W, 5, FALSE), "NO ENCONTRADO EN PLANTA"))</f>
        <v/>
      </c>
      <c r="E1017" s="5" t="str">
        <f>IF(B1017="","",IFERROR(VLOOKUP(B1017, PLANTA_BASE!A:W, 6, FALSE), "NO ENCONTRADO EN PLANTA"))</f>
        <v/>
      </c>
      <c r="F1017" s="7" t="str">
        <f>IF(B1017="","",IFERROR(VLOOKUP(B1017, PLANTA_BASE!A:W, 8, FALSE), "DOCENTE / FACILITADOR"))</f>
        <v/>
      </c>
      <c r="G1017" s="7" t="str">
        <f>IF(B1017="","",IFERROR(VLOOKUP(B1017, PLANTA_BASE!A:W, 9, FALSE), "GENERAL"))</f>
        <v/>
      </c>
      <c r="H1017" s="5" t="str">
        <f>IF(B1017="","",IFERROR(VLOOKUP(B1017, PLANTA_BASE!A:W, 17, FALSE), "GENERAL"))</f>
        <v/>
      </c>
    </row>
    <row r="1018" spans="1:8" ht="20.100000000000001" customHeight="1" x14ac:dyDescent="0.25">
      <c r="A1018" s="2" t="str">
        <f>IF(B1018="","",IFERROR(VLOOKUP(B1018, PLANTA_BASE!A:W, 2, FALSE), "NO ENCONTRADO EN PLANTA"))</f>
        <v/>
      </c>
      <c r="B1018" s="3"/>
      <c r="C1018" s="4" t="str">
        <f>IF(B1018="","",IFERROR(VLOOKUP(B1018, PLANTA_BASE!A:W, 3, FALSE), ""))</f>
        <v/>
      </c>
      <c r="D1018" s="2" t="str">
        <f>IF(B1018="","",IFERROR(VLOOKUP(B1018, PLANTA_BASE!A:W, 5, FALSE), "NO ENCONTRADO EN PLANTA"))</f>
        <v/>
      </c>
      <c r="E1018" s="2" t="str">
        <f>IF(B1018="","",IFERROR(VLOOKUP(B1018, PLANTA_BASE!A:W, 6, FALSE), "NO ENCONTRADO EN PLANTA"))</f>
        <v/>
      </c>
      <c r="F1018" s="4" t="str">
        <f>IF(B1018="","",IFERROR(VLOOKUP(B1018, PLANTA_BASE!A:W, 8, FALSE), "DOCENTE / FACILITADOR"))</f>
        <v/>
      </c>
      <c r="G1018" s="4" t="str">
        <f>IF(B1018="","",IFERROR(VLOOKUP(B1018, PLANTA_BASE!A:W, 9, FALSE), "GENERAL"))</f>
        <v/>
      </c>
      <c r="H1018" s="2" t="str">
        <f>IF(B1018="","",IFERROR(VLOOKUP(B1018, PLANTA_BASE!A:W, 17, FALSE), "GENERAL"))</f>
        <v/>
      </c>
    </row>
    <row r="1019" spans="1:8" ht="20.100000000000001" customHeight="1" x14ac:dyDescent="0.25">
      <c r="A1019" s="5" t="str">
        <f>IF(B1019="","",IFERROR(VLOOKUP(B1019, PLANTA_BASE!A:W, 2, FALSE), "NO ENCONTRADO EN PLANTA"))</f>
        <v/>
      </c>
      <c r="B1019" s="6"/>
      <c r="C1019" s="7" t="str">
        <f>IF(B1019="","",IFERROR(VLOOKUP(B1019, PLANTA_BASE!A:W, 3, FALSE), ""))</f>
        <v/>
      </c>
      <c r="D1019" s="5" t="str">
        <f>IF(B1019="","",IFERROR(VLOOKUP(B1019, PLANTA_BASE!A:W, 5, FALSE), "NO ENCONTRADO EN PLANTA"))</f>
        <v/>
      </c>
      <c r="E1019" s="5" t="str">
        <f>IF(B1019="","",IFERROR(VLOOKUP(B1019, PLANTA_BASE!A:W, 6, FALSE), "NO ENCONTRADO EN PLANTA"))</f>
        <v/>
      </c>
      <c r="F1019" s="7" t="str">
        <f>IF(B1019="","",IFERROR(VLOOKUP(B1019, PLANTA_BASE!A:W, 8, FALSE), "DOCENTE / FACILITADOR"))</f>
        <v/>
      </c>
      <c r="G1019" s="7" t="str">
        <f>IF(B1019="","",IFERROR(VLOOKUP(B1019, PLANTA_BASE!A:W, 9, FALSE), "GENERAL"))</f>
        <v/>
      </c>
      <c r="H1019" s="5" t="str">
        <f>IF(B1019="","",IFERROR(VLOOKUP(B1019, PLANTA_BASE!A:W, 17, FALSE), "GENERAL"))</f>
        <v/>
      </c>
    </row>
    <row r="1020" spans="1:8" ht="20.100000000000001" customHeight="1" x14ac:dyDescent="0.25">
      <c r="A1020" s="2" t="str">
        <f>IF(B1020="","",IFERROR(VLOOKUP(B1020, PLANTA_BASE!A:W, 2, FALSE), "NO ENCONTRADO EN PLANTA"))</f>
        <v/>
      </c>
      <c r="B1020" s="3"/>
      <c r="C1020" s="4" t="str">
        <f>IF(B1020="","",IFERROR(VLOOKUP(B1020, PLANTA_BASE!A:W, 3, FALSE), ""))</f>
        <v/>
      </c>
      <c r="D1020" s="2" t="str">
        <f>IF(B1020="","",IFERROR(VLOOKUP(B1020, PLANTA_BASE!A:W, 5, FALSE), "NO ENCONTRADO EN PLANTA"))</f>
        <v/>
      </c>
      <c r="E1020" s="2" t="str">
        <f>IF(B1020="","",IFERROR(VLOOKUP(B1020, PLANTA_BASE!A:W, 6, FALSE), "NO ENCONTRADO EN PLANTA"))</f>
        <v/>
      </c>
      <c r="F1020" s="4" t="str">
        <f>IF(B1020="","",IFERROR(VLOOKUP(B1020, PLANTA_BASE!A:W, 8, FALSE), "DOCENTE / FACILITADOR"))</f>
        <v/>
      </c>
      <c r="G1020" s="4" t="str">
        <f>IF(B1020="","",IFERROR(VLOOKUP(B1020, PLANTA_BASE!A:W, 9, FALSE), "GENERAL"))</f>
        <v/>
      </c>
      <c r="H1020" s="2" t="str">
        <f>IF(B1020="","",IFERROR(VLOOKUP(B1020, PLANTA_BASE!A:W, 17, FALSE), "GENERAL"))</f>
        <v/>
      </c>
    </row>
    <row r="1021" spans="1:8" ht="20.100000000000001" customHeight="1" x14ac:dyDescent="0.25">
      <c r="A1021" s="5" t="str">
        <f>IF(B1021="","",IFERROR(VLOOKUP(B1021, PLANTA_BASE!A:W, 2, FALSE), "NO ENCONTRADO EN PLANTA"))</f>
        <v/>
      </c>
      <c r="B1021" s="6"/>
      <c r="C1021" s="7" t="str">
        <f>IF(B1021="","",IFERROR(VLOOKUP(B1021, PLANTA_BASE!A:W, 3, FALSE), ""))</f>
        <v/>
      </c>
      <c r="D1021" s="5" t="str">
        <f>IF(B1021="","",IFERROR(VLOOKUP(B1021, PLANTA_BASE!A:W, 5, FALSE), "NO ENCONTRADO EN PLANTA"))</f>
        <v/>
      </c>
      <c r="E1021" s="5" t="str">
        <f>IF(B1021="","",IFERROR(VLOOKUP(B1021, PLANTA_BASE!A:W, 6, FALSE), "NO ENCONTRADO EN PLANTA"))</f>
        <v/>
      </c>
      <c r="F1021" s="7" t="str">
        <f>IF(B1021="","",IFERROR(VLOOKUP(B1021, PLANTA_BASE!A:W, 8, FALSE), "DOCENTE / FACILITADOR"))</f>
        <v/>
      </c>
      <c r="G1021" s="7" t="str">
        <f>IF(B1021="","",IFERROR(VLOOKUP(B1021, PLANTA_BASE!A:W, 9, FALSE), "GENERAL"))</f>
        <v/>
      </c>
      <c r="H1021" s="5" t="str">
        <f>IF(B1021="","",IFERROR(VLOOKUP(B1021, PLANTA_BASE!A:W, 17, FALSE), "GENERAL"))</f>
        <v/>
      </c>
    </row>
    <row r="1022" spans="1:8" ht="20.100000000000001" customHeight="1" x14ac:dyDescent="0.25">
      <c r="A1022" s="2" t="str">
        <f>IF(B1022="","",IFERROR(VLOOKUP(B1022, PLANTA_BASE!A:W, 2, FALSE), "NO ENCONTRADO EN PLANTA"))</f>
        <v/>
      </c>
      <c r="B1022" s="3"/>
      <c r="C1022" s="4" t="str">
        <f>IF(B1022="","",IFERROR(VLOOKUP(B1022, PLANTA_BASE!A:W, 3, FALSE), ""))</f>
        <v/>
      </c>
      <c r="D1022" s="2" t="str">
        <f>IF(B1022="","",IFERROR(VLOOKUP(B1022, PLANTA_BASE!A:W, 5, FALSE), "NO ENCONTRADO EN PLANTA"))</f>
        <v/>
      </c>
      <c r="E1022" s="2" t="str">
        <f>IF(B1022="","",IFERROR(VLOOKUP(B1022, PLANTA_BASE!A:W, 6, FALSE), "NO ENCONTRADO EN PLANTA"))</f>
        <v/>
      </c>
      <c r="F1022" s="4" t="str">
        <f>IF(B1022="","",IFERROR(VLOOKUP(B1022, PLANTA_BASE!A:W, 8, FALSE), "DOCENTE / FACILITADOR"))</f>
        <v/>
      </c>
      <c r="G1022" s="4" t="str">
        <f>IF(B1022="","",IFERROR(VLOOKUP(B1022, PLANTA_BASE!A:W, 9, FALSE), "GENERAL"))</f>
        <v/>
      </c>
      <c r="H1022" s="2" t="str">
        <f>IF(B1022="","",IFERROR(VLOOKUP(B1022, PLANTA_BASE!A:W, 17, FALSE), "GENERAL"))</f>
        <v/>
      </c>
    </row>
    <row r="1023" spans="1:8" ht="20.100000000000001" customHeight="1" x14ac:dyDescent="0.25">
      <c r="A1023" s="5" t="str">
        <f>IF(B1023="","",IFERROR(VLOOKUP(B1023, PLANTA_BASE!A:W, 2, FALSE), "NO ENCONTRADO EN PLANTA"))</f>
        <v/>
      </c>
      <c r="B1023" s="6"/>
      <c r="C1023" s="7" t="str">
        <f>IF(B1023="","",IFERROR(VLOOKUP(B1023, PLANTA_BASE!A:W, 3, FALSE), ""))</f>
        <v/>
      </c>
      <c r="D1023" s="5" t="str">
        <f>IF(B1023="","",IFERROR(VLOOKUP(B1023, PLANTA_BASE!A:W, 5, FALSE), "NO ENCONTRADO EN PLANTA"))</f>
        <v/>
      </c>
      <c r="E1023" s="5" t="str">
        <f>IF(B1023="","",IFERROR(VLOOKUP(B1023, PLANTA_BASE!A:W, 6, FALSE), "NO ENCONTRADO EN PLANTA"))</f>
        <v/>
      </c>
      <c r="F1023" s="7" t="str">
        <f>IF(B1023="","",IFERROR(VLOOKUP(B1023, PLANTA_BASE!A:W, 8, FALSE), "DOCENTE / FACILITADOR"))</f>
        <v/>
      </c>
      <c r="G1023" s="7" t="str">
        <f>IF(B1023="","",IFERROR(VLOOKUP(B1023, PLANTA_BASE!A:W, 9, FALSE), "GENERAL"))</f>
        <v/>
      </c>
      <c r="H1023" s="5" t="str">
        <f>IF(B1023="","",IFERROR(VLOOKUP(B1023, PLANTA_BASE!A:W, 17, FALSE), "GENERAL"))</f>
        <v/>
      </c>
    </row>
    <row r="1024" spans="1:8" ht="20.100000000000001" customHeight="1" x14ac:dyDescent="0.25">
      <c r="A1024" s="2" t="str">
        <f>IF(B1024="","",IFERROR(VLOOKUP(B1024, PLANTA_BASE!A:W, 2, FALSE), "NO ENCONTRADO EN PLANTA"))</f>
        <v/>
      </c>
      <c r="B1024" s="3"/>
      <c r="C1024" s="4" t="str">
        <f>IF(B1024="","",IFERROR(VLOOKUP(B1024, PLANTA_BASE!A:W, 3, FALSE), ""))</f>
        <v/>
      </c>
      <c r="D1024" s="2" t="str">
        <f>IF(B1024="","",IFERROR(VLOOKUP(B1024, PLANTA_BASE!A:W, 5, FALSE), "NO ENCONTRADO EN PLANTA"))</f>
        <v/>
      </c>
      <c r="E1024" s="2" t="str">
        <f>IF(B1024="","",IFERROR(VLOOKUP(B1024, PLANTA_BASE!A:W, 6, FALSE), "NO ENCONTRADO EN PLANTA"))</f>
        <v/>
      </c>
      <c r="F1024" s="4" t="str">
        <f>IF(B1024="","",IFERROR(VLOOKUP(B1024, PLANTA_BASE!A:W, 8, FALSE), "DOCENTE / FACILITADOR"))</f>
        <v/>
      </c>
      <c r="G1024" s="4" t="str">
        <f>IF(B1024="","",IFERROR(VLOOKUP(B1024, PLANTA_BASE!A:W, 9, FALSE), "GENERAL"))</f>
        <v/>
      </c>
      <c r="H1024" s="2" t="str">
        <f>IF(B1024="","",IFERROR(VLOOKUP(B1024, PLANTA_BASE!A:W, 17, FALSE), "GENERAL"))</f>
        <v/>
      </c>
    </row>
    <row r="1025" spans="1:8" ht="20.100000000000001" customHeight="1" x14ac:dyDescent="0.25">
      <c r="A1025" s="5" t="str">
        <f>IF(B1025="","",IFERROR(VLOOKUP(B1025, PLANTA_BASE!A:W, 2, FALSE), "NO ENCONTRADO EN PLANTA"))</f>
        <v/>
      </c>
      <c r="B1025" s="6"/>
      <c r="C1025" s="7" t="str">
        <f>IF(B1025="","",IFERROR(VLOOKUP(B1025, PLANTA_BASE!A:W, 3, FALSE), ""))</f>
        <v/>
      </c>
      <c r="D1025" s="5" t="str">
        <f>IF(B1025="","",IFERROR(VLOOKUP(B1025, PLANTA_BASE!A:W, 5, FALSE), "NO ENCONTRADO EN PLANTA"))</f>
        <v/>
      </c>
      <c r="E1025" s="5" t="str">
        <f>IF(B1025="","",IFERROR(VLOOKUP(B1025, PLANTA_BASE!A:W, 6, FALSE), "NO ENCONTRADO EN PLANTA"))</f>
        <v/>
      </c>
      <c r="F1025" s="7" t="str">
        <f>IF(B1025="","",IFERROR(VLOOKUP(B1025, PLANTA_BASE!A:W, 8, FALSE), "DOCENTE / FACILITADOR"))</f>
        <v/>
      </c>
      <c r="G1025" s="7" t="str">
        <f>IF(B1025="","",IFERROR(VLOOKUP(B1025, PLANTA_BASE!A:W, 9, FALSE), "GENERAL"))</f>
        <v/>
      </c>
      <c r="H1025" s="5" t="str">
        <f>IF(B1025="","",IFERROR(VLOOKUP(B1025, PLANTA_BASE!A:W, 17, FALSE), "GENERAL"))</f>
        <v/>
      </c>
    </row>
    <row r="1026" spans="1:8" ht="20.100000000000001" customHeight="1" x14ac:dyDescent="0.25">
      <c r="A1026" s="2" t="str">
        <f>IF(B1026="","",IFERROR(VLOOKUP(B1026, PLANTA_BASE!A:W, 2, FALSE), "NO ENCONTRADO EN PLANTA"))</f>
        <v/>
      </c>
      <c r="B1026" s="3"/>
      <c r="C1026" s="4" t="str">
        <f>IF(B1026="","",IFERROR(VLOOKUP(B1026, PLANTA_BASE!A:W, 3, FALSE), ""))</f>
        <v/>
      </c>
      <c r="D1026" s="2" t="str">
        <f>IF(B1026="","",IFERROR(VLOOKUP(B1026, PLANTA_BASE!A:W, 5, FALSE), "NO ENCONTRADO EN PLANTA"))</f>
        <v/>
      </c>
      <c r="E1026" s="2" t="str">
        <f>IF(B1026="","",IFERROR(VLOOKUP(B1026, PLANTA_BASE!A:W, 6, FALSE), "NO ENCONTRADO EN PLANTA"))</f>
        <v/>
      </c>
      <c r="F1026" s="4" t="str">
        <f>IF(B1026="","",IFERROR(VLOOKUP(B1026, PLANTA_BASE!A:W, 8, FALSE), "DOCENTE / FACILITADOR"))</f>
        <v/>
      </c>
      <c r="G1026" s="4" t="str">
        <f>IF(B1026="","",IFERROR(VLOOKUP(B1026, PLANTA_BASE!A:W, 9, FALSE), "GENERAL"))</f>
        <v/>
      </c>
      <c r="H1026" s="2" t="str">
        <f>IF(B1026="","",IFERROR(VLOOKUP(B1026, PLANTA_BASE!A:W, 17, FALSE), "GENERAL"))</f>
        <v/>
      </c>
    </row>
    <row r="1027" spans="1:8" ht="20.100000000000001" customHeight="1" x14ac:dyDescent="0.25">
      <c r="A1027" s="5" t="str">
        <f>IF(B1027="","",IFERROR(VLOOKUP(B1027, PLANTA_BASE!A:W, 2, FALSE), "NO ENCONTRADO EN PLANTA"))</f>
        <v/>
      </c>
      <c r="B1027" s="6"/>
      <c r="C1027" s="7" t="str">
        <f>IF(B1027="","",IFERROR(VLOOKUP(B1027, PLANTA_BASE!A:W, 3, FALSE), ""))</f>
        <v/>
      </c>
      <c r="D1027" s="5" t="str">
        <f>IF(B1027="","",IFERROR(VLOOKUP(B1027, PLANTA_BASE!A:W, 5, FALSE), "NO ENCONTRADO EN PLANTA"))</f>
        <v/>
      </c>
      <c r="E1027" s="5" t="str">
        <f>IF(B1027="","",IFERROR(VLOOKUP(B1027, PLANTA_BASE!A:W, 6, FALSE), "NO ENCONTRADO EN PLANTA"))</f>
        <v/>
      </c>
      <c r="F1027" s="7" t="str">
        <f>IF(B1027="","",IFERROR(VLOOKUP(B1027, PLANTA_BASE!A:W, 8, FALSE), "DOCENTE / FACILITADOR"))</f>
        <v/>
      </c>
      <c r="G1027" s="7" t="str">
        <f>IF(B1027="","",IFERROR(VLOOKUP(B1027, PLANTA_BASE!A:W, 9, FALSE), "GENERAL"))</f>
        <v/>
      </c>
      <c r="H1027" s="5" t="str">
        <f>IF(B1027="","",IFERROR(VLOOKUP(B1027, PLANTA_BASE!A:W, 17, FALSE), "GENERAL"))</f>
        <v/>
      </c>
    </row>
    <row r="1028" spans="1:8" ht="20.100000000000001" customHeight="1" x14ac:dyDescent="0.25">
      <c r="A1028" s="2" t="str">
        <f>IF(B1028="","",IFERROR(VLOOKUP(B1028, PLANTA_BASE!A:W, 2, FALSE), "NO ENCONTRADO EN PLANTA"))</f>
        <v/>
      </c>
      <c r="B1028" s="3"/>
      <c r="C1028" s="4" t="str">
        <f>IF(B1028="","",IFERROR(VLOOKUP(B1028, PLANTA_BASE!A:W, 3, FALSE), ""))</f>
        <v/>
      </c>
      <c r="D1028" s="2" t="str">
        <f>IF(B1028="","",IFERROR(VLOOKUP(B1028, PLANTA_BASE!A:W, 5, FALSE), "NO ENCONTRADO EN PLANTA"))</f>
        <v/>
      </c>
      <c r="E1028" s="2" t="str">
        <f>IF(B1028="","",IFERROR(VLOOKUP(B1028, PLANTA_BASE!A:W, 6, FALSE), "NO ENCONTRADO EN PLANTA"))</f>
        <v/>
      </c>
      <c r="F1028" s="4" t="str">
        <f>IF(B1028="","",IFERROR(VLOOKUP(B1028, PLANTA_BASE!A:W, 8, FALSE), "DOCENTE / FACILITADOR"))</f>
        <v/>
      </c>
      <c r="G1028" s="4" t="str">
        <f>IF(B1028="","",IFERROR(VLOOKUP(B1028, PLANTA_BASE!A:W, 9, FALSE), "GENERAL"))</f>
        <v/>
      </c>
      <c r="H1028" s="2" t="str">
        <f>IF(B1028="","",IFERROR(VLOOKUP(B1028, PLANTA_BASE!A:W, 17, FALSE), "GENERAL"))</f>
        <v/>
      </c>
    </row>
    <row r="1029" spans="1:8" ht="20.100000000000001" customHeight="1" x14ac:dyDescent="0.25">
      <c r="A1029" s="5" t="str">
        <f>IF(B1029="","",IFERROR(VLOOKUP(B1029, PLANTA_BASE!A:W, 2, FALSE), "NO ENCONTRADO EN PLANTA"))</f>
        <v/>
      </c>
      <c r="B1029" s="6"/>
      <c r="C1029" s="7" t="str">
        <f>IF(B1029="","",IFERROR(VLOOKUP(B1029, PLANTA_BASE!A:W, 3, FALSE), ""))</f>
        <v/>
      </c>
      <c r="D1029" s="5" t="str">
        <f>IF(B1029="","",IFERROR(VLOOKUP(B1029, PLANTA_BASE!A:W, 5, FALSE), "NO ENCONTRADO EN PLANTA"))</f>
        <v/>
      </c>
      <c r="E1029" s="5" t="str">
        <f>IF(B1029="","",IFERROR(VLOOKUP(B1029, PLANTA_BASE!A:W, 6, FALSE), "NO ENCONTRADO EN PLANTA"))</f>
        <v/>
      </c>
      <c r="F1029" s="7" t="str">
        <f>IF(B1029="","",IFERROR(VLOOKUP(B1029, PLANTA_BASE!A:W, 8, FALSE), "DOCENTE / FACILITADOR"))</f>
        <v/>
      </c>
      <c r="G1029" s="7" t="str">
        <f>IF(B1029="","",IFERROR(VLOOKUP(B1029, PLANTA_BASE!A:W, 9, FALSE), "GENERAL"))</f>
        <v/>
      </c>
      <c r="H1029" s="5" t="str">
        <f>IF(B1029="","",IFERROR(VLOOKUP(B1029, PLANTA_BASE!A:W, 17, FALSE), "GENERAL"))</f>
        <v/>
      </c>
    </row>
    <row r="1030" spans="1:8" ht="20.100000000000001" customHeight="1" x14ac:dyDescent="0.25">
      <c r="A1030" s="2" t="str">
        <f>IF(B1030="","",IFERROR(VLOOKUP(B1030, PLANTA_BASE!A:W, 2, FALSE), "NO ENCONTRADO EN PLANTA"))</f>
        <v/>
      </c>
      <c r="B1030" s="3"/>
      <c r="C1030" s="4" t="str">
        <f>IF(B1030="","",IFERROR(VLOOKUP(B1030, PLANTA_BASE!A:W, 3, FALSE), ""))</f>
        <v/>
      </c>
      <c r="D1030" s="2" t="str">
        <f>IF(B1030="","",IFERROR(VLOOKUP(B1030, PLANTA_BASE!A:W, 5, FALSE), "NO ENCONTRADO EN PLANTA"))</f>
        <v/>
      </c>
      <c r="E1030" s="2" t="str">
        <f>IF(B1030="","",IFERROR(VLOOKUP(B1030, PLANTA_BASE!A:W, 6, FALSE), "NO ENCONTRADO EN PLANTA"))</f>
        <v/>
      </c>
      <c r="F1030" s="4" t="str">
        <f>IF(B1030="","",IFERROR(VLOOKUP(B1030, PLANTA_BASE!A:W, 8, FALSE), "DOCENTE / FACILITADOR"))</f>
        <v/>
      </c>
      <c r="G1030" s="4" t="str">
        <f>IF(B1030="","",IFERROR(VLOOKUP(B1030, PLANTA_BASE!A:W, 9, FALSE), "GENERAL"))</f>
        <v/>
      </c>
      <c r="H1030" s="2" t="str">
        <f>IF(B1030="","",IFERROR(VLOOKUP(B1030, PLANTA_BASE!A:W, 17, FALSE), "GENERAL"))</f>
        <v/>
      </c>
    </row>
    <row r="1031" spans="1:8" ht="20.100000000000001" customHeight="1" x14ac:dyDescent="0.25">
      <c r="A1031" s="5" t="str">
        <f>IF(B1031="","",IFERROR(VLOOKUP(B1031, PLANTA_BASE!A:W, 2, FALSE), "NO ENCONTRADO EN PLANTA"))</f>
        <v/>
      </c>
      <c r="B1031" s="6"/>
      <c r="C1031" s="7" t="str">
        <f>IF(B1031="","",IFERROR(VLOOKUP(B1031, PLANTA_BASE!A:W, 3, FALSE), ""))</f>
        <v/>
      </c>
      <c r="D1031" s="5" t="str">
        <f>IF(B1031="","",IFERROR(VLOOKUP(B1031, PLANTA_BASE!A:W, 5, FALSE), "NO ENCONTRADO EN PLANTA"))</f>
        <v/>
      </c>
      <c r="E1031" s="5" t="str">
        <f>IF(B1031="","",IFERROR(VLOOKUP(B1031, PLANTA_BASE!A:W, 6, FALSE), "NO ENCONTRADO EN PLANTA"))</f>
        <v/>
      </c>
      <c r="F1031" s="7" t="str">
        <f>IF(B1031="","",IFERROR(VLOOKUP(B1031, PLANTA_BASE!A:W, 8, FALSE), "DOCENTE / FACILITADOR"))</f>
        <v/>
      </c>
      <c r="G1031" s="7" t="str">
        <f>IF(B1031="","",IFERROR(VLOOKUP(B1031, PLANTA_BASE!A:W, 9, FALSE), "GENERAL"))</f>
        <v/>
      </c>
      <c r="H1031" s="5" t="str">
        <f>IF(B1031="","",IFERROR(VLOOKUP(B1031, PLANTA_BASE!A:W, 17, FALSE), "GENERAL"))</f>
        <v/>
      </c>
    </row>
    <row r="1032" spans="1:8" ht="20.100000000000001" customHeight="1" x14ac:dyDescent="0.25">
      <c r="A1032" s="2" t="str">
        <f>IF(B1032="","",IFERROR(VLOOKUP(B1032, PLANTA_BASE!A:W, 2, FALSE), "NO ENCONTRADO EN PLANTA"))</f>
        <v/>
      </c>
      <c r="B1032" s="3"/>
      <c r="C1032" s="4" t="str">
        <f>IF(B1032="","",IFERROR(VLOOKUP(B1032, PLANTA_BASE!A:W, 3, FALSE), ""))</f>
        <v/>
      </c>
      <c r="D1032" s="2" t="str">
        <f>IF(B1032="","",IFERROR(VLOOKUP(B1032, PLANTA_BASE!A:W, 5, FALSE), "NO ENCONTRADO EN PLANTA"))</f>
        <v/>
      </c>
      <c r="E1032" s="2" t="str">
        <f>IF(B1032="","",IFERROR(VLOOKUP(B1032, PLANTA_BASE!A:W, 6, FALSE), "NO ENCONTRADO EN PLANTA"))</f>
        <v/>
      </c>
      <c r="F1032" s="4" t="str">
        <f>IF(B1032="","",IFERROR(VLOOKUP(B1032, PLANTA_BASE!A:W, 8, FALSE), "DOCENTE / FACILITADOR"))</f>
        <v/>
      </c>
      <c r="G1032" s="4" t="str">
        <f>IF(B1032="","",IFERROR(VLOOKUP(B1032, PLANTA_BASE!A:W, 9, FALSE), "GENERAL"))</f>
        <v/>
      </c>
      <c r="H1032" s="2" t="str">
        <f>IF(B1032="","",IFERROR(VLOOKUP(B1032, PLANTA_BASE!A:W, 17, FALSE), "GENERAL"))</f>
        <v/>
      </c>
    </row>
    <row r="1033" spans="1:8" ht="20.100000000000001" customHeight="1" x14ac:dyDescent="0.25">
      <c r="A1033" s="5" t="str">
        <f>IF(B1033="","",IFERROR(VLOOKUP(B1033, PLANTA_BASE!A:W, 2, FALSE), "NO ENCONTRADO EN PLANTA"))</f>
        <v/>
      </c>
      <c r="B1033" s="6"/>
      <c r="C1033" s="7" t="str">
        <f>IF(B1033="","",IFERROR(VLOOKUP(B1033, PLANTA_BASE!A:W, 3, FALSE), ""))</f>
        <v/>
      </c>
      <c r="D1033" s="5" t="str">
        <f>IF(B1033="","",IFERROR(VLOOKUP(B1033, PLANTA_BASE!A:W, 5, FALSE), "NO ENCONTRADO EN PLANTA"))</f>
        <v/>
      </c>
      <c r="E1033" s="5" t="str">
        <f>IF(B1033="","",IFERROR(VLOOKUP(B1033, PLANTA_BASE!A:W, 6, FALSE), "NO ENCONTRADO EN PLANTA"))</f>
        <v/>
      </c>
      <c r="F1033" s="7" t="str">
        <f>IF(B1033="","",IFERROR(VLOOKUP(B1033, PLANTA_BASE!A:W, 8, FALSE), "DOCENTE / FACILITADOR"))</f>
        <v/>
      </c>
      <c r="G1033" s="7" t="str">
        <f>IF(B1033="","",IFERROR(VLOOKUP(B1033, PLANTA_BASE!A:W, 9, FALSE), "GENERAL"))</f>
        <v/>
      </c>
      <c r="H1033" s="5" t="str">
        <f>IF(B1033="","",IFERROR(VLOOKUP(B1033, PLANTA_BASE!A:W, 17, FALSE), "GENERAL"))</f>
        <v/>
      </c>
    </row>
    <row r="1034" spans="1:8" ht="20.100000000000001" customHeight="1" x14ac:dyDescent="0.25">
      <c r="A1034" s="2" t="str">
        <f>IF(B1034="","",IFERROR(VLOOKUP(B1034, PLANTA_BASE!A:W, 2, FALSE), "NO ENCONTRADO EN PLANTA"))</f>
        <v/>
      </c>
      <c r="B1034" s="3"/>
      <c r="C1034" s="4" t="str">
        <f>IF(B1034="","",IFERROR(VLOOKUP(B1034, PLANTA_BASE!A:W, 3, FALSE), ""))</f>
        <v/>
      </c>
      <c r="D1034" s="2" t="str">
        <f>IF(B1034="","",IFERROR(VLOOKUP(B1034, PLANTA_BASE!A:W, 5, FALSE), "NO ENCONTRADO EN PLANTA"))</f>
        <v/>
      </c>
      <c r="E1034" s="2" t="str">
        <f>IF(B1034="","",IFERROR(VLOOKUP(B1034, PLANTA_BASE!A:W, 6, FALSE), "NO ENCONTRADO EN PLANTA"))</f>
        <v/>
      </c>
      <c r="F1034" s="4" t="str">
        <f>IF(B1034="","",IFERROR(VLOOKUP(B1034, PLANTA_BASE!A:W, 8, FALSE), "DOCENTE / FACILITADOR"))</f>
        <v/>
      </c>
      <c r="G1034" s="4" t="str">
        <f>IF(B1034="","",IFERROR(VLOOKUP(B1034, PLANTA_BASE!A:W, 9, FALSE), "GENERAL"))</f>
        <v/>
      </c>
      <c r="H1034" s="2" t="str">
        <f>IF(B1034="","",IFERROR(VLOOKUP(B1034, PLANTA_BASE!A:W, 17, FALSE), "GENERAL"))</f>
        <v/>
      </c>
    </row>
    <row r="1035" spans="1:8" ht="20.100000000000001" customHeight="1" x14ac:dyDescent="0.25">
      <c r="A1035" s="5" t="str">
        <f>IF(B1035="","",IFERROR(VLOOKUP(B1035, PLANTA_BASE!A:W, 2, FALSE), "NO ENCONTRADO EN PLANTA"))</f>
        <v/>
      </c>
      <c r="B1035" s="6"/>
      <c r="C1035" s="7" t="str">
        <f>IF(B1035="","",IFERROR(VLOOKUP(B1035, PLANTA_BASE!A:W, 3, FALSE), ""))</f>
        <v/>
      </c>
      <c r="D1035" s="5" t="str">
        <f>IF(B1035="","",IFERROR(VLOOKUP(B1035, PLANTA_BASE!A:W, 5, FALSE), "NO ENCONTRADO EN PLANTA"))</f>
        <v/>
      </c>
      <c r="E1035" s="5" t="str">
        <f>IF(B1035="","",IFERROR(VLOOKUP(B1035, PLANTA_BASE!A:W, 6, FALSE), "NO ENCONTRADO EN PLANTA"))</f>
        <v/>
      </c>
      <c r="F1035" s="7" t="str">
        <f>IF(B1035="","",IFERROR(VLOOKUP(B1035, PLANTA_BASE!A:W, 8, FALSE), "DOCENTE / FACILITADOR"))</f>
        <v/>
      </c>
      <c r="G1035" s="7" t="str">
        <f>IF(B1035="","",IFERROR(VLOOKUP(B1035, PLANTA_BASE!A:W, 9, FALSE), "GENERAL"))</f>
        <v/>
      </c>
      <c r="H1035" s="5" t="str">
        <f>IF(B1035="","",IFERROR(VLOOKUP(B1035, PLANTA_BASE!A:W, 17, FALSE), "GENERAL"))</f>
        <v/>
      </c>
    </row>
    <row r="1036" spans="1:8" ht="20.100000000000001" customHeight="1" x14ac:dyDescent="0.25">
      <c r="A1036" s="2" t="str">
        <f>IF(B1036="","",IFERROR(VLOOKUP(B1036, PLANTA_BASE!A:W, 2, FALSE), "NO ENCONTRADO EN PLANTA"))</f>
        <v/>
      </c>
      <c r="B1036" s="3"/>
      <c r="C1036" s="4" t="str">
        <f>IF(B1036="","",IFERROR(VLOOKUP(B1036, PLANTA_BASE!A:W, 3, FALSE), ""))</f>
        <v/>
      </c>
      <c r="D1036" s="2" t="str">
        <f>IF(B1036="","",IFERROR(VLOOKUP(B1036, PLANTA_BASE!A:W, 5, FALSE), "NO ENCONTRADO EN PLANTA"))</f>
        <v/>
      </c>
      <c r="E1036" s="2" t="str">
        <f>IF(B1036="","",IFERROR(VLOOKUP(B1036, PLANTA_BASE!A:W, 6, FALSE), "NO ENCONTRADO EN PLANTA"))</f>
        <v/>
      </c>
      <c r="F1036" s="4" t="str">
        <f>IF(B1036="","",IFERROR(VLOOKUP(B1036, PLANTA_BASE!A:W, 8, FALSE), "DOCENTE / FACILITADOR"))</f>
        <v/>
      </c>
      <c r="G1036" s="4" t="str">
        <f>IF(B1036="","",IFERROR(VLOOKUP(B1036, PLANTA_BASE!A:W, 9, FALSE), "GENERAL"))</f>
        <v/>
      </c>
      <c r="H1036" s="2" t="str">
        <f>IF(B1036="","",IFERROR(VLOOKUP(B1036, PLANTA_BASE!A:W, 17, FALSE), "GENERAL"))</f>
        <v/>
      </c>
    </row>
    <row r="1037" spans="1:8" ht="20.100000000000001" customHeight="1" x14ac:dyDescent="0.25">
      <c r="A1037" s="5" t="str">
        <f>IF(B1037="","",IFERROR(VLOOKUP(B1037, PLANTA_BASE!A:W, 2, FALSE), "NO ENCONTRADO EN PLANTA"))</f>
        <v/>
      </c>
      <c r="B1037" s="6"/>
      <c r="C1037" s="7" t="str">
        <f>IF(B1037="","",IFERROR(VLOOKUP(B1037, PLANTA_BASE!A:W, 3, FALSE), ""))</f>
        <v/>
      </c>
      <c r="D1037" s="5" t="str">
        <f>IF(B1037="","",IFERROR(VLOOKUP(B1037, PLANTA_BASE!A:W, 5, FALSE), "NO ENCONTRADO EN PLANTA"))</f>
        <v/>
      </c>
      <c r="E1037" s="5" t="str">
        <f>IF(B1037="","",IFERROR(VLOOKUP(B1037, PLANTA_BASE!A:W, 6, FALSE), "NO ENCONTRADO EN PLANTA"))</f>
        <v/>
      </c>
      <c r="F1037" s="7" t="str">
        <f>IF(B1037="","",IFERROR(VLOOKUP(B1037, PLANTA_BASE!A:W, 8, FALSE), "DOCENTE / FACILITADOR"))</f>
        <v/>
      </c>
      <c r="G1037" s="7" t="str">
        <f>IF(B1037="","",IFERROR(VLOOKUP(B1037, PLANTA_BASE!A:W, 9, FALSE), "GENERAL"))</f>
        <v/>
      </c>
      <c r="H1037" s="5" t="str">
        <f>IF(B1037="","",IFERROR(VLOOKUP(B1037, PLANTA_BASE!A:W, 17, FALSE), "GENERAL"))</f>
        <v/>
      </c>
    </row>
    <row r="1038" spans="1:8" ht="20.100000000000001" customHeight="1" x14ac:dyDescent="0.25">
      <c r="A1038" s="2" t="str">
        <f>IF(B1038="","",IFERROR(VLOOKUP(B1038, PLANTA_BASE!A:W, 2, FALSE), "NO ENCONTRADO EN PLANTA"))</f>
        <v/>
      </c>
      <c r="B1038" s="3"/>
      <c r="C1038" s="4" t="str">
        <f>IF(B1038="","",IFERROR(VLOOKUP(B1038, PLANTA_BASE!A:W, 3, FALSE), ""))</f>
        <v/>
      </c>
      <c r="D1038" s="2" t="str">
        <f>IF(B1038="","",IFERROR(VLOOKUP(B1038, PLANTA_BASE!A:W, 5, FALSE), "NO ENCONTRADO EN PLANTA"))</f>
        <v/>
      </c>
      <c r="E1038" s="2" t="str">
        <f>IF(B1038="","",IFERROR(VLOOKUP(B1038, PLANTA_BASE!A:W, 6, FALSE), "NO ENCONTRADO EN PLANTA"))</f>
        <v/>
      </c>
      <c r="F1038" s="4" t="str">
        <f>IF(B1038="","",IFERROR(VLOOKUP(B1038, PLANTA_BASE!A:W, 8, FALSE), "DOCENTE / FACILITADOR"))</f>
        <v/>
      </c>
      <c r="G1038" s="4" t="str">
        <f>IF(B1038="","",IFERROR(VLOOKUP(B1038, PLANTA_BASE!A:W, 9, FALSE), "GENERAL"))</f>
        <v/>
      </c>
      <c r="H1038" s="2" t="str">
        <f>IF(B1038="","",IFERROR(VLOOKUP(B1038, PLANTA_BASE!A:W, 17, FALSE), "GENERAL"))</f>
        <v/>
      </c>
    </row>
    <row r="1039" spans="1:8" ht="20.100000000000001" customHeight="1" x14ac:dyDescent="0.25">
      <c r="A1039" s="5" t="str">
        <f>IF(B1039="","",IFERROR(VLOOKUP(B1039, PLANTA_BASE!A:W, 2, FALSE), "NO ENCONTRADO EN PLANTA"))</f>
        <v/>
      </c>
      <c r="B1039" s="6"/>
      <c r="C1039" s="7" t="str">
        <f>IF(B1039="","",IFERROR(VLOOKUP(B1039, PLANTA_BASE!A:W, 3, FALSE), ""))</f>
        <v/>
      </c>
      <c r="D1039" s="5" t="str">
        <f>IF(B1039="","",IFERROR(VLOOKUP(B1039, PLANTA_BASE!A:W, 5, FALSE), "NO ENCONTRADO EN PLANTA"))</f>
        <v/>
      </c>
      <c r="E1039" s="5" t="str">
        <f>IF(B1039="","",IFERROR(VLOOKUP(B1039, PLANTA_BASE!A:W, 6, FALSE), "NO ENCONTRADO EN PLANTA"))</f>
        <v/>
      </c>
      <c r="F1039" s="7" t="str">
        <f>IF(B1039="","",IFERROR(VLOOKUP(B1039, PLANTA_BASE!A:W, 8, FALSE), "DOCENTE / FACILITADOR"))</f>
        <v/>
      </c>
      <c r="G1039" s="7" t="str">
        <f>IF(B1039="","",IFERROR(VLOOKUP(B1039, PLANTA_BASE!A:W, 9, FALSE), "GENERAL"))</f>
        <v/>
      </c>
      <c r="H1039" s="5" t="str">
        <f>IF(B1039="","",IFERROR(VLOOKUP(B1039, PLANTA_BASE!A:W, 17, FALSE), "GENERAL"))</f>
        <v/>
      </c>
    </row>
    <row r="1040" spans="1:8" ht="20.100000000000001" customHeight="1" x14ac:dyDescent="0.25">
      <c r="A1040" s="2" t="str">
        <f>IF(B1040="","",IFERROR(VLOOKUP(B1040, PLANTA_BASE!A:W, 2, FALSE), "NO ENCONTRADO EN PLANTA"))</f>
        <v/>
      </c>
      <c r="B1040" s="3"/>
      <c r="C1040" s="4" t="str">
        <f>IF(B1040="","",IFERROR(VLOOKUP(B1040, PLANTA_BASE!A:W, 3, FALSE), ""))</f>
        <v/>
      </c>
      <c r="D1040" s="2" t="str">
        <f>IF(B1040="","",IFERROR(VLOOKUP(B1040, PLANTA_BASE!A:W, 5, FALSE), "NO ENCONTRADO EN PLANTA"))</f>
        <v/>
      </c>
      <c r="E1040" s="2" t="str">
        <f>IF(B1040="","",IFERROR(VLOOKUP(B1040, PLANTA_BASE!A:W, 6, FALSE), "NO ENCONTRADO EN PLANTA"))</f>
        <v/>
      </c>
      <c r="F1040" s="4" t="str">
        <f>IF(B1040="","",IFERROR(VLOOKUP(B1040, PLANTA_BASE!A:W, 8, FALSE), "DOCENTE / FACILITADOR"))</f>
        <v/>
      </c>
      <c r="G1040" s="4" t="str">
        <f>IF(B1040="","",IFERROR(VLOOKUP(B1040, PLANTA_BASE!A:W, 9, FALSE), "GENERAL"))</f>
        <v/>
      </c>
      <c r="H1040" s="2" t="str">
        <f>IF(B1040="","",IFERROR(VLOOKUP(B1040, PLANTA_BASE!A:W, 17, FALSE), "GENERAL"))</f>
        <v/>
      </c>
    </row>
    <row r="1041" spans="1:8" ht="20.100000000000001" customHeight="1" x14ac:dyDescent="0.25">
      <c r="A1041" s="5" t="str">
        <f>IF(B1041="","",IFERROR(VLOOKUP(B1041, PLANTA_BASE!A:W, 2, FALSE), "NO ENCONTRADO EN PLANTA"))</f>
        <v/>
      </c>
      <c r="B1041" s="6"/>
      <c r="C1041" s="7" t="str">
        <f>IF(B1041="","",IFERROR(VLOOKUP(B1041, PLANTA_BASE!A:W, 3, FALSE), ""))</f>
        <v/>
      </c>
      <c r="D1041" s="5" t="str">
        <f>IF(B1041="","",IFERROR(VLOOKUP(B1041, PLANTA_BASE!A:W, 5, FALSE), "NO ENCONTRADO EN PLANTA"))</f>
        <v/>
      </c>
      <c r="E1041" s="5" t="str">
        <f>IF(B1041="","",IFERROR(VLOOKUP(B1041, PLANTA_BASE!A:W, 6, FALSE), "NO ENCONTRADO EN PLANTA"))</f>
        <v/>
      </c>
      <c r="F1041" s="7" t="str">
        <f>IF(B1041="","",IFERROR(VLOOKUP(B1041, PLANTA_BASE!A:W, 8, FALSE), "DOCENTE / FACILITADOR"))</f>
        <v/>
      </c>
      <c r="G1041" s="7" t="str">
        <f>IF(B1041="","",IFERROR(VLOOKUP(B1041, PLANTA_BASE!A:W, 9, FALSE), "GENERAL"))</f>
        <v/>
      </c>
      <c r="H1041" s="5" t="str">
        <f>IF(B1041="","",IFERROR(VLOOKUP(B1041, PLANTA_BASE!A:W, 17, FALSE), "GENERAL"))</f>
        <v/>
      </c>
    </row>
    <row r="1042" spans="1:8" ht="20.100000000000001" customHeight="1" x14ac:dyDescent="0.25">
      <c r="A1042" s="2" t="str">
        <f>IF(B1042="","",IFERROR(VLOOKUP(B1042, PLANTA_BASE!A:W, 2, FALSE), "NO ENCONTRADO EN PLANTA"))</f>
        <v/>
      </c>
      <c r="B1042" s="3"/>
      <c r="C1042" s="4" t="str">
        <f>IF(B1042="","",IFERROR(VLOOKUP(B1042, PLANTA_BASE!A:W, 3, FALSE), ""))</f>
        <v/>
      </c>
      <c r="D1042" s="2" t="str">
        <f>IF(B1042="","",IFERROR(VLOOKUP(B1042, PLANTA_BASE!A:W, 5, FALSE), "NO ENCONTRADO EN PLANTA"))</f>
        <v/>
      </c>
      <c r="E1042" s="2" t="str">
        <f>IF(B1042="","",IFERROR(VLOOKUP(B1042, PLANTA_BASE!A:W, 6, FALSE), "NO ENCONTRADO EN PLANTA"))</f>
        <v/>
      </c>
      <c r="F1042" s="4" t="str">
        <f>IF(B1042="","",IFERROR(VLOOKUP(B1042, PLANTA_BASE!A:W, 8, FALSE), "DOCENTE / FACILITADOR"))</f>
        <v/>
      </c>
      <c r="G1042" s="4" t="str">
        <f>IF(B1042="","",IFERROR(VLOOKUP(B1042, PLANTA_BASE!A:W, 9, FALSE), "GENERAL"))</f>
        <v/>
      </c>
      <c r="H1042" s="2" t="str">
        <f>IF(B1042="","",IFERROR(VLOOKUP(B1042, PLANTA_BASE!A:W, 17, FALSE), "GENERAL"))</f>
        <v/>
      </c>
    </row>
    <row r="1043" spans="1:8" ht="20.100000000000001" customHeight="1" x14ac:dyDescent="0.25">
      <c r="A1043" s="5" t="str">
        <f>IF(B1043="","",IFERROR(VLOOKUP(B1043, PLANTA_BASE!A:W, 2, FALSE), "NO ENCONTRADO EN PLANTA"))</f>
        <v/>
      </c>
      <c r="B1043" s="6"/>
      <c r="C1043" s="7" t="str">
        <f>IF(B1043="","",IFERROR(VLOOKUP(B1043, PLANTA_BASE!A:W, 3, FALSE), ""))</f>
        <v/>
      </c>
      <c r="D1043" s="5" t="str">
        <f>IF(B1043="","",IFERROR(VLOOKUP(B1043, PLANTA_BASE!A:W, 5, FALSE), "NO ENCONTRADO EN PLANTA"))</f>
        <v/>
      </c>
      <c r="E1043" s="5" t="str">
        <f>IF(B1043="","",IFERROR(VLOOKUP(B1043, PLANTA_BASE!A:W, 6, FALSE), "NO ENCONTRADO EN PLANTA"))</f>
        <v/>
      </c>
      <c r="F1043" s="7" t="str">
        <f>IF(B1043="","",IFERROR(VLOOKUP(B1043, PLANTA_BASE!A:W, 8, FALSE), "DOCENTE / FACILITADOR"))</f>
        <v/>
      </c>
      <c r="G1043" s="7" t="str">
        <f>IF(B1043="","",IFERROR(VLOOKUP(B1043, PLANTA_BASE!A:W, 9, FALSE), "GENERAL"))</f>
        <v/>
      </c>
      <c r="H1043" s="5" t="str">
        <f>IF(B1043="","",IFERROR(VLOOKUP(B1043, PLANTA_BASE!A:W, 17, FALSE), "GENERAL"))</f>
        <v/>
      </c>
    </row>
    <row r="1044" spans="1:8" ht="20.100000000000001" customHeight="1" x14ac:dyDescent="0.25">
      <c r="A1044" s="2" t="str">
        <f>IF(B1044="","",IFERROR(VLOOKUP(B1044, PLANTA_BASE!A:W, 2, FALSE), "NO ENCONTRADO EN PLANTA"))</f>
        <v/>
      </c>
      <c r="B1044" s="3"/>
      <c r="C1044" s="4" t="str">
        <f>IF(B1044="","",IFERROR(VLOOKUP(B1044, PLANTA_BASE!A:W, 3, FALSE), ""))</f>
        <v/>
      </c>
      <c r="D1044" s="2" t="str">
        <f>IF(B1044="","",IFERROR(VLOOKUP(B1044, PLANTA_BASE!A:W, 5, FALSE), "NO ENCONTRADO EN PLANTA"))</f>
        <v/>
      </c>
      <c r="E1044" s="2" t="str">
        <f>IF(B1044="","",IFERROR(VLOOKUP(B1044, PLANTA_BASE!A:W, 6, FALSE), "NO ENCONTRADO EN PLANTA"))</f>
        <v/>
      </c>
      <c r="F1044" s="4" t="str">
        <f>IF(B1044="","",IFERROR(VLOOKUP(B1044, PLANTA_BASE!A:W, 8, FALSE), "DOCENTE / FACILITADOR"))</f>
        <v/>
      </c>
      <c r="G1044" s="4" t="str">
        <f>IF(B1044="","",IFERROR(VLOOKUP(B1044, PLANTA_BASE!A:W, 9, FALSE), "GENERAL"))</f>
        <v/>
      </c>
      <c r="H1044" s="2" t="str">
        <f>IF(B1044="","",IFERROR(VLOOKUP(B1044, PLANTA_BASE!A:W, 17, FALSE), "GENERAL"))</f>
        <v/>
      </c>
    </row>
    <row r="1045" spans="1:8" ht="20.100000000000001" customHeight="1" x14ac:dyDescent="0.25">
      <c r="A1045" s="5" t="str">
        <f>IF(B1045="","",IFERROR(VLOOKUP(B1045, PLANTA_BASE!A:W, 2, FALSE), "NO ENCONTRADO EN PLANTA"))</f>
        <v/>
      </c>
      <c r="B1045" s="6"/>
      <c r="C1045" s="7" t="str">
        <f>IF(B1045="","",IFERROR(VLOOKUP(B1045, PLANTA_BASE!A:W, 3, FALSE), ""))</f>
        <v/>
      </c>
      <c r="D1045" s="5" t="str">
        <f>IF(B1045="","",IFERROR(VLOOKUP(B1045, PLANTA_BASE!A:W, 5, FALSE), "NO ENCONTRADO EN PLANTA"))</f>
        <v/>
      </c>
      <c r="E1045" s="5" t="str">
        <f>IF(B1045="","",IFERROR(VLOOKUP(B1045, PLANTA_BASE!A:W, 6, FALSE), "NO ENCONTRADO EN PLANTA"))</f>
        <v/>
      </c>
      <c r="F1045" s="7" t="str">
        <f>IF(B1045="","",IFERROR(VLOOKUP(B1045, PLANTA_BASE!A:W, 8, FALSE), "DOCENTE / FACILITADOR"))</f>
        <v/>
      </c>
      <c r="G1045" s="7" t="str">
        <f>IF(B1045="","",IFERROR(VLOOKUP(B1045, PLANTA_BASE!A:W, 9, FALSE), "GENERAL"))</f>
        <v/>
      </c>
      <c r="H1045" s="5" t="str">
        <f>IF(B1045="","",IFERROR(VLOOKUP(B1045, PLANTA_BASE!A:W, 17, FALSE), "GENERAL"))</f>
        <v/>
      </c>
    </row>
    <row r="1046" spans="1:8" ht="20.100000000000001" customHeight="1" x14ac:dyDescent="0.25">
      <c r="A1046" s="2" t="str">
        <f>IF(B1046="","",IFERROR(VLOOKUP(B1046, PLANTA_BASE!A:W, 2, FALSE), "NO ENCONTRADO EN PLANTA"))</f>
        <v/>
      </c>
      <c r="B1046" s="3"/>
      <c r="C1046" s="4" t="str">
        <f>IF(B1046="","",IFERROR(VLOOKUP(B1046, PLANTA_BASE!A:W, 3, FALSE), ""))</f>
        <v/>
      </c>
      <c r="D1046" s="2" t="str">
        <f>IF(B1046="","",IFERROR(VLOOKUP(B1046, PLANTA_BASE!A:W, 5, FALSE), "NO ENCONTRADO EN PLANTA"))</f>
        <v/>
      </c>
      <c r="E1046" s="2" t="str">
        <f>IF(B1046="","",IFERROR(VLOOKUP(B1046, PLANTA_BASE!A:W, 6, FALSE), "NO ENCONTRADO EN PLANTA"))</f>
        <v/>
      </c>
      <c r="F1046" s="4" t="str">
        <f>IF(B1046="","",IFERROR(VLOOKUP(B1046, PLANTA_BASE!A:W, 8, FALSE), "DOCENTE / FACILITADOR"))</f>
        <v/>
      </c>
      <c r="G1046" s="4" t="str">
        <f>IF(B1046="","",IFERROR(VLOOKUP(B1046, PLANTA_BASE!A:W, 9, FALSE), "GENERAL"))</f>
        <v/>
      </c>
      <c r="H1046" s="2" t="str">
        <f>IF(B1046="","",IFERROR(VLOOKUP(B1046, PLANTA_BASE!A:W, 17, FALSE), "GENERAL"))</f>
        <v/>
      </c>
    </row>
    <row r="1047" spans="1:8" ht="20.100000000000001" customHeight="1" x14ac:dyDescent="0.25">
      <c r="A1047" s="5" t="str">
        <f>IF(B1047="","",IFERROR(VLOOKUP(B1047, PLANTA_BASE!A:W, 2, FALSE), "NO ENCONTRADO EN PLANTA"))</f>
        <v/>
      </c>
      <c r="B1047" s="6"/>
      <c r="C1047" s="7" t="str">
        <f>IF(B1047="","",IFERROR(VLOOKUP(B1047, PLANTA_BASE!A:W, 3, FALSE), ""))</f>
        <v/>
      </c>
      <c r="D1047" s="5" t="str">
        <f>IF(B1047="","",IFERROR(VLOOKUP(B1047, PLANTA_BASE!A:W, 5, FALSE), "NO ENCONTRADO EN PLANTA"))</f>
        <v/>
      </c>
      <c r="E1047" s="5" t="str">
        <f>IF(B1047="","",IFERROR(VLOOKUP(B1047, PLANTA_BASE!A:W, 6, FALSE), "NO ENCONTRADO EN PLANTA"))</f>
        <v/>
      </c>
      <c r="F1047" s="7" t="str">
        <f>IF(B1047="","",IFERROR(VLOOKUP(B1047, PLANTA_BASE!A:W, 8, FALSE), "DOCENTE / FACILITADOR"))</f>
        <v/>
      </c>
      <c r="G1047" s="7" t="str">
        <f>IF(B1047="","",IFERROR(VLOOKUP(B1047, PLANTA_BASE!A:W, 9, FALSE), "GENERAL"))</f>
        <v/>
      </c>
      <c r="H1047" s="5" t="str">
        <f>IF(B1047="","",IFERROR(VLOOKUP(B1047, PLANTA_BASE!A:W, 17, FALSE), "GENERAL"))</f>
        <v/>
      </c>
    </row>
    <row r="1048" spans="1:8" ht="20.100000000000001" customHeight="1" x14ac:dyDescent="0.25">
      <c r="A1048" s="2" t="str">
        <f>IF(B1048="","",IFERROR(VLOOKUP(B1048, PLANTA_BASE!A:W, 2, FALSE), "NO ENCONTRADO EN PLANTA"))</f>
        <v/>
      </c>
      <c r="B1048" s="3"/>
      <c r="C1048" s="4" t="str">
        <f>IF(B1048="","",IFERROR(VLOOKUP(B1048, PLANTA_BASE!A:W, 3, FALSE), ""))</f>
        <v/>
      </c>
      <c r="D1048" s="2" t="str">
        <f>IF(B1048="","",IFERROR(VLOOKUP(B1048, PLANTA_BASE!A:W, 5, FALSE), "NO ENCONTRADO EN PLANTA"))</f>
        <v/>
      </c>
      <c r="E1048" s="2" t="str">
        <f>IF(B1048="","",IFERROR(VLOOKUP(B1048, PLANTA_BASE!A:W, 6, FALSE), "NO ENCONTRADO EN PLANTA"))</f>
        <v/>
      </c>
      <c r="F1048" s="4" t="str">
        <f>IF(B1048="","",IFERROR(VLOOKUP(B1048, PLANTA_BASE!A:W, 8, FALSE), "DOCENTE / FACILITADOR"))</f>
        <v/>
      </c>
      <c r="G1048" s="4" t="str">
        <f>IF(B1048="","",IFERROR(VLOOKUP(B1048, PLANTA_BASE!A:W, 9, FALSE), "GENERAL"))</f>
        <v/>
      </c>
      <c r="H1048" s="2" t="str">
        <f>IF(B1048="","",IFERROR(VLOOKUP(B1048, PLANTA_BASE!A:W, 17, FALSE), "GENERAL"))</f>
        <v/>
      </c>
    </row>
    <row r="1049" spans="1:8" ht="20.100000000000001" customHeight="1" x14ac:dyDescent="0.25">
      <c r="A1049" s="5" t="str">
        <f>IF(B1049="","",IFERROR(VLOOKUP(B1049, PLANTA_BASE!A:W, 2, FALSE), "NO ENCONTRADO EN PLANTA"))</f>
        <v/>
      </c>
      <c r="B1049" s="6"/>
      <c r="C1049" s="7" t="str">
        <f>IF(B1049="","",IFERROR(VLOOKUP(B1049, PLANTA_BASE!A:W, 3, FALSE), ""))</f>
        <v/>
      </c>
      <c r="D1049" s="5" t="str">
        <f>IF(B1049="","",IFERROR(VLOOKUP(B1049, PLANTA_BASE!A:W, 5, FALSE), "NO ENCONTRADO EN PLANTA"))</f>
        <v/>
      </c>
      <c r="E1049" s="5" t="str">
        <f>IF(B1049="","",IFERROR(VLOOKUP(B1049, PLANTA_BASE!A:W, 6, FALSE), "NO ENCONTRADO EN PLANTA"))</f>
        <v/>
      </c>
      <c r="F1049" s="7" t="str">
        <f>IF(B1049="","",IFERROR(VLOOKUP(B1049, PLANTA_BASE!A:W, 8, FALSE), "DOCENTE / FACILITADOR"))</f>
        <v/>
      </c>
      <c r="G1049" s="7" t="str">
        <f>IF(B1049="","",IFERROR(VLOOKUP(B1049, PLANTA_BASE!A:W, 9, FALSE), "GENERAL"))</f>
        <v/>
      </c>
      <c r="H1049" s="5" t="str">
        <f>IF(B1049="","",IFERROR(VLOOKUP(B1049, PLANTA_BASE!A:W, 17, FALSE), "GENERAL"))</f>
        <v/>
      </c>
    </row>
    <row r="1050" spans="1:8" ht="20.100000000000001" customHeight="1" x14ac:dyDescent="0.25">
      <c r="A1050" s="2" t="str">
        <f>IF(B1050="","",IFERROR(VLOOKUP(B1050, PLANTA_BASE!A:W, 2, FALSE), "NO ENCONTRADO EN PLANTA"))</f>
        <v/>
      </c>
      <c r="B1050" s="3"/>
      <c r="C1050" s="4" t="str">
        <f>IF(B1050="","",IFERROR(VLOOKUP(B1050, PLANTA_BASE!A:W, 3, FALSE), ""))</f>
        <v/>
      </c>
      <c r="D1050" s="2" t="str">
        <f>IF(B1050="","",IFERROR(VLOOKUP(B1050, PLANTA_BASE!A:W, 5, FALSE), "NO ENCONTRADO EN PLANTA"))</f>
        <v/>
      </c>
      <c r="E1050" s="2" t="str">
        <f>IF(B1050="","",IFERROR(VLOOKUP(B1050, PLANTA_BASE!A:W, 6, FALSE), "NO ENCONTRADO EN PLANTA"))</f>
        <v/>
      </c>
      <c r="F1050" s="4" t="str">
        <f>IF(B1050="","",IFERROR(VLOOKUP(B1050, PLANTA_BASE!A:W, 8, FALSE), "DOCENTE / FACILITADOR"))</f>
        <v/>
      </c>
      <c r="G1050" s="4" t="str">
        <f>IF(B1050="","",IFERROR(VLOOKUP(B1050, PLANTA_BASE!A:W, 9, FALSE), "GENERAL"))</f>
        <v/>
      </c>
      <c r="H1050" s="2" t="str">
        <f>IF(B1050="","",IFERROR(VLOOKUP(B1050, PLANTA_BASE!A:W, 17, FALSE), "GENERAL"))</f>
        <v/>
      </c>
    </row>
    <row r="1051" spans="1:8" ht="20.100000000000001" customHeight="1" x14ac:dyDescent="0.25">
      <c r="A1051" s="5" t="str">
        <f>IF(B1051="","",IFERROR(VLOOKUP(B1051, PLANTA_BASE!A:W, 2, FALSE), "NO ENCONTRADO EN PLANTA"))</f>
        <v/>
      </c>
      <c r="B1051" s="6"/>
      <c r="C1051" s="7" t="str">
        <f>IF(B1051="","",IFERROR(VLOOKUP(B1051, PLANTA_BASE!A:W, 3, FALSE), ""))</f>
        <v/>
      </c>
      <c r="D1051" s="5" t="str">
        <f>IF(B1051="","",IFERROR(VLOOKUP(B1051, PLANTA_BASE!A:W, 5, FALSE), "NO ENCONTRADO EN PLANTA"))</f>
        <v/>
      </c>
      <c r="E1051" s="5" t="str">
        <f>IF(B1051="","",IFERROR(VLOOKUP(B1051, PLANTA_BASE!A:W, 6, FALSE), "NO ENCONTRADO EN PLANTA"))</f>
        <v/>
      </c>
      <c r="F1051" s="7" t="str">
        <f>IF(B1051="","",IFERROR(VLOOKUP(B1051, PLANTA_BASE!A:W, 8, FALSE), "DOCENTE / FACILITADOR"))</f>
        <v/>
      </c>
      <c r="G1051" s="7" t="str">
        <f>IF(B1051="","",IFERROR(VLOOKUP(B1051, PLANTA_BASE!A:W, 9, FALSE), "GENERAL"))</f>
        <v/>
      </c>
      <c r="H1051" s="5" t="str">
        <f>IF(B1051="","",IFERROR(VLOOKUP(B1051, PLANTA_BASE!A:W, 17, FALSE), "GENERAL"))</f>
        <v/>
      </c>
    </row>
    <row r="1052" spans="1:8" ht="20.100000000000001" customHeight="1" x14ac:dyDescent="0.25">
      <c r="A1052" s="2" t="str">
        <f>IF(B1052="","",IFERROR(VLOOKUP(B1052, PLANTA_BASE!A:W, 2, FALSE), "NO ENCONTRADO EN PLANTA"))</f>
        <v/>
      </c>
      <c r="B1052" s="3"/>
      <c r="C1052" s="4" t="str">
        <f>IF(B1052="","",IFERROR(VLOOKUP(B1052, PLANTA_BASE!A:W, 3, FALSE), ""))</f>
        <v/>
      </c>
      <c r="D1052" s="2" t="str">
        <f>IF(B1052="","",IFERROR(VLOOKUP(B1052, PLANTA_BASE!A:W, 5, FALSE), "NO ENCONTRADO EN PLANTA"))</f>
        <v/>
      </c>
      <c r="E1052" s="2" t="str">
        <f>IF(B1052="","",IFERROR(VLOOKUP(B1052, PLANTA_BASE!A:W, 6, FALSE), "NO ENCONTRADO EN PLANTA"))</f>
        <v/>
      </c>
      <c r="F1052" s="4" t="str">
        <f>IF(B1052="","",IFERROR(VLOOKUP(B1052, PLANTA_BASE!A:W, 8, FALSE), "DOCENTE / FACILITADOR"))</f>
        <v/>
      </c>
      <c r="G1052" s="4" t="str">
        <f>IF(B1052="","",IFERROR(VLOOKUP(B1052, PLANTA_BASE!A:W, 9, FALSE), "GENERAL"))</f>
        <v/>
      </c>
      <c r="H1052" s="2" t="str">
        <f>IF(B1052="","",IFERROR(VLOOKUP(B1052, PLANTA_BASE!A:W, 17, FALSE), "GENERAL"))</f>
        <v/>
      </c>
    </row>
    <row r="1053" spans="1:8" ht="20.100000000000001" customHeight="1" x14ac:dyDescent="0.25">
      <c r="A1053" s="5" t="str">
        <f>IF(B1053="","",IFERROR(VLOOKUP(B1053, PLANTA_BASE!A:W, 2, FALSE), "NO ENCONTRADO EN PLANTA"))</f>
        <v/>
      </c>
      <c r="B1053" s="6"/>
      <c r="C1053" s="7" t="str">
        <f>IF(B1053="","",IFERROR(VLOOKUP(B1053, PLANTA_BASE!A:W, 3, FALSE), ""))</f>
        <v/>
      </c>
      <c r="D1053" s="5" t="str">
        <f>IF(B1053="","",IFERROR(VLOOKUP(B1053, PLANTA_BASE!A:W, 5, FALSE), "NO ENCONTRADO EN PLANTA"))</f>
        <v/>
      </c>
      <c r="E1053" s="5" t="str">
        <f>IF(B1053="","",IFERROR(VLOOKUP(B1053, PLANTA_BASE!A:W, 6, FALSE), "NO ENCONTRADO EN PLANTA"))</f>
        <v/>
      </c>
      <c r="F1053" s="7" t="str">
        <f>IF(B1053="","",IFERROR(VLOOKUP(B1053, PLANTA_BASE!A:W, 8, FALSE), "DOCENTE / FACILITADOR"))</f>
        <v/>
      </c>
      <c r="G1053" s="7" t="str">
        <f>IF(B1053="","",IFERROR(VLOOKUP(B1053, PLANTA_BASE!A:W, 9, FALSE), "GENERAL"))</f>
        <v/>
      </c>
      <c r="H1053" s="5" t="str">
        <f>IF(B1053="","",IFERROR(VLOOKUP(B1053, PLANTA_BASE!A:W, 17, FALSE), "GENERAL"))</f>
        <v/>
      </c>
    </row>
    <row r="1054" spans="1:8" ht="20.100000000000001" customHeight="1" x14ac:dyDescent="0.25">
      <c r="A1054" s="2" t="str">
        <f>IF(B1054="","",IFERROR(VLOOKUP(B1054, PLANTA_BASE!A:W, 2, FALSE), "NO ENCONTRADO EN PLANTA"))</f>
        <v/>
      </c>
      <c r="B1054" s="3"/>
      <c r="C1054" s="4" t="str">
        <f>IF(B1054="","",IFERROR(VLOOKUP(B1054, PLANTA_BASE!A:W, 3, FALSE), ""))</f>
        <v/>
      </c>
      <c r="D1054" s="2" t="str">
        <f>IF(B1054="","",IFERROR(VLOOKUP(B1054, PLANTA_BASE!A:W, 5, FALSE), "NO ENCONTRADO EN PLANTA"))</f>
        <v/>
      </c>
      <c r="E1054" s="2" t="str">
        <f>IF(B1054="","",IFERROR(VLOOKUP(B1054, PLANTA_BASE!A:W, 6, FALSE), "NO ENCONTRADO EN PLANTA"))</f>
        <v/>
      </c>
      <c r="F1054" s="4" t="str">
        <f>IF(B1054="","",IFERROR(VLOOKUP(B1054, PLANTA_BASE!A:W, 8, FALSE), "DOCENTE / FACILITADOR"))</f>
        <v/>
      </c>
      <c r="G1054" s="4" t="str">
        <f>IF(B1054="","",IFERROR(VLOOKUP(B1054, PLANTA_BASE!A:W, 9, FALSE), "GENERAL"))</f>
        <v/>
      </c>
      <c r="H1054" s="2" t="str">
        <f>IF(B1054="","",IFERROR(VLOOKUP(B1054, PLANTA_BASE!A:W, 17, FALSE), "GENERAL"))</f>
        <v/>
      </c>
    </row>
    <row r="1055" spans="1:8" ht="20.100000000000001" customHeight="1" x14ac:dyDescent="0.25">
      <c r="A1055" s="5" t="str">
        <f>IF(B1055="","",IFERROR(VLOOKUP(B1055, PLANTA_BASE!A:W, 2, FALSE), "NO ENCONTRADO EN PLANTA"))</f>
        <v/>
      </c>
      <c r="B1055" s="6"/>
      <c r="C1055" s="7" t="str">
        <f>IF(B1055="","",IFERROR(VLOOKUP(B1055, PLANTA_BASE!A:W, 3, FALSE), ""))</f>
        <v/>
      </c>
      <c r="D1055" s="5" t="str">
        <f>IF(B1055="","",IFERROR(VLOOKUP(B1055, PLANTA_BASE!A:W, 5, FALSE), "NO ENCONTRADO EN PLANTA"))</f>
        <v/>
      </c>
      <c r="E1055" s="5" t="str">
        <f>IF(B1055="","",IFERROR(VLOOKUP(B1055, PLANTA_BASE!A:W, 6, FALSE), "NO ENCONTRADO EN PLANTA"))</f>
        <v/>
      </c>
      <c r="F1055" s="7" t="str">
        <f>IF(B1055="","",IFERROR(VLOOKUP(B1055, PLANTA_BASE!A:W, 8, FALSE), "DOCENTE / FACILITADOR"))</f>
        <v/>
      </c>
      <c r="G1055" s="7" t="str">
        <f>IF(B1055="","",IFERROR(VLOOKUP(B1055, PLANTA_BASE!A:W, 9, FALSE), "GENERAL"))</f>
        <v/>
      </c>
      <c r="H1055" s="5" t="str">
        <f>IF(B1055="","",IFERROR(VLOOKUP(B1055, PLANTA_BASE!A:W, 17, FALSE), "GENERAL"))</f>
        <v/>
      </c>
    </row>
    <row r="1056" spans="1:8" ht="20.100000000000001" customHeight="1" x14ac:dyDescent="0.25">
      <c r="A1056" s="2" t="str">
        <f>IF(B1056="","",IFERROR(VLOOKUP(B1056, PLANTA_BASE!A:W, 2, FALSE), "NO ENCONTRADO EN PLANTA"))</f>
        <v/>
      </c>
      <c r="B1056" s="3"/>
      <c r="C1056" s="4" t="str">
        <f>IF(B1056="","",IFERROR(VLOOKUP(B1056, PLANTA_BASE!A:W, 3, FALSE), ""))</f>
        <v/>
      </c>
      <c r="D1056" s="2" t="str">
        <f>IF(B1056="","",IFERROR(VLOOKUP(B1056, PLANTA_BASE!A:W, 5, FALSE), "NO ENCONTRADO EN PLANTA"))</f>
        <v/>
      </c>
      <c r="E1056" s="2" t="str">
        <f>IF(B1056="","",IFERROR(VLOOKUP(B1056, PLANTA_BASE!A:W, 6, FALSE), "NO ENCONTRADO EN PLANTA"))</f>
        <v/>
      </c>
      <c r="F1056" s="4" t="str">
        <f>IF(B1056="","",IFERROR(VLOOKUP(B1056, PLANTA_BASE!A:W, 8, FALSE), "DOCENTE / FACILITADOR"))</f>
        <v/>
      </c>
      <c r="G1056" s="4" t="str">
        <f>IF(B1056="","",IFERROR(VLOOKUP(B1056, PLANTA_BASE!A:W, 9, FALSE), "GENERAL"))</f>
        <v/>
      </c>
      <c r="H1056" s="2" t="str">
        <f>IF(B1056="","",IFERROR(VLOOKUP(B1056, PLANTA_BASE!A:W, 17, FALSE), "GENERAL"))</f>
        <v/>
      </c>
    </row>
    <row r="1057" spans="1:8" ht="20.100000000000001" customHeight="1" x14ac:dyDescent="0.25">
      <c r="A1057" s="5" t="str">
        <f>IF(B1057="","",IFERROR(VLOOKUP(B1057, PLANTA_BASE!A:W, 2, FALSE), "NO ENCONTRADO EN PLANTA"))</f>
        <v/>
      </c>
      <c r="B1057" s="6"/>
      <c r="C1057" s="7" t="str">
        <f>IF(B1057="","",IFERROR(VLOOKUP(B1057, PLANTA_BASE!A:W, 3, FALSE), ""))</f>
        <v/>
      </c>
      <c r="D1057" s="5" t="str">
        <f>IF(B1057="","",IFERROR(VLOOKUP(B1057, PLANTA_BASE!A:W, 5, FALSE), "NO ENCONTRADO EN PLANTA"))</f>
        <v/>
      </c>
      <c r="E1057" s="5" t="str">
        <f>IF(B1057="","",IFERROR(VLOOKUP(B1057, PLANTA_BASE!A:W, 6, FALSE), "NO ENCONTRADO EN PLANTA"))</f>
        <v/>
      </c>
      <c r="F1057" s="7" t="str">
        <f>IF(B1057="","",IFERROR(VLOOKUP(B1057, PLANTA_BASE!A:W, 8, FALSE), "DOCENTE / FACILITADOR"))</f>
        <v/>
      </c>
      <c r="G1057" s="7" t="str">
        <f>IF(B1057="","",IFERROR(VLOOKUP(B1057, PLANTA_BASE!A:W, 9, FALSE), "GENERAL"))</f>
        <v/>
      </c>
      <c r="H1057" s="5" t="str">
        <f>IF(B1057="","",IFERROR(VLOOKUP(B1057, PLANTA_BASE!A:W, 17, FALSE), "GENERAL"))</f>
        <v/>
      </c>
    </row>
    <row r="1058" spans="1:8" ht="20.100000000000001" customHeight="1" x14ac:dyDescent="0.25">
      <c r="A1058" s="2" t="str">
        <f>IF(B1058="","",IFERROR(VLOOKUP(B1058, PLANTA_BASE!A:W, 2, FALSE), "NO ENCONTRADO EN PLANTA"))</f>
        <v/>
      </c>
      <c r="B1058" s="3"/>
      <c r="C1058" s="4" t="str">
        <f>IF(B1058="","",IFERROR(VLOOKUP(B1058, PLANTA_BASE!A:W, 3, FALSE), ""))</f>
        <v/>
      </c>
      <c r="D1058" s="2" t="str">
        <f>IF(B1058="","",IFERROR(VLOOKUP(B1058, PLANTA_BASE!A:W, 5, FALSE), "NO ENCONTRADO EN PLANTA"))</f>
        <v/>
      </c>
      <c r="E1058" s="2" t="str">
        <f>IF(B1058="","",IFERROR(VLOOKUP(B1058, PLANTA_BASE!A:W, 6, FALSE), "NO ENCONTRADO EN PLANTA"))</f>
        <v/>
      </c>
      <c r="F1058" s="4" t="str">
        <f>IF(B1058="","",IFERROR(VLOOKUP(B1058, PLANTA_BASE!A:W, 8, FALSE), "DOCENTE / FACILITADOR"))</f>
        <v/>
      </c>
      <c r="G1058" s="4" t="str">
        <f>IF(B1058="","",IFERROR(VLOOKUP(B1058, PLANTA_BASE!A:W, 9, FALSE), "GENERAL"))</f>
        <v/>
      </c>
      <c r="H1058" s="2" t="str">
        <f>IF(B1058="","",IFERROR(VLOOKUP(B1058, PLANTA_BASE!A:W, 17, FALSE), "GENERAL"))</f>
        <v/>
      </c>
    </row>
    <row r="1059" spans="1:8" ht="20.100000000000001" customHeight="1" x14ac:dyDescent="0.25">
      <c r="A1059" s="5" t="str">
        <f>IF(B1059="","",IFERROR(VLOOKUP(B1059, PLANTA_BASE!A:W, 2, FALSE), "NO ENCONTRADO EN PLANTA"))</f>
        <v/>
      </c>
      <c r="B1059" s="6"/>
      <c r="C1059" s="7" t="str">
        <f>IF(B1059="","",IFERROR(VLOOKUP(B1059, PLANTA_BASE!A:W, 3, FALSE), ""))</f>
        <v/>
      </c>
      <c r="D1059" s="5" t="str">
        <f>IF(B1059="","",IFERROR(VLOOKUP(B1059, PLANTA_BASE!A:W, 5, FALSE), "NO ENCONTRADO EN PLANTA"))</f>
        <v/>
      </c>
      <c r="E1059" s="5" t="str">
        <f>IF(B1059="","",IFERROR(VLOOKUP(B1059, PLANTA_BASE!A:W, 6, FALSE), "NO ENCONTRADO EN PLANTA"))</f>
        <v/>
      </c>
      <c r="F1059" s="7" t="str">
        <f>IF(B1059="","",IFERROR(VLOOKUP(B1059, PLANTA_BASE!A:W, 8, FALSE), "DOCENTE / FACILITADOR"))</f>
        <v/>
      </c>
      <c r="G1059" s="7" t="str">
        <f>IF(B1059="","",IFERROR(VLOOKUP(B1059, PLANTA_BASE!A:W, 9, FALSE), "GENERAL"))</f>
        <v/>
      </c>
      <c r="H1059" s="5" t="str">
        <f>IF(B1059="","",IFERROR(VLOOKUP(B1059, PLANTA_BASE!A:W, 17, FALSE), "GENERAL"))</f>
        <v/>
      </c>
    </row>
    <row r="1060" spans="1:8" ht="20.100000000000001" customHeight="1" x14ac:dyDescent="0.25">
      <c r="A1060" s="2" t="str">
        <f>IF(B1060="","",IFERROR(VLOOKUP(B1060, PLANTA_BASE!A:W, 2, FALSE), "NO ENCONTRADO EN PLANTA"))</f>
        <v/>
      </c>
      <c r="B1060" s="3"/>
      <c r="C1060" s="4" t="str">
        <f>IF(B1060="","",IFERROR(VLOOKUP(B1060, PLANTA_BASE!A:W, 3, FALSE), ""))</f>
        <v/>
      </c>
      <c r="D1060" s="2" t="str">
        <f>IF(B1060="","",IFERROR(VLOOKUP(B1060, PLANTA_BASE!A:W, 5, FALSE), "NO ENCONTRADO EN PLANTA"))</f>
        <v/>
      </c>
      <c r="E1060" s="2" t="str">
        <f>IF(B1060="","",IFERROR(VLOOKUP(B1060, PLANTA_BASE!A:W, 6, FALSE), "NO ENCONTRADO EN PLANTA"))</f>
        <v/>
      </c>
      <c r="F1060" s="4" t="str">
        <f>IF(B1060="","",IFERROR(VLOOKUP(B1060, PLANTA_BASE!A:W, 8, FALSE), "DOCENTE / FACILITADOR"))</f>
        <v/>
      </c>
      <c r="G1060" s="4" t="str">
        <f>IF(B1060="","",IFERROR(VLOOKUP(B1060, PLANTA_BASE!A:W, 9, FALSE), "GENERAL"))</f>
        <v/>
      </c>
      <c r="H1060" s="2" t="str">
        <f>IF(B1060="","",IFERROR(VLOOKUP(B1060, PLANTA_BASE!A:W, 17, FALSE), "GENERAL"))</f>
        <v/>
      </c>
    </row>
    <row r="1061" spans="1:8" ht="20.100000000000001" customHeight="1" x14ac:dyDescent="0.25">
      <c r="A1061" s="5" t="str">
        <f>IF(B1061="","",IFERROR(VLOOKUP(B1061, PLANTA_BASE!A:W, 2, FALSE), "NO ENCONTRADO EN PLANTA"))</f>
        <v/>
      </c>
      <c r="B1061" s="6"/>
      <c r="C1061" s="7" t="str">
        <f>IF(B1061="","",IFERROR(VLOOKUP(B1061, PLANTA_BASE!A:W, 3, FALSE), ""))</f>
        <v/>
      </c>
      <c r="D1061" s="5" t="str">
        <f>IF(B1061="","",IFERROR(VLOOKUP(B1061, PLANTA_BASE!A:W, 5, FALSE), "NO ENCONTRADO EN PLANTA"))</f>
        <v/>
      </c>
      <c r="E1061" s="5" t="str">
        <f>IF(B1061="","",IFERROR(VLOOKUP(B1061, PLANTA_BASE!A:W, 6, FALSE), "NO ENCONTRADO EN PLANTA"))</f>
        <v/>
      </c>
      <c r="F1061" s="7" t="str">
        <f>IF(B1061="","",IFERROR(VLOOKUP(B1061, PLANTA_BASE!A:W, 8, FALSE), "DOCENTE / FACILITADOR"))</f>
        <v/>
      </c>
      <c r="G1061" s="7" t="str">
        <f>IF(B1061="","",IFERROR(VLOOKUP(B1061, PLANTA_BASE!A:W, 9, FALSE), "GENERAL"))</f>
        <v/>
      </c>
      <c r="H1061" s="5" t="str">
        <f>IF(B1061="","",IFERROR(VLOOKUP(B1061, PLANTA_BASE!A:W, 17, FALSE), "GENERAL"))</f>
        <v/>
      </c>
    </row>
    <row r="1062" spans="1:8" ht="20.100000000000001" customHeight="1" x14ac:dyDescent="0.25">
      <c r="A1062" s="2" t="str">
        <f>IF(B1062="","",IFERROR(VLOOKUP(B1062, PLANTA_BASE!A:W, 2, FALSE), "NO ENCONTRADO EN PLANTA"))</f>
        <v/>
      </c>
      <c r="B1062" s="3"/>
      <c r="C1062" s="4" t="str">
        <f>IF(B1062="","",IFERROR(VLOOKUP(B1062, PLANTA_BASE!A:W, 3, FALSE), ""))</f>
        <v/>
      </c>
      <c r="D1062" s="2" t="str">
        <f>IF(B1062="","",IFERROR(VLOOKUP(B1062, PLANTA_BASE!A:W, 5, FALSE), "NO ENCONTRADO EN PLANTA"))</f>
        <v/>
      </c>
      <c r="E1062" s="2" t="str">
        <f>IF(B1062="","",IFERROR(VLOOKUP(B1062, PLANTA_BASE!A:W, 6, FALSE), "NO ENCONTRADO EN PLANTA"))</f>
        <v/>
      </c>
      <c r="F1062" s="4" t="str">
        <f>IF(B1062="","",IFERROR(VLOOKUP(B1062, PLANTA_BASE!A:W, 8, FALSE), "DOCENTE / FACILITADOR"))</f>
        <v/>
      </c>
      <c r="G1062" s="4" t="str">
        <f>IF(B1062="","",IFERROR(VLOOKUP(B1062, PLANTA_BASE!A:W, 9, FALSE), "GENERAL"))</f>
        <v/>
      </c>
      <c r="H1062" s="2" t="str">
        <f>IF(B1062="","",IFERROR(VLOOKUP(B1062, PLANTA_BASE!A:W, 17, FALSE), "GENERAL"))</f>
        <v/>
      </c>
    </row>
    <row r="1063" spans="1:8" ht="20.100000000000001" customHeight="1" x14ac:dyDescent="0.25">
      <c r="A1063" s="5" t="str">
        <f>IF(B1063="","",IFERROR(VLOOKUP(B1063, PLANTA_BASE!A:W, 2, FALSE), "NO ENCONTRADO EN PLANTA"))</f>
        <v/>
      </c>
      <c r="B1063" s="6"/>
      <c r="C1063" s="7" t="str">
        <f>IF(B1063="","",IFERROR(VLOOKUP(B1063, PLANTA_BASE!A:W, 3, FALSE), ""))</f>
        <v/>
      </c>
      <c r="D1063" s="5" t="str">
        <f>IF(B1063="","",IFERROR(VLOOKUP(B1063, PLANTA_BASE!A:W, 5, FALSE), "NO ENCONTRADO EN PLANTA"))</f>
        <v/>
      </c>
      <c r="E1063" s="5" t="str">
        <f>IF(B1063="","",IFERROR(VLOOKUP(B1063, PLANTA_BASE!A:W, 6, FALSE), "NO ENCONTRADO EN PLANTA"))</f>
        <v/>
      </c>
      <c r="F1063" s="7" t="str">
        <f>IF(B1063="","",IFERROR(VLOOKUP(B1063, PLANTA_BASE!A:W, 8, FALSE), "DOCENTE / FACILITADOR"))</f>
        <v/>
      </c>
      <c r="G1063" s="7" t="str">
        <f>IF(B1063="","",IFERROR(VLOOKUP(B1063, PLANTA_BASE!A:W, 9, FALSE), "GENERAL"))</f>
        <v/>
      </c>
      <c r="H1063" s="5" t="str">
        <f>IF(B1063="","",IFERROR(VLOOKUP(B1063, PLANTA_BASE!A:W, 17, FALSE), "GENERAL"))</f>
        <v/>
      </c>
    </row>
    <row r="1064" spans="1:8" ht="20.100000000000001" customHeight="1" x14ac:dyDescent="0.25">
      <c r="A1064" s="2" t="str">
        <f>IF(B1064="","",IFERROR(VLOOKUP(B1064, PLANTA_BASE!A:W, 2, FALSE), "NO ENCONTRADO EN PLANTA"))</f>
        <v/>
      </c>
      <c r="B1064" s="3"/>
      <c r="C1064" s="4" t="str">
        <f>IF(B1064="","",IFERROR(VLOOKUP(B1064, PLANTA_BASE!A:W, 3, FALSE), ""))</f>
        <v/>
      </c>
      <c r="D1064" s="2" t="str">
        <f>IF(B1064="","",IFERROR(VLOOKUP(B1064, PLANTA_BASE!A:W, 5, FALSE), "NO ENCONTRADO EN PLANTA"))</f>
        <v/>
      </c>
      <c r="E1064" s="2" t="str">
        <f>IF(B1064="","",IFERROR(VLOOKUP(B1064, PLANTA_BASE!A:W, 6, FALSE), "NO ENCONTRADO EN PLANTA"))</f>
        <v/>
      </c>
      <c r="F1064" s="4" t="str">
        <f>IF(B1064="","",IFERROR(VLOOKUP(B1064, PLANTA_BASE!A:W, 8, FALSE), "DOCENTE / FACILITADOR"))</f>
        <v/>
      </c>
      <c r="G1064" s="4" t="str">
        <f>IF(B1064="","",IFERROR(VLOOKUP(B1064, PLANTA_BASE!A:W, 9, FALSE), "GENERAL"))</f>
        <v/>
      </c>
      <c r="H1064" s="2" t="str">
        <f>IF(B1064="","",IFERROR(VLOOKUP(B1064, PLANTA_BASE!A:W, 17, FALSE), "GENERAL"))</f>
        <v/>
      </c>
    </row>
    <row r="1065" spans="1:8" ht="20.100000000000001" customHeight="1" x14ac:dyDescent="0.25">
      <c r="A1065" s="5" t="str">
        <f>IF(B1065="","",IFERROR(VLOOKUP(B1065, PLANTA_BASE!A:W, 2, FALSE), "NO ENCONTRADO EN PLANTA"))</f>
        <v/>
      </c>
      <c r="B1065" s="6"/>
      <c r="C1065" s="7" t="str">
        <f>IF(B1065="","",IFERROR(VLOOKUP(B1065, PLANTA_BASE!A:W, 3, FALSE), ""))</f>
        <v/>
      </c>
      <c r="D1065" s="5" t="str">
        <f>IF(B1065="","",IFERROR(VLOOKUP(B1065, PLANTA_BASE!A:W, 5, FALSE), "NO ENCONTRADO EN PLANTA"))</f>
        <v/>
      </c>
      <c r="E1065" s="5" t="str">
        <f>IF(B1065="","",IFERROR(VLOOKUP(B1065, PLANTA_BASE!A:W, 6, FALSE), "NO ENCONTRADO EN PLANTA"))</f>
        <v/>
      </c>
      <c r="F1065" s="7" t="str">
        <f>IF(B1065="","",IFERROR(VLOOKUP(B1065, PLANTA_BASE!A:W, 8, FALSE), "DOCENTE / FACILITADOR"))</f>
        <v/>
      </c>
      <c r="G1065" s="7" t="str">
        <f>IF(B1065="","",IFERROR(VLOOKUP(B1065, PLANTA_BASE!A:W, 9, FALSE), "GENERAL"))</f>
        <v/>
      </c>
      <c r="H1065" s="5" t="str">
        <f>IF(B1065="","",IFERROR(VLOOKUP(B1065, PLANTA_BASE!A:W, 17, FALSE), "GENERAL"))</f>
        <v/>
      </c>
    </row>
    <row r="1066" spans="1:8" ht="20.100000000000001" customHeight="1" x14ac:dyDescent="0.25">
      <c r="A1066" s="2" t="str">
        <f>IF(B1066="","",IFERROR(VLOOKUP(B1066, PLANTA_BASE!A:W, 2, FALSE), "NO ENCONTRADO EN PLANTA"))</f>
        <v/>
      </c>
      <c r="B1066" s="3"/>
      <c r="C1066" s="4" t="str">
        <f>IF(B1066="","",IFERROR(VLOOKUP(B1066, PLANTA_BASE!A:W, 3, FALSE), ""))</f>
        <v/>
      </c>
      <c r="D1066" s="2" t="str">
        <f>IF(B1066="","",IFERROR(VLOOKUP(B1066, PLANTA_BASE!A:W, 5, FALSE), "NO ENCONTRADO EN PLANTA"))</f>
        <v/>
      </c>
      <c r="E1066" s="2" t="str">
        <f>IF(B1066="","",IFERROR(VLOOKUP(B1066, PLANTA_BASE!A:W, 6, FALSE), "NO ENCONTRADO EN PLANTA"))</f>
        <v/>
      </c>
      <c r="F1066" s="4" t="str">
        <f>IF(B1066="","",IFERROR(VLOOKUP(B1066, PLANTA_BASE!A:W, 8, FALSE), "DOCENTE / FACILITADOR"))</f>
        <v/>
      </c>
      <c r="G1066" s="4" t="str">
        <f>IF(B1066="","",IFERROR(VLOOKUP(B1066, PLANTA_BASE!A:W, 9, FALSE), "GENERAL"))</f>
        <v/>
      </c>
      <c r="H1066" s="2" t="str">
        <f>IF(B1066="","",IFERROR(VLOOKUP(B1066, PLANTA_BASE!A:W, 17, FALSE), "GENERAL"))</f>
        <v/>
      </c>
    </row>
    <row r="1067" spans="1:8" ht="20.100000000000001" customHeight="1" x14ac:dyDescent="0.25">
      <c r="A1067" s="5" t="str">
        <f>IF(B1067="","",IFERROR(VLOOKUP(B1067, PLANTA_BASE!A:W, 2, FALSE), "NO ENCONTRADO EN PLANTA"))</f>
        <v/>
      </c>
      <c r="B1067" s="6"/>
      <c r="C1067" s="7" t="str">
        <f>IF(B1067="","",IFERROR(VLOOKUP(B1067, PLANTA_BASE!A:W, 3, FALSE), ""))</f>
        <v/>
      </c>
      <c r="D1067" s="5" t="str">
        <f>IF(B1067="","",IFERROR(VLOOKUP(B1067, PLANTA_BASE!A:W, 5, FALSE), "NO ENCONTRADO EN PLANTA"))</f>
        <v/>
      </c>
      <c r="E1067" s="5" t="str">
        <f>IF(B1067="","",IFERROR(VLOOKUP(B1067, PLANTA_BASE!A:W, 6, FALSE), "NO ENCONTRADO EN PLANTA"))</f>
        <v/>
      </c>
      <c r="F1067" s="7" t="str">
        <f>IF(B1067="","",IFERROR(VLOOKUP(B1067, PLANTA_BASE!A:W, 8, FALSE), "DOCENTE / FACILITADOR"))</f>
        <v/>
      </c>
      <c r="G1067" s="7" t="str">
        <f>IF(B1067="","",IFERROR(VLOOKUP(B1067, PLANTA_BASE!A:W, 9, FALSE), "GENERAL"))</f>
        <v/>
      </c>
      <c r="H1067" s="5" t="str">
        <f>IF(B1067="","",IFERROR(VLOOKUP(B1067, PLANTA_BASE!A:W, 17, FALSE), "GENERAL"))</f>
        <v/>
      </c>
    </row>
    <row r="1068" spans="1:8" ht="20.100000000000001" customHeight="1" x14ac:dyDescent="0.25">
      <c r="A1068" s="2" t="str">
        <f>IF(B1068="","",IFERROR(VLOOKUP(B1068, PLANTA_BASE!A:W, 2, FALSE), "NO ENCONTRADO EN PLANTA"))</f>
        <v/>
      </c>
      <c r="B1068" s="3"/>
      <c r="C1068" s="4" t="str">
        <f>IF(B1068="","",IFERROR(VLOOKUP(B1068, PLANTA_BASE!A:W, 3, FALSE), ""))</f>
        <v/>
      </c>
      <c r="D1068" s="2" t="str">
        <f>IF(B1068="","",IFERROR(VLOOKUP(B1068, PLANTA_BASE!A:W, 5, FALSE), "NO ENCONTRADO EN PLANTA"))</f>
        <v/>
      </c>
      <c r="E1068" s="2" t="str">
        <f>IF(B1068="","",IFERROR(VLOOKUP(B1068, PLANTA_BASE!A:W, 6, FALSE), "NO ENCONTRADO EN PLANTA"))</f>
        <v/>
      </c>
      <c r="F1068" s="4" t="str">
        <f>IF(B1068="","",IFERROR(VLOOKUP(B1068, PLANTA_BASE!A:W, 8, FALSE), "DOCENTE / FACILITADOR"))</f>
        <v/>
      </c>
      <c r="G1068" s="4" t="str">
        <f>IF(B1068="","",IFERROR(VLOOKUP(B1068, PLANTA_BASE!A:W, 9, FALSE), "GENERAL"))</f>
        <v/>
      </c>
      <c r="H1068" s="2" t="str">
        <f>IF(B1068="","",IFERROR(VLOOKUP(B1068, PLANTA_BASE!A:W, 17, FALSE), "GENERAL"))</f>
        <v/>
      </c>
    </row>
    <row r="1069" spans="1:8" ht="20.100000000000001" customHeight="1" x14ac:dyDescent="0.25">
      <c r="A1069" s="5" t="str">
        <f>IF(B1069="","",IFERROR(VLOOKUP(B1069, PLANTA_BASE!A:W, 2, FALSE), "NO ENCONTRADO EN PLANTA"))</f>
        <v/>
      </c>
      <c r="B1069" s="6"/>
      <c r="C1069" s="7" t="str">
        <f>IF(B1069="","",IFERROR(VLOOKUP(B1069, PLANTA_BASE!A:W, 3, FALSE), ""))</f>
        <v/>
      </c>
      <c r="D1069" s="5" t="str">
        <f>IF(B1069="","",IFERROR(VLOOKUP(B1069, PLANTA_BASE!A:W, 5, FALSE), "NO ENCONTRADO EN PLANTA"))</f>
        <v/>
      </c>
      <c r="E1069" s="5" t="str">
        <f>IF(B1069="","",IFERROR(VLOOKUP(B1069, PLANTA_BASE!A:W, 6, FALSE), "NO ENCONTRADO EN PLANTA"))</f>
        <v/>
      </c>
      <c r="F1069" s="7" t="str">
        <f>IF(B1069="","",IFERROR(VLOOKUP(B1069, PLANTA_BASE!A:W, 8, FALSE), "DOCENTE / FACILITADOR"))</f>
        <v/>
      </c>
      <c r="G1069" s="7" t="str">
        <f>IF(B1069="","",IFERROR(VLOOKUP(B1069, PLANTA_BASE!A:W, 9, FALSE), "GENERAL"))</f>
        <v/>
      </c>
      <c r="H1069" s="5" t="str">
        <f>IF(B1069="","",IFERROR(VLOOKUP(B1069, PLANTA_BASE!A:W, 17, FALSE), "GENERAL"))</f>
        <v/>
      </c>
    </row>
    <row r="1070" spans="1:8" ht="20.100000000000001" customHeight="1" x14ac:dyDescent="0.25">
      <c r="A1070" s="2" t="str">
        <f>IF(B1070="","",IFERROR(VLOOKUP(B1070, PLANTA_BASE!A:W, 2, FALSE), "NO ENCONTRADO EN PLANTA"))</f>
        <v/>
      </c>
      <c r="B1070" s="3"/>
      <c r="C1070" s="4" t="str">
        <f>IF(B1070="","",IFERROR(VLOOKUP(B1070, PLANTA_BASE!A:W, 3, FALSE), ""))</f>
        <v/>
      </c>
      <c r="D1070" s="2" t="str">
        <f>IF(B1070="","",IFERROR(VLOOKUP(B1070, PLANTA_BASE!A:W, 5, FALSE), "NO ENCONTRADO EN PLANTA"))</f>
        <v/>
      </c>
      <c r="E1070" s="2" t="str">
        <f>IF(B1070="","",IFERROR(VLOOKUP(B1070, PLANTA_BASE!A:W, 6, FALSE), "NO ENCONTRADO EN PLANTA"))</f>
        <v/>
      </c>
      <c r="F1070" s="4" t="str">
        <f>IF(B1070="","",IFERROR(VLOOKUP(B1070, PLANTA_BASE!A:W, 8, FALSE), "DOCENTE / FACILITADOR"))</f>
        <v/>
      </c>
      <c r="G1070" s="4" t="str">
        <f>IF(B1070="","",IFERROR(VLOOKUP(B1070, PLANTA_BASE!A:W, 9, FALSE), "GENERAL"))</f>
        <v/>
      </c>
      <c r="H1070" s="2" t="str">
        <f>IF(B1070="","",IFERROR(VLOOKUP(B1070, PLANTA_BASE!A:W, 17, FALSE), "GENERAL"))</f>
        <v/>
      </c>
    </row>
    <row r="1071" spans="1:8" ht="20.100000000000001" customHeight="1" x14ac:dyDescent="0.25">
      <c r="A1071" s="5" t="str">
        <f>IF(B1071="","",IFERROR(VLOOKUP(B1071, PLANTA_BASE!A:W, 2, FALSE), "NO ENCONTRADO EN PLANTA"))</f>
        <v/>
      </c>
      <c r="B1071" s="6"/>
      <c r="C1071" s="7" t="str">
        <f>IF(B1071="","",IFERROR(VLOOKUP(B1071, PLANTA_BASE!A:W, 3, FALSE), ""))</f>
        <v/>
      </c>
      <c r="D1071" s="5" t="str">
        <f>IF(B1071="","",IFERROR(VLOOKUP(B1071, PLANTA_BASE!A:W, 5, FALSE), "NO ENCONTRADO EN PLANTA"))</f>
        <v/>
      </c>
      <c r="E1071" s="5" t="str">
        <f>IF(B1071="","",IFERROR(VLOOKUP(B1071, PLANTA_BASE!A:W, 6, FALSE), "NO ENCONTRADO EN PLANTA"))</f>
        <v/>
      </c>
      <c r="F1071" s="7" t="str">
        <f>IF(B1071="","",IFERROR(VLOOKUP(B1071, PLANTA_BASE!A:W, 8, FALSE), "DOCENTE / FACILITADOR"))</f>
        <v/>
      </c>
      <c r="G1071" s="7" t="str">
        <f>IF(B1071="","",IFERROR(VLOOKUP(B1071, PLANTA_BASE!A:W, 9, FALSE), "GENERAL"))</f>
        <v/>
      </c>
      <c r="H1071" s="5" t="str">
        <f>IF(B1071="","",IFERROR(VLOOKUP(B1071, PLANTA_BASE!A:W, 17, FALSE), "GENERAL"))</f>
        <v/>
      </c>
    </row>
    <row r="1072" spans="1:8" ht="20.100000000000001" customHeight="1" x14ac:dyDescent="0.25">
      <c r="A1072" s="2" t="str">
        <f>IF(B1072="","",IFERROR(VLOOKUP(B1072, PLANTA_BASE!A:W, 2, FALSE), "NO ENCONTRADO EN PLANTA"))</f>
        <v/>
      </c>
      <c r="B1072" s="3"/>
      <c r="C1072" s="4" t="str">
        <f>IF(B1072="","",IFERROR(VLOOKUP(B1072, PLANTA_BASE!A:W, 3, FALSE), ""))</f>
        <v/>
      </c>
      <c r="D1072" s="2" t="str">
        <f>IF(B1072="","",IFERROR(VLOOKUP(B1072, PLANTA_BASE!A:W, 5, FALSE), "NO ENCONTRADO EN PLANTA"))</f>
        <v/>
      </c>
      <c r="E1072" s="2" t="str">
        <f>IF(B1072="","",IFERROR(VLOOKUP(B1072, PLANTA_BASE!A:W, 6, FALSE), "NO ENCONTRADO EN PLANTA"))</f>
        <v/>
      </c>
      <c r="F1072" s="4" t="str">
        <f>IF(B1072="","",IFERROR(VLOOKUP(B1072, PLANTA_BASE!A:W, 8, FALSE), "DOCENTE / FACILITADOR"))</f>
        <v/>
      </c>
      <c r="G1072" s="4" t="str">
        <f>IF(B1072="","",IFERROR(VLOOKUP(B1072, PLANTA_BASE!A:W, 9, FALSE), "GENERAL"))</f>
        <v/>
      </c>
      <c r="H1072" s="2" t="str">
        <f>IF(B1072="","",IFERROR(VLOOKUP(B1072, PLANTA_BASE!A:W, 17, FALSE), "GENERAL"))</f>
        <v/>
      </c>
    </row>
    <row r="1073" spans="1:8" ht="20.100000000000001" customHeight="1" x14ac:dyDescent="0.25">
      <c r="A1073" s="5" t="str">
        <f>IF(B1073="","",IFERROR(VLOOKUP(B1073, PLANTA_BASE!A:W, 2, FALSE), "NO ENCONTRADO EN PLANTA"))</f>
        <v/>
      </c>
      <c r="B1073" s="6"/>
      <c r="C1073" s="7" t="str">
        <f>IF(B1073="","",IFERROR(VLOOKUP(B1073, PLANTA_BASE!A:W, 3, FALSE), ""))</f>
        <v/>
      </c>
      <c r="D1073" s="5" t="str">
        <f>IF(B1073="","",IFERROR(VLOOKUP(B1073, PLANTA_BASE!A:W, 5, FALSE), "NO ENCONTRADO EN PLANTA"))</f>
        <v/>
      </c>
      <c r="E1073" s="5" t="str">
        <f>IF(B1073="","",IFERROR(VLOOKUP(B1073, PLANTA_BASE!A:W, 6, FALSE), "NO ENCONTRADO EN PLANTA"))</f>
        <v/>
      </c>
      <c r="F1073" s="7" t="str">
        <f>IF(B1073="","",IFERROR(VLOOKUP(B1073, PLANTA_BASE!A:W, 8, FALSE), "DOCENTE / FACILITADOR"))</f>
        <v/>
      </c>
      <c r="G1073" s="7" t="str">
        <f>IF(B1073="","",IFERROR(VLOOKUP(B1073, PLANTA_BASE!A:W, 9, FALSE), "GENERAL"))</f>
        <v/>
      </c>
      <c r="H1073" s="5" t="str">
        <f>IF(B1073="","",IFERROR(VLOOKUP(B1073, PLANTA_BASE!A:W, 17, FALSE), "GENERAL"))</f>
        <v/>
      </c>
    </row>
    <row r="1074" spans="1:8" ht="20.100000000000001" customHeight="1" x14ac:dyDescent="0.25">
      <c r="A1074" s="2" t="str">
        <f>IF(B1074="","",IFERROR(VLOOKUP(B1074, PLANTA_BASE!A:W, 2, FALSE), "NO ENCONTRADO EN PLANTA"))</f>
        <v/>
      </c>
      <c r="B1074" s="3"/>
      <c r="C1074" s="4" t="str">
        <f>IF(B1074="","",IFERROR(VLOOKUP(B1074, PLANTA_BASE!A:W, 3, FALSE), ""))</f>
        <v/>
      </c>
      <c r="D1074" s="2" t="str">
        <f>IF(B1074="","",IFERROR(VLOOKUP(B1074, PLANTA_BASE!A:W, 5, FALSE), "NO ENCONTRADO EN PLANTA"))</f>
        <v/>
      </c>
      <c r="E1074" s="2" t="str">
        <f>IF(B1074="","",IFERROR(VLOOKUP(B1074, PLANTA_BASE!A:W, 6, FALSE), "NO ENCONTRADO EN PLANTA"))</f>
        <v/>
      </c>
      <c r="F1074" s="4" t="str">
        <f>IF(B1074="","",IFERROR(VLOOKUP(B1074, PLANTA_BASE!A:W, 8, FALSE), "DOCENTE / FACILITADOR"))</f>
        <v/>
      </c>
      <c r="G1074" s="4" t="str">
        <f>IF(B1074="","",IFERROR(VLOOKUP(B1074, PLANTA_BASE!A:W, 9, FALSE), "GENERAL"))</f>
        <v/>
      </c>
      <c r="H1074" s="2" t="str">
        <f>IF(B1074="","",IFERROR(VLOOKUP(B1074, PLANTA_BASE!A:W, 17, FALSE), "GENERAL"))</f>
        <v/>
      </c>
    </row>
    <row r="1075" spans="1:8" ht="20.100000000000001" customHeight="1" x14ac:dyDescent="0.25">
      <c r="A1075" s="5" t="str">
        <f>IF(B1075="","",IFERROR(VLOOKUP(B1075, PLANTA_BASE!A:W, 2, FALSE), "NO ENCONTRADO EN PLANTA"))</f>
        <v/>
      </c>
      <c r="B1075" s="6"/>
      <c r="C1075" s="7" t="str">
        <f>IF(B1075="","",IFERROR(VLOOKUP(B1075, PLANTA_BASE!A:W, 3, FALSE), ""))</f>
        <v/>
      </c>
      <c r="D1075" s="5" t="str">
        <f>IF(B1075="","",IFERROR(VLOOKUP(B1075, PLANTA_BASE!A:W, 5, FALSE), "NO ENCONTRADO EN PLANTA"))</f>
        <v/>
      </c>
      <c r="E1075" s="5" t="str">
        <f>IF(B1075="","",IFERROR(VLOOKUP(B1075, PLANTA_BASE!A:W, 6, FALSE), "NO ENCONTRADO EN PLANTA"))</f>
        <v/>
      </c>
      <c r="F1075" s="7" t="str">
        <f>IF(B1075="","",IFERROR(VLOOKUP(B1075, PLANTA_BASE!A:W, 8, FALSE), "DOCENTE / FACILITADOR"))</f>
        <v/>
      </c>
      <c r="G1075" s="7" t="str">
        <f>IF(B1075="","",IFERROR(VLOOKUP(B1075, PLANTA_BASE!A:W, 9, FALSE), "GENERAL"))</f>
        <v/>
      </c>
      <c r="H1075" s="5" t="str">
        <f>IF(B1075="","",IFERROR(VLOOKUP(B1075, PLANTA_BASE!A:W, 17, FALSE), "GENERAL"))</f>
        <v/>
      </c>
    </row>
    <row r="1076" spans="1:8" ht="20.100000000000001" customHeight="1" x14ac:dyDescent="0.25">
      <c r="A1076" s="2" t="str">
        <f>IF(B1076="","",IFERROR(VLOOKUP(B1076, PLANTA_BASE!A:W, 2, FALSE), "NO ENCONTRADO EN PLANTA"))</f>
        <v/>
      </c>
      <c r="B1076" s="3"/>
      <c r="C1076" s="4" t="str">
        <f>IF(B1076="","",IFERROR(VLOOKUP(B1076, PLANTA_BASE!A:W, 3, FALSE), ""))</f>
        <v/>
      </c>
      <c r="D1076" s="2" t="str">
        <f>IF(B1076="","",IFERROR(VLOOKUP(B1076, PLANTA_BASE!A:W, 5, FALSE), "NO ENCONTRADO EN PLANTA"))</f>
        <v/>
      </c>
      <c r="E1076" s="2" t="str">
        <f>IF(B1076="","",IFERROR(VLOOKUP(B1076, PLANTA_BASE!A:W, 6, FALSE), "NO ENCONTRADO EN PLANTA"))</f>
        <v/>
      </c>
      <c r="F1076" s="4" t="str">
        <f>IF(B1076="","",IFERROR(VLOOKUP(B1076, PLANTA_BASE!A:W, 8, FALSE), "DOCENTE / FACILITADOR"))</f>
        <v/>
      </c>
      <c r="G1076" s="4" t="str">
        <f>IF(B1076="","",IFERROR(VLOOKUP(B1076, PLANTA_BASE!A:W, 9, FALSE), "GENERAL"))</f>
        <v/>
      </c>
      <c r="H1076" s="2" t="str">
        <f>IF(B1076="","",IFERROR(VLOOKUP(B1076, PLANTA_BASE!A:W, 17, FALSE), "GENERAL"))</f>
        <v/>
      </c>
    </row>
    <row r="1077" spans="1:8" ht="20.100000000000001" customHeight="1" x14ac:dyDescent="0.25">
      <c r="A1077" s="5" t="str">
        <f>IF(B1077="","",IFERROR(VLOOKUP(B1077, PLANTA_BASE!A:W, 2, FALSE), "NO ENCONTRADO EN PLANTA"))</f>
        <v/>
      </c>
      <c r="B1077" s="6"/>
      <c r="C1077" s="7" t="str">
        <f>IF(B1077="","",IFERROR(VLOOKUP(B1077, PLANTA_BASE!A:W, 3, FALSE), ""))</f>
        <v/>
      </c>
      <c r="D1077" s="5" t="str">
        <f>IF(B1077="","",IFERROR(VLOOKUP(B1077, PLANTA_BASE!A:W, 5, FALSE), "NO ENCONTRADO EN PLANTA"))</f>
        <v/>
      </c>
      <c r="E1077" s="5" t="str">
        <f>IF(B1077="","",IFERROR(VLOOKUP(B1077, PLANTA_BASE!A:W, 6, FALSE), "NO ENCONTRADO EN PLANTA"))</f>
        <v/>
      </c>
      <c r="F1077" s="7" t="str">
        <f>IF(B1077="","",IFERROR(VLOOKUP(B1077, PLANTA_BASE!A:W, 8, FALSE), "DOCENTE / FACILITADOR"))</f>
        <v/>
      </c>
      <c r="G1077" s="7" t="str">
        <f>IF(B1077="","",IFERROR(VLOOKUP(B1077, PLANTA_BASE!A:W, 9, FALSE), "GENERAL"))</f>
        <v/>
      </c>
      <c r="H1077" s="5" t="str">
        <f>IF(B1077="","",IFERROR(VLOOKUP(B1077, PLANTA_BASE!A:W, 17, FALSE), "GENERAL"))</f>
        <v/>
      </c>
    </row>
    <row r="1078" spans="1:8" ht="20.100000000000001" customHeight="1" x14ac:dyDescent="0.25">
      <c r="A1078" s="2" t="str">
        <f>IF(B1078="","",IFERROR(VLOOKUP(B1078, PLANTA_BASE!A:W, 2, FALSE), "NO ENCONTRADO EN PLANTA"))</f>
        <v/>
      </c>
      <c r="B1078" s="3"/>
      <c r="C1078" s="4" t="str">
        <f>IF(B1078="","",IFERROR(VLOOKUP(B1078, PLANTA_BASE!A:W, 3, FALSE), ""))</f>
        <v/>
      </c>
      <c r="D1078" s="2" t="str">
        <f>IF(B1078="","",IFERROR(VLOOKUP(B1078, PLANTA_BASE!A:W, 5, FALSE), "NO ENCONTRADO EN PLANTA"))</f>
        <v/>
      </c>
      <c r="E1078" s="2" t="str">
        <f>IF(B1078="","",IFERROR(VLOOKUP(B1078, PLANTA_BASE!A:W, 6, FALSE), "NO ENCONTRADO EN PLANTA"))</f>
        <v/>
      </c>
      <c r="F1078" s="4" t="str">
        <f>IF(B1078="","",IFERROR(VLOOKUP(B1078, PLANTA_BASE!A:W, 8, FALSE), "DOCENTE / FACILITADOR"))</f>
        <v/>
      </c>
      <c r="G1078" s="4" t="str">
        <f>IF(B1078="","",IFERROR(VLOOKUP(B1078, PLANTA_BASE!A:W, 9, FALSE), "GENERAL"))</f>
        <v/>
      </c>
      <c r="H1078" s="2" t="str">
        <f>IF(B1078="","",IFERROR(VLOOKUP(B1078, PLANTA_BASE!A:W, 17, FALSE), "GENERAL"))</f>
        <v/>
      </c>
    </row>
    <row r="1079" spans="1:8" ht="20.100000000000001" customHeight="1" x14ac:dyDescent="0.25">
      <c r="A1079" s="5" t="str">
        <f>IF(B1079="","",IFERROR(VLOOKUP(B1079, PLANTA_BASE!A:W, 2, FALSE), "NO ENCONTRADO EN PLANTA"))</f>
        <v/>
      </c>
      <c r="B1079" s="6"/>
      <c r="C1079" s="7" t="str">
        <f>IF(B1079="","",IFERROR(VLOOKUP(B1079, PLANTA_BASE!A:W, 3, FALSE), ""))</f>
        <v/>
      </c>
      <c r="D1079" s="5" t="str">
        <f>IF(B1079="","",IFERROR(VLOOKUP(B1079, PLANTA_BASE!A:W, 5, FALSE), "NO ENCONTRADO EN PLANTA"))</f>
        <v/>
      </c>
      <c r="E1079" s="5" t="str">
        <f>IF(B1079="","",IFERROR(VLOOKUP(B1079, PLANTA_BASE!A:W, 6, FALSE), "NO ENCONTRADO EN PLANTA"))</f>
        <v/>
      </c>
      <c r="F1079" s="7" t="str">
        <f>IF(B1079="","",IFERROR(VLOOKUP(B1079, PLANTA_BASE!A:W, 8, FALSE), "DOCENTE / FACILITADOR"))</f>
        <v/>
      </c>
      <c r="G1079" s="7" t="str">
        <f>IF(B1079="","",IFERROR(VLOOKUP(B1079, PLANTA_BASE!A:W, 9, FALSE), "GENERAL"))</f>
        <v/>
      </c>
      <c r="H1079" s="5" t="str">
        <f>IF(B1079="","",IFERROR(VLOOKUP(B1079, PLANTA_BASE!A:W, 17, FALSE), "GENERAL"))</f>
        <v/>
      </c>
    </row>
    <row r="1080" spans="1:8" ht="20.100000000000001" customHeight="1" x14ac:dyDescent="0.25">
      <c r="A1080" s="2" t="str">
        <f>IF(B1080="","",IFERROR(VLOOKUP(B1080, PLANTA_BASE!A:W, 2, FALSE), "NO ENCONTRADO EN PLANTA"))</f>
        <v/>
      </c>
      <c r="B1080" s="3"/>
      <c r="C1080" s="4" t="str">
        <f>IF(B1080="","",IFERROR(VLOOKUP(B1080, PLANTA_BASE!A:W, 3, FALSE), ""))</f>
        <v/>
      </c>
      <c r="D1080" s="2" t="str">
        <f>IF(B1080="","",IFERROR(VLOOKUP(B1080, PLANTA_BASE!A:W, 5, FALSE), "NO ENCONTRADO EN PLANTA"))</f>
        <v/>
      </c>
      <c r="E1080" s="2" t="str">
        <f>IF(B1080="","",IFERROR(VLOOKUP(B1080, PLANTA_BASE!A:W, 6, FALSE), "NO ENCONTRADO EN PLANTA"))</f>
        <v/>
      </c>
      <c r="F1080" s="4" t="str">
        <f>IF(B1080="","",IFERROR(VLOOKUP(B1080, PLANTA_BASE!A:W, 8, FALSE), "DOCENTE / FACILITADOR"))</f>
        <v/>
      </c>
      <c r="G1080" s="4" t="str">
        <f>IF(B1080="","",IFERROR(VLOOKUP(B1080, PLANTA_BASE!A:W, 9, FALSE), "GENERAL"))</f>
        <v/>
      </c>
      <c r="H1080" s="2" t="str">
        <f>IF(B1080="","",IFERROR(VLOOKUP(B1080, PLANTA_BASE!A:W, 17, FALSE), "GENERAL"))</f>
        <v/>
      </c>
    </row>
    <row r="1081" spans="1:8" ht="20.100000000000001" customHeight="1" x14ac:dyDescent="0.25">
      <c r="A1081" s="5" t="str">
        <f>IF(B1081="","",IFERROR(VLOOKUP(B1081, PLANTA_BASE!A:W, 2, FALSE), "NO ENCONTRADO EN PLANTA"))</f>
        <v/>
      </c>
      <c r="B1081" s="6"/>
      <c r="C1081" s="7" t="str">
        <f>IF(B1081="","",IFERROR(VLOOKUP(B1081, PLANTA_BASE!A:W, 3, FALSE), ""))</f>
        <v/>
      </c>
      <c r="D1081" s="5" t="str">
        <f>IF(B1081="","",IFERROR(VLOOKUP(B1081, PLANTA_BASE!A:W, 5, FALSE), "NO ENCONTRADO EN PLANTA"))</f>
        <v/>
      </c>
      <c r="E1081" s="5" t="str">
        <f>IF(B1081="","",IFERROR(VLOOKUP(B1081, PLANTA_BASE!A:W, 6, FALSE), "NO ENCONTRADO EN PLANTA"))</f>
        <v/>
      </c>
      <c r="F1081" s="7" t="str">
        <f>IF(B1081="","",IFERROR(VLOOKUP(B1081, PLANTA_BASE!A:W, 8, FALSE), "DOCENTE / FACILITADOR"))</f>
        <v/>
      </c>
      <c r="G1081" s="7" t="str">
        <f>IF(B1081="","",IFERROR(VLOOKUP(B1081, PLANTA_BASE!A:W, 9, FALSE), "GENERAL"))</f>
        <v/>
      </c>
      <c r="H1081" s="5" t="str">
        <f>IF(B1081="","",IFERROR(VLOOKUP(B1081, PLANTA_BASE!A:W, 17, FALSE), "GENERAL"))</f>
        <v/>
      </c>
    </row>
    <row r="1082" spans="1:8" ht="20.100000000000001" customHeight="1" x14ac:dyDescent="0.25">
      <c r="A1082" s="2" t="str">
        <f>IF(B1082="","",IFERROR(VLOOKUP(B1082, PLANTA_BASE!A:W, 2, FALSE), "NO ENCONTRADO EN PLANTA"))</f>
        <v/>
      </c>
      <c r="B1082" s="3"/>
      <c r="C1082" s="4" t="str">
        <f>IF(B1082="","",IFERROR(VLOOKUP(B1082, PLANTA_BASE!A:W, 3, FALSE), ""))</f>
        <v/>
      </c>
      <c r="D1082" s="2" t="str">
        <f>IF(B1082="","",IFERROR(VLOOKUP(B1082, PLANTA_BASE!A:W, 5, FALSE), "NO ENCONTRADO EN PLANTA"))</f>
        <v/>
      </c>
      <c r="E1082" s="2" t="str">
        <f>IF(B1082="","",IFERROR(VLOOKUP(B1082, PLANTA_BASE!A:W, 6, FALSE), "NO ENCONTRADO EN PLANTA"))</f>
        <v/>
      </c>
      <c r="F1082" s="4" t="str">
        <f>IF(B1082="","",IFERROR(VLOOKUP(B1082, PLANTA_BASE!A:W, 8, FALSE), "DOCENTE / FACILITADOR"))</f>
        <v/>
      </c>
      <c r="G1082" s="4" t="str">
        <f>IF(B1082="","",IFERROR(VLOOKUP(B1082, PLANTA_BASE!A:W, 9, FALSE), "GENERAL"))</f>
        <v/>
      </c>
      <c r="H1082" s="2" t="str">
        <f>IF(B1082="","",IFERROR(VLOOKUP(B1082, PLANTA_BASE!A:W, 17, FALSE), "GENERAL"))</f>
        <v/>
      </c>
    </row>
    <row r="1083" spans="1:8" ht="20.100000000000001" customHeight="1" x14ac:dyDescent="0.25">
      <c r="A1083" s="5" t="str">
        <f>IF(B1083="","",IFERROR(VLOOKUP(B1083, PLANTA_BASE!A:W, 2, FALSE), "NO ENCONTRADO EN PLANTA"))</f>
        <v/>
      </c>
      <c r="B1083" s="6"/>
      <c r="C1083" s="7" t="str">
        <f>IF(B1083="","",IFERROR(VLOOKUP(B1083, PLANTA_BASE!A:W, 3, FALSE), ""))</f>
        <v/>
      </c>
      <c r="D1083" s="5" t="str">
        <f>IF(B1083="","",IFERROR(VLOOKUP(B1083, PLANTA_BASE!A:W, 5, FALSE), "NO ENCONTRADO EN PLANTA"))</f>
        <v/>
      </c>
      <c r="E1083" s="5" t="str">
        <f>IF(B1083="","",IFERROR(VLOOKUP(B1083, PLANTA_BASE!A:W, 6, FALSE), "NO ENCONTRADO EN PLANTA"))</f>
        <v/>
      </c>
      <c r="F1083" s="7" t="str">
        <f>IF(B1083="","",IFERROR(VLOOKUP(B1083, PLANTA_BASE!A:W, 8, FALSE), "DOCENTE / FACILITADOR"))</f>
        <v/>
      </c>
      <c r="G1083" s="7" t="str">
        <f>IF(B1083="","",IFERROR(VLOOKUP(B1083, PLANTA_BASE!A:W, 9, FALSE), "GENERAL"))</f>
        <v/>
      </c>
      <c r="H1083" s="5" t="str">
        <f>IF(B1083="","",IFERROR(VLOOKUP(B1083, PLANTA_BASE!A:W, 17, FALSE), "GENERAL"))</f>
        <v/>
      </c>
    </row>
    <row r="1084" spans="1:8" ht="20.100000000000001" customHeight="1" x14ac:dyDescent="0.25">
      <c r="A1084" s="2" t="str">
        <f>IF(B1084="","",IFERROR(VLOOKUP(B1084, PLANTA_BASE!A:W, 2, FALSE), "NO ENCONTRADO EN PLANTA"))</f>
        <v/>
      </c>
      <c r="B1084" s="3"/>
      <c r="C1084" s="4" t="str">
        <f>IF(B1084="","",IFERROR(VLOOKUP(B1084, PLANTA_BASE!A:W, 3, FALSE), ""))</f>
        <v/>
      </c>
      <c r="D1084" s="2" t="str">
        <f>IF(B1084="","",IFERROR(VLOOKUP(B1084, PLANTA_BASE!A:W, 5, FALSE), "NO ENCONTRADO EN PLANTA"))</f>
        <v/>
      </c>
      <c r="E1084" s="2" t="str">
        <f>IF(B1084="","",IFERROR(VLOOKUP(B1084, PLANTA_BASE!A:W, 6, FALSE), "NO ENCONTRADO EN PLANTA"))</f>
        <v/>
      </c>
      <c r="F1084" s="4" t="str">
        <f>IF(B1084="","",IFERROR(VLOOKUP(B1084, PLANTA_BASE!A:W, 8, FALSE), "DOCENTE / FACILITADOR"))</f>
        <v/>
      </c>
      <c r="G1084" s="4" t="str">
        <f>IF(B1084="","",IFERROR(VLOOKUP(B1084, PLANTA_BASE!A:W, 9, FALSE), "GENERAL"))</f>
        <v/>
      </c>
      <c r="H1084" s="2" t="str">
        <f>IF(B1084="","",IFERROR(VLOOKUP(B1084, PLANTA_BASE!A:W, 17, FALSE), "GENERAL"))</f>
        <v/>
      </c>
    </row>
    <row r="1085" spans="1:8" ht="20.100000000000001" customHeight="1" x14ac:dyDescent="0.25">
      <c r="A1085" s="5" t="str">
        <f>IF(B1085="","",IFERROR(VLOOKUP(B1085, PLANTA_BASE!A:W, 2, FALSE), "NO ENCONTRADO EN PLANTA"))</f>
        <v/>
      </c>
      <c r="B1085" s="6"/>
      <c r="C1085" s="7" t="str">
        <f>IF(B1085="","",IFERROR(VLOOKUP(B1085, PLANTA_BASE!A:W, 3, FALSE), ""))</f>
        <v/>
      </c>
      <c r="D1085" s="5" t="str">
        <f>IF(B1085="","",IFERROR(VLOOKUP(B1085, PLANTA_BASE!A:W, 5, FALSE), "NO ENCONTRADO EN PLANTA"))</f>
        <v/>
      </c>
      <c r="E1085" s="5" t="str">
        <f>IF(B1085="","",IFERROR(VLOOKUP(B1085, PLANTA_BASE!A:W, 6, FALSE), "NO ENCONTRADO EN PLANTA"))</f>
        <v/>
      </c>
      <c r="F1085" s="7" t="str">
        <f>IF(B1085="","",IFERROR(VLOOKUP(B1085, PLANTA_BASE!A:W, 8, FALSE), "DOCENTE / FACILITADOR"))</f>
        <v/>
      </c>
      <c r="G1085" s="7" t="str">
        <f>IF(B1085="","",IFERROR(VLOOKUP(B1085, PLANTA_BASE!A:W, 9, FALSE), "GENERAL"))</f>
        <v/>
      </c>
      <c r="H1085" s="5" t="str">
        <f>IF(B1085="","",IFERROR(VLOOKUP(B1085, PLANTA_BASE!A:W, 17, FALSE), "GENERAL"))</f>
        <v/>
      </c>
    </row>
    <row r="1086" spans="1:8" ht="20.100000000000001" customHeight="1" x14ac:dyDescent="0.25">
      <c r="A1086" s="2" t="str">
        <f>IF(B1086="","",IFERROR(VLOOKUP(B1086, PLANTA_BASE!A:W, 2, FALSE), "NO ENCONTRADO EN PLANTA"))</f>
        <v/>
      </c>
      <c r="B1086" s="3"/>
      <c r="C1086" s="4" t="str">
        <f>IF(B1086="","",IFERROR(VLOOKUP(B1086, PLANTA_BASE!A:W, 3, FALSE), ""))</f>
        <v/>
      </c>
      <c r="D1086" s="2" t="str">
        <f>IF(B1086="","",IFERROR(VLOOKUP(B1086, PLANTA_BASE!A:W, 5, FALSE), "NO ENCONTRADO EN PLANTA"))</f>
        <v/>
      </c>
      <c r="E1086" s="2" t="str">
        <f>IF(B1086="","",IFERROR(VLOOKUP(B1086, PLANTA_BASE!A:W, 6, FALSE), "NO ENCONTRADO EN PLANTA"))</f>
        <v/>
      </c>
      <c r="F1086" s="4" t="str">
        <f>IF(B1086="","",IFERROR(VLOOKUP(B1086, PLANTA_BASE!A:W, 8, FALSE), "DOCENTE / FACILITADOR"))</f>
        <v/>
      </c>
      <c r="G1086" s="4" t="str">
        <f>IF(B1086="","",IFERROR(VLOOKUP(B1086, PLANTA_BASE!A:W, 9, FALSE), "GENERAL"))</f>
        <v/>
      </c>
      <c r="H1086" s="2" t="str">
        <f>IF(B1086="","",IFERROR(VLOOKUP(B1086, PLANTA_BASE!A:W, 17, FALSE), "GENERAL"))</f>
        <v/>
      </c>
    </row>
    <row r="1087" spans="1:8" ht="20.100000000000001" customHeight="1" x14ac:dyDescent="0.25">
      <c r="A1087" s="5" t="str">
        <f>IF(B1087="","",IFERROR(VLOOKUP(B1087, PLANTA_BASE!A:W, 2, FALSE), "NO ENCONTRADO EN PLANTA"))</f>
        <v/>
      </c>
      <c r="B1087" s="6"/>
      <c r="C1087" s="7" t="str">
        <f>IF(B1087="","",IFERROR(VLOOKUP(B1087, PLANTA_BASE!A:W, 3, FALSE), ""))</f>
        <v/>
      </c>
      <c r="D1087" s="5" t="str">
        <f>IF(B1087="","",IFERROR(VLOOKUP(B1087, PLANTA_BASE!A:W, 5, FALSE), "NO ENCONTRADO EN PLANTA"))</f>
        <v/>
      </c>
      <c r="E1087" s="5" t="str">
        <f>IF(B1087="","",IFERROR(VLOOKUP(B1087, PLANTA_BASE!A:W, 6, FALSE), "NO ENCONTRADO EN PLANTA"))</f>
        <v/>
      </c>
      <c r="F1087" s="7" t="str">
        <f>IF(B1087="","",IFERROR(VLOOKUP(B1087, PLANTA_BASE!A:W, 8, FALSE), "DOCENTE / FACILITADOR"))</f>
        <v/>
      </c>
      <c r="G1087" s="7" t="str">
        <f>IF(B1087="","",IFERROR(VLOOKUP(B1087, PLANTA_BASE!A:W, 9, FALSE), "GENERAL"))</f>
        <v/>
      </c>
      <c r="H1087" s="5" t="str">
        <f>IF(B1087="","",IFERROR(VLOOKUP(B1087, PLANTA_BASE!A:W, 17, FALSE), "GENERAL"))</f>
        <v/>
      </c>
    </row>
    <row r="1088" spans="1:8" ht="20.100000000000001" customHeight="1" x14ac:dyDescent="0.25">
      <c r="A1088" s="2" t="str">
        <f>IF(B1088="","",IFERROR(VLOOKUP(B1088, PLANTA_BASE!A:W, 2, FALSE), "NO ENCONTRADO EN PLANTA"))</f>
        <v/>
      </c>
      <c r="B1088" s="3"/>
      <c r="C1088" s="4" t="str">
        <f>IF(B1088="","",IFERROR(VLOOKUP(B1088, PLANTA_BASE!A:W, 3, FALSE), ""))</f>
        <v/>
      </c>
      <c r="D1088" s="2" t="str">
        <f>IF(B1088="","",IFERROR(VLOOKUP(B1088, PLANTA_BASE!A:W, 5, FALSE), "NO ENCONTRADO EN PLANTA"))</f>
        <v/>
      </c>
      <c r="E1088" s="2" t="str">
        <f>IF(B1088="","",IFERROR(VLOOKUP(B1088, PLANTA_BASE!A:W, 6, FALSE), "NO ENCONTRADO EN PLANTA"))</f>
        <v/>
      </c>
      <c r="F1088" s="4" t="str">
        <f>IF(B1088="","",IFERROR(VLOOKUP(B1088, PLANTA_BASE!A:W, 8, FALSE), "DOCENTE / FACILITADOR"))</f>
        <v/>
      </c>
      <c r="G1088" s="4" t="str">
        <f>IF(B1088="","",IFERROR(VLOOKUP(B1088, PLANTA_BASE!A:W, 9, FALSE), "GENERAL"))</f>
        <v/>
      </c>
      <c r="H1088" s="2" t="str">
        <f>IF(B1088="","",IFERROR(VLOOKUP(B1088, PLANTA_BASE!A:W, 17, FALSE), "GENERAL"))</f>
        <v/>
      </c>
    </row>
    <row r="1089" spans="1:8" ht="20.100000000000001" customHeight="1" x14ac:dyDescent="0.25">
      <c r="A1089" s="5" t="str">
        <f>IF(B1089="","",IFERROR(VLOOKUP(B1089, PLANTA_BASE!A:W, 2, FALSE), "NO ENCONTRADO EN PLANTA"))</f>
        <v/>
      </c>
      <c r="B1089" s="6"/>
      <c r="C1089" s="7" t="str">
        <f>IF(B1089="","",IFERROR(VLOOKUP(B1089, PLANTA_BASE!A:W, 3, FALSE), ""))</f>
        <v/>
      </c>
      <c r="D1089" s="5" t="str">
        <f>IF(B1089="","",IFERROR(VLOOKUP(B1089, PLANTA_BASE!A:W, 5, FALSE), "NO ENCONTRADO EN PLANTA"))</f>
        <v/>
      </c>
      <c r="E1089" s="5" t="str">
        <f>IF(B1089="","",IFERROR(VLOOKUP(B1089, PLANTA_BASE!A:W, 6, FALSE), "NO ENCONTRADO EN PLANTA"))</f>
        <v/>
      </c>
      <c r="F1089" s="7" t="str">
        <f>IF(B1089="","",IFERROR(VLOOKUP(B1089, PLANTA_BASE!A:W, 8, FALSE), "DOCENTE / FACILITADOR"))</f>
        <v/>
      </c>
      <c r="G1089" s="7" t="str">
        <f>IF(B1089="","",IFERROR(VLOOKUP(B1089, PLANTA_BASE!A:W, 9, FALSE), "GENERAL"))</f>
        <v/>
      </c>
      <c r="H1089" s="5" t="str">
        <f>IF(B1089="","",IFERROR(VLOOKUP(B1089, PLANTA_BASE!A:W, 17, FALSE), "GENERAL"))</f>
        <v/>
      </c>
    </row>
    <row r="1090" spans="1:8" ht="20.100000000000001" customHeight="1" x14ac:dyDescent="0.25">
      <c r="A1090" s="2" t="str">
        <f>IF(B1090="","",IFERROR(VLOOKUP(B1090, PLANTA_BASE!A:W, 2, FALSE), "NO ENCONTRADO EN PLANTA"))</f>
        <v/>
      </c>
      <c r="B1090" s="3"/>
      <c r="C1090" s="4" t="str">
        <f>IF(B1090="","",IFERROR(VLOOKUP(B1090, PLANTA_BASE!A:W, 3, FALSE), ""))</f>
        <v/>
      </c>
      <c r="D1090" s="2" t="str">
        <f>IF(B1090="","",IFERROR(VLOOKUP(B1090, PLANTA_BASE!A:W, 5, FALSE), "NO ENCONTRADO EN PLANTA"))</f>
        <v/>
      </c>
      <c r="E1090" s="2" t="str">
        <f>IF(B1090="","",IFERROR(VLOOKUP(B1090, PLANTA_BASE!A:W, 6, FALSE), "NO ENCONTRADO EN PLANTA"))</f>
        <v/>
      </c>
      <c r="F1090" s="4" t="str">
        <f>IF(B1090="","",IFERROR(VLOOKUP(B1090, PLANTA_BASE!A:W, 8, FALSE), "DOCENTE / FACILITADOR"))</f>
        <v/>
      </c>
      <c r="G1090" s="4" t="str">
        <f>IF(B1090="","",IFERROR(VLOOKUP(B1090, PLANTA_BASE!A:W, 9, FALSE), "GENERAL"))</f>
        <v/>
      </c>
      <c r="H1090" s="2" t="str">
        <f>IF(B1090="","",IFERROR(VLOOKUP(B1090, PLANTA_BASE!A:W, 17, FALSE), "GENERAL"))</f>
        <v/>
      </c>
    </row>
    <row r="1091" spans="1:8" ht="20.100000000000001" customHeight="1" x14ac:dyDescent="0.25">
      <c r="A1091" s="5" t="str">
        <f>IF(B1091="","",IFERROR(VLOOKUP(B1091, PLANTA_BASE!A:W, 2, FALSE), "NO ENCONTRADO EN PLANTA"))</f>
        <v/>
      </c>
      <c r="B1091" s="6"/>
      <c r="C1091" s="7" t="str">
        <f>IF(B1091="","",IFERROR(VLOOKUP(B1091, PLANTA_BASE!A:W, 3, FALSE), ""))</f>
        <v/>
      </c>
      <c r="D1091" s="5" t="str">
        <f>IF(B1091="","",IFERROR(VLOOKUP(B1091, PLANTA_BASE!A:W, 5, FALSE), "NO ENCONTRADO EN PLANTA"))</f>
        <v/>
      </c>
      <c r="E1091" s="5" t="str">
        <f>IF(B1091="","",IFERROR(VLOOKUP(B1091, PLANTA_BASE!A:W, 6, FALSE), "NO ENCONTRADO EN PLANTA"))</f>
        <v/>
      </c>
      <c r="F1091" s="7" t="str">
        <f>IF(B1091="","",IFERROR(VLOOKUP(B1091, PLANTA_BASE!A:W, 8, FALSE), "DOCENTE / FACILITADOR"))</f>
        <v/>
      </c>
      <c r="G1091" s="7" t="str">
        <f>IF(B1091="","",IFERROR(VLOOKUP(B1091, PLANTA_BASE!A:W, 9, FALSE), "GENERAL"))</f>
        <v/>
      </c>
      <c r="H1091" s="5" t="str">
        <f>IF(B1091="","",IFERROR(VLOOKUP(B1091, PLANTA_BASE!A:W, 17, FALSE), "GENERAL"))</f>
        <v/>
      </c>
    </row>
    <row r="1092" spans="1:8" ht="20.100000000000001" customHeight="1" x14ac:dyDescent="0.25">
      <c r="A1092" s="2" t="str">
        <f>IF(B1092="","",IFERROR(VLOOKUP(B1092, PLANTA_BASE!A:W, 2, FALSE), "NO ENCONTRADO EN PLANTA"))</f>
        <v/>
      </c>
      <c r="B1092" s="3"/>
      <c r="C1092" s="4" t="str">
        <f>IF(B1092="","",IFERROR(VLOOKUP(B1092, PLANTA_BASE!A:W, 3, FALSE), ""))</f>
        <v/>
      </c>
      <c r="D1092" s="2" t="str">
        <f>IF(B1092="","",IFERROR(VLOOKUP(B1092, PLANTA_BASE!A:W, 5, FALSE), "NO ENCONTRADO EN PLANTA"))</f>
        <v/>
      </c>
      <c r="E1092" s="2" t="str">
        <f>IF(B1092="","",IFERROR(VLOOKUP(B1092, PLANTA_BASE!A:W, 6, FALSE), "NO ENCONTRADO EN PLANTA"))</f>
        <v/>
      </c>
      <c r="F1092" s="4" t="str">
        <f>IF(B1092="","",IFERROR(VLOOKUP(B1092, PLANTA_BASE!A:W, 8, FALSE), "DOCENTE / FACILITADOR"))</f>
        <v/>
      </c>
      <c r="G1092" s="4" t="str">
        <f>IF(B1092="","",IFERROR(VLOOKUP(B1092, PLANTA_BASE!A:W, 9, FALSE), "GENERAL"))</f>
        <v/>
      </c>
      <c r="H1092" s="2" t="str">
        <f>IF(B1092="","",IFERROR(VLOOKUP(B1092, PLANTA_BASE!A:W, 17, FALSE), "GENERAL"))</f>
        <v/>
      </c>
    </row>
    <row r="1093" spans="1:8" ht="20.100000000000001" customHeight="1" x14ac:dyDescent="0.25">
      <c r="A1093" s="5" t="str">
        <f>IF(B1093="","",IFERROR(VLOOKUP(B1093, PLANTA_BASE!A:W, 2, FALSE), "NO ENCONTRADO EN PLANTA"))</f>
        <v/>
      </c>
      <c r="B1093" s="6"/>
      <c r="C1093" s="7" t="str">
        <f>IF(B1093="","",IFERROR(VLOOKUP(B1093, PLANTA_BASE!A:W, 3, FALSE), ""))</f>
        <v/>
      </c>
      <c r="D1093" s="5" t="str">
        <f>IF(B1093="","",IFERROR(VLOOKUP(B1093, PLANTA_BASE!A:W, 5, FALSE), "NO ENCONTRADO EN PLANTA"))</f>
        <v/>
      </c>
      <c r="E1093" s="5" t="str">
        <f>IF(B1093="","",IFERROR(VLOOKUP(B1093, PLANTA_BASE!A:W, 6, FALSE), "NO ENCONTRADO EN PLANTA"))</f>
        <v/>
      </c>
      <c r="F1093" s="7" t="str">
        <f>IF(B1093="","",IFERROR(VLOOKUP(B1093, PLANTA_BASE!A:W, 8, FALSE), "DOCENTE / FACILITADOR"))</f>
        <v/>
      </c>
      <c r="G1093" s="7" t="str">
        <f>IF(B1093="","",IFERROR(VLOOKUP(B1093, PLANTA_BASE!A:W, 9, FALSE), "GENERAL"))</f>
        <v/>
      </c>
      <c r="H1093" s="5" t="str">
        <f>IF(B1093="","",IFERROR(VLOOKUP(B1093, PLANTA_BASE!A:W, 17, FALSE), "GENERAL"))</f>
        <v/>
      </c>
    </row>
    <row r="1094" spans="1:8" ht="20.100000000000001" customHeight="1" x14ac:dyDescent="0.25">
      <c r="A1094" s="2" t="str">
        <f>IF(B1094="","",IFERROR(VLOOKUP(B1094, PLANTA_BASE!A:W, 2, FALSE), "NO ENCONTRADO EN PLANTA"))</f>
        <v/>
      </c>
      <c r="B1094" s="3"/>
      <c r="C1094" s="4" t="str">
        <f>IF(B1094="","",IFERROR(VLOOKUP(B1094, PLANTA_BASE!A:W, 3, FALSE), ""))</f>
        <v/>
      </c>
      <c r="D1094" s="2" t="str">
        <f>IF(B1094="","",IFERROR(VLOOKUP(B1094, PLANTA_BASE!A:W, 5, FALSE), "NO ENCONTRADO EN PLANTA"))</f>
        <v/>
      </c>
      <c r="E1094" s="2" t="str">
        <f>IF(B1094="","",IFERROR(VLOOKUP(B1094, PLANTA_BASE!A:W, 6, FALSE), "NO ENCONTRADO EN PLANTA"))</f>
        <v/>
      </c>
      <c r="F1094" s="4" t="str">
        <f>IF(B1094="","",IFERROR(VLOOKUP(B1094, PLANTA_BASE!A:W, 8, FALSE), "DOCENTE / FACILITADOR"))</f>
        <v/>
      </c>
      <c r="G1094" s="4" t="str">
        <f>IF(B1094="","",IFERROR(VLOOKUP(B1094, PLANTA_BASE!A:W, 9, FALSE), "GENERAL"))</f>
        <v/>
      </c>
      <c r="H1094" s="2" t="str">
        <f>IF(B1094="","",IFERROR(VLOOKUP(B1094, PLANTA_BASE!A:W, 17, FALSE), "GENERAL"))</f>
        <v/>
      </c>
    </row>
    <row r="1095" spans="1:8" ht="20.100000000000001" customHeight="1" x14ac:dyDescent="0.25">
      <c r="A1095" s="5" t="str">
        <f>IF(B1095="","",IFERROR(VLOOKUP(B1095, PLANTA_BASE!A:W, 2, FALSE), "NO ENCONTRADO EN PLANTA"))</f>
        <v/>
      </c>
      <c r="B1095" s="6"/>
      <c r="C1095" s="7" t="str">
        <f>IF(B1095="","",IFERROR(VLOOKUP(B1095, PLANTA_BASE!A:W, 3, FALSE), ""))</f>
        <v/>
      </c>
      <c r="D1095" s="5" t="str">
        <f>IF(B1095="","",IFERROR(VLOOKUP(B1095, PLANTA_BASE!A:W, 5, FALSE), "NO ENCONTRADO EN PLANTA"))</f>
        <v/>
      </c>
      <c r="E1095" s="5" t="str">
        <f>IF(B1095="","",IFERROR(VLOOKUP(B1095, PLANTA_BASE!A:W, 6, FALSE), "NO ENCONTRADO EN PLANTA"))</f>
        <v/>
      </c>
      <c r="F1095" s="7" t="str">
        <f>IF(B1095="","",IFERROR(VLOOKUP(B1095, PLANTA_BASE!A:W, 8, FALSE), "DOCENTE / FACILITADOR"))</f>
        <v/>
      </c>
      <c r="G1095" s="7" t="str">
        <f>IF(B1095="","",IFERROR(VLOOKUP(B1095, PLANTA_BASE!A:W, 9, FALSE), "GENERAL"))</f>
        <v/>
      </c>
      <c r="H1095" s="5" t="str">
        <f>IF(B1095="","",IFERROR(VLOOKUP(B1095, PLANTA_BASE!A:W, 17, FALSE), "GENERAL"))</f>
        <v/>
      </c>
    </row>
    <row r="1096" spans="1:8" ht="20.100000000000001" customHeight="1" x14ac:dyDescent="0.25">
      <c r="A1096" s="2" t="str">
        <f>IF(B1096="","",IFERROR(VLOOKUP(B1096, PLANTA_BASE!A:W, 2, FALSE), "NO ENCONTRADO EN PLANTA"))</f>
        <v/>
      </c>
      <c r="B1096" s="3"/>
      <c r="C1096" s="4" t="str">
        <f>IF(B1096="","",IFERROR(VLOOKUP(B1096, PLANTA_BASE!A:W, 3, FALSE), ""))</f>
        <v/>
      </c>
      <c r="D1096" s="2" t="str">
        <f>IF(B1096="","",IFERROR(VLOOKUP(B1096, PLANTA_BASE!A:W, 5, FALSE), "NO ENCONTRADO EN PLANTA"))</f>
        <v/>
      </c>
      <c r="E1096" s="2" t="str">
        <f>IF(B1096="","",IFERROR(VLOOKUP(B1096, PLANTA_BASE!A:W, 6, FALSE), "NO ENCONTRADO EN PLANTA"))</f>
        <v/>
      </c>
      <c r="F1096" s="4" t="str">
        <f>IF(B1096="","",IFERROR(VLOOKUP(B1096, PLANTA_BASE!A:W, 8, FALSE), "DOCENTE / FACILITADOR"))</f>
        <v/>
      </c>
      <c r="G1096" s="4" t="str">
        <f>IF(B1096="","",IFERROR(VLOOKUP(B1096, PLANTA_BASE!A:W, 9, FALSE), "GENERAL"))</f>
        <v/>
      </c>
      <c r="H1096" s="2" t="str">
        <f>IF(B1096="","",IFERROR(VLOOKUP(B1096, PLANTA_BASE!A:W, 17, FALSE), "GENERAL"))</f>
        <v/>
      </c>
    </row>
    <row r="1097" spans="1:8" ht="20.100000000000001" customHeight="1" x14ac:dyDescent="0.25">
      <c r="A1097" s="5" t="str">
        <f>IF(B1097="","",IFERROR(VLOOKUP(B1097, PLANTA_BASE!A:W, 2, FALSE), "NO ENCONTRADO EN PLANTA"))</f>
        <v/>
      </c>
      <c r="B1097" s="6"/>
      <c r="C1097" s="7" t="str">
        <f>IF(B1097="","",IFERROR(VLOOKUP(B1097, PLANTA_BASE!A:W, 3, FALSE), ""))</f>
        <v/>
      </c>
      <c r="D1097" s="5" t="str">
        <f>IF(B1097="","",IFERROR(VLOOKUP(B1097, PLANTA_BASE!A:W, 5, FALSE), "NO ENCONTRADO EN PLANTA"))</f>
        <v/>
      </c>
      <c r="E1097" s="5" t="str">
        <f>IF(B1097="","",IFERROR(VLOOKUP(B1097, PLANTA_BASE!A:W, 6, FALSE), "NO ENCONTRADO EN PLANTA"))</f>
        <v/>
      </c>
      <c r="F1097" s="7" t="str">
        <f>IF(B1097="","",IFERROR(VLOOKUP(B1097, PLANTA_BASE!A:W, 8, FALSE), "DOCENTE / FACILITADOR"))</f>
        <v/>
      </c>
      <c r="G1097" s="7" t="str">
        <f>IF(B1097="","",IFERROR(VLOOKUP(B1097, PLANTA_BASE!A:W, 9, FALSE), "GENERAL"))</f>
        <v/>
      </c>
      <c r="H1097" s="5" t="str">
        <f>IF(B1097="","",IFERROR(VLOOKUP(B1097, PLANTA_BASE!A:W, 17, FALSE), "GENERAL"))</f>
        <v/>
      </c>
    </row>
    <row r="1098" spans="1:8" ht="20.100000000000001" customHeight="1" x14ac:dyDescent="0.25">
      <c r="A1098" s="2" t="str">
        <f>IF(B1098="","",IFERROR(VLOOKUP(B1098, PLANTA_BASE!A:W, 2, FALSE), "NO ENCONTRADO EN PLANTA"))</f>
        <v/>
      </c>
      <c r="B1098" s="3"/>
      <c r="C1098" s="4" t="str">
        <f>IF(B1098="","",IFERROR(VLOOKUP(B1098, PLANTA_BASE!A:W, 3, FALSE), ""))</f>
        <v/>
      </c>
      <c r="D1098" s="2" t="str">
        <f>IF(B1098="","",IFERROR(VLOOKUP(B1098, PLANTA_BASE!A:W, 5, FALSE), "NO ENCONTRADO EN PLANTA"))</f>
        <v/>
      </c>
      <c r="E1098" s="2" t="str">
        <f>IF(B1098="","",IFERROR(VLOOKUP(B1098, PLANTA_BASE!A:W, 6, FALSE), "NO ENCONTRADO EN PLANTA"))</f>
        <v/>
      </c>
      <c r="F1098" s="4" t="str">
        <f>IF(B1098="","",IFERROR(VLOOKUP(B1098, PLANTA_BASE!A:W, 8, FALSE), "DOCENTE / FACILITADOR"))</f>
        <v/>
      </c>
      <c r="G1098" s="4" t="str">
        <f>IF(B1098="","",IFERROR(VLOOKUP(B1098, PLANTA_BASE!A:W, 9, FALSE), "GENERAL"))</f>
        <v/>
      </c>
      <c r="H1098" s="2" t="str">
        <f>IF(B1098="","",IFERROR(VLOOKUP(B1098, PLANTA_BASE!A:W, 17, FALSE), "GENERAL"))</f>
        <v/>
      </c>
    </row>
    <row r="1099" spans="1:8" ht="20.100000000000001" customHeight="1" x14ac:dyDescent="0.25">
      <c r="A1099" s="5" t="str">
        <f>IF(B1099="","",IFERROR(VLOOKUP(B1099, PLANTA_BASE!A:W, 2, FALSE), "NO ENCONTRADO EN PLANTA"))</f>
        <v/>
      </c>
      <c r="B1099" s="6"/>
      <c r="C1099" s="7" t="str">
        <f>IF(B1099="","",IFERROR(VLOOKUP(B1099, PLANTA_BASE!A:W, 3, FALSE), ""))</f>
        <v/>
      </c>
      <c r="D1099" s="5" t="str">
        <f>IF(B1099="","",IFERROR(VLOOKUP(B1099, PLANTA_BASE!A:W, 5, FALSE), "NO ENCONTRADO EN PLANTA"))</f>
        <v/>
      </c>
      <c r="E1099" s="5" t="str">
        <f>IF(B1099="","",IFERROR(VLOOKUP(B1099, PLANTA_BASE!A:W, 6, FALSE), "NO ENCONTRADO EN PLANTA"))</f>
        <v/>
      </c>
      <c r="F1099" s="7" t="str">
        <f>IF(B1099="","",IFERROR(VLOOKUP(B1099, PLANTA_BASE!A:W, 8, FALSE), "DOCENTE / FACILITADOR"))</f>
        <v/>
      </c>
      <c r="G1099" s="7" t="str">
        <f>IF(B1099="","",IFERROR(VLOOKUP(B1099, PLANTA_BASE!A:W, 9, FALSE), "GENERAL"))</f>
        <v/>
      </c>
      <c r="H1099" s="5" t="str">
        <f>IF(B1099="","",IFERROR(VLOOKUP(B1099, PLANTA_BASE!A:W, 17, FALSE), "GENERAL"))</f>
        <v/>
      </c>
    </row>
    <row r="1100" spans="1:8" ht="20.100000000000001" customHeight="1" x14ac:dyDescent="0.25">
      <c r="A1100" s="2" t="str">
        <f>IF(B1100="","",IFERROR(VLOOKUP(B1100, PLANTA_BASE!A:W, 2, FALSE), "NO ENCONTRADO EN PLANTA"))</f>
        <v/>
      </c>
      <c r="B1100" s="3"/>
      <c r="C1100" s="4" t="str">
        <f>IF(B1100="","",IFERROR(VLOOKUP(B1100, PLANTA_BASE!A:W, 3, FALSE), ""))</f>
        <v/>
      </c>
      <c r="D1100" s="2" t="str">
        <f>IF(B1100="","",IFERROR(VLOOKUP(B1100, PLANTA_BASE!A:W, 5, FALSE), "NO ENCONTRADO EN PLANTA"))</f>
        <v/>
      </c>
      <c r="E1100" s="2" t="str">
        <f>IF(B1100="","",IFERROR(VLOOKUP(B1100, PLANTA_BASE!A:W, 6, FALSE), "NO ENCONTRADO EN PLANTA"))</f>
        <v/>
      </c>
      <c r="F1100" s="4" t="str">
        <f>IF(B1100="","",IFERROR(VLOOKUP(B1100, PLANTA_BASE!A:W, 8, FALSE), "DOCENTE / FACILITADOR"))</f>
        <v/>
      </c>
      <c r="G1100" s="4" t="str">
        <f>IF(B1100="","",IFERROR(VLOOKUP(B1100, PLANTA_BASE!A:W, 9, FALSE), "GENERAL"))</f>
        <v/>
      </c>
      <c r="H1100" s="2" t="str">
        <f>IF(B1100="","",IFERROR(VLOOKUP(B1100, PLANTA_BASE!A:W, 17, FALSE), "GENERAL"))</f>
        <v/>
      </c>
    </row>
    <row r="1101" spans="1:8" ht="20.100000000000001" customHeight="1" x14ac:dyDescent="0.25">
      <c r="A1101" s="5" t="str">
        <f>IF(B1101="","",IFERROR(VLOOKUP(B1101, PLANTA_BASE!A:W, 2, FALSE), "NO ENCONTRADO EN PLANTA"))</f>
        <v/>
      </c>
      <c r="B1101" s="6"/>
      <c r="C1101" s="7" t="str">
        <f>IF(B1101="","",IFERROR(VLOOKUP(B1101, PLANTA_BASE!A:W, 3, FALSE), ""))</f>
        <v/>
      </c>
      <c r="D1101" s="5" t="str">
        <f>IF(B1101="","",IFERROR(VLOOKUP(B1101, PLANTA_BASE!A:W, 5, FALSE), "NO ENCONTRADO EN PLANTA"))</f>
        <v/>
      </c>
      <c r="E1101" s="5" t="str">
        <f>IF(B1101="","",IFERROR(VLOOKUP(B1101, PLANTA_BASE!A:W, 6, FALSE), "NO ENCONTRADO EN PLANTA"))</f>
        <v/>
      </c>
      <c r="F1101" s="7" t="str">
        <f>IF(B1101="","",IFERROR(VLOOKUP(B1101, PLANTA_BASE!A:W, 8, FALSE), "DOCENTE / FACILITADOR"))</f>
        <v/>
      </c>
      <c r="G1101" s="7" t="str">
        <f>IF(B1101="","",IFERROR(VLOOKUP(B1101, PLANTA_BASE!A:W, 9, FALSE), "GENERAL"))</f>
        <v/>
      </c>
      <c r="H1101" s="5" t="str">
        <f>IF(B1101="","",IFERROR(VLOOKUP(B1101, PLANTA_BASE!A:W, 17, FALSE), "GENERAL"))</f>
        <v/>
      </c>
    </row>
    <row r="1102" spans="1:8" ht="20.100000000000001" customHeight="1" x14ac:dyDescent="0.25">
      <c r="A1102" s="2" t="str">
        <f>IF(B1102="","",IFERROR(VLOOKUP(B1102, PLANTA_BASE!A:W, 2, FALSE), "NO ENCONTRADO EN PLANTA"))</f>
        <v/>
      </c>
      <c r="B1102" s="3"/>
      <c r="C1102" s="4" t="str">
        <f>IF(B1102="","",IFERROR(VLOOKUP(B1102, PLANTA_BASE!A:W, 3, FALSE), ""))</f>
        <v/>
      </c>
      <c r="D1102" s="2" t="str">
        <f>IF(B1102="","",IFERROR(VLOOKUP(B1102, PLANTA_BASE!A:W, 5, FALSE), "NO ENCONTRADO EN PLANTA"))</f>
        <v/>
      </c>
      <c r="E1102" s="2" t="str">
        <f>IF(B1102="","",IFERROR(VLOOKUP(B1102, PLANTA_BASE!A:W, 6, FALSE), "NO ENCONTRADO EN PLANTA"))</f>
        <v/>
      </c>
      <c r="F1102" s="4" t="str">
        <f>IF(B1102="","",IFERROR(VLOOKUP(B1102, PLANTA_BASE!A:W, 8, FALSE), "DOCENTE / FACILITADOR"))</f>
        <v/>
      </c>
      <c r="G1102" s="4" t="str">
        <f>IF(B1102="","",IFERROR(VLOOKUP(B1102, PLANTA_BASE!A:W, 9, FALSE), "GENERAL"))</f>
        <v/>
      </c>
      <c r="H1102" s="2" t="str">
        <f>IF(B1102="","",IFERROR(VLOOKUP(B1102, PLANTA_BASE!A:W, 17, FALSE), "GENERAL"))</f>
        <v/>
      </c>
    </row>
    <row r="1103" spans="1:8" ht="20.100000000000001" customHeight="1" x14ac:dyDescent="0.25">
      <c r="A1103" s="5" t="str">
        <f>IF(B1103="","",IFERROR(VLOOKUP(B1103, PLANTA_BASE!A:W, 2, FALSE), "NO ENCONTRADO EN PLANTA"))</f>
        <v/>
      </c>
      <c r="B1103" s="6"/>
      <c r="C1103" s="7" t="str">
        <f>IF(B1103="","",IFERROR(VLOOKUP(B1103, PLANTA_BASE!A:W, 3, FALSE), ""))</f>
        <v/>
      </c>
      <c r="D1103" s="5" t="str">
        <f>IF(B1103="","",IFERROR(VLOOKUP(B1103, PLANTA_BASE!A:W, 5, FALSE), "NO ENCONTRADO EN PLANTA"))</f>
        <v/>
      </c>
      <c r="E1103" s="5" t="str">
        <f>IF(B1103="","",IFERROR(VLOOKUP(B1103, PLANTA_BASE!A:W, 6, FALSE), "NO ENCONTRADO EN PLANTA"))</f>
        <v/>
      </c>
      <c r="F1103" s="7" t="str">
        <f>IF(B1103="","",IFERROR(VLOOKUP(B1103, PLANTA_BASE!A:W, 8, FALSE), "DOCENTE / FACILITADOR"))</f>
        <v/>
      </c>
      <c r="G1103" s="7" t="str">
        <f>IF(B1103="","",IFERROR(VLOOKUP(B1103, PLANTA_BASE!A:W, 9, FALSE), "GENERAL"))</f>
        <v/>
      </c>
      <c r="H1103" s="5" t="str">
        <f>IF(B1103="","",IFERROR(VLOOKUP(B1103, PLANTA_BASE!A:W, 17, FALSE), "GENERAL"))</f>
        <v/>
      </c>
    </row>
    <row r="1104" spans="1:8" ht="20.100000000000001" customHeight="1" x14ac:dyDescent="0.25">
      <c r="A1104" s="2" t="str">
        <f>IF(B1104="","",IFERROR(VLOOKUP(B1104, PLANTA_BASE!A:W, 2, FALSE), "NO ENCONTRADO EN PLANTA"))</f>
        <v/>
      </c>
      <c r="B1104" s="3"/>
      <c r="C1104" s="4" t="str">
        <f>IF(B1104="","",IFERROR(VLOOKUP(B1104, PLANTA_BASE!A:W, 3, FALSE), ""))</f>
        <v/>
      </c>
      <c r="D1104" s="2" t="str">
        <f>IF(B1104="","",IFERROR(VLOOKUP(B1104, PLANTA_BASE!A:W, 5, FALSE), "NO ENCONTRADO EN PLANTA"))</f>
        <v/>
      </c>
      <c r="E1104" s="2" t="str">
        <f>IF(B1104="","",IFERROR(VLOOKUP(B1104, PLANTA_BASE!A:W, 6, FALSE), "NO ENCONTRADO EN PLANTA"))</f>
        <v/>
      </c>
      <c r="F1104" s="4" t="str">
        <f>IF(B1104="","",IFERROR(VLOOKUP(B1104, PLANTA_BASE!A:W, 8, FALSE), "DOCENTE / FACILITADOR"))</f>
        <v/>
      </c>
      <c r="G1104" s="4" t="str">
        <f>IF(B1104="","",IFERROR(VLOOKUP(B1104, PLANTA_BASE!A:W, 9, FALSE), "GENERAL"))</f>
        <v/>
      </c>
      <c r="H1104" s="2" t="str">
        <f>IF(B1104="","",IFERROR(VLOOKUP(B1104, PLANTA_BASE!A:W, 17, FALSE), "GENERAL"))</f>
        <v/>
      </c>
    </row>
    <row r="1105" spans="1:8" ht="20.100000000000001" customHeight="1" x14ac:dyDescent="0.25">
      <c r="A1105" s="5" t="str">
        <f>IF(B1105="","",IFERROR(VLOOKUP(B1105, PLANTA_BASE!A:W, 2, FALSE), "NO ENCONTRADO EN PLANTA"))</f>
        <v/>
      </c>
      <c r="B1105" s="6"/>
      <c r="C1105" s="7" t="str">
        <f>IF(B1105="","",IFERROR(VLOOKUP(B1105, PLANTA_BASE!A:W, 3, FALSE), ""))</f>
        <v/>
      </c>
      <c r="D1105" s="5" t="str">
        <f>IF(B1105="","",IFERROR(VLOOKUP(B1105, PLANTA_BASE!A:W, 5, FALSE), "NO ENCONTRADO EN PLANTA"))</f>
        <v/>
      </c>
      <c r="E1105" s="5" t="str">
        <f>IF(B1105="","",IFERROR(VLOOKUP(B1105, PLANTA_BASE!A:W, 6, FALSE), "NO ENCONTRADO EN PLANTA"))</f>
        <v/>
      </c>
      <c r="F1105" s="7" t="str">
        <f>IF(B1105="","",IFERROR(VLOOKUP(B1105, PLANTA_BASE!A:W, 8, FALSE), "DOCENTE / FACILITADOR"))</f>
        <v/>
      </c>
      <c r="G1105" s="7" t="str">
        <f>IF(B1105="","",IFERROR(VLOOKUP(B1105, PLANTA_BASE!A:W, 9, FALSE), "GENERAL"))</f>
        <v/>
      </c>
      <c r="H1105" s="5" t="str">
        <f>IF(B1105="","",IFERROR(VLOOKUP(B1105, PLANTA_BASE!A:W, 17, FALSE), "GENERAL"))</f>
        <v/>
      </c>
    </row>
    <row r="1106" spans="1:8" ht="20.100000000000001" customHeight="1" x14ac:dyDescent="0.25">
      <c r="A1106" s="2" t="str">
        <f>IF(B1106="","",IFERROR(VLOOKUP(B1106, PLANTA_BASE!A:W, 2, FALSE), "NO ENCONTRADO EN PLANTA"))</f>
        <v/>
      </c>
      <c r="B1106" s="3"/>
      <c r="C1106" s="4" t="str">
        <f>IF(B1106="","",IFERROR(VLOOKUP(B1106, PLANTA_BASE!A:W, 3, FALSE), ""))</f>
        <v/>
      </c>
      <c r="D1106" s="2" t="str">
        <f>IF(B1106="","",IFERROR(VLOOKUP(B1106, PLANTA_BASE!A:W, 5, FALSE), "NO ENCONTRADO EN PLANTA"))</f>
        <v/>
      </c>
      <c r="E1106" s="2" t="str">
        <f>IF(B1106="","",IFERROR(VLOOKUP(B1106, PLANTA_BASE!A:W, 6, FALSE), "NO ENCONTRADO EN PLANTA"))</f>
        <v/>
      </c>
      <c r="F1106" s="4" t="str">
        <f>IF(B1106="","",IFERROR(VLOOKUP(B1106, PLANTA_BASE!A:W, 8, FALSE), "DOCENTE / FACILITADOR"))</f>
        <v/>
      </c>
      <c r="G1106" s="4" t="str">
        <f>IF(B1106="","",IFERROR(VLOOKUP(B1106, PLANTA_BASE!A:W, 9, FALSE), "GENERAL"))</f>
        <v/>
      </c>
      <c r="H1106" s="2" t="str">
        <f>IF(B1106="","",IFERROR(VLOOKUP(B1106, PLANTA_BASE!A:W, 17, FALSE), "GENERAL"))</f>
        <v/>
      </c>
    </row>
    <row r="1107" spans="1:8" ht="20.100000000000001" customHeight="1" x14ac:dyDescent="0.25">
      <c r="A1107" s="5" t="str">
        <f>IF(B1107="","",IFERROR(VLOOKUP(B1107, PLANTA_BASE!A:W, 2, FALSE), "NO ENCONTRADO EN PLANTA"))</f>
        <v/>
      </c>
      <c r="B1107" s="6"/>
      <c r="C1107" s="7" t="str">
        <f>IF(B1107="","",IFERROR(VLOOKUP(B1107, PLANTA_BASE!A:W, 3, FALSE), ""))</f>
        <v/>
      </c>
      <c r="D1107" s="5" t="str">
        <f>IF(B1107="","",IFERROR(VLOOKUP(B1107, PLANTA_BASE!A:W, 5, FALSE), "NO ENCONTRADO EN PLANTA"))</f>
        <v/>
      </c>
      <c r="E1107" s="5" t="str">
        <f>IF(B1107="","",IFERROR(VLOOKUP(B1107, PLANTA_BASE!A:W, 6, FALSE), "NO ENCONTRADO EN PLANTA"))</f>
        <v/>
      </c>
      <c r="F1107" s="7" t="str">
        <f>IF(B1107="","",IFERROR(VLOOKUP(B1107, PLANTA_BASE!A:W, 8, FALSE), "DOCENTE / FACILITADOR"))</f>
        <v/>
      </c>
      <c r="G1107" s="7" t="str">
        <f>IF(B1107="","",IFERROR(VLOOKUP(B1107, PLANTA_BASE!A:W, 9, FALSE), "GENERAL"))</f>
        <v/>
      </c>
      <c r="H1107" s="5" t="str">
        <f>IF(B1107="","",IFERROR(VLOOKUP(B1107, PLANTA_BASE!A:W, 17, FALSE), "GENERAL"))</f>
        <v/>
      </c>
    </row>
    <row r="1108" spans="1:8" ht="20.100000000000001" customHeight="1" x14ac:dyDescent="0.25">
      <c r="A1108" s="2" t="str">
        <f>IF(B1108="","",IFERROR(VLOOKUP(B1108, PLANTA_BASE!A:W, 2, FALSE), "NO ENCONTRADO EN PLANTA"))</f>
        <v/>
      </c>
      <c r="B1108" s="3"/>
      <c r="C1108" s="4" t="str">
        <f>IF(B1108="","",IFERROR(VLOOKUP(B1108, PLANTA_BASE!A:W, 3, FALSE), ""))</f>
        <v/>
      </c>
      <c r="D1108" s="2" t="str">
        <f>IF(B1108="","",IFERROR(VLOOKUP(B1108, PLANTA_BASE!A:W, 5, FALSE), "NO ENCONTRADO EN PLANTA"))</f>
        <v/>
      </c>
      <c r="E1108" s="2" t="str">
        <f>IF(B1108="","",IFERROR(VLOOKUP(B1108, PLANTA_BASE!A:W, 6, FALSE), "NO ENCONTRADO EN PLANTA"))</f>
        <v/>
      </c>
      <c r="F1108" s="4" t="str">
        <f>IF(B1108="","",IFERROR(VLOOKUP(B1108, PLANTA_BASE!A:W, 8, FALSE), "DOCENTE / FACILITADOR"))</f>
        <v/>
      </c>
      <c r="G1108" s="4" t="str">
        <f>IF(B1108="","",IFERROR(VLOOKUP(B1108, PLANTA_BASE!A:W, 9, FALSE), "GENERAL"))</f>
        <v/>
      </c>
      <c r="H1108" s="2" t="str">
        <f>IF(B1108="","",IFERROR(VLOOKUP(B1108, PLANTA_BASE!A:W, 17, FALSE), "GENERAL"))</f>
        <v/>
      </c>
    </row>
    <row r="1109" spans="1:8" ht="20.100000000000001" customHeight="1" x14ac:dyDescent="0.25">
      <c r="A1109" s="5" t="str">
        <f>IF(B1109="","",IFERROR(VLOOKUP(B1109, PLANTA_BASE!A:W, 2, FALSE), "NO ENCONTRADO EN PLANTA"))</f>
        <v/>
      </c>
      <c r="B1109" s="6"/>
      <c r="C1109" s="7" t="str">
        <f>IF(B1109="","",IFERROR(VLOOKUP(B1109, PLANTA_BASE!A:W, 3, FALSE), ""))</f>
        <v/>
      </c>
      <c r="D1109" s="5" t="str">
        <f>IF(B1109="","",IFERROR(VLOOKUP(B1109, PLANTA_BASE!A:W, 5, FALSE), "NO ENCONTRADO EN PLANTA"))</f>
        <v/>
      </c>
      <c r="E1109" s="5" t="str">
        <f>IF(B1109="","",IFERROR(VLOOKUP(B1109, PLANTA_BASE!A:W, 6, FALSE), "NO ENCONTRADO EN PLANTA"))</f>
        <v/>
      </c>
      <c r="F1109" s="7" t="str">
        <f>IF(B1109="","",IFERROR(VLOOKUP(B1109, PLANTA_BASE!A:W, 8, FALSE), "DOCENTE / FACILITADOR"))</f>
        <v/>
      </c>
      <c r="G1109" s="7" t="str">
        <f>IF(B1109="","",IFERROR(VLOOKUP(B1109, PLANTA_BASE!A:W, 9, FALSE), "GENERAL"))</f>
        <v/>
      </c>
      <c r="H1109" s="5" t="str">
        <f>IF(B1109="","",IFERROR(VLOOKUP(B1109, PLANTA_BASE!A:W, 17, FALSE), "GENERAL"))</f>
        <v/>
      </c>
    </row>
    <row r="1110" spans="1:8" ht="20.100000000000001" customHeight="1" x14ac:dyDescent="0.25">
      <c r="A1110" s="2" t="str">
        <f>IF(B1110="","",IFERROR(VLOOKUP(B1110, PLANTA_BASE!A:W, 2, FALSE), "NO ENCONTRADO EN PLANTA"))</f>
        <v/>
      </c>
      <c r="B1110" s="3"/>
      <c r="C1110" s="4" t="str">
        <f>IF(B1110="","",IFERROR(VLOOKUP(B1110, PLANTA_BASE!A:W, 3, FALSE), ""))</f>
        <v/>
      </c>
      <c r="D1110" s="2" t="str">
        <f>IF(B1110="","",IFERROR(VLOOKUP(B1110, PLANTA_BASE!A:W, 5, FALSE), "NO ENCONTRADO EN PLANTA"))</f>
        <v/>
      </c>
      <c r="E1110" s="2" t="str">
        <f>IF(B1110="","",IFERROR(VLOOKUP(B1110, PLANTA_BASE!A:W, 6, FALSE), "NO ENCONTRADO EN PLANTA"))</f>
        <v/>
      </c>
      <c r="F1110" s="4" t="str">
        <f>IF(B1110="","",IFERROR(VLOOKUP(B1110, PLANTA_BASE!A:W, 8, FALSE), "DOCENTE / FACILITADOR"))</f>
        <v/>
      </c>
      <c r="G1110" s="4" t="str">
        <f>IF(B1110="","",IFERROR(VLOOKUP(B1110, PLANTA_BASE!A:W, 9, FALSE), "GENERAL"))</f>
        <v/>
      </c>
      <c r="H1110" s="2" t="str">
        <f>IF(B1110="","",IFERROR(VLOOKUP(B1110, PLANTA_BASE!A:W, 17, FALSE), "GENERAL"))</f>
        <v/>
      </c>
    </row>
    <row r="1111" spans="1:8" ht="20.100000000000001" customHeight="1" x14ac:dyDescent="0.25">
      <c r="A1111" s="5" t="str">
        <f>IF(B1111="","",IFERROR(VLOOKUP(B1111, PLANTA_BASE!A:W, 2, FALSE), "NO ENCONTRADO EN PLANTA"))</f>
        <v/>
      </c>
      <c r="B1111" s="6"/>
      <c r="C1111" s="7" t="str">
        <f>IF(B1111="","",IFERROR(VLOOKUP(B1111, PLANTA_BASE!A:W, 3, FALSE), ""))</f>
        <v/>
      </c>
      <c r="D1111" s="5" t="str">
        <f>IF(B1111="","",IFERROR(VLOOKUP(B1111, PLANTA_BASE!A:W, 5, FALSE), "NO ENCONTRADO EN PLANTA"))</f>
        <v/>
      </c>
      <c r="E1111" s="5" t="str">
        <f>IF(B1111="","",IFERROR(VLOOKUP(B1111, PLANTA_BASE!A:W, 6, FALSE), "NO ENCONTRADO EN PLANTA"))</f>
        <v/>
      </c>
      <c r="F1111" s="7" t="str">
        <f>IF(B1111="","",IFERROR(VLOOKUP(B1111, PLANTA_BASE!A:W, 8, FALSE), "DOCENTE / FACILITADOR"))</f>
        <v/>
      </c>
      <c r="G1111" s="7" t="str">
        <f>IF(B1111="","",IFERROR(VLOOKUP(B1111, PLANTA_BASE!A:W, 9, FALSE), "GENERAL"))</f>
        <v/>
      </c>
      <c r="H1111" s="5" t="str">
        <f>IF(B1111="","",IFERROR(VLOOKUP(B1111, PLANTA_BASE!A:W, 17, FALSE), "GENERAL"))</f>
        <v/>
      </c>
    </row>
    <row r="1112" spans="1:8" ht="20.100000000000001" customHeight="1" x14ac:dyDescent="0.25">
      <c r="A1112" s="2" t="str">
        <f>IF(B1112="","",IFERROR(VLOOKUP(B1112, PLANTA_BASE!A:W, 2, FALSE), "NO ENCONTRADO EN PLANTA"))</f>
        <v/>
      </c>
      <c r="B1112" s="3"/>
      <c r="C1112" s="4" t="str">
        <f>IF(B1112="","",IFERROR(VLOOKUP(B1112, PLANTA_BASE!A:W, 3, FALSE), ""))</f>
        <v/>
      </c>
      <c r="D1112" s="2" t="str">
        <f>IF(B1112="","",IFERROR(VLOOKUP(B1112, PLANTA_BASE!A:W, 5, FALSE), "NO ENCONTRADO EN PLANTA"))</f>
        <v/>
      </c>
      <c r="E1112" s="2" t="str">
        <f>IF(B1112="","",IFERROR(VLOOKUP(B1112, PLANTA_BASE!A:W, 6, FALSE), "NO ENCONTRADO EN PLANTA"))</f>
        <v/>
      </c>
      <c r="F1112" s="4" t="str">
        <f>IF(B1112="","",IFERROR(VLOOKUP(B1112, PLANTA_BASE!A:W, 8, FALSE), "DOCENTE / FACILITADOR"))</f>
        <v/>
      </c>
      <c r="G1112" s="4" t="str">
        <f>IF(B1112="","",IFERROR(VLOOKUP(B1112, PLANTA_BASE!A:W, 9, FALSE), "GENERAL"))</f>
        <v/>
      </c>
      <c r="H1112" s="2" t="str">
        <f>IF(B1112="","",IFERROR(VLOOKUP(B1112, PLANTA_BASE!A:W, 17, FALSE), "GENERAL"))</f>
        <v/>
      </c>
    </row>
    <row r="1113" spans="1:8" ht="20.100000000000001" customHeight="1" x14ac:dyDescent="0.25">
      <c r="A1113" s="5" t="str">
        <f>IF(B1113="","",IFERROR(VLOOKUP(B1113, PLANTA_BASE!A:W, 2, FALSE), "NO ENCONTRADO EN PLANTA"))</f>
        <v/>
      </c>
      <c r="B1113" s="6"/>
      <c r="C1113" s="7" t="str">
        <f>IF(B1113="","",IFERROR(VLOOKUP(B1113, PLANTA_BASE!A:W, 3, FALSE), ""))</f>
        <v/>
      </c>
      <c r="D1113" s="5" t="str">
        <f>IF(B1113="","",IFERROR(VLOOKUP(B1113, PLANTA_BASE!A:W, 5, FALSE), "NO ENCONTRADO EN PLANTA"))</f>
        <v/>
      </c>
      <c r="E1113" s="5" t="str">
        <f>IF(B1113="","",IFERROR(VLOOKUP(B1113, PLANTA_BASE!A:W, 6, FALSE), "NO ENCONTRADO EN PLANTA"))</f>
        <v/>
      </c>
      <c r="F1113" s="7" t="str">
        <f>IF(B1113="","",IFERROR(VLOOKUP(B1113, PLANTA_BASE!A:W, 8, FALSE), "DOCENTE / FACILITADOR"))</f>
        <v/>
      </c>
      <c r="G1113" s="7" t="str">
        <f>IF(B1113="","",IFERROR(VLOOKUP(B1113, PLANTA_BASE!A:W, 9, FALSE), "GENERAL"))</f>
        <v/>
      </c>
      <c r="H1113" s="5" t="str">
        <f>IF(B1113="","",IFERROR(VLOOKUP(B1113, PLANTA_BASE!A:W, 17, FALSE), "GENERAL"))</f>
        <v/>
      </c>
    </row>
    <row r="1114" spans="1:8" ht="20.100000000000001" customHeight="1" x14ac:dyDescent="0.25">
      <c r="A1114" s="2" t="str">
        <f>IF(B1114="","",IFERROR(VLOOKUP(B1114, PLANTA_BASE!A:W, 2, FALSE), "NO ENCONTRADO EN PLANTA"))</f>
        <v/>
      </c>
      <c r="B1114" s="3"/>
      <c r="C1114" s="4" t="str">
        <f>IF(B1114="","",IFERROR(VLOOKUP(B1114, PLANTA_BASE!A:W, 3, FALSE), ""))</f>
        <v/>
      </c>
      <c r="D1114" s="2" t="str">
        <f>IF(B1114="","",IFERROR(VLOOKUP(B1114, PLANTA_BASE!A:W, 5, FALSE), "NO ENCONTRADO EN PLANTA"))</f>
        <v/>
      </c>
      <c r="E1114" s="2" t="str">
        <f>IF(B1114="","",IFERROR(VLOOKUP(B1114, PLANTA_BASE!A:W, 6, FALSE), "NO ENCONTRADO EN PLANTA"))</f>
        <v/>
      </c>
      <c r="F1114" s="4" t="str">
        <f>IF(B1114="","",IFERROR(VLOOKUP(B1114, PLANTA_BASE!A:W, 8, FALSE), "DOCENTE / FACILITADOR"))</f>
        <v/>
      </c>
      <c r="G1114" s="4" t="str">
        <f>IF(B1114="","",IFERROR(VLOOKUP(B1114, PLANTA_BASE!A:W, 9, FALSE), "GENERAL"))</f>
        <v/>
      </c>
      <c r="H1114" s="2" t="str">
        <f>IF(B1114="","",IFERROR(VLOOKUP(B1114, PLANTA_BASE!A:W, 17, FALSE), "GENERAL"))</f>
        <v/>
      </c>
    </row>
    <row r="1115" spans="1:8" ht="20.100000000000001" customHeight="1" x14ac:dyDescent="0.25">
      <c r="A1115" s="5" t="str">
        <f>IF(B1115="","",IFERROR(VLOOKUP(B1115, PLANTA_BASE!A:W, 2, FALSE), "NO ENCONTRADO EN PLANTA"))</f>
        <v/>
      </c>
      <c r="B1115" s="6"/>
      <c r="C1115" s="7" t="str">
        <f>IF(B1115="","",IFERROR(VLOOKUP(B1115, PLANTA_BASE!A:W, 3, FALSE), ""))</f>
        <v/>
      </c>
      <c r="D1115" s="5" t="str">
        <f>IF(B1115="","",IFERROR(VLOOKUP(B1115, PLANTA_BASE!A:W, 5, FALSE), "NO ENCONTRADO EN PLANTA"))</f>
        <v/>
      </c>
      <c r="E1115" s="5" t="str">
        <f>IF(B1115="","",IFERROR(VLOOKUP(B1115, PLANTA_BASE!A:W, 6, FALSE), "NO ENCONTRADO EN PLANTA"))</f>
        <v/>
      </c>
      <c r="F1115" s="7" t="str">
        <f>IF(B1115="","",IFERROR(VLOOKUP(B1115, PLANTA_BASE!A:W, 8, FALSE), "DOCENTE / FACILITADOR"))</f>
        <v/>
      </c>
      <c r="G1115" s="7" t="str">
        <f>IF(B1115="","",IFERROR(VLOOKUP(B1115, PLANTA_BASE!A:W, 9, FALSE), "GENERAL"))</f>
        <v/>
      </c>
      <c r="H1115" s="5" t="str">
        <f>IF(B1115="","",IFERROR(VLOOKUP(B1115, PLANTA_BASE!A:W, 17, FALSE), "GENERAL"))</f>
        <v/>
      </c>
    </row>
    <row r="1116" spans="1:8" ht="20.100000000000001" customHeight="1" x14ac:dyDescent="0.25">
      <c r="A1116" s="2" t="str">
        <f>IF(B1116="","",IFERROR(VLOOKUP(B1116, PLANTA_BASE!A:W, 2, FALSE), "NO ENCONTRADO EN PLANTA"))</f>
        <v/>
      </c>
      <c r="B1116" s="3"/>
      <c r="C1116" s="4" t="str">
        <f>IF(B1116="","",IFERROR(VLOOKUP(B1116, PLANTA_BASE!A:W, 3, FALSE), ""))</f>
        <v/>
      </c>
      <c r="D1116" s="2" t="str">
        <f>IF(B1116="","",IFERROR(VLOOKUP(B1116, PLANTA_BASE!A:W, 5, FALSE), "NO ENCONTRADO EN PLANTA"))</f>
        <v/>
      </c>
      <c r="E1116" s="2" t="str">
        <f>IF(B1116="","",IFERROR(VLOOKUP(B1116, PLANTA_BASE!A:W, 6, FALSE), "NO ENCONTRADO EN PLANTA"))</f>
        <v/>
      </c>
      <c r="F1116" s="4" t="str">
        <f>IF(B1116="","",IFERROR(VLOOKUP(B1116, PLANTA_BASE!A:W, 8, FALSE), "DOCENTE / FACILITADOR"))</f>
        <v/>
      </c>
      <c r="G1116" s="4" t="str">
        <f>IF(B1116="","",IFERROR(VLOOKUP(B1116, PLANTA_BASE!A:W, 9, FALSE), "GENERAL"))</f>
        <v/>
      </c>
      <c r="H1116" s="2" t="str">
        <f>IF(B1116="","",IFERROR(VLOOKUP(B1116, PLANTA_BASE!A:W, 17, FALSE), "GENERAL"))</f>
        <v/>
      </c>
    </row>
    <row r="1117" spans="1:8" ht="20.100000000000001" customHeight="1" x14ac:dyDescent="0.25">
      <c r="A1117" s="5" t="str">
        <f>IF(B1117="","",IFERROR(VLOOKUP(B1117, PLANTA_BASE!A:W, 2, FALSE), "NO ENCONTRADO EN PLANTA"))</f>
        <v/>
      </c>
      <c r="B1117" s="6"/>
      <c r="C1117" s="7" t="str">
        <f>IF(B1117="","",IFERROR(VLOOKUP(B1117, PLANTA_BASE!A:W, 3, FALSE), ""))</f>
        <v/>
      </c>
      <c r="D1117" s="5" t="str">
        <f>IF(B1117="","",IFERROR(VLOOKUP(B1117, PLANTA_BASE!A:W, 5, FALSE), "NO ENCONTRADO EN PLANTA"))</f>
        <v/>
      </c>
      <c r="E1117" s="5" t="str">
        <f>IF(B1117="","",IFERROR(VLOOKUP(B1117, PLANTA_BASE!A:W, 6, FALSE), "NO ENCONTRADO EN PLANTA"))</f>
        <v/>
      </c>
      <c r="F1117" s="7" t="str">
        <f>IF(B1117="","",IFERROR(VLOOKUP(B1117, PLANTA_BASE!A:W, 8, FALSE), "DOCENTE / FACILITADOR"))</f>
        <v/>
      </c>
      <c r="G1117" s="7" t="str">
        <f>IF(B1117="","",IFERROR(VLOOKUP(B1117, PLANTA_BASE!A:W, 9, FALSE), "GENERAL"))</f>
        <v/>
      </c>
      <c r="H1117" s="5" t="str">
        <f>IF(B1117="","",IFERROR(VLOOKUP(B1117, PLANTA_BASE!A:W, 17, FALSE), "GENERAL"))</f>
        <v/>
      </c>
    </row>
    <row r="1118" spans="1:8" ht="20.100000000000001" customHeight="1" x14ac:dyDescent="0.25">
      <c r="A1118" s="2" t="str">
        <f>IF(B1118="","",IFERROR(VLOOKUP(B1118, PLANTA_BASE!A:W, 2, FALSE), "NO ENCONTRADO EN PLANTA"))</f>
        <v/>
      </c>
      <c r="B1118" s="3"/>
      <c r="C1118" s="4" t="str">
        <f>IF(B1118="","",IFERROR(VLOOKUP(B1118, PLANTA_BASE!A:W, 3, FALSE), ""))</f>
        <v/>
      </c>
      <c r="D1118" s="2" t="str">
        <f>IF(B1118="","",IFERROR(VLOOKUP(B1118, PLANTA_BASE!A:W, 5, FALSE), "NO ENCONTRADO EN PLANTA"))</f>
        <v/>
      </c>
      <c r="E1118" s="2" t="str">
        <f>IF(B1118="","",IFERROR(VLOOKUP(B1118, PLANTA_BASE!A:W, 6, FALSE), "NO ENCONTRADO EN PLANTA"))</f>
        <v/>
      </c>
      <c r="F1118" s="4" t="str">
        <f>IF(B1118="","",IFERROR(VLOOKUP(B1118, PLANTA_BASE!A:W, 8, FALSE), "DOCENTE / FACILITADOR"))</f>
        <v/>
      </c>
      <c r="G1118" s="4" t="str">
        <f>IF(B1118="","",IFERROR(VLOOKUP(B1118, PLANTA_BASE!A:W, 9, FALSE), "GENERAL"))</f>
        <v/>
      </c>
      <c r="H1118" s="2" t="str">
        <f>IF(B1118="","",IFERROR(VLOOKUP(B1118, PLANTA_BASE!A:W, 17, FALSE), "GENERAL"))</f>
        <v/>
      </c>
    </row>
    <row r="1119" spans="1:8" ht="20.100000000000001" customHeight="1" x14ac:dyDescent="0.25">
      <c r="A1119" s="5" t="str">
        <f>IF(B1119="","",IFERROR(VLOOKUP(B1119, PLANTA_BASE!A:W, 2, FALSE), "NO ENCONTRADO EN PLANTA"))</f>
        <v/>
      </c>
      <c r="B1119" s="6"/>
      <c r="C1119" s="7" t="str">
        <f>IF(B1119="","",IFERROR(VLOOKUP(B1119, PLANTA_BASE!A:W, 3, FALSE), ""))</f>
        <v/>
      </c>
      <c r="D1119" s="5" t="str">
        <f>IF(B1119="","",IFERROR(VLOOKUP(B1119, PLANTA_BASE!A:W, 5, FALSE), "NO ENCONTRADO EN PLANTA"))</f>
        <v/>
      </c>
      <c r="E1119" s="5" t="str">
        <f>IF(B1119="","",IFERROR(VLOOKUP(B1119, PLANTA_BASE!A:W, 6, FALSE), "NO ENCONTRADO EN PLANTA"))</f>
        <v/>
      </c>
      <c r="F1119" s="7" t="str">
        <f>IF(B1119="","",IFERROR(VLOOKUP(B1119, PLANTA_BASE!A:W, 8, FALSE), "DOCENTE / FACILITADOR"))</f>
        <v/>
      </c>
      <c r="G1119" s="7" t="str">
        <f>IF(B1119="","",IFERROR(VLOOKUP(B1119, PLANTA_BASE!A:W, 9, FALSE), "GENERAL"))</f>
        <v/>
      </c>
      <c r="H1119" s="5" t="str">
        <f>IF(B1119="","",IFERROR(VLOOKUP(B1119, PLANTA_BASE!A:W, 17, FALSE), "GENERAL"))</f>
        <v/>
      </c>
    </row>
    <row r="1120" spans="1:8" ht="20.100000000000001" customHeight="1" x14ac:dyDescent="0.25">
      <c r="A1120" s="2" t="str">
        <f>IF(B1120="","",IFERROR(VLOOKUP(B1120, PLANTA_BASE!A:W, 2, FALSE), "NO ENCONTRADO EN PLANTA"))</f>
        <v/>
      </c>
      <c r="B1120" s="3"/>
      <c r="C1120" s="4" t="str">
        <f>IF(B1120="","",IFERROR(VLOOKUP(B1120, PLANTA_BASE!A:W, 3, FALSE), ""))</f>
        <v/>
      </c>
      <c r="D1120" s="2" t="str">
        <f>IF(B1120="","",IFERROR(VLOOKUP(B1120, PLANTA_BASE!A:W, 5, FALSE), "NO ENCONTRADO EN PLANTA"))</f>
        <v/>
      </c>
      <c r="E1120" s="2" t="str">
        <f>IF(B1120="","",IFERROR(VLOOKUP(B1120, PLANTA_BASE!A:W, 6, FALSE), "NO ENCONTRADO EN PLANTA"))</f>
        <v/>
      </c>
      <c r="F1120" s="4" t="str">
        <f>IF(B1120="","",IFERROR(VLOOKUP(B1120, PLANTA_BASE!A:W, 8, FALSE), "DOCENTE / FACILITADOR"))</f>
        <v/>
      </c>
      <c r="G1120" s="4" t="str">
        <f>IF(B1120="","",IFERROR(VLOOKUP(B1120, PLANTA_BASE!A:W, 9, FALSE), "GENERAL"))</f>
        <v/>
      </c>
      <c r="H1120" s="2" t="str">
        <f>IF(B1120="","",IFERROR(VLOOKUP(B1120, PLANTA_BASE!A:W, 17, FALSE), "GENERAL"))</f>
        <v/>
      </c>
    </row>
    <row r="1121" spans="1:8" ht="20.100000000000001" customHeight="1" x14ac:dyDescent="0.25">
      <c r="A1121" s="5" t="str">
        <f>IF(B1121="","",IFERROR(VLOOKUP(B1121, PLANTA_BASE!A:W, 2, FALSE), "NO ENCONTRADO EN PLANTA"))</f>
        <v/>
      </c>
      <c r="B1121" s="6"/>
      <c r="C1121" s="7" t="str">
        <f>IF(B1121="","",IFERROR(VLOOKUP(B1121, PLANTA_BASE!A:W, 3, FALSE), ""))</f>
        <v/>
      </c>
      <c r="D1121" s="5" t="str">
        <f>IF(B1121="","",IFERROR(VLOOKUP(B1121, PLANTA_BASE!A:W, 5, FALSE), "NO ENCONTRADO EN PLANTA"))</f>
        <v/>
      </c>
      <c r="E1121" s="5" t="str">
        <f>IF(B1121="","",IFERROR(VLOOKUP(B1121, PLANTA_BASE!A:W, 6, FALSE), "NO ENCONTRADO EN PLANTA"))</f>
        <v/>
      </c>
      <c r="F1121" s="7" t="str">
        <f>IF(B1121="","",IFERROR(VLOOKUP(B1121, PLANTA_BASE!A:W, 8, FALSE), "DOCENTE / FACILITADOR"))</f>
        <v/>
      </c>
      <c r="G1121" s="7" t="str">
        <f>IF(B1121="","",IFERROR(VLOOKUP(B1121, PLANTA_BASE!A:W, 9, FALSE), "GENERAL"))</f>
        <v/>
      </c>
      <c r="H1121" s="5" t="str">
        <f>IF(B1121="","",IFERROR(VLOOKUP(B1121, PLANTA_BASE!A:W, 17, FALSE), "GENERAL"))</f>
        <v/>
      </c>
    </row>
    <row r="1122" spans="1:8" ht="20.100000000000001" customHeight="1" x14ac:dyDescent="0.25">
      <c r="A1122" s="2" t="str">
        <f>IF(B1122="","",IFERROR(VLOOKUP(B1122, PLANTA_BASE!A:W, 2, FALSE), "NO ENCONTRADO EN PLANTA"))</f>
        <v/>
      </c>
      <c r="B1122" s="3"/>
      <c r="C1122" s="4" t="str">
        <f>IF(B1122="","",IFERROR(VLOOKUP(B1122, PLANTA_BASE!A:W, 3, FALSE), ""))</f>
        <v/>
      </c>
      <c r="D1122" s="2" t="str">
        <f>IF(B1122="","",IFERROR(VLOOKUP(B1122, PLANTA_BASE!A:W, 5, FALSE), "NO ENCONTRADO EN PLANTA"))</f>
        <v/>
      </c>
      <c r="E1122" s="2" t="str">
        <f>IF(B1122="","",IFERROR(VLOOKUP(B1122, PLANTA_BASE!A:W, 6, FALSE), "NO ENCONTRADO EN PLANTA"))</f>
        <v/>
      </c>
      <c r="F1122" s="4" t="str">
        <f>IF(B1122="","",IFERROR(VLOOKUP(B1122, PLANTA_BASE!A:W, 8, FALSE), "DOCENTE / FACILITADOR"))</f>
        <v/>
      </c>
      <c r="G1122" s="4" t="str">
        <f>IF(B1122="","",IFERROR(VLOOKUP(B1122, PLANTA_BASE!A:W, 9, FALSE), "GENERAL"))</f>
        <v/>
      </c>
      <c r="H1122" s="2" t="str">
        <f>IF(B1122="","",IFERROR(VLOOKUP(B1122, PLANTA_BASE!A:W, 17, FALSE), "GENERAL"))</f>
        <v/>
      </c>
    </row>
    <row r="1123" spans="1:8" ht="20.100000000000001" customHeight="1" x14ac:dyDescent="0.25">
      <c r="A1123" s="5" t="str">
        <f>IF(B1123="","",IFERROR(VLOOKUP(B1123, PLANTA_BASE!A:W, 2, FALSE), "NO ENCONTRADO EN PLANTA"))</f>
        <v/>
      </c>
      <c r="B1123" s="6"/>
      <c r="C1123" s="7" t="str">
        <f>IF(B1123="","",IFERROR(VLOOKUP(B1123, PLANTA_BASE!A:W, 3, FALSE), ""))</f>
        <v/>
      </c>
      <c r="D1123" s="5" t="str">
        <f>IF(B1123="","",IFERROR(VLOOKUP(B1123, PLANTA_BASE!A:W, 5, FALSE), "NO ENCONTRADO EN PLANTA"))</f>
        <v/>
      </c>
      <c r="E1123" s="5" t="str">
        <f>IF(B1123="","",IFERROR(VLOOKUP(B1123, PLANTA_BASE!A:W, 6, FALSE), "NO ENCONTRADO EN PLANTA"))</f>
        <v/>
      </c>
      <c r="F1123" s="7" t="str">
        <f>IF(B1123="","",IFERROR(VLOOKUP(B1123, PLANTA_BASE!A:W, 8, FALSE), "DOCENTE / FACILITADOR"))</f>
        <v/>
      </c>
      <c r="G1123" s="7" t="str">
        <f>IF(B1123="","",IFERROR(VLOOKUP(B1123, PLANTA_BASE!A:W, 9, FALSE), "GENERAL"))</f>
        <v/>
      </c>
      <c r="H1123" s="5" t="str">
        <f>IF(B1123="","",IFERROR(VLOOKUP(B1123, PLANTA_BASE!A:W, 17, FALSE), "GENERAL"))</f>
        <v/>
      </c>
    </row>
    <row r="1124" spans="1:8" ht="20.100000000000001" customHeight="1" x14ac:dyDescent="0.25">
      <c r="A1124" s="2" t="str">
        <f>IF(B1124="","",IFERROR(VLOOKUP(B1124, PLANTA_BASE!A:W, 2, FALSE), "NO ENCONTRADO EN PLANTA"))</f>
        <v/>
      </c>
      <c r="B1124" s="3"/>
      <c r="C1124" s="4" t="str">
        <f>IF(B1124="","",IFERROR(VLOOKUP(B1124, PLANTA_BASE!A:W, 3, FALSE), ""))</f>
        <v/>
      </c>
      <c r="D1124" s="2" t="str">
        <f>IF(B1124="","",IFERROR(VLOOKUP(B1124, PLANTA_BASE!A:W, 5, FALSE), "NO ENCONTRADO EN PLANTA"))</f>
        <v/>
      </c>
      <c r="E1124" s="2" t="str">
        <f>IF(B1124="","",IFERROR(VLOOKUP(B1124, PLANTA_BASE!A:W, 6, FALSE), "NO ENCONTRADO EN PLANTA"))</f>
        <v/>
      </c>
      <c r="F1124" s="4" t="str">
        <f>IF(B1124="","",IFERROR(VLOOKUP(B1124, PLANTA_BASE!A:W, 8, FALSE), "DOCENTE / FACILITADOR"))</f>
        <v/>
      </c>
      <c r="G1124" s="4" t="str">
        <f>IF(B1124="","",IFERROR(VLOOKUP(B1124, PLANTA_BASE!A:W, 9, FALSE), "GENERAL"))</f>
        <v/>
      </c>
      <c r="H1124" s="2" t="str">
        <f>IF(B1124="","",IFERROR(VLOOKUP(B1124, PLANTA_BASE!A:W, 17, FALSE), "GENERAL"))</f>
        <v/>
      </c>
    </row>
    <row r="1125" spans="1:8" ht="20.100000000000001" customHeight="1" x14ac:dyDescent="0.25">
      <c r="A1125" s="5" t="str">
        <f>IF(B1125="","",IFERROR(VLOOKUP(B1125, PLANTA_BASE!A:W, 2, FALSE), "NO ENCONTRADO EN PLANTA"))</f>
        <v/>
      </c>
      <c r="B1125" s="6"/>
      <c r="C1125" s="7" t="str">
        <f>IF(B1125="","",IFERROR(VLOOKUP(B1125, PLANTA_BASE!A:W, 3, FALSE), ""))</f>
        <v/>
      </c>
      <c r="D1125" s="5" t="str">
        <f>IF(B1125="","",IFERROR(VLOOKUP(B1125, PLANTA_BASE!A:W, 5, FALSE), "NO ENCONTRADO EN PLANTA"))</f>
        <v/>
      </c>
      <c r="E1125" s="5" t="str">
        <f>IF(B1125="","",IFERROR(VLOOKUP(B1125, PLANTA_BASE!A:W, 6, FALSE), "NO ENCONTRADO EN PLANTA"))</f>
        <v/>
      </c>
      <c r="F1125" s="7" t="str">
        <f>IF(B1125="","",IFERROR(VLOOKUP(B1125, PLANTA_BASE!A:W, 8, FALSE), "DOCENTE / FACILITADOR"))</f>
        <v/>
      </c>
      <c r="G1125" s="7" t="str">
        <f>IF(B1125="","",IFERROR(VLOOKUP(B1125, PLANTA_BASE!A:W, 9, FALSE), "GENERAL"))</f>
        <v/>
      </c>
      <c r="H1125" s="5" t="str">
        <f>IF(B1125="","",IFERROR(VLOOKUP(B1125, PLANTA_BASE!A:W, 17, FALSE), "GENERAL"))</f>
        <v/>
      </c>
    </row>
    <row r="1126" spans="1:8" ht="20.100000000000001" customHeight="1" x14ac:dyDescent="0.25">
      <c r="A1126" s="2" t="str">
        <f>IF(B1126="","",IFERROR(VLOOKUP(B1126, PLANTA_BASE!A:W, 2, FALSE), "NO ENCONTRADO EN PLANTA"))</f>
        <v/>
      </c>
      <c r="B1126" s="3"/>
      <c r="C1126" s="4" t="str">
        <f>IF(B1126="","",IFERROR(VLOOKUP(B1126, PLANTA_BASE!A:W, 3, FALSE), ""))</f>
        <v/>
      </c>
      <c r="D1126" s="2" t="str">
        <f>IF(B1126="","",IFERROR(VLOOKUP(B1126, PLANTA_BASE!A:W, 5, FALSE), "NO ENCONTRADO EN PLANTA"))</f>
        <v/>
      </c>
      <c r="E1126" s="2" t="str">
        <f>IF(B1126="","",IFERROR(VLOOKUP(B1126, PLANTA_BASE!A:W, 6, FALSE), "NO ENCONTRADO EN PLANTA"))</f>
        <v/>
      </c>
      <c r="F1126" s="4" t="str">
        <f>IF(B1126="","",IFERROR(VLOOKUP(B1126, PLANTA_BASE!A:W, 8, FALSE), "DOCENTE / FACILITADOR"))</f>
        <v/>
      </c>
      <c r="G1126" s="4" t="str">
        <f>IF(B1126="","",IFERROR(VLOOKUP(B1126, PLANTA_BASE!A:W, 9, FALSE), "GENERAL"))</f>
        <v/>
      </c>
      <c r="H1126" s="2" t="str">
        <f>IF(B1126="","",IFERROR(VLOOKUP(B1126, PLANTA_BASE!A:W, 17, FALSE), "GENERAL"))</f>
        <v/>
      </c>
    </row>
    <row r="1127" spans="1:8" ht="20.100000000000001" customHeight="1" x14ac:dyDescent="0.25">
      <c r="A1127" s="5" t="str">
        <f>IF(B1127="","",IFERROR(VLOOKUP(B1127, PLANTA_BASE!A:W, 2, FALSE), "NO ENCONTRADO EN PLANTA"))</f>
        <v/>
      </c>
      <c r="B1127" s="6"/>
      <c r="C1127" s="7" t="str">
        <f>IF(B1127="","",IFERROR(VLOOKUP(B1127, PLANTA_BASE!A:W, 3, FALSE), ""))</f>
        <v/>
      </c>
      <c r="D1127" s="5" t="str">
        <f>IF(B1127="","",IFERROR(VLOOKUP(B1127, PLANTA_BASE!A:W, 5, FALSE), "NO ENCONTRADO EN PLANTA"))</f>
        <v/>
      </c>
      <c r="E1127" s="5" t="str">
        <f>IF(B1127="","",IFERROR(VLOOKUP(B1127, PLANTA_BASE!A:W, 6, FALSE), "NO ENCONTRADO EN PLANTA"))</f>
        <v/>
      </c>
      <c r="F1127" s="7" t="str">
        <f>IF(B1127="","",IFERROR(VLOOKUP(B1127, PLANTA_BASE!A:W, 8, FALSE), "DOCENTE / FACILITADOR"))</f>
        <v/>
      </c>
      <c r="G1127" s="7" t="str">
        <f>IF(B1127="","",IFERROR(VLOOKUP(B1127, PLANTA_BASE!A:W, 9, FALSE), "GENERAL"))</f>
        <v/>
      </c>
      <c r="H1127" s="5" t="str">
        <f>IF(B1127="","",IFERROR(VLOOKUP(B1127, PLANTA_BASE!A:W, 17, FALSE), "GENERAL"))</f>
        <v/>
      </c>
    </row>
    <row r="1128" spans="1:8" ht="20.100000000000001" customHeight="1" x14ac:dyDescent="0.25">
      <c r="A1128" s="2" t="str">
        <f>IF(B1128="","",IFERROR(VLOOKUP(B1128, PLANTA_BASE!A:W, 2, FALSE), "NO ENCONTRADO EN PLANTA"))</f>
        <v/>
      </c>
      <c r="B1128" s="3"/>
      <c r="C1128" s="4" t="str">
        <f>IF(B1128="","",IFERROR(VLOOKUP(B1128, PLANTA_BASE!A:W, 3, FALSE), ""))</f>
        <v/>
      </c>
      <c r="D1128" s="2" t="str">
        <f>IF(B1128="","",IFERROR(VLOOKUP(B1128, PLANTA_BASE!A:W, 5, FALSE), "NO ENCONTRADO EN PLANTA"))</f>
        <v/>
      </c>
      <c r="E1128" s="2" t="str">
        <f>IF(B1128="","",IFERROR(VLOOKUP(B1128, PLANTA_BASE!A:W, 6, FALSE), "NO ENCONTRADO EN PLANTA"))</f>
        <v/>
      </c>
      <c r="F1128" s="4" t="str">
        <f>IF(B1128="","",IFERROR(VLOOKUP(B1128, PLANTA_BASE!A:W, 8, FALSE), "DOCENTE / FACILITADOR"))</f>
        <v/>
      </c>
      <c r="G1128" s="4" t="str">
        <f>IF(B1128="","",IFERROR(VLOOKUP(B1128, PLANTA_BASE!A:W, 9, FALSE), "GENERAL"))</f>
        <v/>
      </c>
      <c r="H1128" s="2" t="str">
        <f>IF(B1128="","",IFERROR(VLOOKUP(B1128, PLANTA_BASE!A:W, 17, FALSE), "GENERAL"))</f>
        <v/>
      </c>
    </row>
    <row r="1129" spans="1:8" ht="20.100000000000001" customHeight="1" x14ac:dyDescent="0.25">
      <c r="A1129" s="5" t="str">
        <f>IF(B1129="","",IFERROR(VLOOKUP(B1129, PLANTA_BASE!A:W, 2, FALSE), "NO ENCONTRADO EN PLANTA"))</f>
        <v/>
      </c>
      <c r="B1129" s="6"/>
      <c r="C1129" s="7" t="str">
        <f>IF(B1129="","",IFERROR(VLOOKUP(B1129, PLANTA_BASE!A:W, 3, FALSE), ""))</f>
        <v/>
      </c>
      <c r="D1129" s="5" t="str">
        <f>IF(B1129="","",IFERROR(VLOOKUP(B1129, PLANTA_BASE!A:W, 5, FALSE), "NO ENCONTRADO EN PLANTA"))</f>
        <v/>
      </c>
      <c r="E1129" s="5" t="str">
        <f>IF(B1129="","",IFERROR(VLOOKUP(B1129, PLANTA_BASE!A:W, 6, FALSE), "NO ENCONTRADO EN PLANTA"))</f>
        <v/>
      </c>
      <c r="F1129" s="7" t="str">
        <f>IF(B1129="","",IFERROR(VLOOKUP(B1129, PLANTA_BASE!A:W, 8, FALSE), "DOCENTE / FACILITADOR"))</f>
        <v/>
      </c>
      <c r="G1129" s="7" t="str">
        <f>IF(B1129="","",IFERROR(VLOOKUP(B1129, PLANTA_BASE!A:W, 9, FALSE), "GENERAL"))</f>
        <v/>
      </c>
      <c r="H1129" s="5" t="str">
        <f>IF(B1129="","",IFERROR(VLOOKUP(B1129, PLANTA_BASE!A:W, 17, FALSE), "GENERAL"))</f>
        <v/>
      </c>
    </row>
    <row r="1130" spans="1:8" ht="20.100000000000001" customHeight="1" x14ac:dyDescent="0.25">
      <c r="A1130" s="2" t="str">
        <f>IF(B1130="","",IFERROR(VLOOKUP(B1130, PLANTA_BASE!A:W, 2, FALSE), "NO ENCONTRADO EN PLANTA"))</f>
        <v/>
      </c>
      <c r="B1130" s="3"/>
      <c r="C1130" s="4" t="str">
        <f>IF(B1130="","",IFERROR(VLOOKUP(B1130, PLANTA_BASE!A:W, 3, FALSE), ""))</f>
        <v/>
      </c>
      <c r="D1130" s="2" t="str">
        <f>IF(B1130="","",IFERROR(VLOOKUP(B1130, PLANTA_BASE!A:W, 5, FALSE), "NO ENCONTRADO EN PLANTA"))</f>
        <v/>
      </c>
      <c r="E1130" s="2" t="str">
        <f>IF(B1130="","",IFERROR(VLOOKUP(B1130, PLANTA_BASE!A:W, 6, FALSE), "NO ENCONTRADO EN PLANTA"))</f>
        <v/>
      </c>
      <c r="F1130" s="4" t="str">
        <f>IF(B1130="","",IFERROR(VLOOKUP(B1130, PLANTA_BASE!A:W, 8, FALSE), "DOCENTE / FACILITADOR"))</f>
        <v/>
      </c>
      <c r="G1130" s="4" t="str">
        <f>IF(B1130="","",IFERROR(VLOOKUP(B1130, PLANTA_BASE!A:W, 9, FALSE), "GENERAL"))</f>
        <v/>
      </c>
      <c r="H1130" s="2" t="str">
        <f>IF(B1130="","",IFERROR(VLOOKUP(B1130, PLANTA_BASE!A:W, 17, FALSE), "GENERAL"))</f>
        <v/>
      </c>
    </row>
    <row r="1131" spans="1:8" ht="20.100000000000001" customHeight="1" x14ac:dyDescent="0.25">
      <c r="A1131" s="5" t="str">
        <f>IF(B1131="","",IFERROR(VLOOKUP(B1131, PLANTA_BASE!A:W, 2, FALSE), "NO ENCONTRADO EN PLANTA"))</f>
        <v/>
      </c>
      <c r="B1131" s="6"/>
      <c r="C1131" s="7" t="str">
        <f>IF(B1131="","",IFERROR(VLOOKUP(B1131, PLANTA_BASE!A:W, 3, FALSE), ""))</f>
        <v/>
      </c>
      <c r="D1131" s="5" t="str">
        <f>IF(B1131="","",IFERROR(VLOOKUP(B1131, PLANTA_BASE!A:W, 5, FALSE), "NO ENCONTRADO EN PLANTA"))</f>
        <v/>
      </c>
      <c r="E1131" s="5" t="str">
        <f>IF(B1131="","",IFERROR(VLOOKUP(B1131, PLANTA_BASE!A:W, 6, FALSE), "NO ENCONTRADO EN PLANTA"))</f>
        <v/>
      </c>
      <c r="F1131" s="7" t="str">
        <f>IF(B1131="","",IFERROR(VLOOKUP(B1131, PLANTA_BASE!A:W, 8, FALSE), "DOCENTE / FACILITADOR"))</f>
        <v/>
      </c>
      <c r="G1131" s="7" t="str">
        <f>IF(B1131="","",IFERROR(VLOOKUP(B1131, PLANTA_BASE!A:W, 9, FALSE), "GENERAL"))</f>
        <v/>
      </c>
      <c r="H1131" s="5" t="str">
        <f>IF(B1131="","",IFERROR(VLOOKUP(B1131, PLANTA_BASE!A:W, 17, FALSE), "GENERAL"))</f>
        <v/>
      </c>
    </row>
    <row r="1132" spans="1:8" ht="20.100000000000001" customHeight="1" x14ac:dyDescent="0.25">
      <c r="A1132" s="2" t="str">
        <f>IF(B1132="","",IFERROR(VLOOKUP(B1132, PLANTA_BASE!A:W, 2, FALSE), "NO ENCONTRADO EN PLANTA"))</f>
        <v/>
      </c>
      <c r="B1132" s="3"/>
      <c r="C1132" s="4" t="str">
        <f>IF(B1132="","",IFERROR(VLOOKUP(B1132, PLANTA_BASE!A:W, 3, FALSE), ""))</f>
        <v/>
      </c>
      <c r="D1132" s="2" t="str">
        <f>IF(B1132="","",IFERROR(VLOOKUP(B1132, PLANTA_BASE!A:W, 5, FALSE), "NO ENCONTRADO EN PLANTA"))</f>
        <v/>
      </c>
      <c r="E1132" s="2" t="str">
        <f>IF(B1132="","",IFERROR(VLOOKUP(B1132, PLANTA_BASE!A:W, 6, FALSE), "NO ENCONTRADO EN PLANTA"))</f>
        <v/>
      </c>
      <c r="F1132" s="4" t="str">
        <f>IF(B1132="","",IFERROR(VLOOKUP(B1132, PLANTA_BASE!A:W, 8, FALSE), "DOCENTE / FACILITADOR"))</f>
        <v/>
      </c>
      <c r="G1132" s="4" t="str">
        <f>IF(B1132="","",IFERROR(VLOOKUP(B1132, PLANTA_BASE!A:W, 9, FALSE), "GENERAL"))</f>
        <v/>
      </c>
      <c r="H1132" s="2" t="str">
        <f>IF(B1132="","",IFERROR(VLOOKUP(B1132, PLANTA_BASE!A:W, 17, FALSE), "GENERAL"))</f>
        <v/>
      </c>
    </row>
    <row r="1133" spans="1:8" ht="20.100000000000001" customHeight="1" x14ac:dyDescent="0.25">
      <c r="A1133" s="5" t="str">
        <f>IF(B1133="","",IFERROR(VLOOKUP(B1133, PLANTA_BASE!A:W, 2, FALSE), "NO ENCONTRADO EN PLANTA"))</f>
        <v/>
      </c>
      <c r="B1133" s="6"/>
      <c r="C1133" s="7" t="str">
        <f>IF(B1133="","",IFERROR(VLOOKUP(B1133, PLANTA_BASE!A:W, 3, FALSE), ""))</f>
        <v/>
      </c>
      <c r="D1133" s="5" t="str">
        <f>IF(B1133="","",IFERROR(VLOOKUP(B1133, PLANTA_BASE!A:W, 5, FALSE), "NO ENCONTRADO EN PLANTA"))</f>
        <v/>
      </c>
      <c r="E1133" s="5" t="str">
        <f>IF(B1133="","",IFERROR(VLOOKUP(B1133, PLANTA_BASE!A:W, 6, FALSE), "NO ENCONTRADO EN PLANTA"))</f>
        <v/>
      </c>
      <c r="F1133" s="7" t="str">
        <f>IF(B1133="","",IFERROR(VLOOKUP(B1133, PLANTA_BASE!A:W, 8, FALSE), "DOCENTE / FACILITADOR"))</f>
        <v/>
      </c>
      <c r="G1133" s="7" t="str">
        <f>IF(B1133="","",IFERROR(VLOOKUP(B1133, PLANTA_BASE!A:W, 9, FALSE), "GENERAL"))</f>
        <v/>
      </c>
      <c r="H1133" s="5" t="str">
        <f>IF(B1133="","",IFERROR(VLOOKUP(B1133, PLANTA_BASE!A:W, 17, FALSE), "GENERAL"))</f>
        <v/>
      </c>
    </row>
    <row r="1134" spans="1:8" ht="20.100000000000001" customHeight="1" x14ac:dyDescent="0.25">
      <c r="A1134" s="2" t="str">
        <f>IF(B1134="","",IFERROR(VLOOKUP(B1134, PLANTA_BASE!A:W, 2, FALSE), "NO ENCONTRADO EN PLANTA"))</f>
        <v/>
      </c>
      <c r="B1134" s="3"/>
      <c r="C1134" s="4" t="str">
        <f>IF(B1134="","",IFERROR(VLOOKUP(B1134, PLANTA_BASE!A:W, 3, FALSE), ""))</f>
        <v/>
      </c>
      <c r="D1134" s="2" t="str">
        <f>IF(B1134="","",IFERROR(VLOOKUP(B1134, PLANTA_BASE!A:W, 5, FALSE), "NO ENCONTRADO EN PLANTA"))</f>
        <v/>
      </c>
      <c r="E1134" s="2" t="str">
        <f>IF(B1134="","",IFERROR(VLOOKUP(B1134, PLANTA_BASE!A:W, 6, FALSE), "NO ENCONTRADO EN PLANTA"))</f>
        <v/>
      </c>
      <c r="F1134" s="4" t="str">
        <f>IF(B1134="","",IFERROR(VLOOKUP(B1134, PLANTA_BASE!A:W, 8, FALSE), "DOCENTE / FACILITADOR"))</f>
        <v/>
      </c>
      <c r="G1134" s="4" t="str">
        <f>IF(B1134="","",IFERROR(VLOOKUP(B1134, PLANTA_BASE!A:W, 9, FALSE), "GENERAL"))</f>
        <v/>
      </c>
      <c r="H1134" s="2" t="str">
        <f>IF(B1134="","",IFERROR(VLOOKUP(B1134, PLANTA_BASE!A:W, 17, FALSE), "GENERAL"))</f>
        <v/>
      </c>
    </row>
    <row r="1135" spans="1:8" ht="20.100000000000001" customHeight="1" x14ac:dyDescent="0.25">
      <c r="A1135" s="5" t="str">
        <f>IF(B1135="","",IFERROR(VLOOKUP(B1135, PLANTA_BASE!A:W, 2, FALSE), "NO ENCONTRADO EN PLANTA"))</f>
        <v/>
      </c>
      <c r="B1135" s="6"/>
      <c r="C1135" s="7" t="str">
        <f>IF(B1135="","",IFERROR(VLOOKUP(B1135, PLANTA_BASE!A:W, 3, FALSE), ""))</f>
        <v/>
      </c>
      <c r="D1135" s="5" t="str">
        <f>IF(B1135="","",IFERROR(VLOOKUP(B1135, PLANTA_BASE!A:W, 5, FALSE), "NO ENCONTRADO EN PLANTA"))</f>
        <v/>
      </c>
      <c r="E1135" s="5" t="str">
        <f>IF(B1135="","",IFERROR(VLOOKUP(B1135, PLANTA_BASE!A:W, 6, FALSE), "NO ENCONTRADO EN PLANTA"))</f>
        <v/>
      </c>
      <c r="F1135" s="7" t="str">
        <f>IF(B1135="","",IFERROR(VLOOKUP(B1135, PLANTA_BASE!A:W, 8, FALSE), "DOCENTE / FACILITADOR"))</f>
        <v/>
      </c>
      <c r="G1135" s="7" t="str">
        <f>IF(B1135="","",IFERROR(VLOOKUP(B1135, PLANTA_BASE!A:W, 9, FALSE), "GENERAL"))</f>
        <v/>
      </c>
      <c r="H1135" s="5" t="str">
        <f>IF(B1135="","",IFERROR(VLOOKUP(B1135, PLANTA_BASE!A:W, 17, FALSE), "GENERAL"))</f>
        <v/>
      </c>
    </row>
    <row r="1136" spans="1:8" ht="20.100000000000001" customHeight="1" x14ac:dyDescent="0.25">
      <c r="A1136" s="2" t="str">
        <f>IF(B1136="","",IFERROR(VLOOKUP(B1136, PLANTA_BASE!A:W, 2, FALSE), "NO ENCONTRADO EN PLANTA"))</f>
        <v/>
      </c>
      <c r="B1136" s="3"/>
      <c r="C1136" s="4" t="str">
        <f>IF(B1136="","",IFERROR(VLOOKUP(B1136, PLANTA_BASE!A:W, 3, FALSE), ""))</f>
        <v/>
      </c>
      <c r="D1136" s="2" t="str">
        <f>IF(B1136="","",IFERROR(VLOOKUP(B1136, PLANTA_BASE!A:W, 5, FALSE), "NO ENCONTRADO EN PLANTA"))</f>
        <v/>
      </c>
      <c r="E1136" s="2" t="str">
        <f>IF(B1136="","",IFERROR(VLOOKUP(B1136, PLANTA_BASE!A:W, 6, FALSE), "NO ENCONTRADO EN PLANTA"))</f>
        <v/>
      </c>
      <c r="F1136" s="4" t="str">
        <f>IF(B1136="","",IFERROR(VLOOKUP(B1136, PLANTA_BASE!A:W, 8, FALSE), "DOCENTE / FACILITADOR"))</f>
        <v/>
      </c>
      <c r="G1136" s="4" t="str">
        <f>IF(B1136="","",IFERROR(VLOOKUP(B1136, PLANTA_BASE!A:W, 9, FALSE), "GENERAL"))</f>
        <v/>
      </c>
      <c r="H1136" s="2" t="str">
        <f>IF(B1136="","",IFERROR(VLOOKUP(B1136, PLANTA_BASE!A:W, 17, FALSE), "GENERAL"))</f>
        <v/>
      </c>
    </row>
    <row r="1137" spans="1:8" ht="20.100000000000001" customHeight="1" x14ac:dyDescent="0.25">
      <c r="A1137" s="5" t="str">
        <f>IF(B1137="","",IFERROR(VLOOKUP(B1137, PLANTA_BASE!A:W, 2, FALSE), "NO ENCONTRADO EN PLANTA"))</f>
        <v/>
      </c>
      <c r="B1137" s="6"/>
      <c r="C1137" s="7" t="str">
        <f>IF(B1137="","",IFERROR(VLOOKUP(B1137, PLANTA_BASE!A:W, 3, FALSE), ""))</f>
        <v/>
      </c>
      <c r="D1137" s="5" t="str">
        <f>IF(B1137="","",IFERROR(VLOOKUP(B1137, PLANTA_BASE!A:W, 5, FALSE), "NO ENCONTRADO EN PLANTA"))</f>
        <v/>
      </c>
      <c r="E1137" s="5" t="str">
        <f>IF(B1137="","",IFERROR(VLOOKUP(B1137, PLANTA_BASE!A:W, 6, FALSE), "NO ENCONTRADO EN PLANTA"))</f>
        <v/>
      </c>
      <c r="F1137" s="7" t="str">
        <f>IF(B1137="","",IFERROR(VLOOKUP(B1137, PLANTA_BASE!A:W, 8, FALSE), "DOCENTE / FACILITADOR"))</f>
        <v/>
      </c>
      <c r="G1137" s="7" t="str">
        <f>IF(B1137="","",IFERROR(VLOOKUP(B1137, PLANTA_BASE!A:W, 9, FALSE), "GENERAL"))</f>
        <v/>
      </c>
      <c r="H1137" s="5" t="str">
        <f>IF(B1137="","",IFERROR(VLOOKUP(B1137, PLANTA_BASE!A:W, 17, FALSE), "GENERAL"))</f>
        <v/>
      </c>
    </row>
    <row r="1138" spans="1:8" ht="20.100000000000001" customHeight="1" x14ac:dyDescent="0.25">
      <c r="A1138" s="2" t="str">
        <f>IF(B1138="","",IFERROR(VLOOKUP(B1138, PLANTA_BASE!A:W, 2, FALSE), "NO ENCONTRADO EN PLANTA"))</f>
        <v/>
      </c>
      <c r="B1138" s="3"/>
      <c r="C1138" s="4" t="str">
        <f>IF(B1138="","",IFERROR(VLOOKUP(B1138, PLANTA_BASE!A:W, 3, FALSE), ""))</f>
        <v/>
      </c>
      <c r="D1138" s="2" t="str">
        <f>IF(B1138="","",IFERROR(VLOOKUP(B1138, PLANTA_BASE!A:W, 5, FALSE), "NO ENCONTRADO EN PLANTA"))</f>
        <v/>
      </c>
      <c r="E1138" s="2" t="str">
        <f>IF(B1138="","",IFERROR(VLOOKUP(B1138, PLANTA_BASE!A:W, 6, FALSE), "NO ENCONTRADO EN PLANTA"))</f>
        <v/>
      </c>
      <c r="F1138" s="4" t="str">
        <f>IF(B1138="","",IFERROR(VLOOKUP(B1138, PLANTA_BASE!A:W, 8, FALSE), "DOCENTE / FACILITADOR"))</f>
        <v/>
      </c>
      <c r="G1138" s="4" t="str">
        <f>IF(B1138="","",IFERROR(VLOOKUP(B1138, PLANTA_BASE!A:W, 9, FALSE), "GENERAL"))</f>
        <v/>
      </c>
      <c r="H1138" s="2" t="str">
        <f>IF(B1138="","",IFERROR(VLOOKUP(B1138, PLANTA_BASE!A:W, 17, FALSE), "GENERAL"))</f>
        <v/>
      </c>
    </row>
    <row r="1139" spans="1:8" ht="20.100000000000001" customHeight="1" x14ac:dyDescent="0.25">
      <c r="A1139" s="5" t="str">
        <f>IF(B1139="","",IFERROR(VLOOKUP(B1139, PLANTA_BASE!A:W, 2, FALSE), "NO ENCONTRADO EN PLANTA"))</f>
        <v/>
      </c>
      <c r="B1139" s="6"/>
      <c r="C1139" s="7" t="str">
        <f>IF(B1139="","",IFERROR(VLOOKUP(B1139, PLANTA_BASE!A:W, 3, FALSE), ""))</f>
        <v/>
      </c>
      <c r="D1139" s="5" t="str">
        <f>IF(B1139="","",IFERROR(VLOOKUP(B1139, PLANTA_BASE!A:W, 5, FALSE), "NO ENCONTRADO EN PLANTA"))</f>
        <v/>
      </c>
      <c r="E1139" s="5" t="str">
        <f>IF(B1139="","",IFERROR(VLOOKUP(B1139, PLANTA_BASE!A:W, 6, FALSE), "NO ENCONTRADO EN PLANTA"))</f>
        <v/>
      </c>
      <c r="F1139" s="7" t="str">
        <f>IF(B1139="","",IFERROR(VLOOKUP(B1139, PLANTA_BASE!A:W, 8, FALSE), "DOCENTE / FACILITADOR"))</f>
        <v/>
      </c>
      <c r="G1139" s="7" t="str">
        <f>IF(B1139="","",IFERROR(VLOOKUP(B1139, PLANTA_BASE!A:W, 9, FALSE), "GENERAL"))</f>
        <v/>
      </c>
      <c r="H1139" s="5" t="str">
        <f>IF(B1139="","",IFERROR(VLOOKUP(B1139, PLANTA_BASE!A:W, 17, FALSE), "GENERAL"))</f>
        <v/>
      </c>
    </row>
    <row r="1140" spans="1:8" ht="20.100000000000001" customHeight="1" x14ac:dyDescent="0.25">
      <c r="A1140" s="2" t="str">
        <f>IF(B1140="","",IFERROR(VLOOKUP(B1140, PLANTA_BASE!A:W, 2, FALSE), "NO ENCONTRADO EN PLANTA"))</f>
        <v/>
      </c>
      <c r="B1140" s="3"/>
      <c r="C1140" s="4" t="str">
        <f>IF(B1140="","",IFERROR(VLOOKUP(B1140, PLANTA_BASE!A:W, 3, FALSE), ""))</f>
        <v/>
      </c>
      <c r="D1140" s="2" t="str">
        <f>IF(B1140="","",IFERROR(VLOOKUP(B1140, PLANTA_BASE!A:W, 5, FALSE), "NO ENCONTRADO EN PLANTA"))</f>
        <v/>
      </c>
      <c r="E1140" s="2" t="str">
        <f>IF(B1140="","",IFERROR(VLOOKUP(B1140, PLANTA_BASE!A:W, 6, FALSE), "NO ENCONTRADO EN PLANTA"))</f>
        <v/>
      </c>
      <c r="F1140" s="4" t="str">
        <f>IF(B1140="","",IFERROR(VLOOKUP(B1140, PLANTA_BASE!A:W, 8, FALSE), "DOCENTE / FACILITADOR"))</f>
        <v/>
      </c>
      <c r="G1140" s="4" t="str">
        <f>IF(B1140="","",IFERROR(VLOOKUP(B1140, PLANTA_BASE!A:W, 9, FALSE), "GENERAL"))</f>
        <v/>
      </c>
      <c r="H1140" s="2" t="str">
        <f>IF(B1140="","",IFERROR(VLOOKUP(B1140, PLANTA_BASE!A:W, 17, FALSE), "GENERAL"))</f>
        <v/>
      </c>
    </row>
    <row r="1141" spans="1:8" ht="20.100000000000001" customHeight="1" x14ac:dyDescent="0.25">
      <c r="A1141" s="5" t="str">
        <f>IF(B1141="","",IFERROR(VLOOKUP(B1141, PLANTA_BASE!A:W, 2, FALSE), "NO ENCONTRADO EN PLANTA"))</f>
        <v/>
      </c>
      <c r="B1141" s="6"/>
      <c r="C1141" s="7" t="str">
        <f>IF(B1141="","",IFERROR(VLOOKUP(B1141, PLANTA_BASE!A:W, 3, FALSE), ""))</f>
        <v/>
      </c>
      <c r="D1141" s="5" t="str">
        <f>IF(B1141="","",IFERROR(VLOOKUP(B1141, PLANTA_BASE!A:W, 5, FALSE), "NO ENCONTRADO EN PLANTA"))</f>
        <v/>
      </c>
      <c r="E1141" s="5" t="str">
        <f>IF(B1141="","",IFERROR(VLOOKUP(B1141, PLANTA_BASE!A:W, 6, FALSE), "NO ENCONTRADO EN PLANTA"))</f>
        <v/>
      </c>
      <c r="F1141" s="7" t="str">
        <f>IF(B1141="","",IFERROR(VLOOKUP(B1141, PLANTA_BASE!A:W, 8, FALSE), "DOCENTE / FACILITADOR"))</f>
        <v/>
      </c>
      <c r="G1141" s="7" t="str">
        <f>IF(B1141="","",IFERROR(VLOOKUP(B1141, PLANTA_BASE!A:W, 9, FALSE), "GENERAL"))</f>
        <v/>
      </c>
      <c r="H1141" s="5" t="str">
        <f>IF(B1141="","",IFERROR(VLOOKUP(B1141, PLANTA_BASE!A:W, 17, FALSE), "GENERAL"))</f>
        <v/>
      </c>
    </row>
    <row r="1142" spans="1:8" ht="20.100000000000001" customHeight="1" x14ac:dyDescent="0.25">
      <c r="A1142" s="2" t="str">
        <f>IF(B1142="","",IFERROR(VLOOKUP(B1142, PLANTA_BASE!A:W, 2, FALSE), "NO ENCONTRADO EN PLANTA"))</f>
        <v/>
      </c>
      <c r="B1142" s="3"/>
      <c r="C1142" s="4" t="str">
        <f>IF(B1142="","",IFERROR(VLOOKUP(B1142, PLANTA_BASE!A:W, 3, FALSE), ""))</f>
        <v/>
      </c>
      <c r="D1142" s="2" t="str">
        <f>IF(B1142="","",IFERROR(VLOOKUP(B1142, PLANTA_BASE!A:W, 5, FALSE), "NO ENCONTRADO EN PLANTA"))</f>
        <v/>
      </c>
      <c r="E1142" s="2" t="str">
        <f>IF(B1142="","",IFERROR(VLOOKUP(B1142, PLANTA_BASE!A:W, 6, FALSE), "NO ENCONTRADO EN PLANTA"))</f>
        <v/>
      </c>
      <c r="F1142" s="4" t="str">
        <f>IF(B1142="","",IFERROR(VLOOKUP(B1142, PLANTA_BASE!A:W, 8, FALSE), "DOCENTE / FACILITADOR"))</f>
        <v/>
      </c>
      <c r="G1142" s="4" t="str">
        <f>IF(B1142="","",IFERROR(VLOOKUP(B1142, PLANTA_BASE!A:W, 9, FALSE), "GENERAL"))</f>
        <v/>
      </c>
      <c r="H1142" s="2" t="str">
        <f>IF(B1142="","",IFERROR(VLOOKUP(B1142, PLANTA_BASE!A:W, 17, FALSE), "GENERAL"))</f>
        <v/>
      </c>
    </row>
    <row r="1143" spans="1:8" ht="20.100000000000001" customHeight="1" x14ac:dyDescent="0.25">
      <c r="A1143" s="5" t="str">
        <f>IF(B1143="","",IFERROR(VLOOKUP(B1143, PLANTA_BASE!A:W, 2, FALSE), "NO ENCONTRADO EN PLANTA"))</f>
        <v/>
      </c>
      <c r="B1143" s="6"/>
      <c r="C1143" s="7" t="str">
        <f>IF(B1143="","",IFERROR(VLOOKUP(B1143, PLANTA_BASE!A:W, 3, FALSE), ""))</f>
        <v/>
      </c>
      <c r="D1143" s="5" t="str">
        <f>IF(B1143="","",IFERROR(VLOOKUP(B1143, PLANTA_BASE!A:W, 5, FALSE), "NO ENCONTRADO EN PLANTA"))</f>
        <v/>
      </c>
      <c r="E1143" s="5" t="str">
        <f>IF(B1143="","",IFERROR(VLOOKUP(B1143, PLANTA_BASE!A:W, 6, FALSE), "NO ENCONTRADO EN PLANTA"))</f>
        <v/>
      </c>
      <c r="F1143" s="7" t="str">
        <f>IF(B1143="","",IFERROR(VLOOKUP(B1143, PLANTA_BASE!A:W, 8, FALSE), "DOCENTE / FACILITADOR"))</f>
        <v/>
      </c>
      <c r="G1143" s="7" t="str">
        <f>IF(B1143="","",IFERROR(VLOOKUP(B1143, PLANTA_BASE!A:W, 9, FALSE), "GENERAL"))</f>
        <v/>
      </c>
      <c r="H1143" s="5" t="str">
        <f>IF(B1143="","",IFERROR(VLOOKUP(B1143, PLANTA_BASE!A:W, 17, FALSE), "GENERAL"))</f>
        <v/>
      </c>
    </row>
    <row r="1144" spans="1:8" ht="20.100000000000001" customHeight="1" x14ac:dyDescent="0.25">
      <c r="A1144" s="2" t="str">
        <f>IF(B1144="","",IFERROR(VLOOKUP(B1144, PLANTA_BASE!A:W, 2, FALSE), "NO ENCONTRADO EN PLANTA"))</f>
        <v/>
      </c>
      <c r="B1144" s="3"/>
      <c r="C1144" s="4" t="str">
        <f>IF(B1144="","",IFERROR(VLOOKUP(B1144, PLANTA_BASE!A:W, 3, FALSE), ""))</f>
        <v/>
      </c>
      <c r="D1144" s="2" t="str">
        <f>IF(B1144="","",IFERROR(VLOOKUP(B1144, PLANTA_BASE!A:W, 5, FALSE), "NO ENCONTRADO EN PLANTA"))</f>
        <v/>
      </c>
      <c r="E1144" s="2" t="str">
        <f>IF(B1144="","",IFERROR(VLOOKUP(B1144, PLANTA_BASE!A:W, 6, FALSE), "NO ENCONTRADO EN PLANTA"))</f>
        <v/>
      </c>
      <c r="F1144" s="4" t="str">
        <f>IF(B1144="","",IFERROR(VLOOKUP(B1144, PLANTA_BASE!A:W, 8, FALSE), "DOCENTE / FACILITADOR"))</f>
        <v/>
      </c>
      <c r="G1144" s="4" t="str">
        <f>IF(B1144="","",IFERROR(VLOOKUP(B1144, PLANTA_BASE!A:W, 9, FALSE), "GENERAL"))</f>
        <v/>
      </c>
      <c r="H1144" s="2" t="str">
        <f>IF(B1144="","",IFERROR(VLOOKUP(B1144, PLANTA_BASE!A:W, 17, FALSE), "GENERAL"))</f>
        <v/>
      </c>
    </row>
    <row r="1145" spans="1:8" ht="20.100000000000001" customHeight="1" x14ac:dyDescent="0.25">
      <c r="A1145" s="5" t="str">
        <f>IF(B1145="","",IFERROR(VLOOKUP(B1145, PLANTA_BASE!A:W, 2, FALSE), "NO ENCONTRADO EN PLANTA"))</f>
        <v/>
      </c>
      <c r="B1145" s="6"/>
      <c r="C1145" s="7" t="str">
        <f>IF(B1145="","",IFERROR(VLOOKUP(B1145, PLANTA_BASE!A:W, 3, FALSE), ""))</f>
        <v/>
      </c>
      <c r="D1145" s="5" t="str">
        <f>IF(B1145="","",IFERROR(VLOOKUP(B1145, PLANTA_BASE!A:W, 5, FALSE), "NO ENCONTRADO EN PLANTA"))</f>
        <v/>
      </c>
      <c r="E1145" s="5" t="str">
        <f>IF(B1145="","",IFERROR(VLOOKUP(B1145, PLANTA_BASE!A:W, 6, FALSE), "NO ENCONTRADO EN PLANTA"))</f>
        <v/>
      </c>
      <c r="F1145" s="7" t="str">
        <f>IF(B1145="","",IFERROR(VLOOKUP(B1145, PLANTA_BASE!A:W, 8, FALSE), "DOCENTE / FACILITADOR"))</f>
        <v/>
      </c>
      <c r="G1145" s="7" t="str">
        <f>IF(B1145="","",IFERROR(VLOOKUP(B1145, PLANTA_BASE!A:W, 9, FALSE), "GENERAL"))</f>
        <v/>
      </c>
      <c r="H1145" s="5" t="str">
        <f>IF(B1145="","",IFERROR(VLOOKUP(B1145, PLANTA_BASE!A:W, 17, FALSE), "GENERAL"))</f>
        <v/>
      </c>
    </row>
    <row r="1146" spans="1:8" ht="20.100000000000001" customHeight="1" x14ac:dyDescent="0.25">
      <c r="A1146" s="2" t="str">
        <f>IF(B1146="","",IFERROR(VLOOKUP(B1146, PLANTA_BASE!A:W, 2, FALSE), "NO ENCONTRADO EN PLANTA"))</f>
        <v/>
      </c>
      <c r="B1146" s="3"/>
      <c r="C1146" s="4" t="str">
        <f>IF(B1146="","",IFERROR(VLOOKUP(B1146, PLANTA_BASE!A:W, 3, FALSE), ""))</f>
        <v/>
      </c>
      <c r="D1146" s="2" t="str">
        <f>IF(B1146="","",IFERROR(VLOOKUP(B1146, PLANTA_BASE!A:W, 5, FALSE), "NO ENCONTRADO EN PLANTA"))</f>
        <v/>
      </c>
      <c r="E1146" s="2" t="str">
        <f>IF(B1146="","",IFERROR(VLOOKUP(B1146, PLANTA_BASE!A:W, 6, FALSE), "NO ENCONTRADO EN PLANTA"))</f>
        <v/>
      </c>
      <c r="F1146" s="4" t="str">
        <f>IF(B1146="","",IFERROR(VLOOKUP(B1146, PLANTA_BASE!A:W, 8, FALSE), "DOCENTE / FACILITADOR"))</f>
        <v/>
      </c>
      <c r="G1146" s="4" t="str">
        <f>IF(B1146="","",IFERROR(VLOOKUP(B1146, PLANTA_BASE!A:W, 9, FALSE), "GENERAL"))</f>
        <v/>
      </c>
      <c r="H1146" s="2" t="str">
        <f>IF(B1146="","",IFERROR(VLOOKUP(B1146, PLANTA_BASE!A:W, 17, FALSE), "GENERAL"))</f>
        <v/>
      </c>
    </row>
    <row r="1147" spans="1:8" ht="20.100000000000001" customHeight="1" x14ac:dyDescent="0.25">
      <c r="A1147" s="5" t="str">
        <f>IF(B1147="","",IFERROR(VLOOKUP(B1147, PLANTA_BASE!A:W, 2, FALSE), "NO ENCONTRADO EN PLANTA"))</f>
        <v/>
      </c>
      <c r="B1147" s="6"/>
      <c r="C1147" s="7" t="str">
        <f>IF(B1147="","",IFERROR(VLOOKUP(B1147, PLANTA_BASE!A:W, 3, FALSE), ""))</f>
        <v/>
      </c>
      <c r="D1147" s="5" t="str">
        <f>IF(B1147="","",IFERROR(VLOOKUP(B1147, PLANTA_BASE!A:W, 5, FALSE), "NO ENCONTRADO EN PLANTA"))</f>
        <v/>
      </c>
      <c r="E1147" s="5" t="str">
        <f>IF(B1147="","",IFERROR(VLOOKUP(B1147, PLANTA_BASE!A:W, 6, FALSE), "NO ENCONTRADO EN PLANTA"))</f>
        <v/>
      </c>
      <c r="F1147" s="7" t="str">
        <f>IF(B1147="","",IFERROR(VLOOKUP(B1147, PLANTA_BASE!A:W, 8, FALSE), "DOCENTE / FACILITADOR"))</f>
        <v/>
      </c>
      <c r="G1147" s="7" t="str">
        <f>IF(B1147="","",IFERROR(VLOOKUP(B1147, PLANTA_BASE!A:W, 9, FALSE), "GENERAL"))</f>
        <v/>
      </c>
      <c r="H1147" s="5" t="str">
        <f>IF(B1147="","",IFERROR(VLOOKUP(B1147, PLANTA_BASE!A:W, 17, FALSE), "GENERAL"))</f>
        <v/>
      </c>
    </row>
    <row r="1148" spans="1:8" ht="20.100000000000001" customHeight="1" x14ac:dyDescent="0.25">
      <c r="A1148" s="2" t="str">
        <f>IF(B1148="","",IFERROR(VLOOKUP(B1148, PLANTA_BASE!A:W, 2, FALSE), "NO ENCONTRADO EN PLANTA"))</f>
        <v/>
      </c>
      <c r="B1148" s="3"/>
      <c r="C1148" s="4" t="str">
        <f>IF(B1148="","",IFERROR(VLOOKUP(B1148, PLANTA_BASE!A:W, 3, FALSE), ""))</f>
        <v/>
      </c>
      <c r="D1148" s="2" t="str">
        <f>IF(B1148="","",IFERROR(VLOOKUP(B1148, PLANTA_BASE!A:W, 5, FALSE), "NO ENCONTRADO EN PLANTA"))</f>
        <v/>
      </c>
      <c r="E1148" s="2" t="str">
        <f>IF(B1148="","",IFERROR(VLOOKUP(B1148, PLANTA_BASE!A:W, 6, FALSE), "NO ENCONTRADO EN PLANTA"))</f>
        <v/>
      </c>
      <c r="F1148" s="4" t="str">
        <f>IF(B1148="","",IFERROR(VLOOKUP(B1148, PLANTA_BASE!A:W, 8, FALSE), "DOCENTE / FACILITADOR"))</f>
        <v/>
      </c>
      <c r="G1148" s="4" t="str">
        <f>IF(B1148="","",IFERROR(VLOOKUP(B1148, PLANTA_BASE!A:W, 9, FALSE), "GENERAL"))</f>
        <v/>
      </c>
      <c r="H1148" s="2" t="str">
        <f>IF(B1148="","",IFERROR(VLOOKUP(B1148, PLANTA_BASE!A:W, 17, FALSE), "GENERAL"))</f>
        <v/>
      </c>
    </row>
    <row r="1149" spans="1:8" ht="20.100000000000001" customHeight="1" x14ac:dyDescent="0.25">
      <c r="A1149" s="5" t="str">
        <f>IF(B1149="","",IFERROR(VLOOKUP(B1149, PLANTA_BASE!A:W, 2, FALSE), "NO ENCONTRADO EN PLANTA"))</f>
        <v/>
      </c>
      <c r="B1149" s="6"/>
      <c r="C1149" s="7" t="str">
        <f>IF(B1149="","",IFERROR(VLOOKUP(B1149, PLANTA_BASE!A:W, 3, FALSE), ""))</f>
        <v/>
      </c>
      <c r="D1149" s="5" t="str">
        <f>IF(B1149="","",IFERROR(VLOOKUP(B1149, PLANTA_BASE!A:W, 5, FALSE), "NO ENCONTRADO EN PLANTA"))</f>
        <v/>
      </c>
      <c r="E1149" s="5" t="str">
        <f>IF(B1149="","",IFERROR(VLOOKUP(B1149, PLANTA_BASE!A:W, 6, FALSE), "NO ENCONTRADO EN PLANTA"))</f>
        <v/>
      </c>
      <c r="F1149" s="7" t="str">
        <f>IF(B1149="","",IFERROR(VLOOKUP(B1149, PLANTA_BASE!A:W, 8, FALSE), "DOCENTE / FACILITADOR"))</f>
        <v/>
      </c>
      <c r="G1149" s="7" t="str">
        <f>IF(B1149="","",IFERROR(VLOOKUP(B1149, PLANTA_BASE!A:W, 9, FALSE), "GENERAL"))</f>
        <v/>
      </c>
      <c r="H1149" s="5" t="str">
        <f>IF(B1149="","",IFERROR(VLOOKUP(B1149, PLANTA_BASE!A:W, 17, FALSE), "GENERAL"))</f>
        <v/>
      </c>
    </row>
    <row r="1150" spans="1:8" ht="20.100000000000001" customHeight="1" x14ac:dyDescent="0.25">
      <c r="A1150" s="2" t="str">
        <f>IF(B1150="","",IFERROR(VLOOKUP(B1150, PLANTA_BASE!A:W, 2, FALSE), "NO ENCONTRADO EN PLANTA"))</f>
        <v/>
      </c>
      <c r="B1150" s="3"/>
      <c r="C1150" s="4" t="str">
        <f>IF(B1150="","",IFERROR(VLOOKUP(B1150, PLANTA_BASE!A:W, 3, FALSE), ""))</f>
        <v/>
      </c>
      <c r="D1150" s="2" t="str">
        <f>IF(B1150="","",IFERROR(VLOOKUP(B1150, PLANTA_BASE!A:W, 5, FALSE), "NO ENCONTRADO EN PLANTA"))</f>
        <v/>
      </c>
      <c r="E1150" s="2" t="str">
        <f>IF(B1150="","",IFERROR(VLOOKUP(B1150, PLANTA_BASE!A:W, 6, FALSE), "NO ENCONTRADO EN PLANTA"))</f>
        <v/>
      </c>
      <c r="F1150" s="4" t="str">
        <f>IF(B1150="","",IFERROR(VLOOKUP(B1150, PLANTA_BASE!A:W, 8, FALSE), "DOCENTE / FACILITADOR"))</f>
        <v/>
      </c>
      <c r="G1150" s="4" t="str">
        <f>IF(B1150="","",IFERROR(VLOOKUP(B1150, PLANTA_BASE!A:W, 9, FALSE), "GENERAL"))</f>
        <v/>
      </c>
      <c r="H1150" s="2" t="str">
        <f>IF(B1150="","",IFERROR(VLOOKUP(B1150, PLANTA_BASE!A:W, 17, FALSE), "GENERAL"))</f>
        <v/>
      </c>
    </row>
    <row r="1151" spans="1:8" ht="20.100000000000001" customHeight="1" x14ac:dyDescent="0.25">
      <c r="A1151" s="5" t="str">
        <f>IF(B1151="","",IFERROR(VLOOKUP(B1151, PLANTA_BASE!A:W, 2, FALSE), "NO ENCONTRADO EN PLANTA"))</f>
        <v/>
      </c>
      <c r="B1151" s="6"/>
      <c r="C1151" s="7" t="str">
        <f>IF(B1151="","",IFERROR(VLOOKUP(B1151, PLANTA_BASE!A:W, 3, FALSE), ""))</f>
        <v/>
      </c>
      <c r="D1151" s="5" t="str">
        <f>IF(B1151="","",IFERROR(VLOOKUP(B1151, PLANTA_BASE!A:W, 5, FALSE), "NO ENCONTRADO EN PLANTA"))</f>
        <v/>
      </c>
      <c r="E1151" s="5" t="str">
        <f>IF(B1151="","",IFERROR(VLOOKUP(B1151, PLANTA_BASE!A:W, 6, FALSE), "NO ENCONTRADO EN PLANTA"))</f>
        <v/>
      </c>
      <c r="F1151" s="7" t="str">
        <f>IF(B1151="","",IFERROR(VLOOKUP(B1151, PLANTA_BASE!A:W, 8, FALSE), "DOCENTE / FACILITADOR"))</f>
        <v/>
      </c>
      <c r="G1151" s="7" t="str">
        <f>IF(B1151="","",IFERROR(VLOOKUP(B1151, PLANTA_BASE!A:W, 9, FALSE), "GENERAL"))</f>
        <v/>
      </c>
      <c r="H1151" s="5" t="str">
        <f>IF(B1151="","",IFERROR(VLOOKUP(B1151, PLANTA_BASE!A:W, 17, FALSE), "GENERAL"))</f>
        <v/>
      </c>
    </row>
    <row r="1152" spans="1:8" ht="20.100000000000001" customHeight="1" x14ac:dyDescent="0.25">
      <c r="A1152" s="2" t="str">
        <f>IF(B1152="","",IFERROR(VLOOKUP(B1152, PLANTA_BASE!A:W, 2, FALSE), "NO ENCONTRADO EN PLANTA"))</f>
        <v/>
      </c>
      <c r="B1152" s="3"/>
      <c r="C1152" s="4" t="str">
        <f>IF(B1152="","",IFERROR(VLOOKUP(B1152, PLANTA_BASE!A:W, 3, FALSE), ""))</f>
        <v/>
      </c>
      <c r="D1152" s="2" t="str">
        <f>IF(B1152="","",IFERROR(VLOOKUP(B1152, PLANTA_BASE!A:W, 5, FALSE), "NO ENCONTRADO EN PLANTA"))</f>
        <v/>
      </c>
      <c r="E1152" s="2" t="str">
        <f>IF(B1152="","",IFERROR(VLOOKUP(B1152, PLANTA_BASE!A:W, 6, FALSE), "NO ENCONTRADO EN PLANTA"))</f>
        <v/>
      </c>
      <c r="F1152" s="4" t="str">
        <f>IF(B1152="","",IFERROR(VLOOKUP(B1152, PLANTA_BASE!A:W, 8, FALSE), "DOCENTE / FACILITADOR"))</f>
        <v/>
      </c>
      <c r="G1152" s="4" t="str">
        <f>IF(B1152="","",IFERROR(VLOOKUP(B1152, PLANTA_BASE!A:W, 9, FALSE), "GENERAL"))</f>
        <v/>
      </c>
      <c r="H1152" s="2" t="str">
        <f>IF(B1152="","",IFERROR(VLOOKUP(B1152, PLANTA_BASE!A:W, 17, FALSE), "GENERAL"))</f>
        <v/>
      </c>
    </row>
    <row r="1153" spans="1:8" ht="20.100000000000001" customHeight="1" x14ac:dyDescent="0.25">
      <c r="A1153" s="5" t="str">
        <f>IF(B1153="","",IFERROR(VLOOKUP(B1153, PLANTA_BASE!A:W, 2, FALSE), "NO ENCONTRADO EN PLANTA"))</f>
        <v/>
      </c>
      <c r="B1153" s="6"/>
      <c r="C1153" s="7" t="str">
        <f>IF(B1153="","",IFERROR(VLOOKUP(B1153, PLANTA_BASE!A:W, 3, FALSE), ""))</f>
        <v/>
      </c>
      <c r="D1153" s="5" t="str">
        <f>IF(B1153="","",IFERROR(VLOOKUP(B1153, PLANTA_BASE!A:W, 5, FALSE), "NO ENCONTRADO EN PLANTA"))</f>
        <v/>
      </c>
      <c r="E1153" s="5" t="str">
        <f>IF(B1153="","",IFERROR(VLOOKUP(B1153, PLANTA_BASE!A:W, 6, FALSE), "NO ENCONTRADO EN PLANTA"))</f>
        <v/>
      </c>
      <c r="F1153" s="7" t="str">
        <f>IF(B1153="","",IFERROR(VLOOKUP(B1153, PLANTA_BASE!A:W, 8, FALSE), "DOCENTE / FACILITADOR"))</f>
        <v/>
      </c>
      <c r="G1153" s="7" t="str">
        <f>IF(B1153="","",IFERROR(VLOOKUP(B1153, PLANTA_BASE!A:W, 9, FALSE), "GENERAL"))</f>
        <v/>
      </c>
      <c r="H1153" s="5" t="str">
        <f>IF(B1153="","",IFERROR(VLOOKUP(B1153, PLANTA_BASE!A:W, 17, FALSE), "GENERAL"))</f>
        <v/>
      </c>
    </row>
    <row r="1154" spans="1:8" ht="20.100000000000001" customHeight="1" x14ac:dyDescent="0.25">
      <c r="A1154" s="2" t="str">
        <f>IF(B1154="","",IFERROR(VLOOKUP(B1154, PLANTA_BASE!A:W, 2, FALSE), "NO ENCONTRADO EN PLANTA"))</f>
        <v/>
      </c>
      <c r="B1154" s="3"/>
      <c r="C1154" s="4" t="str">
        <f>IF(B1154="","",IFERROR(VLOOKUP(B1154, PLANTA_BASE!A:W, 3, FALSE), ""))</f>
        <v/>
      </c>
      <c r="D1154" s="2" t="str">
        <f>IF(B1154="","",IFERROR(VLOOKUP(B1154, PLANTA_BASE!A:W, 5, FALSE), "NO ENCONTRADO EN PLANTA"))</f>
        <v/>
      </c>
      <c r="E1154" s="2" t="str">
        <f>IF(B1154="","",IFERROR(VLOOKUP(B1154, PLANTA_BASE!A:W, 6, FALSE), "NO ENCONTRADO EN PLANTA"))</f>
        <v/>
      </c>
      <c r="F1154" s="4" t="str">
        <f>IF(B1154="","",IFERROR(VLOOKUP(B1154, PLANTA_BASE!A:W, 8, FALSE), "DOCENTE / FACILITADOR"))</f>
        <v/>
      </c>
      <c r="G1154" s="4" t="str">
        <f>IF(B1154="","",IFERROR(VLOOKUP(B1154, PLANTA_BASE!A:W, 9, FALSE), "GENERAL"))</f>
        <v/>
      </c>
      <c r="H1154" s="2" t="str">
        <f>IF(B1154="","",IFERROR(VLOOKUP(B1154, PLANTA_BASE!A:W, 17, FALSE), "GENERAL"))</f>
        <v/>
      </c>
    </row>
    <row r="1155" spans="1:8" ht="20.100000000000001" customHeight="1" x14ac:dyDescent="0.25">
      <c r="A1155" s="5" t="str">
        <f>IF(B1155="","",IFERROR(VLOOKUP(B1155, PLANTA_BASE!A:W, 2, FALSE), "NO ENCONTRADO EN PLANTA"))</f>
        <v/>
      </c>
      <c r="B1155" s="6"/>
      <c r="C1155" s="7" t="str">
        <f>IF(B1155="","",IFERROR(VLOOKUP(B1155, PLANTA_BASE!A:W, 3, FALSE), ""))</f>
        <v/>
      </c>
      <c r="D1155" s="5" t="str">
        <f>IF(B1155="","",IFERROR(VLOOKUP(B1155, PLANTA_BASE!A:W, 5, FALSE), "NO ENCONTRADO EN PLANTA"))</f>
        <v/>
      </c>
      <c r="E1155" s="5" t="str">
        <f>IF(B1155="","",IFERROR(VLOOKUP(B1155, PLANTA_BASE!A:W, 6, FALSE), "NO ENCONTRADO EN PLANTA"))</f>
        <v/>
      </c>
      <c r="F1155" s="7" t="str">
        <f>IF(B1155="","",IFERROR(VLOOKUP(B1155, PLANTA_BASE!A:W, 8, FALSE), "DOCENTE / FACILITADOR"))</f>
        <v/>
      </c>
      <c r="G1155" s="7" t="str">
        <f>IF(B1155="","",IFERROR(VLOOKUP(B1155, PLANTA_BASE!A:W, 9, FALSE), "GENERAL"))</f>
        <v/>
      </c>
      <c r="H1155" s="5" t="str">
        <f>IF(B1155="","",IFERROR(VLOOKUP(B1155, PLANTA_BASE!A:W, 17, FALSE), "GENERAL"))</f>
        <v/>
      </c>
    </row>
    <row r="1156" spans="1:8" ht="20.100000000000001" customHeight="1" x14ac:dyDescent="0.25">
      <c r="A1156" s="2" t="str">
        <f>IF(B1156="","",IFERROR(VLOOKUP(B1156, PLANTA_BASE!A:W, 2, FALSE), "NO ENCONTRADO EN PLANTA"))</f>
        <v/>
      </c>
      <c r="B1156" s="3"/>
      <c r="C1156" s="4" t="str">
        <f>IF(B1156="","",IFERROR(VLOOKUP(B1156, PLANTA_BASE!A:W, 3, FALSE), ""))</f>
        <v/>
      </c>
      <c r="D1156" s="2" t="str">
        <f>IF(B1156="","",IFERROR(VLOOKUP(B1156, PLANTA_BASE!A:W, 5, FALSE), "NO ENCONTRADO EN PLANTA"))</f>
        <v/>
      </c>
      <c r="E1156" s="2" t="str">
        <f>IF(B1156="","",IFERROR(VLOOKUP(B1156, PLANTA_BASE!A:W, 6, FALSE), "NO ENCONTRADO EN PLANTA"))</f>
        <v/>
      </c>
      <c r="F1156" s="4" t="str">
        <f>IF(B1156="","",IFERROR(VLOOKUP(B1156, PLANTA_BASE!A:W, 8, FALSE), "DOCENTE / FACILITADOR"))</f>
        <v/>
      </c>
      <c r="G1156" s="4" t="str">
        <f>IF(B1156="","",IFERROR(VLOOKUP(B1156, PLANTA_BASE!A:W, 9, FALSE), "GENERAL"))</f>
        <v/>
      </c>
      <c r="H1156" s="2" t="str">
        <f>IF(B1156="","",IFERROR(VLOOKUP(B1156, PLANTA_BASE!A:W, 17, FALSE), "GENERAL"))</f>
        <v/>
      </c>
    </row>
    <row r="1157" spans="1:8" ht="20.100000000000001" customHeight="1" x14ac:dyDescent="0.25">
      <c r="A1157" s="5" t="str">
        <f>IF(B1157="","",IFERROR(VLOOKUP(B1157, PLANTA_BASE!A:W, 2, FALSE), "NO ENCONTRADO EN PLANTA"))</f>
        <v/>
      </c>
      <c r="B1157" s="6"/>
      <c r="C1157" s="7" t="str">
        <f>IF(B1157="","",IFERROR(VLOOKUP(B1157, PLANTA_BASE!A:W, 3, FALSE), ""))</f>
        <v/>
      </c>
      <c r="D1157" s="5" t="str">
        <f>IF(B1157="","",IFERROR(VLOOKUP(B1157, PLANTA_BASE!A:W, 5, FALSE), "NO ENCONTRADO EN PLANTA"))</f>
        <v/>
      </c>
      <c r="E1157" s="5" t="str">
        <f>IF(B1157="","",IFERROR(VLOOKUP(B1157, PLANTA_BASE!A:W, 6, FALSE), "NO ENCONTRADO EN PLANTA"))</f>
        <v/>
      </c>
      <c r="F1157" s="7" t="str">
        <f>IF(B1157="","",IFERROR(VLOOKUP(B1157, PLANTA_BASE!A:W, 8, FALSE), "DOCENTE / FACILITADOR"))</f>
        <v/>
      </c>
      <c r="G1157" s="7" t="str">
        <f>IF(B1157="","",IFERROR(VLOOKUP(B1157, PLANTA_BASE!A:W, 9, FALSE), "GENERAL"))</f>
        <v/>
      </c>
      <c r="H1157" s="5" t="str">
        <f>IF(B1157="","",IFERROR(VLOOKUP(B1157, PLANTA_BASE!A:W, 17, FALSE), "GENERAL"))</f>
        <v/>
      </c>
    </row>
    <row r="1158" spans="1:8" ht="20.100000000000001" customHeight="1" x14ac:dyDescent="0.25">
      <c r="A1158" s="2" t="str">
        <f>IF(B1158="","",IFERROR(VLOOKUP(B1158, PLANTA_BASE!A:W, 2, FALSE), "NO ENCONTRADO EN PLANTA"))</f>
        <v/>
      </c>
      <c r="B1158" s="3"/>
      <c r="C1158" s="4" t="str">
        <f>IF(B1158="","",IFERROR(VLOOKUP(B1158, PLANTA_BASE!A:W, 3, FALSE), ""))</f>
        <v/>
      </c>
      <c r="D1158" s="2" t="str">
        <f>IF(B1158="","",IFERROR(VLOOKUP(B1158, PLANTA_BASE!A:W, 5, FALSE), "NO ENCONTRADO EN PLANTA"))</f>
        <v/>
      </c>
      <c r="E1158" s="2" t="str">
        <f>IF(B1158="","",IFERROR(VLOOKUP(B1158, PLANTA_BASE!A:W, 6, FALSE), "NO ENCONTRADO EN PLANTA"))</f>
        <v/>
      </c>
      <c r="F1158" s="4" t="str">
        <f>IF(B1158="","",IFERROR(VLOOKUP(B1158, PLANTA_BASE!A:W, 8, FALSE), "DOCENTE / FACILITADOR"))</f>
        <v/>
      </c>
      <c r="G1158" s="4" t="str">
        <f>IF(B1158="","",IFERROR(VLOOKUP(B1158, PLANTA_BASE!A:W, 9, FALSE), "GENERAL"))</f>
        <v/>
      </c>
      <c r="H1158" s="2" t="str">
        <f>IF(B1158="","",IFERROR(VLOOKUP(B1158, PLANTA_BASE!A:W, 17, FALSE), "GENERAL"))</f>
        <v/>
      </c>
    </row>
    <row r="1159" spans="1:8" ht="20.100000000000001" customHeight="1" x14ac:dyDescent="0.25">
      <c r="A1159" s="5" t="str">
        <f>IF(B1159="","",IFERROR(VLOOKUP(B1159, PLANTA_BASE!A:W, 2, FALSE), "NO ENCONTRADO EN PLANTA"))</f>
        <v/>
      </c>
      <c r="B1159" s="6"/>
      <c r="C1159" s="7" t="str">
        <f>IF(B1159="","",IFERROR(VLOOKUP(B1159, PLANTA_BASE!A:W, 3, FALSE), ""))</f>
        <v/>
      </c>
      <c r="D1159" s="5" t="str">
        <f>IF(B1159="","",IFERROR(VLOOKUP(B1159, PLANTA_BASE!A:W, 5, FALSE), "NO ENCONTRADO EN PLANTA"))</f>
        <v/>
      </c>
      <c r="E1159" s="5" t="str">
        <f>IF(B1159="","",IFERROR(VLOOKUP(B1159, PLANTA_BASE!A:W, 6, FALSE), "NO ENCONTRADO EN PLANTA"))</f>
        <v/>
      </c>
      <c r="F1159" s="7" t="str">
        <f>IF(B1159="","",IFERROR(VLOOKUP(B1159, PLANTA_BASE!A:W, 8, FALSE), "DOCENTE / FACILITADOR"))</f>
        <v/>
      </c>
      <c r="G1159" s="7" t="str">
        <f>IF(B1159="","",IFERROR(VLOOKUP(B1159, PLANTA_BASE!A:W, 9, FALSE), "GENERAL"))</f>
        <v/>
      </c>
      <c r="H1159" s="5" t="str">
        <f>IF(B1159="","",IFERROR(VLOOKUP(B1159, PLANTA_BASE!A:W, 17, FALSE), "GENERAL"))</f>
        <v/>
      </c>
    </row>
    <row r="1160" spans="1:8" ht="20.100000000000001" customHeight="1" x14ac:dyDescent="0.25">
      <c r="A1160" s="2" t="str">
        <f>IF(B1160="","",IFERROR(VLOOKUP(B1160, PLANTA_BASE!A:W, 2, FALSE), "NO ENCONTRADO EN PLANTA"))</f>
        <v/>
      </c>
      <c r="B1160" s="3"/>
      <c r="C1160" s="4" t="str">
        <f>IF(B1160="","",IFERROR(VLOOKUP(B1160, PLANTA_BASE!A:W, 3, FALSE), ""))</f>
        <v/>
      </c>
      <c r="D1160" s="2" t="str">
        <f>IF(B1160="","",IFERROR(VLOOKUP(B1160, PLANTA_BASE!A:W, 5, FALSE), "NO ENCONTRADO EN PLANTA"))</f>
        <v/>
      </c>
      <c r="E1160" s="2" t="str">
        <f>IF(B1160="","",IFERROR(VLOOKUP(B1160, PLANTA_BASE!A:W, 6, FALSE), "NO ENCONTRADO EN PLANTA"))</f>
        <v/>
      </c>
      <c r="F1160" s="4" t="str">
        <f>IF(B1160="","",IFERROR(VLOOKUP(B1160, PLANTA_BASE!A:W, 8, FALSE), "DOCENTE / FACILITADOR"))</f>
        <v/>
      </c>
      <c r="G1160" s="4" t="str">
        <f>IF(B1160="","",IFERROR(VLOOKUP(B1160, PLANTA_BASE!A:W, 9, FALSE), "GENERAL"))</f>
        <v/>
      </c>
      <c r="H1160" s="2" t="str">
        <f>IF(B1160="","",IFERROR(VLOOKUP(B1160, PLANTA_BASE!A:W, 17, FALSE), "GENERAL"))</f>
        <v/>
      </c>
    </row>
    <row r="1161" spans="1:8" ht="20.100000000000001" customHeight="1" x14ac:dyDescent="0.25">
      <c r="A1161" s="5" t="str">
        <f>IF(B1161="","",IFERROR(VLOOKUP(B1161, PLANTA_BASE!A:W, 2, FALSE), "NO ENCONTRADO EN PLANTA"))</f>
        <v/>
      </c>
      <c r="B1161" s="6"/>
      <c r="C1161" s="7" t="str">
        <f>IF(B1161="","",IFERROR(VLOOKUP(B1161, PLANTA_BASE!A:W, 3, FALSE), ""))</f>
        <v/>
      </c>
      <c r="D1161" s="5" t="str">
        <f>IF(B1161="","",IFERROR(VLOOKUP(B1161, PLANTA_BASE!A:W, 5, FALSE), "NO ENCONTRADO EN PLANTA"))</f>
        <v/>
      </c>
      <c r="E1161" s="5" t="str">
        <f>IF(B1161="","",IFERROR(VLOOKUP(B1161, PLANTA_BASE!A:W, 6, FALSE), "NO ENCONTRADO EN PLANTA"))</f>
        <v/>
      </c>
      <c r="F1161" s="7" t="str">
        <f>IF(B1161="","",IFERROR(VLOOKUP(B1161, PLANTA_BASE!A:W, 8, FALSE), "DOCENTE / FACILITADOR"))</f>
        <v/>
      </c>
      <c r="G1161" s="7" t="str">
        <f>IF(B1161="","",IFERROR(VLOOKUP(B1161, PLANTA_BASE!A:W, 9, FALSE), "GENERAL"))</f>
        <v/>
      </c>
      <c r="H1161" s="5" t="str">
        <f>IF(B1161="","",IFERROR(VLOOKUP(B1161, PLANTA_BASE!A:W, 17, FALSE), "GENERAL"))</f>
        <v/>
      </c>
    </row>
    <row r="1162" spans="1:8" ht="20.100000000000001" customHeight="1" x14ac:dyDescent="0.25">
      <c r="A1162" s="2" t="str">
        <f>IF(B1162="","",IFERROR(VLOOKUP(B1162, PLANTA_BASE!A:W, 2, FALSE), "NO ENCONTRADO EN PLANTA"))</f>
        <v/>
      </c>
      <c r="B1162" s="3"/>
      <c r="C1162" s="4" t="str">
        <f>IF(B1162="","",IFERROR(VLOOKUP(B1162, PLANTA_BASE!A:W, 3, FALSE), ""))</f>
        <v/>
      </c>
      <c r="D1162" s="2" t="str">
        <f>IF(B1162="","",IFERROR(VLOOKUP(B1162, PLANTA_BASE!A:W, 5, FALSE), "NO ENCONTRADO EN PLANTA"))</f>
        <v/>
      </c>
      <c r="E1162" s="2" t="str">
        <f>IF(B1162="","",IFERROR(VLOOKUP(B1162, PLANTA_BASE!A:W, 6, FALSE), "NO ENCONTRADO EN PLANTA"))</f>
        <v/>
      </c>
      <c r="F1162" s="4" t="str">
        <f>IF(B1162="","",IFERROR(VLOOKUP(B1162, PLANTA_BASE!A:W, 8, FALSE), "DOCENTE / FACILITADOR"))</f>
        <v/>
      </c>
      <c r="G1162" s="4" t="str">
        <f>IF(B1162="","",IFERROR(VLOOKUP(B1162, PLANTA_BASE!A:W, 9, FALSE), "GENERAL"))</f>
        <v/>
      </c>
      <c r="H1162" s="2" t="str">
        <f>IF(B1162="","",IFERROR(VLOOKUP(B1162, PLANTA_BASE!A:W, 17, FALSE), "GENERAL"))</f>
        <v/>
      </c>
    </row>
    <row r="1163" spans="1:8" ht="20.100000000000001" customHeight="1" x14ac:dyDescent="0.25">
      <c r="A1163" s="5" t="str">
        <f>IF(B1163="","",IFERROR(VLOOKUP(B1163, PLANTA_BASE!A:W, 2, FALSE), "NO ENCONTRADO EN PLANTA"))</f>
        <v/>
      </c>
      <c r="B1163" s="6"/>
      <c r="C1163" s="7" t="str">
        <f>IF(B1163="","",IFERROR(VLOOKUP(B1163, PLANTA_BASE!A:W, 3, FALSE), ""))</f>
        <v/>
      </c>
      <c r="D1163" s="5" t="str">
        <f>IF(B1163="","",IFERROR(VLOOKUP(B1163, PLANTA_BASE!A:W, 5, FALSE), "NO ENCONTRADO EN PLANTA"))</f>
        <v/>
      </c>
      <c r="E1163" s="5" t="str">
        <f>IF(B1163="","",IFERROR(VLOOKUP(B1163, PLANTA_BASE!A:W, 6, FALSE), "NO ENCONTRADO EN PLANTA"))</f>
        <v/>
      </c>
      <c r="F1163" s="7" t="str">
        <f>IF(B1163="","",IFERROR(VLOOKUP(B1163, PLANTA_BASE!A:W, 8, FALSE), "DOCENTE / FACILITADOR"))</f>
        <v/>
      </c>
      <c r="G1163" s="7" t="str">
        <f>IF(B1163="","",IFERROR(VLOOKUP(B1163, PLANTA_BASE!A:W, 9, FALSE), "GENERAL"))</f>
        <v/>
      </c>
      <c r="H1163" s="5" t="str">
        <f>IF(B1163="","",IFERROR(VLOOKUP(B1163, PLANTA_BASE!A:W, 17, FALSE), "GENERAL"))</f>
        <v/>
      </c>
    </row>
    <row r="1164" spans="1:8" ht="20.100000000000001" customHeight="1" x14ac:dyDescent="0.25">
      <c r="A1164" s="2" t="str">
        <f>IF(B1164="","",IFERROR(VLOOKUP(B1164, PLANTA_BASE!A:W, 2, FALSE), "NO ENCONTRADO EN PLANTA"))</f>
        <v/>
      </c>
      <c r="B1164" s="3"/>
      <c r="C1164" s="4" t="str">
        <f>IF(B1164="","",IFERROR(VLOOKUP(B1164, PLANTA_BASE!A:W, 3, FALSE), ""))</f>
        <v/>
      </c>
      <c r="D1164" s="2" t="str">
        <f>IF(B1164="","",IFERROR(VLOOKUP(B1164, PLANTA_BASE!A:W, 5, FALSE), "NO ENCONTRADO EN PLANTA"))</f>
        <v/>
      </c>
      <c r="E1164" s="2" t="str">
        <f>IF(B1164="","",IFERROR(VLOOKUP(B1164, PLANTA_BASE!A:W, 6, FALSE), "NO ENCONTRADO EN PLANTA"))</f>
        <v/>
      </c>
      <c r="F1164" s="4" t="str">
        <f>IF(B1164="","",IFERROR(VLOOKUP(B1164, PLANTA_BASE!A:W, 8, FALSE), "DOCENTE / FACILITADOR"))</f>
        <v/>
      </c>
      <c r="G1164" s="4" t="str">
        <f>IF(B1164="","",IFERROR(VLOOKUP(B1164, PLANTA_BASE!A:W, 9, FALSE), "GENERAL"))</f>
        <v/>
      </c>
      <c r="H1164" s="2" t="str">
        <f>IF(B1164="","",IFERROR(VLOOKUP(B1164, PLANTA_BASE!A:W, 17, FALSE), "GENERAL"))</f>
        <v/>
      </c>
    </row>
    <row r="1165" spans="1:8" ht="20.100000000000001" customHeight="1" x14ac:dyDescent="0.25">
      <c r="A1165" s="5" t="str">
        <f>IF(B1165="","",IFERROR(VLOOKUP(B1165, PLANTA_BASE!A:W, 2, FALSE), "NO ENCONTRADO EN PLANTA"))</f>
        <v/>
      </c>
      <c r="B1165" s="6"/>
      <c r="C1165" s="7" t="str">
        <f>IF(B1165="","",IFERROR(VLOOKUP(B1165, PLANTA_BASE!A:W, 3, FALSE), ""))</f>
        <v/>
      </c>
      <c r="D1165" s="5" t="str">
        <f>IF(B1165="","",IFERROR(VLOOKUP(B1165, PLANTA_BASE!A:W, 5, FALSE), "NO ENCONTRADO EN PLANTA"))</f>
        <v/>
      </c>
      <c r="E1165" s="5" t="str">
        <f>IF(B1165="","",IFERROR(VLOOKUP(B1165, PLANTA_BASE!A:W, 6, FALSE), "NO ENCONTRADO EN PLANTA"))</f>
        <v/>
      </c>
      <c r="F1165" s="7" t="str">
        <f>IF(B1165="","",IFERROR(VLOOKUP(B1165, PLANTA_BASE!A:W, 8, FALSE), "DOCENTE / FACILITADOR"))</f>
        <v/>
      </c>
      <c r="G1165" s="7" t="str">
        <f>IF(B1165="","",IFERROR(VLOOKUP(B1165, PLANTA_BASE!A:W, 9, FALSE), "GENERAL"))</f>
        <v/>
      </c>
      <c r="H1165" s="5" t="str">
        <f>IF(B1165="","",IFERROR(VLOOKUP(B1165, PLANTA_BASE!A:W, 17, FALSE), "GENERAL"))</f>
        <v/>
      </c>
    </row>
    <row r="1166" spans="1:8" ht="20.100000000000001" customHeight="1" x14ac:dyDescent="0.25">
      <c r="A1166" s="2" t="str">
        <f>IF(B1166="","",IFERROR(VLOOKUP(B1166, PLANTA_BASE!A:W, 2, FALSE), "NO ENCONTRADO EN PLANTA"))</f>
        <v/>
      </c>
      <c r="B1166" s="3"/>
      <c r="C1166" s="4" t="str">
        <f>IF(B1166="","",IFERROR(VLOOKUP(B1166, PLANTA_BASE!A:W, 3, FALSE), ""))</f>
        <v/>
      </c>
      <c r="D1166" s="2" t="str">
        <f>IF(B1166="","",IFERROR(VLOOKUP(B1166, PLANTA_BASE!A:W, 5, FALSE), "NO ENCONTRADO EN PLANTA"))</f>
        <v/>
      </c>
      <c r="E1166" s="2" t="str">
        <f>IF(B1166="","",IFERROR(VLOOKUP(B1166, PLANTA_BASE!A:W, 6, FALSE), "NO ENCONTRADO EN PLANTA"))</f>
        <v/>
      </c>
      <c r="F1166" s="4" t="str">
        <f>IF(B1166="","",IFERROR(VLOOKUP(B1166, PLANTA_BASE!A:W, 8, FALSE), "DOCENTE / FACILITADOR"))</f>
        <v/>
      </c>
      <c r="G1166" s="4" t="str">
        <f>IF(B1166="","",IFERROR(VLOOKUP(B1166, PLANTA_BASE!A:W, 9, FALSE), "GENERAL"))</f>
        <v/>
      </c>
      <c r="H1166" s="2" t="str">
        <f>IF(B1166="","",IFERROR(VLOOKUP(B1166, PLANTA_BASE!A:W, 17, FALSE), "GENERAL"))</f>
        <v/>
      </c>
    </row>
    <row r="1167" spans="1:8" ht="20.100000000000001" customHeight="1" x14ac:dyDescent="0.25">
      <c r="A1167" s="5" t="str">
        <f>IF(B1167="","",IFERROR(VLOOKUP(B1167, PLANTA_BASE!A:W, 2, FALSE), "NO ENCONTRADO EN PLANTA"))</f>
        <v/>
      </c>
      <c r="B1167" s="6"/>
      <c r="C1167" s="7" t="str">
        <f>IF(B1167="","",IFERROR(VLOOKUP(B1167, PLANTA_BASE!A:W, 3, FALSE), ""))</f>
        <v/>
      </c>
      <c r="D1167" s="5" t="str">
        <f>IF(B1167="","",IFERROR(VLOOKUP(B1167, PLANTA_BASE!A:W, 5, FALSE), "NO ENCONTRADO EN PLANTA"))</f>
        <v/>
      </c>
      <c r="E1167" s="5" t="str">
        <f>IF(B1167="","",IFERROR(VLOOKUP(B1167, PLANTA_BASE!A:W, 6, FALSE), "NO ENCONTRADO EN PLANTA"))</f>
        <v/>
      </c>
      <c r="F1167" s="7" t="str">
        <f>IF(B1167="","",IFERROR(VLOOKUP(B1167, PLANTA_BASE!A:W, 8, FALSE), "DOCENTE / FACILITADOR"))</f>
        <v/>
      </c>
      <c r="G1167" s="7" t="str">
        <f>IF(B1167="","",IFERROR(VLOOKUP(B1167, PLANTA_BASE!A:W, 9, FALSE), "GENERAL"))</f>
        <v/>
      </c>
      <c r="H1167" s="5" t="str">
        <f>IF(B1167="","",IFERROR(VLOOKUP(B1167, PLANTA_BASE!A:W, 17, FALSE), "GENERAL"))</f>
        <v/>
      </c>
    </row>
    <row r="1168" spans="1:8" ht="20.100000000000001" customHeight="1" x14ac:dyDescent="0.25">
      <c r="A1168" s="2" t="str">
        <f>IF(B1168="","",IFERROR(VLOOKUP(B1168, PLANTA_BASE!A:W, 2, FALSE), "NO ENCONTRADO EN PLANTA"))</f>
        <v/>
      </c>
      <c r="B1168" s="3"/>
      <c r="C1168" s="4" t="str">
        <f>IF(B1168="","",IFERROR(VLOOKUP(B1168, PLANTA_BASE!A:W, 3, FALSE), ""))</f>
        <v/>
      </c>
      <c r="D1168" s="2" t="str">
        <f>IF(B1168="","",IFERROR(VLOOKUP(B1168, PLANTA_BASE!A:W, 5, FALSE), "NO ENCONTRADO EN PLANTA"))</f>
        <v/>
      </c>
      <c r="E1168" s="2" t="str">
        <f>IF(B1168="","",IFERROR(VLOOKUP(B1168, PLANTA_BASE!A:W, 6, FALSE), "NO ENCONTRADO EN PLANTA"))</f>
        <v/>
      </c>
      <c r="F1168" s="4" t="str">
        <f>IF(B1168="","",IFERROR(VLOOKUP(B1168, PLANTA_BASE!A:W, 8, FALSE), "DOCENTE / FACILITADOR"))</f>
        <v/>
      </c>
      <c r="G1168" s="4" t="str">
        <f>IF(B1168="","",IFERROR(VLOOKUP(B1168, PLANTA_BASE!A:W, 9, FALSE), "GENERAL"))</f>
        <v/>
      </c>
      <c r="H1168" s="2" t="str">
        <f>IF(B1168="","",IFERROR(VLOOKUP(B1168, PLANTA_BASE!A:W, 17, FALSE), "GENERAL"))</f>
        <v/>
      </c>
    </row>
    <row r="1169" spans="1:8" ht="20.100000000000001" customHeight="1" x14ac:dyDescent="0.25">
      <c r="A1169" s="5" t="str">
        <f>IF(B1169="","",IFERROR(VLOOKUP(B1169, PLANTA_BASE!A:W, 2, FALSE), "NO ENCONTRADO EN PLANTA"))</f>
        <v/>
      </c>
      <c r="B1169" s="6"/>
      <c r="C1169" s="7" t="str">
        <f>IF(B1169="","",IFERROR(VLOOKUP(B1169, PLANTA_BASE!A:W, 3, FALSE), ""))</f>
        <v/>
      </c>
      <c r="D1169" s="5" t="str">
        <f>IF(B1169="","",IFERROR(VLOOKUP(B1169, PLANTA_BASE!A:W, 5, FALSE), "NO ENCONTRADO EN PLANTA"))</f>
        <v/>
      </c>
      <c r="E1169" s="5" t="str">
        <f>IF(B1169="","",IFERROR(VLOOKUP(B1169, PLANTA_BASE!A:W, 6, FALSE), "NO ENCONTRADO EN PLANTA"))</f>
        <v/>
      </c>
      <c r="F1169" s="7" t="str">
        <f>IF(B1169="","",IFERROR(VLOOKUP(B1169, PLANTA_BASE!A:W, 8, FALSE), "DOCENTE / FACILITADOR"))</f>
        <v/>
      </c>
      <c r="G1169" s="7" t="str">
        <f>IF(B1169="","",IFERROR(VLOOKUP(B1169, PLANTA_BASE!A:W, 9, FALSE), "GENERAL"))</f>
        <v/>
      </c>
      <c r="H1169" s="5" t="str">
        <f>IF(B1169="","",IFERROR(VLOOKUP(B1169, PLANTA_BASE!A:W, 17, FALSE), "GENERAL"))</f>
        <v/>
      </c>
    </row>
    <row r="1170" spans="1:8" ht="20.100000000000001" customHeight="1" x14ac:dyDescent="0.25">
      <c r="A1170" s="2" t="str">
        <f>IF(B1170="","",IFERROR(VLOOKUP(B1170, PLANTA_BASE!A:W, 2, FALSE), "NO ENCONTRADO EN PLANTA"))</f>
        <v/>
      </c>
      <c r="B1170" s="3"/>
      <c r="C1170" s="4" t="str">
        <f>IF(B1170="","",IFERROR(VLOOKUP(B1170, PLANTA_BASE!A:W, 3, FALSE), ""))</f>
        <v/>
      </c>
      <c r="D1170" s="2" t="str">
        <f>IF(B1170="","",IFERROR(VLOOKUP(B1170, PLANTA_BASE!A:W, 5, FALSE), "NO ENCONTRADO EN PLANTA"))</f>
        <v/>
      </c>
      <c r="E1170" s="2" t="str">
        <f>IF(B1170="","",IFERROR(VLOOKUP(B1170, PLANTA_BASE!A:W, 6, FALSE), "NO ENCONTRADO EN PLANTA"))</f>
        <v/>
      </c>
      <c r="F1170" s="4" t="str">
        <f>IF(B1170="","",IFERROR(VLOOKUP(B1170, PLANTA_BASE!A:W, 8, FALSE), "DOCENTE / FACILITADOR"))</f>
        <v/>
      </c>
      <c r="G1170" s="4" t="str">
        <f>IF(B1170="","",IFERROR(VLOOKUP(B1170, PLANTA_BASE!A:W, 9, FALSE), "GENERAL"))</f>
        <v/>
      </c>
      <c r="H1170" s="2" t="str">
        <f>IF(B1170="","",IFERROR(VLOOKUP(B1170, PLANTA_BASE!A:W, 17, FALSE), "GENERAL"))</f>
        <v/>
      </c>
    </row>
    <row r="1171" spans="1:8" ht="20.100000000000001" customHeight="1" x14ac:dyDescent="0.25">
      <c r="A1171" s="5" t="str">
        <f>IF(B1171="","",IFERROR(VLOOKUP(B1171, PLANTA_BASE!A:W, 2, FALSE), "NO ENCONTRADO EN PLANTA"))</f>
        <v/>
      </c>
      <c r="B1171" s="6"/>
      <c r="C1171" s="7" t="str">
        <f>IF(B1171="","",IFERROR(VLOOKUP(B1171, PLANTA_BASE!A:W, 3, FALSE), ""))</f>
        <v/>
      </c>
      <c r="D1171" s="5" t="str">
        <f>IF(B1171="","",IFERROR(VLOOKUP(B1171, PLANTA_BASE!A:W, 5, FALSE), "NO ENCONTRADO EN PLANTA"))</f>
        <v/>
      </c>
      <c r="E1171" s="5" t="str">
        <f>IF(B1171="","",IFERROR(VLOOKUP(B1171, PLANTA_BASE!A:W, 6, FALSE), "NO ENCONTRADO EN PLANTA"))</f>
        <v/>
      </c>
      <c r="F1171" s="7" t="str">
        <f>IF(B1171="","",IFERROR(VLOOKUP(B1171, PLANTA_BASE!A:W, 8, FALSE), "DOCENTE / FACILITADOR"))</f>
        <v/>
      </c>
      <c r="G1171" s="7" t="str">
        <f>IF(B1171="","",IFERROR(VLOOKUP(B1171, PLANTA_BASE!A:W, 9, FALSE), "GENERAL"))</f>
        <v/>
      </c>
      <c r="H1171" s="5" t="str">
        <f>IF(B1171="","",IFERROR(VLOOKUP(B1171, PLANTA_BASE!A:W, 17, FALSE), "GENERAL"))</f>
        <v/>
      </c>
    </row>
    <row r="1172" spans="1:8" ht="20.100000000000001" customHeight="1" x14ac:dyDescent="0.25">
      <c r="A1172" s="2" t="str">
        <f>IF(B1172="","",IFERROR(VLOOKUP(B1172, PLANTA_BASE!A:W, 2, FALSE), "NO ENCONTRADO EN PLANTA"))</f>
        <v/>
      </c>
      <c r="B1172" s="3"/>
      <c r="C1172" s="4" t="str">
        <f>IF(B1172="","",IFERROR(VLOOKUP(B1172, PLANTA_BASE!A:W, 3, FALSE), ""))</f>
        <v/>
      </c>
      <c r="D1172" s="2" t="str">
        <f>IF(B1172="","",IFERROR(VLOOKUP(B1172, PLANTA_BASE!A:W, 5, FALSE), "NO ENCONTRADO EN PLANTA"))</f>
        <v/>
      </c>
      <c r="E1172" s="2" t="str">
        <f>IF(B1172="","",IFERROR(VLOOKUP(B1172, PLANTA_BASE!A:W, 6, FALSE), "NO ENCONTRADO EN PLANTA"))</f>
        <v/>
      </c>
      <c r="F1172" s="4" t="str">
        <f>IF(B1172="","",IFERROR(VLOOKUP(B1172, PLANTA_BASE!A:W, 8, FALSE), "DOCENTE / FACILITADOR"))</f>
        <v/>
      </c>
      <c r="G1172" s="4" t="str">
        <f>IF(B1172="","",IFERROR(VLOOKUP(B1172, PLANTA_BASE!A:W, 9, FALSE), "GENERAL"))</f>
        <v/>
      </c>
      <c r="H1172" s="2" t="str">
        <f>IF(B1172="","",IFERROR(VLOOKUP(B1172, PLANTA_BASE!A:W, 17, FALSE), "GENERAL"))</f>
        <v/>
      </c>
    </row>
    <row r="1173" spans="1:8" ht="20.100000000000001" customHeight="1" x14ac:dyDescent="0.25">
      <c r="A1173" s="5" t="str">
        <f>IF(B1173="","",IFERROR(VLOOKUP(B1173, PLANTA_BASE!A:W, 2, FALSE), "NO ENCONTRADO EN PLANTA"))</f>
        <v/>
      </c>
      <c r="B1173" s="6"/>
      <c r="C1173" s="7" t="str">
        <f>IF(B1173="","",IFERROR(VLOOKUP(B1173, PLANTA_BASE!A:W, 3, FALSE), ""))</f>
        <v/>
      </c>
      <c r="D1173" s="5" t="str">
        <f>IF(B1173="","",IFERROR(VLOOKUP(B1173, PLANTA_BASE!A:W, 5, FALSE), "NO ENCONTRADO EN PLANTA"))</f>
        <v/>
      </c>
      <c r="E1173" s="5" t="str">
        <f>IF(B1173="","",IFERROR(VLOOKUP(B1173, PLANTA_BASE!A:W, 6, FALSE), "NO ENCONTRADO EN PLANTA"))</f>
        <v/>
      </c>
      <c r="F1173" s="7" t="str">
        <f>IF(B1173="","",IFERROR(VLOOKUP(B1173, PLANTA_BASE!A:W, 8, FALSE), "DOCENTE / FACILITADOR"))</f>
        <v/>
      </c>
      <c r="G1173" s="7" t="str">
        <f>IF(B1173="","",IFERROR(VLOOKUP(B1173, PLANTA_BASE!A:W, 9, FALSE), "GENERAL"))</f>
        <v/>
      </c>
      <c r="H1173" s="5" t="str">
        <f>IF(B1173="","",IFERROR(VLOOKUP(B1173, PLANTA_BASE!A:W, 17, FALSE), "GENERAL"))</f>
        <v/>
      </c>
    </row>
    <row r="1174" spans="1:8" ht="20.100000000000001" customHeight="1" x14ac:dyDescent="0.25">
      <c r="A1174" s="2" t="str">
        <f>IF(B1174="","",IFERROR(VLOOKUP(B1174, PLANTA_BASE!A:W, 2, FALSE), "NO ENCONTRADO EN PLANTA"))</f>
        <v/>
      </c>
      <c r="B1174" s="3"/>
      <c r="C1174" s="4" t="str">
        <f>IF(B1174="","",IFERROR(VLOOKUP(B1174, PLANTA_BASE!A:W, 3, FALSE), ""))</f>
        <v/>
      </c>
      <c r="D1174" s="2" t="str">
        <f>IF(B1174="","",IFERROR(VLOOKUP(B1174, PLANTA_BASE!A:W, 5, FALSE), "NO ENCONTRADO EN PLANTA"))</f>
        <v/>
      </c>
      <c r="E1174" s="2" t="str">
        <f>IF(B1174="","",IFERROR(VLOOKUP(B1174, PLANTA_BASE!A:W, 6, FALSE), "NO ENCONTRADO EN PLANTA"))</f>
        <v/>
      </c>
      <c r="F1174" s="4" t="str">
        <f>IF(B1174="","",IFERROR(VLOOKUP(B1174, PLANTA_BASE!A:W, 8, FALSE), "DOCENTE / FACILITADOR"))</f>
        <v/>
      </c>
      <c r="G1174" s="4" t="str">
        <f>IF(B1174="","",IFERROR(VLOOKUP(B1174, PLANTA_BASE!A:W, 9, FALSE), "GENERAL"))</f>
        <v/>
      </c>
      <c r="H1174" s="2" t="str">
        <f>IF(B1174="","",IFERROR(VLOOKUP(B1174, PLANTA_BASE!A:W, 17, FALSE), "GENERAL"))</f>
        <v/>
      </c>
    </row>
    <row r="1175" spans="1:8" ht="20.100000000000001" customHeight="1" x14ac:dyDescent="0.25">
      <c r="A1175" s="5" t="str">
        <f>IF(B1175="","",IFERROR(VLOOKUP(B1175, PLANTA_BASE!A:W, 2, FALSE), "NO ENCONTRADO EN PLANTA"))</f>
        <v/>
      </c>
      <c r="B1175" s="6"/>
      <c r="C1175" s="7" t="str">
        <f>IF(B1175="","",IFERROR(VLOOKUP(B1175, PLANTA_BASE!A:W, 3, FALSE), ""))</f>
        <v/>
      </c>
      <c r="D1175" s="5" t="str">
        <f>IF(B1175="","",IFERROR(VLOOKUP(B1175, PLANTA_BASE!A:W, 5, FALSE), "NO ENCONTRADO EN PLANTA"))</f>
        <v/>
      </c>
      <c r="E1175" s="5" t="str">
        <f>IF(B1175="","",IFERROR(VLOOKUP(B1175, PLANTA_BASE!A:W, 6, FALSE), "NO ENCONTRADO EN PLANTA"))</f>
        <v/>
      </c>
      <c r="F1175" s="7" t="str">
        <f>IF(B1175="","",IFERROR(VLOOKUP(B1175, PLANTA_BASE!A:W, 8, FALSE), "DOCENTE / FACILITADOR"))</f>
        <v/>
      </c>
      <c r="G1175" s="7" t="str">
        <f>IF(B1175="","",IFERROR(VLOOKUP(B1175, PLANTA_BASE!A:W, 9, FALSE), "GENERAL"))</f>
        <v/>
      </c>
      <c r="H1175" s="5" t="str">
        <f>IF(B1175="","",IFERROR(VLOOKUP(B1175, PLANTA_BASE!A:W, 17, FALSE), "GENERAL"))</f>
        <v/>
      </c>
    </row>
    <row r="1176" spans="1:8" ht="20.100000000000001" customHeight="1" x14ac:dyDescent="0.25">
      <c r="A1176" s="2" t="str">
        <f>IF(B1176="","",IFERROR(VLOOKUP(B1176, PLANTA_BASE!A:W, 2, FALSE), "NO ENCONTRADO EN PLANTA"))</f>
        <v/>
      </c>
      <c r="B1176" s="3"/>
      <c r="C1176" s="4" t="str">
        <f>IF(B1176="","",IFERROR(VLOOKUP(B1176, PLANTA_BASE!A:W, 3, FALSE), ""))</f>
        <v/>
      </c>
      <c r="D1176" s="2" t="str">
        <f>IF(B1176="","",IFERROR(VLOOKUP(B1176, PLANTA_BASE!A:W, 5, FALSE), "NO ENCONTRADO EN PLANTA"))</f>
        <v/>
      </c>
      <c r="E1176" s="2" t="str">
        <f>IF(B1176="","",IFERROR(VLOOKUP(B1176, PLANTA_BASE!A:W, 6, FALSE), "NO ENCONTRADO EN PLANTA"))</f>
        <v/>
      </c>
      <c r="F1176" s="4" t="str">
        <f>IF(B1176="","",IFERROR(VLOOKUP(B1176, PLANTA_BASE!A:W, 8, FALSE), "DOCENTE / FACILITADOR"))</f>
        <v/>
      </c>
      <c r="G1176" s="4" t="str">
        <f>IF(B1176="","",IFERROR(VLOOKUP(B1176, PLANTA_BASE!A:W, 9, FALSE), "GENERAL"))</f>
        <v/>
      </c>
      <c r="H1176" s="2" t="str">
        <f>IF(B1176="","",IFERROR(VLOOKUP(B1176, PLANTA_BASE!A:W, 17, FALSE), "GENERAL"))</f>
        <v/>
      </c>
    </row>
    <row r="1177" spans="1:8" ht="20.100000000000001" customHeight="1" x14ac:dyDescent="0.25">
      <c r="A1177" s="5" t="str">
        <f>IF(B1177="","",IFERROR(VLOOKUP(B1177, PLANTA_BASE!A:W, 2, FALSE), "NO ENCONTRADO EN PLANTA"))</f>
        <v/>
      </c>
      <c r="B1177" s="6"/>
      <c r="C1177" s="7" t="str">
        <f>IF(B1177="","",IFERROR(VLOOKUP(B1177, PLANTA_BASE!A:W, 3, FALSE), ""))</f>
        <v/>
      </c>
      <c r="D1177" s="5" t="str">
        <f>IF(B1177="","",IFERROR(VLOOKUP(B1177, PLANTA_BASE!A:W, 5, FALSE), "NO ENCONTRADO EN PLANTA"))</f>
        <v/>
      </c>
      <c r="E1177" s="5" t="str">
        <f>IF(B1177="","",IFERROR(VLOOKUP(B1177, PLANTA_BASE!A:W, 6, FALSE), "NO ENCONTRADO EN PLANTA"))</f>
        <v/>
      </c>
      <c r="F1177" s="7" t="str">
        <f>IF(B1177="","",IFERROR(VLOOKUP(B1177, PLANTA_BASE!A:W, 8, FALSE), "DOCENTE / FACILITADOR"))</f>
        <v/>
      </c>
      <c r="G1177" s="7" t="str">
        <f>IF(B1177="","",IFERROR(VLOOKUP(B1177, PLANTA_BASE!A:W, 9, FALSE), "GENERAL"))</f>
        <v/>
      </c>
      <c r="H1177" s="5" t="str">
        <f>IF(B1177="","",IFERROR(VLOOKUP(B1177, PLANTA_BASE!A:W, 17, FALSE), "GENERAL"))</f>
        <v/>
      </c>
    </row>
    <row r="1178" spans="1:8" ht="20.100000000000001" customHeight="1" x14ac:dyDescent="0.25">
      <c r="A1178" s="2" t="str">
        <f>IF(B1178="","",IFERROR(VLOOKUP(B1178, PLANTA_BASE!A:W, 2, FALSE), "NO ENCONTRADO EN PLANTA"))</f>
        <v/>
      </c>
      <c r="B1178" s="3"/>
      <c r="C1178" s="4" t="str">
        <f>IF(B1178="","",IFERROR(VLOOKUP(B1178, PLANTA_BASE!A:W, 3, FALSE), ""))</f>
        <v/>
      </c>
      <c r="D1178" s="2" t="str">
        <f>IF(B1178="","",IFERROR(VLOOKUP(B1178, PLANTA_BASE!A:W, 5, FALSE), "NO ENCONTRADO EN PLANTA"))</f>
        <v/>
      </c>
      <c r="E1178" s="2" t="str">
        <f>IF(B1178="","",IFERROR(VLOOKUP(B1178, PLANTA_BASE!A:W, 6, FALSE), "NO ENCONTRADO EN PLANTA"))</f>
        <v/>
      </c>
      <c r="F1178" s="4" t="str">
        <f>IF(B1178="","",IFERROR(VLOOKUP(B1178, PLANTA_BASE!A:W, 8, FALSE), "DOCENTE / FACILITADOR"))</f>
        <v/>
      </c>
      <c r="G1178" s="4" t="str">
        <f>IF(B1178="","",IFERROR(VLOOKUP(B1178, PLANTA_BASE!A:W, 9, FALSE), "GENERAL"))</f>
        <v/>
      </c>
      <c r="H1178" s="2" t="str">
        <f>IF(B1178="","",IFERROR(VLOOKUP(B1178, PLANTA_BASE!A:W, 17, FALSE), "GENERAL"))</f>
        <v/>
      </c>
    </row>
    <row r="1179" spans="1:8" ht="20.100000000000001" customHeight="1" x14ac:dyDescent="0.25">
      <c r="A1179" s="5" t="str">
        <f>IF(B1179="","",IFERROR(VLOOKUP(B1179, PLANTA_BASE!A:W, 2, FALSE), "NO ENCONTRADO EN PLANTA"))</f>
        <v/>
      </c>
      <c r="B1179" s="6"/>
      <c r="C1179" s="7" t="str">
        <f>IF(B1179="","",IFERROR(VLOOKUP(B1179, PLANTA_BASE!A:W, 3, FALSE), ""))</f>
        <v/>
      </c>
      <c r="D1179" s="5" t="str">
        <f>IF(B1179="","",IFERROR(VLOOKUP(B1179, PLANTA_BASE!A:W, 5, FALSE), "NO ENCONTRADO EN PLANTA"))</f>
        <v/>
      </c>
      <c r="E1179" s="5" t="str">
        <f>IF(B1179="","",IFERROR(VLOOKUP(B1179, PLANTA_BASE!A:W, 6, FALSE), "NO ENCONTRADO EN PLANTA"))</f>
        <v/>
      </c>
      <c r="F1179" s="7" t="str">
        <f>IF(B1179="","",IFERROR(VLOOKUP(B1179, PLANTA_BASE!A:W, 8, FALSE), "DOCENTE / FACILITADOR"))</f>
        <v/>
      </c>
      <c r="G1179" s="7" t="str">
        <f>IF(B1179="","",IFERROR(VLOOKUP(B1179, PLANTA_BASE!A:W, 9, FALSE), "GENERAL"))</f>
        <v/>
      </c>
      <c r="H1179" s="5" t="str">
        <f>IF(B1179="","",IFERROR(VLOOKUP(B1179, PLANTA_BASE!A:W, 17, FALSE), "GENERAL"))</f>
        <v/>
      </c>
    </row>
    <row r="1180" spans="1:8" ht="20.100000000000001" customHeight="1" x14ac:dyDescent="0.25">
      <c r="A1180" s="2" t="str">
        <f>IF(B1180="","",IFERROR(VLOOKUP(B1180, PLANTA_BASE!A:W, 2, FALSE), "NO ENCONTRADO EN PLANTA"))</f>
        <v/>
      </c>
      <c r="B1180" s="3"/>
      <c r="C1180" s="4" t="str">
        <f>IF(B1180="","",IFERROR(VLOOKUP(B1180, PLANTA_BASE!A:W, 3, FALSE), ""))</f>
        <v/>
      </c>
      <c r="D1180" s="2" t="str">
        <f>IF(B1180="","",IFERROR(VLOOKUP(B1180, PLANTA_BASE!A:W, 5, FALSE), "NO ENCONTRADO EN PLANTA"))</f>
        <v/>
      </c>
      <c r="E1180" s="2" t="str">
        <f>IF(B1180="","",IFERROR(VLOOKUP(B1180, PLANTA_BASE!A:W, 6, FALSE), "NO ENCONTRADO EN PLANTA"))</f>
        <v/>
      </c>
      <c r="F1180" s="4" t="str">
        <f>IF(B1180="","",IFERROR(VLOOKUP(B1180, PLANTA_BASE!A:W, 8, FALSE), "DOCENTE / FACILITADOR"))</f>
        <v/>
      </c>
      <c r="G1180" s="4" t="str">
        <f>IF(B1180="","",IFERROR(VLOOKUP(B1180, PLANTA_BASE!A:W, 9, FALSE), "GENERAL"))</f>
        <v/>
      </c>
      <c r="H1180" s="2" t="str">
        <f>IF(B1180="","",IFERROR(VLOOKUP(B1180, PLANTA_BASE!A:W, 17, FALSE), "GENERAL"))</f>
        <v/>
      </c>
    </row>
    <row r="1181" spans="1:8" ht="20.100000000000001" customHeight="1" x14ac:dyDescent="0.25">
      <c r="A1181" s="5" t="str">
        <f>IF(B1181="","",IFERROR(VLOOKUP(B1181, PLANTA_BASE!A:W, 2, FALSE), "NO ENCONTRADO EN PLANTA"))</f>
        <v/>
      </c>
      <c r="B1181" s="6"/>
      <c r="C1181" s="7" t="str">
        <f>IF(B1181="","",IFERROR(VLOOKUP(B1181, PLANTA_BASE!A:W, 3, FALSE), ""))</f>
        <v/>
      </c>
      <c r="D1181" s="5" t="str">
        <f>IF(B1181="","",IFERROR(VLOOKUP(B1181, PLANTA_BASE!A:W, 5, FALSE), "NO ENCONTRADO EN PLANTA"))</f>
        <v/>
      </c>
      <c r="E1181" s="5" t="str">
        <f>IF(B1181="","",IFERROR(VLOOKUP(B1181, PLANTA_BASE!A:W, 6, FALSE), "NO ENCONTRADO EN PLANTA"))</f>
        <v/>
      </c>
      <c r="F1181" s="7" t="str">
        <f>IF(B1181="","",IFERROR(VLOOKUP(B1181, PLANTA_BASE!A:W, 8, FALSE), "DOCENTE / FACILITADOR"))</f>
        <v/>
      </c>
      <c r="G1181" s="7" t="str">
        <f>IF(B1181="","",IFERROR(VLOOKUP(B1181, PLANTA_BASE!A:W, 9, FALSE), "GENERAL"))</f>
        <v/>
      </c>
      <c r="H1181" s="5" t="str">
        <f>IF(B1181="","",IFERROR(VLOOKUP(B1181, PLANTA_BASE!A:W, 17, FALSE), "GENERAL"))</f>
        <v/>
      </c>
    </row>
    <row r="1182" spans="1:8" ht="20.100000000000001" customHeight="1" x14ac:dyDescent="0.25">
      <c r="A1182" s="2" t="str">
        <f>IF(B1182="","",IFERROR(VLOOKUP(B1182, PLANTA_BASE!A:W, 2, FALSE), "NO ENCONTRADO EN PLANTA"))</f>
        <v/>
      </c>
      <c r="B1182" s="3"/>
      <c r="C1182" s="4" t="str">
        <f>IF(B1182="","",IFERROR(VLOOKUP(B1182, PLANTA_BASE!A:W, 3, FALSE), ""))</f>
        <v/>
      </c>
      <c r="D1182" s="2" t="str">
        <f>IF(B1182="","",IFERROR(VLOOKUP(B1182, PLANTA_BASE!A:W, 5, FALSE), "NO ENCONTRADO EN PLANTA"))</f>
        <v/>
      </c>
      <c r="E1182" s="2" t="str">
        <f>IF(B1182="","",IFERROR(VLOOKUP(B1182, PLANTA_BASE!A:W, 6, FALSE), "NO ENCONTRADO EN PLANTA"))</f>
        <v/>
      </c>
      <c r="F1182" s="4" t="str">
        <f>IF(B1182="","",IFERROR(VLOOKUP(B1182, PLANTA_BASE!A:W, 8, FALSE), "DOCENTE / FACILITADOR"))</f>
        <v/>
      </c>
      <c r="G1182" s="4" t="str">
        <f>IF(B1182="","",IFERROR(VLOOKUP(B1182, PLANTA_BASE!A:W, 9, FALSE), "GENERAL"))</f>
        <v/>
      </c>
      <c r="H1182" s="2" t="str">
        <f>IF(B1182="","",IFERROR(VLOOKUP(B1182, PLANTA_BASE!A:W, 17, FALSE), "GENERAL"))</f>
        <v/>
      </c>
    </row>
    <row r="1183" spans="1:8" ht="20.100000000000001" customHeight="1" x14ac:dyDescent="0.25">
      <c r="A1183" s="5" t="str">
        <f>IF(B1183="","",IFERROR(VLOOKUP(B1183, PLANTA_BASE!A:W, 2, FALSE), "NO ENCONTRADO EN PLANTA"))</f>
        <v/>
      </c>
      <c r="B1183" s="6"/>
      <c r="C1183" s="7" t="str">
        <f>IF(B1183="","",IFERROR(VLOOKUP(B1183, PLANTA_BASE!A:W, 3, FALSE), ""))</f>
        <v/>
      </c>
      <c r="D1183" s="5" t="str">
        <f>IF(B1183="","",IFERROR(VLOOKUP(B1183, PLANTA_BASE!A:W, 5, FALSE), "NO ENCONTRADO EN PLANTA"))</f>
        <v/>
      </c>
      <c r="E1183" s="5" t="str">
        <f>IF(B1183="","",IFERROR(VLOOKUP(B1183, PLANTA_BASE!A:W, 6, FALSE), "NO ENCONTRADO EN PLANTA"))</f>
        <v/>
      </c>
      <c r="F1183" s="7" t="str">
        <f>IF(B1183="","",IFERROR(VLOOKUP(B1183, PLANTA_BASE!A:W, 8, FALSE), "DOCENTE / FACILITADOR"))</f>
        <v/>
      </c>
      <c r="G1183" s="7" t="str">
        <f>IF(B1183="","",IFERROR(VLOOKUP(B1183, PLANTA_BASE!A:W, 9, FALSE), "GENERAL"))</f>
        <v/>
      </c>
      <c r="H1183" s="5" t="str">
        <f>IF(B1183="","",IFERROR(VLOOKUP(B1183, PLANTA_BASE!A:W, 17, FALSE), "GENERAL"))</f>
        <v/>
      </c>
    </row>
    <row r="1184" spans="1:8" ht="20.100000000000001" customHeight="1" x14ac:dyDescent="0.25">
      <c r="A1184" s="2" t="str">
        <f>IF(B1184="","",IFERROR(VLOOKUP(B1184, PLANTA_BASE!A:W, 2, FALSE), "NO ENCONTRADO EN PLANTA"))</f>
        <v/>
      </c>
      <c r="B1184" s="3"/>
      <c r="C1184" s="4" t="str">
        <f>IF(B1184="","",IFERROR(VLOOKUP(B1184, PLANTA_BASE!A:W, 3, FALSE), ""))</f>
        <v/>
      </c>
      <c r="D1184" s="2" t="str">
        <f>IF(B1184="","",IFERROR(VLOOKUP(B1184, PLANTA_BASE!A:W, 5, FALSE), "NO ENCONTRADO EN PLANTA"))</f>
        <v/>
      </c>
      <c r="E1184" s="2" t="str">
        <f>IF(B1184="","",IFERROR(VLOOKUP(B1184, PLANTA_BASE!A:W, 6, FALSE), "NO ENCONTRADO EN PLANTA"))</f>
        <v/>
      </c>
      <c r="F1184" s="4" t="str">
        <f>IF(B1184="","",IFERROR(VLOOKUP(B1184, PLANTA_BASE!A:W, 8, FALSE), "DOCENTE / FACILITADOR"))</f>
        <v/>
      </c>
      <c r="G1184" s="4" t="str">
        <f>IF(B1184="","",IFERROR(VLOOKUP(B1184, PLANTA_BASE!A:W, 9, FALSE), "GENERAL"))</f>
        <v/>
      </c>
      <c r="H1184" s="2" t="str">
        <f>IF(B1184="","",IFERROR(VLOOKUP(B1184, PLANTA_BASE!A:W, 17, FALSE), "GENERAL"))</f>
        <v/>
      </c>
    </row>
    <row r="1185" spans="1:8" ht="20.100000000000001" customHeight="1" x14ac:dyDescent="0.25">
      <c r="A1185" s="5" t="str">
        <f>IF(B1185="","",IFERROR(VLOOKUP(B1185, PLANTA_BASE!A:W, 2, FALSE), "NO ENCONTRADO EN PLANTA"))</f>
        <v/>
      </c>
      <c r="B1185" s="6"/>
      <c r="C1185" s="7" t="str">
        <f>IF(B1185="","",IFERROR(VLOOKUP(B1185, PLANTA_BASE!A:W, 3, FALSE), ""))</f>
        <v/>
      </c>
      <c r="D1185" s="5" t="str">
        <f>IF(B1185="","",IFERROR(VLOOKUP(B1185, PLANTA_BASE!A:W, 5, FALSE), "NO ENCONTRADO EN PLANTA"))</f>
        <v/>
      </c>
      <c r="E1185" s="5" t="str">
        <f>IF(B1185="","",IFERROR(VLOOKUP(B1185, PLANTA_BASE!A:W, 6, FALSE), "NO ENCONTRADO EN PLANTA"))</f>
        <v/>
      </c>
      <c r="F1185" s="7" t="str">
        <f>IF(B1185="","",IFERROR(VLOOKUP(B1185, PLANTA_BASE!A:W, 8, FALSE), "DOCENTE / FACILITADOR"))</f>
        <v/>
      </c>
      <c r="G1185" s="7" t="str">
        <f>IF(B1185="","",IFERROR(VLOOKUP(B1185, PLANTA_BASE!A:W, 9, FALSE), "GENERAL"))</f>
        <v/>
      </c>
      <c r="H1185" s="5" t="str">
        <f>IF(B1185="","",IFERROR(VLOOKUP(B1185, PLANTA_BASE!A:W, 17, FALSE), "GENERAL"))</f>
        <v/>
      </c>
    </row>
    <row r="1186" spans="1:8" ht="20.100000000000001" customHeight="1" x14ac:dyDescent="0.25">
      <c r="A1186" s="2" t="str">
        <f>IF(B1186="","",IFERROR(VLOOKUP(B1186, PLANTA_BASE!A:W, 2, FALSE), "NO ENCONTRADO EN PLANTA"))</f>
        <v/>
      </c>
      <c r="B1186" s="3"/>
      <c r="C1186" s="4" t="str">
        <f>IF(B1186="","",IFERROR(VLOOKUP(B1186, PLANTA_BASE!A:W, 3, FALSE), ""))</f>
        <v/>
      </c>
      <c r="D1186" s="2" t="str">
        <f>IF(B1186="","",IFERROR(VLOOKUP(B1186, PLANTA_BASE!A:W, 5, FALSE), "NO ENCONTRADO EN PLANTA"))</f>
        <v/>
      </c>
      <c r="E1186" s="2" t="str">
        <f>IF(B1186="","",IFERROR(VLOOKUP(B1186, PLANTA_BASE!A:W, 6, FALSE), "NO ENCONTRADO EN PLANTA"))</f>
        <v/>
      </c>
      <c r="F1186" s="4" t="str">
        <f>IF(B1186="","",IFERROR(VLOOKUP(B1186, PLANTA_BASE!A:W, 8, FALSE), "DOCENTE / FACILITADOR"))</f>
        <v/>
      </c>
      <c r="G1186" s="4" t="str">
        <f>IF(B1186="","",IFERROR(VLOOKUP(B1186, PLANTA_BASE!A:W, 9, FALSE), "GENERAL"))</f>
        <v/>
      </c>
      <c r="H1186" s="2" t="str">
        <f>IF(B1186="","",IFERROR(VLOOKUP(B1186, PLANTA_BASE!A:W, 17, FALSE), "GENERAL"))</f>
        <v/>
      </c>
    </row>
    <row r="1187" spans="1:8" ht="20.100000000000001" customHeight="1" x14ac:dyDescent="0.25">
      <c r="A1187" s="5" t="str">
        <f>IF(B1187="","",IFERROR(VLOOKUP(B1187, PLANTA_BASE!A:W, 2, FALSE), "NO ENCONTRADO EN PLANTA"))</f>
        <v/>
      </c>
      <c r="B1187" s="6"/>
      <c r="C1187" s="7" t="str">
        <f>IF(B1187="","",IFERROR(VLOOKUP(B1187, PLANTA_BASE!A:W, 3, FALSE), ""))</f>
        <v/>
      </c>
      <c r="D1187" s="5" t="str">
        <f>IF(B1187="","",IFERROR(VLOOKUP(B1187, PLANTA_BASE!A:W, 5, FALSE), "NO ENCONTRADO EN PLANTA"))</f>
        <v/>
      </c>
      <c r="E1187" s="5" t="str">
        <f>IF(B1187="","",IFERROR(VLOOKUP(B1187, PLANTA_BASE!A:W, 6, FALSE), "NO ENCONTRADO EN PLANTA"))</f>
        <v/>
      </c>
      <c r="F1187" s="7" t="str">
        <f>IF(B1187="","",IFERROR(VLOOKUP(B1187, PLANTA_BASE!A:W, 8, FALSE), "DOCENTE / FACILITADOR"))</f>
        <v/>
      </c>
      <c r="G1187" s="7" t="str">
        <f>IF(B1187="","",IFERROR(VLOOKUP(B1187, PLANTA_BASE!A:W, 9, FALSE), "GENERAL"))</f>
        <v/>
      </c>
      <c r="H1187" s="5" t="str">
        <f>IF(B1187="","",IFERROR(VLOOKUP(B1187, PLANTA_BASE!A:W, 17, FALSE), "GENERAL"))</f>
        <v/>
      </c>
    </row>
    <row r="1188" spans="1:8" ht="20.100000000000001" customHeight="1" x14ac:dyDescent="0.25">
      <c r="A1188" s="2" t="str">
        <f>IF(B1188="","",IFERROR(VLOOKUP(B1188, PLANTA_BASE!A:W, 2, FALSE), "NO ENCONTRADO EN PLANTA"))</f>
        <v/>
      </c>
      <c r="B1188" s="3"/>
      <c r="C1188" s="4" t="str">
        <f>IF(B1188="","",IFERROR(VLOOKUP(B1188, PLANTA_BASE!A:W, 3, FALSE), ""))</f>
        <v/>
      </c>
      <c r="D1188" s="2" t="str">
        <f>IF(B1188="","",IFERROR(VLOOKUP(B1188, PLANTA_BASE!A:W, 5, FALSE), "NO ENCONTRADO EN PLANTA"))</f>
        <v/>
      </c>
      <c r="E1188" s="2" t="str">
        <f>IF(B1188="","",IFERROR(VLOOKUP(B1188, PLANTA_BASE!A:W, 6, FALSE), "NO ENCONTRADO EN PLANTA"))</f>
        <v/>
      </c>
      <c r="F1188" s="4" t="str">
        <f>IF(B1188="","",IFERROR(VLOOKUP(B1188, PLANTA_BASE!A:W, 8, FALSE), "DOCENTE / FACILITADOR"))</f>
        <v/>
      </c>
      <c r="G1188" s="4" t="str">
        <f>IF(B1188="","",IFERROR(VLOOKUP(B1188, PLANTA_BASE!A:W, 9, FALSE), "GENERAL"))</f>
        <v/>
      </c>
      <c r="H1188" s="2" t="str">
        <f>IF(B1188="","",IFERROR(VLOOKUP(B1188, PLANTA_BASE!A:W, 17, FALSE), "GENERAL"))</f>
        <v/>
      </c>
    </row>
    <row r="1189" spans="1:8" ht="20.100000000000001" customHeight="1" x14ac:dyDescent="0.25">
      <c r="A1189" s="5" t="str">
        <f>IF(B1189="","",IFERROR(VLOOKUP(B1189, PLANTA_BASE!A:W, 2, FALSE), "NO ENCONTRADO EN PLANTA"))</f>
        <v/>
      </c>
      <c r="B1189" s="6"/>
      <c r="C1189" s="7" t="str">
        <f>IF(B1189="","",IFERROR(VLOOKUP(B1189, PLANTA_BASE!A:W, 3, FALSE), ""))</f>
        <v/>
      </c>
      <c r="D1189" s="5" t="str">
        <f>IF(B1189="","",IFERROR(VLOOKUP(B1189, PLANTA_BASE!A:W, 5, FALSE), "NO ENCONTRADO EN PLANTA"))</f>
        <v/>
      </c>
      <c r="E1189" s="5" t="str">
        <f>IF(B1189="","",IFERROR(VLOOKUP(B1189, PLANTA_BASE!A:W, 6, FALSE), "NO ENCONTRADO EN PLANTA"))</f>
        <v/>
      </c>
      <c r="F1189" s="7" t="str">
        <f>IF(B1189="","",IFERROR(VLOOKUP(B1189, PLANTA_BASE!A:W, 8, FALSE), "DOCENTE / FACILITADOR"))</f>
        <v/>
      </c>
      <c r="G1189" s="7" t="str">
        <f>IF(B1189="","",IFERROR(VLOOKUP(B1189, PLANTA_BASE!A:W, 9, FALSE), "GENERAL"))</f>
        <v/>
      </c>
      <c r="H1189" s="5" t="str">
        <f>IF(B1189="","",IFERROR(VLOOKUP(B1189, PLANTA_BASE!A:W, 17, FALSE), "GENERAL"))</f>
        <v/>
      </c>
    </row>
    <row r="1190" spans="1:8" ht="20.100000000000001" customHeight="1" x14ac:dyDescent="0.25">
      <c r="A1190" s="2" t="str">
        <f>IF(B1190="","",IFERROR(VLOOKUP(B1190, PLANTA_BASE!A:W, 2, FALSE), "NO ENCONTRADO EN PLANTA"))</f>
        <v/>
      </c>
      <c r="B1190" s="3"/>
      <c r="C1190" s="4" t="str">
        <f>IF(B1190="","",IFERROR(VLOOKUP(B1190, PLANTA_BASE!A:W, 3, FALSE), ""))</f>
        <v/>
      </c>
      <c r="D1190" s="2" t="str">
        <f>IF(B1190="","",IFERROR(VLOOKUP(B1190, PLANTA_BASE!A:W, 5, FALSE), "NO ENCONTRADO EN PLANTA"))</f>
        <v/>
      </c>
      <c r="E1190" s="2" t="str">
        <f>IF(B1190="","",IFERROR(VLOOKUP(B1190, PLANTA_BASE!A:W, 6, FALSE), "NO ENCONTRADO EN PLANTA"))</f>
        <v/>
      </c>
      <c r="F1190" s="4" t="str">
        <f>IF(B1190="","",IFERROR(VLOOKUP(B1190, PLANTA_BASE!A:W, 8, FALSE), "DOCENTE / FACILITADOR"))</f>
        <v/>
      </c>
      <c r="G1190" s="4" t="str">
        <f>IF(B1190="","",IFERROR(VLOOKUP(B1190, PLANTA_BASE!A:W, 9, FALSE), "GENERAL"))</f>
        <v/>
      </c>
      <c r="H1190" s="2" t="str">
        <f>IF(B1190="","",IFERROR(VLOOKUP(B1190, PLANTA_BASE!A:W, 17, FALSE), "GENERAL"))</f>
        <v/>
      </c>
    </row>
    <row r="1191" spans="1:8" ht="20.100000000000001" customHeight="1" x14ac:dyDescent="0.25">
      <c r="A1191" s="5" t="str">
        <f>IF(B1191="","",IFERROR(VLOOKUP(B1191, PLANTA_BASE!A:W, 2, FALSE), "NO ENCONTRADO EN PLANTA"))</f>
        <v/>
      </c>
      <c r="B1191" s="6"/>
      <c r="C1191" s="7" t="str">
        <f>IF(B1191="","",IFERROR(VLOOKUP(B1191, PLANTA_BASE!A:W, 3, FALSE), ""))</f>
        <v/>
      </c>
      <c r="D1191" s="5" t="str">
        <f>IF(B1191="","",IFERROR(VLOOKUP(B1191, PLANTA_BASE!A:W, 5, FALSE), "NO ENCONTRADO EN PLANTA"))</f>
        <v/>
      </c>
      <c r="E1191" s="5" t="str">
        <f>IF(B1191="","",IFERROR(VLOOKUP(B1191, PLANTA_BASE!A:W, 6, FALSE), "NO ENCONTRADO EN PLANTA"))</f>
        <v/>
      </c>
      <c r="F1191" s="7" t="str">
        <f>IF(B1191="","",IFERROR(VLOOKUP(B1191, PLANTA_BASE!A:W, 8, FALSE), "DOCENTE / FACILITADOR"))</f>
        <v/>
      </c>
      <c r="G1191" s="7" t="str">
        <f>IF(B1191="","",IFERROR(VLOOKUP(B1191, PLANTA_BASE!A:W, 9, FALSE), "GENERAL"))</f>
        <v/>
      </c>
      <c r="H1191" s="5" t="str">
        <f>IF(B1191="","",IFERROR(VLOOKUP(B1191, PLANTA_BASE!A:W, 17, FALSE), "GENERAL"))</f>
        <v/>
      </c>
    </row>
    <row r="1192" spans="1:8" ht="20.100000000000001" customHeight="1" x14ac:dyDescent="0.25">
      <c r="A1192" s="2" t="str">
        <f>IF(B1192="","",IFERROR(VLOOKUP(B1192, PLANTA_BASE!A:W, 2, FALSE), "NO ENCONTRADO EN PLANTA"))</f>
        <v/>
      </c>
      <c r="B1192" s="3"/>
      <c r="C1192" s="4" t="str">
        <f>IF(B1192="","",IFERROR(VLOOKUP(B1192, PLANTA_BASE!A:W, 3, FALSE), ""))</f>
        <v/>
      </c>
      <c r="D1192" s="2" t="str">
        <f>IF(B1192="","",IFERROR(VLOOKUP(B1192, PLANTA_BASE!A:W, 5, FALSE), "NO ENCONTRADO EN PLANTA"))</f>
        <v/>
      </c>
      <c r="E1192" s="2" t="str">
        <f>IF(B1192="","",IFERROR(VLOOKUP(B1192, PLANTA_BASE!A:W, 6, FALSE), "NO ENCONTRADO EN PLANTA"))</f>
        <v/>
      </c>
      <c r="F1192" s="4" t="str">
        <f>IF(B1192="","",IFERROR(VLOOKUP(B1192, PLANTA_BASE!A:W, 8, FALSE), "DOCENTE / FACILITADOR"))</f>
        <v/>
      </c>
      <c r="G1192" s="4" t="str">
        <f>IF(B1192="","",IFERROR(VLOOKUP(B1192, PLANTA_BASE!A:W, 9, FALSE), "GENERAL"))</f>
        <v/>
      </c>
      <c r="H1192" s="2" t="str">
        <f>IF(B1192="","",IFERROR(VLOOKUP(B1192, PLANTA_BASE!A:W, 17, FALSE), "GENERAL"))</f>
        <v/>
      </c>
    </row>
    <row r="1193" spans="1:8" ht="20.100000000000001" customHeight="1" x14ac:dyDescent="0.25">
      <c r="A1193" s="5" t="str">
        <f>IF(B1193="","",IFERROR(VLOOKUP(B1193, PLANTA_BASE!A:W, 2, FALSE), "NO ENCONTRADO EN PLANTA"))</f>
        <v/>
      </c>
      <c r="B1193" s="6"/>
      <c r="C1193" s="7" t="str">
        <f>IF(B1193="","",IFERROR(VLOOKUP(B1193, PLANTA_BASE!A:W, 3, FALSE), ""))</f>
        <v/>
      </c>
      <c r="D1193" s="5" t="str">
        <f>IF(B1193="","",IFERROR(VLOOKUP(B1193, PLANTA_BASE!A:W, 5, FALSE), "NO ENCONTRADO EN PLANTA"))</f>
        <v/>
      </c>
      <c r="E1193" s="5" t="str">
        <f>IF(B1193="","",IFERROR(VLOOKUP(B1193, PLANTA_BASE!A:W, 6, FALSE), "NO ENCONTRADO EN PLANTA"))</f>
        <v/>
      </c>
      <c r="F1193" s="7" t="str">
        <f>IF(B1193="","",IFERROR(VLOOKUP(B1193, PLANTA_BASE!A:W, 8, FALSE), "DOCENTE / FACILITADOR"))</f>
        <v/>
      </c>
      <c r="G1193" s="7" t="str">
        <f>IF(B1193="","",IFERROR(VLOOKUP(B1193, PLANTA_BASE!A:W, 9, FALSE), "GENERAL"))</f>
        <v/>
      </c>
      <c r="H1193" s="5" t="str">
        <f>IF(B1193="","",IFERROR(VLOOKUP(B1193, PLANTA_BASE!A:W, 17, FALSE), "GENERAL"))</f>
        <v/>
      </c>
    </row>
    <row r="1194" spans="1:8" ht="20.100000000000001" customHeight="1" x14ac:dyDescent="0.25">
      <c r="A1194" s="2" t="str">
        <f>IF(B1194="","",IFERROR(VLOOKUP(B1194, PLANTA_BASE!A:W, 2, FALSE), "NO ENCONTRADO EN PLANTA"))</f>
        <v/>
      </c>
      <c r="B1194" s="3"/>
      <c r="C1194" s="4" t="str">
        <f>IF(B1194="","",IFERROR(VLOOKUP(B1194, PLANTA_BASE!A:W, 3, FALSE), ""))</f>
        <v/>
      </c>
      <c r="D1194" s="2" t="str">
        <f>IF(B1194="","",IFERROR(VLOOKUP(B1194, PLANTA_BASE!A:W, 5, FALSE), "NO ENCONTRADO EN PLANTA"))</f>
        <v/>
      </c>
      <c r="E1194" s="2" t="str">
        <f>IF(B1194="","",IFERROR(VLOOKUP(B1194, PLANTA_BASE!A:W, 6, FALSE), "NO ENCONTRADO EN PLANTA"))</f>
        <v/>
      </c>
      <c r="F1194" s="4" t="str">
        <f>IF(B1194="","",IFERROR(VLOOKUP(B1194, PLANTA_BASE!A:W, 8, FALSE), "DOCENTE / FACILITADOR"))</f>
        <v/>
      </c>
      <c r="G1194" s="4" t="str">
        <f>IF(B1194="","",IFERROR(VLOOKUP(B1194, PLANTA_BASE!A:W, 9, FALSE), "GENERAL"))</f>
        <v/>
      </c>
      <c r="H1194" s="2" t="str">
        <f>IF(B1194="","",IFERROR(VLOOKUP(B1194, PLANTA_BASE!A:W, 17, FALSE), "GENERAL"))</f>
        <v/>
      </c>
    </row>
    <row r="1195" spans="1:8" ht="20.100000000000001" customHeight="1" x14ac:dyDescent="0.25">
      <c r="A1195" s="5" t="str">
        <f>IF(B1195="","",IFERROR(VLOOKUP(B1195, PLANTA_BASE!A:W, 2, FALSE), "NO ENCONTRADO EN PLANTA"))</f>
        <v/>
      </c>
      <c r="B1195" s="6"/>
      <c r="C1195" s="7" t="str">
        <f>IF(B1195="","",IFERROR(VLOOKUP(B1195, PLANTA_BASE!A:W, 3, FALSE), ""))</f>
        <v/>
      </c>
      <c r="D1195" s="5" t="str">
        <f>IF(B1195="","",IFERROR(VLOOKUP(B1195, PLANTA_BASE!A:W, 5, FALSE), "NO ENCONTRADO EN PLANTA"))</f>
        <v/>
      </c>
      <c r="E1195" s="5" t="str">
        <f>IF(B1195="","",IFERROR(VLOOKUP(B1195, PLANTA_BASE!A:W, 6, FALSE), "NO ENCONTRADO EN PLANTA"))</f>
        <v/>
      </c>
      <c r="F1195" s="7" t="str">
        <f>IF(B1195="","",IFERROR(VLOOKUP(B1195, PLANTA_BASE!A:W, 8, FALSE), "DOCENTE / FACILITADOR"))</f>
        <v/>
      </c>
      <c r="G1195" s="7" t="str">
        <f>IF(B1195="","",IFERROR(VLOOKUP(B1195, PLANTA_BASE!A:W, 9, FALSE), "GENERAL"))</f>
        <v/>
      </c>
      <c r="H1195" s="5" t="str">
        <f>IF(B1195="","",IFERROR(VLOOKUP(B1195, PLANTA_BASE!A:W, 17, FALSE), "GENERAL"))</f>
        <v/>
      </c>
    </row>
    <row r="1196" spans="1:8" ht="20.100000000000001" customHeight="1" x14ac:dyDescent="0.25">
      <c r="A1196" s="2" t="str">
        <f>IF(B1196="","",IFERROR(VLOOKUP(B1196, PLANTA_BASE!A:W, 2, FALSE), "NO ENCONTRADO EN PLANTA"))</f>
        <v/>
      </c>
      <c r="B1196" s="3"/>
      <c r="C1196" s="4" t="str">
        <f>IF(B1196="","",IFERROR(VLOOKUP(B1196, PLANTA_BASE!A:W, 3, FALSE), ""))</f>
        <v/>
      </c>
      <c r="D1196" s="2" t="str">
        <f>IF(B1196="","",IFERROR(VLOOKUP(B1196, PLANTA_BASE!A:W, 5, FALSE), "NO ENCONTRADO EN PLANTA"))</f>
        <v/>
      </c>
      <c r="E1196" s="2" t="str">
        <f>IF(B1196="","",IFERROR(VLOOKUP(B1196, PLANTA_BASE!A:W, 6, FALSE), "NO ENCONTRADO EN PLANTA"))</f>
        <v/>
      </c>
      <c r="F1196" s="4" t="str">
        <f>IF(B1196="","",IFERROR(VLOOKUP(B1196, PLANTA_BASE!A:W, 8, FALSE), "DOCENTE / FACILITADOR"))</f>
        <v/>
      </c>
      <c r="G1196" s="4" t="str">
        <f>IF(B1196="","",IFERROR(VLOOKUP(B1196, PLANTA_BASE!A:W, 9, FALSE), "GENERAL"))</f>
        <v/>
      </c>
      <c r="H1196" s="2" t="str">
        <f>IF(B1196="","",IFERROR(VLOOKUP(B1196, PLANTA_BASE!A:W, 17, FALSE), "GENERAL"))</f>
        <v/>
      </c>
    </row>
    <row r="1197" spans="1:8" ht="20.100000000000001" customHeight="1" x14ac:dyDescent="0.25">
      <c r="A1197" s="5" t="str">
        <f>IF(B1197="","",IFERROR(VLOOKUP(B1197, PLANTA_BASE!A:W, 2, FALSE), "NO ENCONTRADO EN PLANTA"))</f>
        <v/>
      </c>
      <c r="B1197" s="6"/>
      <c r="C1197" s="7" t="str">
        <f>IF(B1197="","",IFERROR(VLOOKUP(B1197, PLANTA_BASE!A:W, 3, FALSE), ""))</f>
        <v/>
      </c>
      <c r="D1197" s="5" t="str">
        <f>IF(B1197="","",IFERROR(VLOOKUP(B1197, PLANTA_BASE!A:W, 5, FALSE), "NO ENCONTRADO EN PLANTA"))</f>
        <v/>
      </c>
      <c r="E1197" s="5" t="str">
        <f>IF(B1197="","",IFERROR(VLOOKUP(B1197, PLANTA_BASE!A:W, 6, FALSE), "NO ENCONTRADO EN PLANTA"))</f>
        <v/>
      </c>
      <c r="F1197" s="7" t="str">
        <f>IF(B1197="","",IFERROR(VLOOKUP(B1197, PLANTA_BASE!A:W, 8, FALSE), "DOCENTE / FACILITADOR"))</f>
        <v/>
      </c>
      <c r="G1197" s="7" t="str">
        <f>IF(B1197="","",IFERROR(VLOOKUP(B1197, PLANTA_BASE!A:W, 9, FALSE), "GENERAL"))</f>
        <v/>
      </c>
      <c r="H1197" s="5" t="str">
        <f>IF(B1197="","",IFERROR(VLOOKUP(B1197, PLANTA_BASE!A:W, 17, FALSE), "GENERAL"))</f>
        <v/>
      </c>
    </row>
    <row r="1198" spans="1:8" ht="20.100000000000001" customHeight="1" x14ac:dyDescent="0.25">
      <c r="A1198" s="2" t="str">
        <f>IF(B1198="","",IFERROR(VLOOKUP(B1198, PLANTA_BASE!A:W, 2, FALSE), "NO ENCONTRADO EN PLANTA"))</f>
        <v/>
      </c>
      <c r="B1198" s="3"/>
      <c r="C1198" s="4" t="str">
        <f>IF(B1198="","",IFERROR(VLOOKUP(B1198, PLANTA_BASE!A:W, 3, FALSE), ""))</f>
        <v/>
      </c>
      <c r="D1198" s="2" t="str">
        <f>IF(B1198="","",IFERROR(VLOOKUP(B1198, PLANTA_BASE!A:W, 5, FALSE), "NO ENCONTRADO EN PLANTA"))</f>
        <v/>
      </c>
      <c r="E1198" s="2" t="str">
        <f>IF(B1198="","",IFERROR(VLOOKUP(B1198, PLANTA_BASE!A:W, 6, FALSE), "NO ENCONTRADO EN PLANTA"))</f>
        <v/>
      </c>
      <c r="F1198" s="4" t="str">
        <f>IF(B1198="","",IFERROR(VLOOKUP(B1198, PLANTA_BASE!A:W, 8, FALSE), "DOCENTE / FACILITADOR"))</f>
        <v/>
      </c>
      <c r="G1198" s="4" t="str">
        <f>IF(B1198="","",IFERROR(VLOOKUP(B1198, PLANTA_BASE!A:W, 9, FALSE), "GENERAL"))</f>
        <v/>
      </c>
      <c r="H1198" s="2" t="str">
        <f>IF(B1198="","",IFERROR(VLOOKUP(B1198, PLANTA_BASE!A:W, 17, FALSE), "GENERAL"))</f>
        <v/>
      </c>
    </row>
    <row r="1199" spans="1:8" ht="20.100000000000001" customHeight="1" x14ac:dyDescent="0.25">
      <c r="A1199" s="5" t="str">
        <f>IF(B1199="","",IFERROR(VLOOKUP(B1199, PLANTA_BASE!A:W, 2, FALSE), "NO ENCONTRADO EN PLANTA"))</f>
        <v/>
      </c>
      <c r="B1199" s="6"/>
      <c r="C1199" s="7" t="str">
        <f>IF(B1199="","",IFERROR(VLOOKUP(B1199, PLANTA_BASE!A:W, 3, FALSE), ""))</f>
        <v/>
      </c>
      <c r="D1199" s="5" t="str">
        <f>IF(B1199="","",IFERROR(VLOOKUP(B1199, PLANTA_BASE!A:W, 5, FALSE), "NO ENCONTRADO EN PLANTA"))</f>
        <v/>
      </c>
      <c r="E1199" s="5" t="str">
        <f>IF(B1199="","",IFERROR(VLOOKUP(B1199, PLANTA_BASE!A:W, 6, FALSE), "NO ENCONTRADO EN PLANTA"))</f>
        <v/>
      </c>
      <c r="F1199" s="7" t="str">
        <f>IF(B1199="","",IFERROR(VLOOKUP(B1199, PLANTA_BASE!A:W, 8, FALSE), "DOCENTE / FACILITADOR"))</f>
        <v/>
      </c>
      <c r="G1199" s="7" t="str">
        <f>IF(B1199="","",IFERROR(VLOOKUP(B1199, PLANTA_BASE!A:W, 9, FALSE), "GENERAL"))</f>
        <v/>
      </c>
      <c r="H1199" s="5" t="str">
        <f>IF(B1199="","",IFERROR(VLOOKUP(B1199, PLANTA_BASE!A:W, 17, FALSE), "GENERAL"))</f>
        <v/>
      </c>
    </row>
    <row r="1200" spans="1:8" ht="20.100000000000001" customHeight="1" x14ac:dyDescent="0.25">
      <c r="A1200" s="2" t="str">
        <f>IF(B1200="","",IFERROR(VLOOKUP(B1200, PLANTA_BASE!A:W, 2, FALSE), "NO ENCONTRADO EN PLANTA"))</f>
        <v/>
      </c>
      <c r="B1200" s="3"/>
      <c r="C1200" s="4" t="str">
        <f>IF(B1200="","",IFERROR(VLOOKUP(B1200, PLANTA_BASE!A:W, 3, FALSE), ""))</f>
        <v/>
      </c>
      <c r="D1200" s="2" t="str">
        <f>IF(B1200="","",IFERROR(VLOOKUP(B1200, PLANTA_BASE!A:W, 5, FALSE), "NO ENCONTRADO EN PLANTA"))</f>
        <v/>
      </c>
      <c r="E1200" s="2" t="str">
        <f>IF(B1200="","",IFERROR(VLOOKUP(B1200, PLANTA_BASE!A:W, 6, FALSE), "NO ENCONTRADO EN PLANTA"))</f>
        <v/>
      </c>
      <c r="F1200" s="4" t="str">
        <f>IF(B1200="","",IFERROR(VLOOKUP(B1200, PLANTA_BASE!A:W, 8, FALSE), "DOCENTE / FACILITADOR"))</f>
        <v/>
      </c>
      <c r="G1200" s="4" t="str">
        <f>IF(B1200="","",IFERROR(VLOOKUP(B1200, PLANTA_BASE!A:W, 9, FALSE), "GENERAL"))</f>
        <v/>
      </c>
      <c r="H1200" s="2" t="str">
        <f>IF(B1200="","",IFERROR(VLOOKUP(B1200, PLANTA_BASE!A:W, 17, FALSE), "GENERAL"))</f>
        <v/>
      </c>
    </row>
    <row r="1201" spans="1:8" ht="20.100000000000001" customHeight="1" x14ac:dyDescent="0.25">
      <c r="A1201" s="5" t="str">
        <f>IF(B1201="","",IFERROR(VLOOKUP(B1201, PLANTA_BASE!A:W, 2, FALSE), "NO ENCONTRADO EN PLANTA"))</f>
        <v/>
      </c>
      <c r="B1201" s="6"/>
      <c r="C1201" s="7" t="str">
        <f>IF(B1201="","",IFERROR(VLOOKUP(B1201, PLANTA_BASE!A:W, 3, FALSE), ""))</f>
        <v/>
      </c>
      <c r="D1201" s="5" t="str">
        <f>IF(B1201="","",IFERROR(VLOOKUP(B1201, PLANTA_BASE!A:W, 5, FALSE), "NO ENCONTRADO EN PLANTA"))</f>
        <v/>
      </c>
      <c r="E1201" s="5" t="str">
        <f>IF(B1201="","",IFERROR(VLOOKUP(B1201, PLANTA_BASE!A:W, 6, FALSE), "NO ENCONTRADO EN PLANTA"))</f>
        <v/>
      </c>
      <c r="F1201" s="7" t="str">
        <f>IF(B1201="","",IFERROR(VLOOKUP(B1201, PLANTA_BASE!A:W, 8, FALSE), "DOCENTE / FACILITADOR"))</f>
        <v/>
      </c>
      <c r="G1201" s="7" t="str">
        <f>IF(B1201="","",IFERROR(VLOOKUP(B1201, PLANTA_BASE!A:W, 9, FALSE), "GENERAL"))</f>
        <v/>
      </c>
      <c r="H1201" s="5" t="str">
        <f>IF(B1201="","",IFERROR(VLOOKUP(B1201, PLANTA_BASE!A:W, 17, FALSE), "GENERAL"))</f>
        <v/>
      </c>
    </row>
    <row r="1202" spans="1:8" ht="20.100000000000001" customHeight="1" x14ac:dyDescent="0.25">
      <c r="A1202" s="2" t="str">
        <f>IF(B1202="","",IFERROR(VLOOKUP(B1202, PLANTA_BASE!A:W, 2, FALSE), "NO ENCONTRADO EN PLANTA"))</f>
        <v/>
      </c>
      <c r="B1202" s="3"/>
      <c r="C1202" s="4" t="str">
        <f>IF(B1202="","",IFERROR(VLOOKUP(B1202, PLANTA_BASE!A:W, 3, FALSE), ""))</f>
        <v/>
      </c>
      <c r="D1202" s="2" t="str">
        <f>IF(B1202="","",IFERROR(VLOOKUP(B1202, PLANTA_BASE!A:W, 5, FALSE), "NO ENCONTRADO EN PLANTA"))</f>
        <v/>
      </c>
      <c r="E1202" s="2" t="str">
        <f>IF(B1202="","",IFERROR(VLOOKUP(B1202, PLANTA_BASE!A:W, 6, FALSE), "NO ENCONTRADO EN PLANTA"))</f>
        <v/>
      </c>
      <c r="F1202" s="4" t="str">
        <f>IF(B1202="","",IFERROR(VLOOKUP(B1202, PLANTA_BASE!A:W, 8, FALSE), "DOCENTE / FACILITADOR"))</f>
        <v/>
      </c>
      <c r="G1202" s="4" t="str">
        <f>IF(B1202="","",IFERROR(VLOOKUP(B1202, PLANTA_BASE!A:W, 9, FALSE), "GENERAL"))</f>
        <v/>
      </c>
      <c r="H1202" s="2" t="str">
        <f>IF(B1202="","",IFERROR(VLOOKUP(B1202, PLANTA_BASE!A:W, 17, FALSE), "GENERAL"))</f>
        <v/>
      </c>
    </row>
    <row r="1203" spans="1:8" ht="20.100000000000001" customHeight="1" x14ac:dyDescent="0.25">
      <c r="A1203" s="5" t="str">
        <f>IF(B1203="","",IFERROR(VLOOKUP(B1203, PLANTA_BASE!A:W, 2, FALSE), "NO ENCONTRADO EN PLANTA"))</f>
        <v/>
      </c>
      <c r="B1203" s="6"/>
      <c r="C1203" s="7" t="str">
        <f>IF(B1203="","",IFERROR(VLOOKUP(B1203, PLANTA_BASE!A:W, 3, FALSE), ""))</f>
        <v/>
      </c>
      <c r="D1203" s="5" t="str">
        <f>IF(B1203="","",IFERROR(VLOOKUP(B1203, PLANTA_BASE!A:W, 5, FALSE), "NO ENCONTRADO EN PLANTA"))</f>
        <v/>
      </c>
      <c r="E1203" s="5" t="str">
        <f>IF(B1203="","",IFERROR(VLOOKUP(B1203, PLANTA_BASE!A:W, 6, FALSE), "NO ENCONTRADO EN PLANTA"))</f>
        <v/>
      </c>
      <c r="F1203" s="7" t="str">
        <f>IF(B1203="","",IFERROR(VLOOKUP(B1203, PLANTA_BASE!A:W, 8, FALSE), "DOCENTE / FACILITADOR"))</f>
        <v/>
      </c>
      <c r="G1203" s="7" t="str">
        <f>IF(B1203="","",IFERROR(VLOOKUP(B1203, PLANTA_BASE!A:W, 9, FALSE), "GENERAL"))</f>
        <v/>
      </c>
      <c r="H1203" s="5" t="str">
        <f>IF(B1203="","",IFERROR(VLOOKUP(B1203, PLANTA_BASE!A:W, 17, FALSE), "GENERAL"))</f>
        <v/>
      </c>
    </row>
    <row r="1204" spans="1:8" ht="20.100000000000001" customHeight="1" x14ac:dyDescent="0.25">
      <c r="A1204" s="2" t="str">
        <f>IF(B1204="","",IFERROR(VLOOKUP(B1204, PLANTA_BASE!A:W, 2, FALSE), "NO ENCONTRADO EN PLANTA"))</f>
        <v/>
      </c>
      <c r="B1204" s="3"/>
      <c r="C1204" s="4" t="str">
        <f>IF(B1204="","",IFERROR(VLOOKUP(B1204, PLANTA_BASE!A:W, 3, FALSE), ""))</f>
        <v/>
      </c>
      <c r="D1204" s="2" t="str">
        <f>IF(B1204="","",IFERROR(VLOOKUP(B1204, PLANTA_BASE!A:W, 5, FALSE), "NO ENCONTRADO EN PLANTA"))</f>
        <v/>
      </c>
      <c r="E1204" s="2" t="str">
        <f>IF(B1204="","",IFERROR(VLOOKUP(B1204, PLANTA_BASE!A:W, 6, FALSE), "NO ENCONTRADO EN PLANTA"))</f>
        <v/>
      </c>
      <c r="F1204" s="4" t="str">
        <f>IF(B1204="","",IFERROR(VLOOKUP(B1204, PLANTA_BASE!A:W, 8, FALSE), "DOCENTE / FACILITADOR"))</f>
        <v/>
      </c>
      <c r="G1204" s="4" t="str">
        <f>IF(B1204="","",IFERROR(VLOOKUP(B1204, PLANTA_BASE!A:W, 9, FALSE), "GENERAL"))</f>
        <v/>
      </c>
      <c r="H1204" s="2" t="str">
        <f>IF(B1204="","",IFERROR(VLOOKUP(B1204, PLANTA_BASE!A:W, 17, FALSE), "GENERAL"))</f>
        <v/>
      </c>
    </row>
    <row r="1205" spans="1:8" ht="20.100000000000001" customHeight="1" x14ac:dyDescent="0.25">
      <c r="A1205" s="5" t="str">
        <f>IF(B1205="","",IFERROR(VLOOKUP(B1205, PLANTA_BASE!A:W, 2, FALSE), "NO ENCONTRADO EN PLANTA"))</f>
        <v/>
      </c>
      <c r="B1205" s="6"/>
      <c r="C1205" s="7" t="str">
        <f>IF(B1205="","",IFERROR(VLOOKUP(B1205, PLANTA_BASE!A:W, 3, FALSE), ""))</f>
        <v/>
      </c>
      <c r="D1205" s="5" t="str">
        <f>IF(B1205="","",IFERROR(VLOOKUP(B1205, PLANTA_BASE!A:W, 5, FALSE), "NO ENCONTRADO EN PLANTA"))</f>
        <v/>
      </c>
      <c r="E1205" s="5" t="str">
        <f>IF(B1205="","",IFERROR(VLOOKUP(B1205, PLANTA_BASE!A:W, 6, FALSE), "NO ENCONTRADO EN PLANTA"))</f>
        <v/>
      </c>
      <c r="F1205" s="7" t="str">
        <f>IF(B1205="","",IFERROR(VLOOKUP(B1205, PLANTA_BASE!A:W, 8, FALSE), "DOCENTE / FACILITADOR"))</f>
        <v/>
      </c>
      <c r="G1205" s="7" t="str">
        <f>IF(B1205="","",IFERROR(VLOOKUP(B1205, PLANTA_BASE!A:W, 9, FALSE), "GENERAL"))</f>
        <v/>
      </c>
      <c r="H1205" s="5" t="str">
        <f>IF(B1205="","",IFERROR(VLOOKUP(B1205, PLANTA_BASE!A:W, 17, FALSE), "GENERAL"))</f>
        <v/>
      </c>
    </row>
    <row r="1206" spans="1:8" ht="20.100000000000001" customHeight="1" x14ac:dyDescent="0.25">
      <c r="A1206" s="2" t="str">
        <f>IF(B1206="","",IFERROR(VLOOKUP(B1206, PLANTA_BASE!A:W, 2, FALSE), "NO ENCONTRADO EN PLANTA"))</f>
        <v/>
      </c>
      <c r="B1206" s="3"/>
      <c r="C1206" s="4" t="str">
        <f>IF(B1206="","",IFERROR(VLOOKUP(B1206, PLANTA_BASE!A:W, 3, FALSE), ""))</f>
        <v/>
      </c>
      <c r="D1206" s="2" t="str">
        <f>IF(B1206="","",IFERROR(VLOOKUP(B1206, PLANTA_BASE!A:W, 5, FALSE), "NO ENCONTRADO EN PLANTA"))</f>
        <v/>
      </c>
      <c r="E1206" s="2" t="str">
        <f>IF(B1206="","",IFERROR(VLOOKUP(B1206, PLANTA_BASE!A:W, 6, FALSE), "NO ENCONTRADO EN PLANTA"))</f>
        <v/>
      </c>
      <c r="F1206" s="4" t="str">
        <f>IF(B1206="","",IFERROR(VLOOKUP(B1206, PLANTA_BASE!A:W, 8, FALSE), "DOCENTE / FACILITADOR"))</f>
        <v/>
      </c>
      <c r="G1206" s="4" t="str">
        <f>IF(B1206="","",IFERROR(VLOOKUP(B1206, PLANTA_BASE!A:W, 9, FALSE), "GENERAL"))</f>
        <v/>
      </c>
      <c r="H1206" s="2" t="str">
        <f>IF(B1206="","",IFERROR(VLOOKUP(B1206, PLANTA_BASE!A:W, 17, FALSE), "GENERAL"))</f>
        <v/>
      </c>
    </row>
    <row r="1207" spans="1:8" ht="20.100000000000001" customHeight="1" x14ac:dyDescent="0.25">
      <c r="A1207" s="5" t="str">
        <f>IF(B1207="","",IFERROR(VLOOKUP(B1207, PLANTA_BASE!A:W, 2, FALSE), "NO ENCONTRADO EN PLANTA"))</f>
        <v/>
      </c>
      <c r="B1207" s="6"/>
      <c r="C1207" s="7" t="str">
        <f>IF(B1207="","",IFERROR(VLOOKUP(B1207, PLANTA_BASE!A:W, 3, FALSE), ""))</f>
        <v/>
      </c>
      <c r="D1207" s="5" t="str">
        <f>IF(B1207="","",IFERROR(VLOOKUP(B1207, PLANTA_BASE!A:W, 5, FALSE), "NO ENCONTRADO EN PLANTA"))</f>
        <v/>
      </c>
      <c r="E1207" s="5" t="str">
        <f>IF(B1207="","",IFERROR(VLOOKUP(B1207, PLANTA_BASE!A:W, 6, FALSE), "NO ENCONTRADO EN PLANTA"))</f>
        <v/>
      </c>
      <c r="F1207" s="7" t="str">
        <f>IF(B1207="","",IFERROR(VLOOKUP(B1207, PLANTA_BASE!A:W, 8, FALSE), "DOCENTE / FACILITADOR"))</f>
        <v/>
      </c>
      <c r="G1207" s="7" t="str">
        <f>IF(B1207="","",IFERROR(VLOOKUP(B1207, PLANTA_BASE!A:W, 9, FALSE), "GENERAL"))</f>
        <v/>
      </c>
      <c r="H1207" s="5" t="str">
        <f>IF(B1207="","",IFERROR(VLOOKUP(B1207, PLANTA_BASE!A:W, 17, FALSE), "GENERAL"))</f>
        <v/>
      </c>
    </row>
    <row r="1208" spans="1:8" ht="20.100000000000001" customHeight="1" x14ac:dyDescent="0.25">
      <c r="A1208" s="2" t="str">
        <f>IF(B1208="","",IFERROR(VLOOKUP(B1208, PLANTA_BASE!A:W, 2, FALSE), "NO ENCONTRADO EN PLANTA"))</f>
        <v/>
      </c>
      <c r="B1208" s="3"/>
      <c r="C1208" s="4" t="str">
        <f>IF(B1208="","",IFERROR(VLOOKUP(B1208, PLANTA_BASE!A:W, 3, FALSE), ""))</f>
        <v/>
      </c>
      <c r="D1208" s="2" t="str">
        <f>IF(B1208="","",IFERROR(VLOOKUP(B1208, PLANTA_BASE!A:W, 5, FALSE), "NO ENCONTRADO EN PLANTA"))</f>
        <v/>
      </c>
      <c r="E1208" s="2" t="str">
        <f>IF(B1208="","",IFERROR(VLOOKUP(B1208, PLANTA_BASE!A:W, 6, FALSE), "NO ENCONTRADO EN PLANTA"))</f>
        <v/>
      </c>
      <c r="F1208" s="4" t="str">
        <f>IF(B1208="","",IFERROR(VLOOKUP(B1208, PLANTA_BASE!A:W, 8, FALSE), "DOCENTE / FACILITADOR"))</f>
        <v/>
      </c>
      <c r="G1208" s="4" t="str">
        <f>IF(B1208="","",IFERROR(VLOOKUP(B1208, PLANTA_BASE!A:W, 9, FALSE), "GENERAL"))</f>
        <v/>
      </c>
      <c r="H1208" s="2" t="str">
        <f>IF(B1208="","",IFERROR(VLOOKUP(B1208, PLANTA_BASE!A:W, 17, FALSE), "GENERAL"))</f>
        <v/>
      </c>
    </row>
    <row r="1209" spans="1:8" ht="20.100000000000001" customHeight="1" x14ac:dyDescent="0.25">
      <c r="A1209" s="5" t="str">
        <f>IF(B1209="","",IFERROR(VLOOKUP(B1209, PLANTA_BASE!A:W, 2, FALSE), "NO ENCONTRADO EN PLANTA"))</f>
        <v/>
      </c>
      <c r="B1209" s="6"/>
      <c r="C1209" s="7" t="str">
        <f>IF(B1209="","",IFERROR(VLOOKUP(B1209, PLANTA_BASE!A:W, 3, FALSE), ""))</f>
        <v/>
      </c>
      <c r="D1209" s="5" t="str">
        <f>IF(B1209="","",IFERROR(VLOOKUP(B1209, PLANTA_BASE!A:W, 5, FALSE), "NO ENCONTRADO EN PLANTA"))</f>
        <v/>
      </c>
      <c r="E1209" s="5" t="str">
        <f>IF(B1209="","",IFERROR(VLOOKUP(B1209, PLANTA_BASE!A:W, 6, FALSE), "NO ENCONTRADO EN PLANTA"))</f>
        <v/>
      </c>
      <c r="F1209" s="7" t="str">
        <f>IF(B1209="","",IFERROR(VLOOKUP(B1209, PLANTA_BASE!A:W, 8, FALSE), "DOCENTE / FACILITADOR"))</f>
        <v/>
      </c>
      <c r="G1209" s="7" t="str">
        <f>IF(B1209="","",IFERROR(VLOOKUP(B1209, PLANTA_BASE!A:W, 9, FALSE), "GENERAL"))</f>
        <v/>
      </c>
      <c r="H1209" s="5" t="str">
        <f>IF(B1209="","",IFERROR(VLOOKUP(B1209, PLANTA_BASE!A:W, 17, FALSE), "GENERAL"))</f>
        <v/>
      </c>
    </row>
    <row r="1210" spans="1:8" ht="20.100000000000001" customHeight="1" x14ac:dyDescent="0.25">
      <c r="A1210" s="2" t="str">
        <f>IF(B1210="","",IFERROR(VLOOKUP(B1210, PLANTA_BASE!A:W, 2, FALSE), "NO ENCONTRADO EN PLANTA"))</f>
        <v/>
      </c>
      <c r="B1210" s="3"/>
      <c r="C1210" s="4" t="str">
        <f>IF(B1210="","",IFERROR(VLOOKUP(B1210, PLANTA_BASE!A:W, 3, FALSE), ""))</f>
        <v/>
      </c>
      <c r="D1210" s="2" t="str">
        <f>IF(B1210="","",IFERROR(VLOOKUP(B1210, PLANTA_BASE!A:W, 5, FALSE), "NO ENCONTRADO EN PLANTA"))</f>
        <v/>
      </c>
      <c r="E1210" s="2" t="str">
        <f>IF(B1210="","",IFERROR(VLOOKUP(B1210, PLANTA_BASE!A:W, 6, FALSE), "NO ENCONTRADO EN PLANTA"))</f>
        <v/>
      </c>
      <c r="F1210" s="4" t="str">
        <f>IF(B1210="","",IFERROR(VLOOKUP(B1210, PLANTA_BASE!A:W, 8, FALSE), "DOCENTE / FACILITADOR"))</f>
        <v/>
      </c>
      <c r="G1210" s="4" t="str">
        <f>IF(B1210="","",IFERROR(VLOOKUP(B1210, PLANTA_BASE!A:W, 9, FALSE), "GENERAL"))</f>
        <v/>
      </c>
      <c r="H1210" s="2" t="str">
        <f>IF(B1210="","",IFERROR(VLOOKUP(B1210, PLANTA_BASE!A:W, 17, FALSE), "GENERAL"))</f>
        <v/>
      </c>
    </row>
    <row r="1211" spans="1:8" ht="20.100000000000001" customHeight="1" x14ac:dyDescent="0.25">
      <c r="A1211" s="5" t="str">
        <f>IF(B1211="","",IFERROR(VLOOKUP(B1211, PLANTA_BASE!A:W, 2, FALSE), "NO ENCONTRADO EN PLANTA"))</f>
        <v/>
      </c>
      <c r="B1211" s="6"/>
      <c r="C1211" s="7" t="str">
        <f>IF(B1211="","",IFERROR(VLOOKUP(B1211, PLANTA_BASE!A:W, 3, FALSE), ""))</f>
        <v/>
      </c>
      <c r="D1211" s="5" t="str">
        <f>IF(B1211="","",IFERROR(VLOOKUP(B1211, PLANTA_BASE!A:W, 5, FALSE), "NO ENCONTRADO EN PLANTA"))</f>
        <v/>
      </c>
      <c r="E1211" s="5" t="str">
        <f>IF(B1211="","",IFERROR(VLOOKUP(B1211, PLANTA_BASE!A:W, 6, FALSE), "NO ENCONTRADO EN PLANTA"))</f>
        <v/>
      </c>
      <c r="F1211" s="7" t="str">
        <f>IF(B1211="","",IFERROR(VLOOKUP(B1211, PLANTA_BASE!A:W, 8, FALSE), "DOCENTE / FACILITADOR"))</f>
        <v/>
      </c>
      <c r="G1211" s="7" t="str">
        <f>IF(B1211="","",IFERROR(VLOOKUP(B1211, PLANTA_BASE!A:W, 9, FALSE), "GENERAL"))</f>
        <v/>
      </c>
      <c r="H1211" s="5" t="str">
        <f>IF(B1211="","",IFERROR(VLOOKUP(B1211, PLANTA_BASE!A:W, 17, FALSE), "GENERAL"))</f>
        <v/>
      </c>
    </row>
    <row r="1212" spans="1:8" ht="20.100000000000001" customHeight="1" x14ac:dyDescent="0.25">
      <c r="A1212" s="2" t="str">
        <f>IF(B1212="","",IFERROR(VLOOKUP(B1212, PLANTA_BASE!A:W, 2, FALSE), "NO ENCONTRADO EN PLANTA"))</f>
        <v/>
      </c>
      <c r="B1212" s="3"/>
      <c r="C1212" s="4" t="str">
        <f>IF(B1212="","",IFERROR(VLOOKUP(B1212, PLANTA_BASE!A:W, 3, FALSE), ""))</f>
        <v/>
      </c>
      <c r="D1212" s="2" t="str">
        <f>IF(B1212="","",IFERROR(VLOOKUP(B1212, PLANTA_BASE!A:W, 5, FALSE), "NO ENCONTRADO EN PLANTA"))</f>
        <v/>
      </c>
      <c r="E1212" s="2" t="str">
        <f>IF(B1212="","",IFERROR(VLOOKUP(B1212, PLANTA_BASE!A:W, 6, FALSE), "NO ENCONTRADO EN PLANTA"))</f>
        <v/>
      </c>
      <c r="F1212" s="4" t="str">
        <f>IF(B1212="","",IFERROR(VLOOKUP(B1212, PLANTA_BASE!A:W, 8, FALSE), "DOCENTE / FACILITADOR"))</f>
        <v/>
      </c>
      <c r="G1212" s="4" t="str">
        <f>IF(B1212="","",IFERROR(VLOOKUP(B1212, PLANTA_BASE!A:W, 9, FALSE), "GENERAL"))</f>
        <v/>
      </c>
      <c r="H1212" s="2" t="str">
        <f>IF(B1212="","",IFERROR(VLOOKUP(B1212, PLANTA_BASE!A:W, 17, FALSE), "GENERAL"))</f>
        <v/>
      </c>
    </row>
    <row r="1213" spans="1:8" ht="20.100000000000001" customHeight="1" x14ac:dyDescent="0.25">
      <c r="A1213" s="5" t="str">
        <f>IF(B1213="","",IFERROR(VLOOKUP(B1213, PLANTA_BASE!A:W, 2, FALSE), "NO ENCONTRADO EN PLANTA"))</f>
        <v/>
      </c>
      <c r="B1213" s="6"/>
      <c r="C1213" s="7" t="str">
        <f>IF(B1213="","",IFERROR(VLOOKUP(B1213, PLANTA_BASE!A:W, 3, FALSE), ""))</f>
        <v/>
      </c>
      <c r="D1213" s="5" t="str">
        <f>IF(B1213="","",IFERROR(VLOOKUP(B1213, PLANTA_BASE!A:W, 5, FALSE), "NO ENCONTRADO EN PLANTA"))</f>
        <v/>
      </c>
      <c r="E1213" s="5" t="str">
        <f>IF(B1213="","",IFERROR(VLOOKUP(B1213, PLANTA_BASE!A:W, 6, FALSE), "NO ENCONTRADO EN PLANTA"))</f>
        <v/>
      </c>
      <c r="F1213" s="7" t="str">
        <f>IF(B1213="","",IFERROR(VLOOKUP(B1213, PLANTA_BASE!A:W, 8, FALSE), "DOCENTE / FACILITADOR"))</f>
        <v/>
      </c>
      <c r="G1213" s="7" t="str">
        <f>IF(B1213="","",IFERROR(VLOOKUP(B1213, PLANTA_BASE!A:W, 9, FALSE), "GENERAL"))</f>
        <v/>
      </c>
      <c r="H1213" s="5" t="str">
        <f>IF(B1213="","",IFERROR(VLOOKUP(B1213, PLANTA_BASE!A:W, 17, FALSE), "GENERAL"))</f>
        <v/>
      </c>
    </row>
    <row r="1214" spans="1:8" ht="20.100000000000001" customHeight="1" x14ac:dyDescent="0.25">
      <c r="A1214" s="2" t="str">
        <f>IF(B1214="","",IFERROR(VLOOKUP(B1214, PLANTA_BASE!A:W, 2, FALSE), "NO ENCONTRADO EN PLANTA"))</f>
        <v/>
      </c>
      <c r="B1214" s="3"/>
      <c r="C1214" s="4" t="str">
        <f>IF(B1214="","",IFERROR(VLOOKUP(B1214, PLANTA_BASE!A:W, 3, FALSE), ""))</f>
        <v/>
      </c>
      <c r="D1214" s="2" t="str">
        <f>IF(B1214="","",IFERROR(VLOOKUP(B1214, PLANTA_BASE!A:W, 5, FALSE), "NO ENCONTRADO EN PLANTA"))</f>
        <v/>
      </c>
      <c r="E1214" s="2" t="str">
        <f>IF(B1214="","",IFERROR(VLOOKUP(B1214, PLANTA_BASE!A:W, 6, FALSE), "NO ENCONTRADO EN PLANTA"))</f>
        <v/>
      </c>
      <c r="F1214" s="4" t="str">
        <f>IF(B1214="","",IFERROR(VLOOKUP(B1214, PLANTA_BASE!A:W, 8, FALSE), "DOCENTE / FACILITADOR"))</f>
        <v/>
      </c>
      <c r="G1214" s="4" t="str">
        <f>IF(B1214="","",IFERROR(VLOOKUP(B1214, PLANTA_BASE!A:W, 9, FALSE), "GENERAL"))</f>
        <v/>
      </c>
      <c r="H1214" s="2" t="str">
        <f>IF(B1214="","",IFERROR(VLOOKUP(B1214, PLANTA_BASE!A:W, 17, FALSE), "GENERAL"))</f>
        <v/>
      </c>
    </row>
    <row r="1215" spans="1:8" ht="20.100000000000001" customHeight="1" x14ac:dyDescent="0.25">
      <c r="A1215" s="5" t="str">
        <f>IF(B1215="","",IFERROR(VLOOKUP(B1215, PLANTA_BASE!A:W, 2, FALSE), "NO ENCONTRADO EN PLANTA"))</f>
        <v/>
      </c>
      <c r="B1215" s="6"/>
      <c r="C1215" s="7" t="str">
        <f>IF(B1215="","",IFERROR(VLOOKUP(B1215, PLANTA_BASE!A:W, 3, FALSE), ""))</f>
        <v/>
      </c>
      <c r="D1215" s="5" t="str">
        <f>IF(B1215="","",IFERROR(VLOOKUP(B1215, PLANTA_BASE!A:W, 5, FALSE), "NO ENCONTRADO EN PLANTA"))</f>
        <v/>
      </c>
      <c r="E1215" s="5" t="str">
        <f>IF(B1215="","",IFERROR(VLOOKUP(B1215, PLANTA_BASE!A:W, 6, FALSE), "NO ENCONTRADO EN PLANTA"))</f>
        <v/>
      </c>
      <c r="F1215" s="7" t="str">
        <f>IF(B1215="","",IFERROR(VLOOKUP(B1215, PLANTA_BASE!A:W, 8, FALSE), "DOCENTE / FACILITADOR"))</f>
        <v/>
      </c>
      <c r="G1215" s="7" t="str">
        <f>IF(B1215="","",IFERROR(VLOOKUP(B1215, PLANTA_BASE!A:W, 9, FALSE), "GENERAL"))</f>
        <v/>
      </c>
      <c r="H1215" s="5" t="str">
        <f>IF(B1215="","",IFERROR(VLOOKUP(B1215, PLANTA_BASE!A:W, 17, FALSE), "GENERAL"))</f>
        <v/>
      </c>
    </row>
    <row r="1216" spans="1:8" ht="20.100000000000001" customHeight="1" x14ac:dyDescent="0.25">
      <c r="A1216" s="2" t="str">
        <f>IF(B1216="","",IFERROR(VLOOKUP(B1216, PLANTA_BASE!A:W, 2, FALSE), "NO ENCONTRADO EN PLANTA"))</f>
        <v/>
      </c>
      <c r="B1216" s="3"/>
      <c r="C1216" s="4" t="str">
        <f>IF(B1216="","",IFERROR(VLOOKUP(B1216, PLANTA_BASE!A:W, 3, FALSE), ""))</f>
        <v/>
      </c>
      <c r="D1216" s="2" t="str">
        <f>IF(B1216="","",IFERROR(VLOOKUP(B1216, PLANTA_BASE!A:W, 5, FALSE), "NO ENCONTRADO EN PLANTA"))</f>
        <v/>
      </c>
      <c r="E1216" s="2" t="str">
        <f>IF(B1216="","",IFERROR(VLOOKUP(B1216, PLANTA_BASE!A:W, 6, FALSE), "NO ENCONTRADO EN PLANTA"))</f>
        <v/>
      </c>
      <c r="F1216" s="4" t="str">
        <f>IF(B1216="","",IFERROR(VLOOKUP(B1216, PLANTA_BASE!A:W, 8, FALSE), "DOCENTE / FACILITADOR"))</f>
        <v/>
      </c>
      <c r="G1216" s="4" t="str">
        <f>IF(B1216="","",IFERROR(VLOOKUP(B1216, PLANTA_BASE!A:W, 9, FALSE), "GENERAL"))</f>
        <v/>
      </c>
      <c r="H1216" s="2" t="str">
        <f>IF(B1216="","",IFERROR(VLOOKUP(B1216, PLANTA_BASE!A:W, 17, FALSE), "GENERAL"))</f>
        <v/>
      </c>
    </row>
    <row r="1217" spans="1:8" ht="20.100000000000001" customHeight="1" x14ac:dyDescent="0.25">
      <c r="A1217" s="5" t="str">
        <f>IF(B1217="","",IFERROR(VLOOKUP(B1217, PLANTA_BASE!A:W, 2, FALSE), "NO ENCONTRADO EN PLANTA"))</f>
        <v/>
      </c>
      <c r="B1217" s="6"/>
      <c r="C1217" s="7" t="str">
        <f>IF(B1217="","",IFERROR(VLOOKUP(B1217, PLANTA_BASE!A:W, 3, FALSE), ""))</f>
        <v/>
      </c>
      <c r="D1217" s="5" t="str">
        <f>IF(B1217="","",IFERROR(VLOOKUP(B1217, PLANTA_BASE!A:W, 5, FALSE), "NO ENCONTRADO EN PLANTA"))</f>
        <v/>
      </c>
      <c r="E1217" s="5" t="str">
        <f>IF(B1217="","",IFERROR(VLOOKUP(B1217, PLANTA_BASE!A:W, 6, FALSE), "NO ENCONTRADO EN PLANTA"))</f>
        <v/>
      </c>
      <c r="F1217" s="7" t="str">
        <f>IF(B1217="","",IFERROR(VLOOKUP(B1217, PLANTA_BASE!A:W, 8, FALSE), "DOCENTE / FACILITADOR"))</f>
        <v/>
      </c>
      <c r="G1217" s="7" t="str">
        <f>IF(B1217="","",IFERROR(VLOOKUP(B1217, PLANTA_BASE!A:W, 9, FALSE), "GENERAL"))</f>
        <v/>
      </c>
      <c r="H1217" s="5" t="str">
        <f>IF(B1217="","",IFERROR(VLOOKUP(B1217, PLANTA_BASE!A:W, 17, FALSE), "GENERAL"))</f>
        <v/>
      </c>
    </row>
    <row r="1218" spans="1:8" ht="20.100000000000001" customHeight="1" x14ac:dyDescent="0.25">
      <c r="A1218" s="2" t="str">
        <f>IF(B1218="","",IFERROR(VLOOKUP(B1218, PLANTA_BASE!A:W, 2, FALSE), "NO ENCONTRADO EN PLANTA"))</f>
        <v/>
      </c>
      <c r="B1218" s="3"/>
      <c r="C1218" s="4" t="str">
        <f>IF(B1218="","",IFERROR(VLOOKUP(B1218, PLANTA_BASE!A:W, 3, FALSE), ""))</f>
        <v/>
      </c>
      <c r="D1218" s="2" t="str">
        <f>IF(B1218="","",IFERROR(VLOOKUP(B1218, PLANTA_BASE!A:W, 5, FALSE), "NO ENCONTRADO EN PLANTA"))</f>
        <v/>
      </c>
      <c r="E1218" s="2" t="str">
        <f>IF(B1218="","",IFERROR(VLOOKUP(B1218, PLANTA_BASE!A:W, 6, FALSE), "NO ENCONTRADO EN PLANTA"))</f>
        <v/>
      </c>
      <c r="F1218" s="4" t="str">
        <f>IF(B1218="","",IFERROR(VLOOKUP(B1218, PLANTA_BASE!A:W, 8, FALSE), "DOCENTE / FACILITADOR"))</f>
        <v/>
      </c>
      <c r="G1218" s="4" t="str">
        <f>IF(B1218="","",IFERROR(VLOOKUP(B1218, PLANTA_BASE!A:W, 9, FALSE), "GENERAL"))</f>
        <v/>
      </c>
      <c r="H1218" s="2" t="str">
        <f>IF(B1218="","",IFERROR(VLOOKUP(B1218, PLANTA_BASE!A:W, 17, FALSE), "GENERAL"))</f>
        <v/>
      </c>
    </row>
    <row r="1219" spans="1:8" ht="20.100000000000001" customHeight="1" x14ac:dyDescent="0.25">
      <c r="A1219" s="5" t="str">
        <f>IF(B1219="","",IFERROR(VLOOKUP(B1219, PLANTA_BASE!A:W, 2, FALSE), "NO ENCONTRADO EN PLANTA"))</f>
        <v/>
      </c>
      <c r="B1219" s="6"/>
      <c r="C1219" s="7" t="str">
        <f>IF(B1219="","",IFERROR(VLOOKUP(B1219, PLANTA_BASE!A:W, 3, FALSE), ""))</f>
        <v/>
      </c>
      <c r="D1219" s="5" t="str">
        <f>IF(B1219="","",IFERROR(VLOOKUP(B1219, PLANTA_BASE!A:W, 5, FALSE), "NO ENCONTRADO EN PLANTA"))</f>
        <v/>
      </c>
      <c r="E1219" s="5" t="str">
        <f>IF(B1219="","",IFERROR(VLOOKUP(B1219, PLANTA_BASE!A:W, 6, FALSE), "NO ENCONTRADO EN PLANTA"))</f>
        <v/>
      </c>
      <c r="F1219" s="7" t="str">
        <f>IF(B1219="","",IFERROR(VLOOKUP(B1219, PLANTA_BASE!A:W, 8, FALSE), "DOCENTE / FACILITADOR"))</f>
        <v/>
      </c>
      <c r="G1219" s="7" t="str">
        <f>IF(B1219="","",IFERROR(VLOOKUP(B1219, PLANTA_BASE!A:W, 9, FALSE), "GENERAL"))</f>
        <v/>
      </c>
      <c r="H1219" s="5" t="str">
        <f>IF(B1219="","",IFERROR(VLOOKUP(B1219, PLANTA_BASE!A:W, 17, FALSE), "GENERAL"))</f>
        <v/>
      </c>
    </row>
    <row r="1220" spans="1:8" ht="20.100000000000001" customHeight="1" x14ac:dyDescent="0.25">
      <c r="A1220" s="2" t="str">
        <f>IF(B1220="","",IFERROR(VLOOKUP(B1220, PLANTA_BASE!A:W, 2, FALSE), "NO ENCONTRADO EN PLANTA"))</f>
        <v/>
      </c>
      <c r="B1220" s="3"/>
      <c r="C1220" s="4" t="str">
        <f>IF(B1220="","",IFERROR(VLOOKUP(B1220, PLANTA_BASE!A:W, 3, FALSE), ""))</f>
        <v/>
      </c>
      <c r="D1220" s="2" t="str">
        <f>IF(B1220="","",IFERROR(VLOOKUP(B1220, PLANTA_BASE!A:W, 5, FALSE), "NO ENCONTRADO EN PLANTA"))</f>
        <v/>
      </c>
      <c r="E1220" s="2" t="str">
        <f>IF(B1220="","",IFERROR(VLOOKUP(B1220, PLANTA_BASE!A:W, 6, FALSE), "NO ENCONTRADO EN PLANTA"))</f>
        <v/>
      </c>
      <c r="F1220" s="4" t="str">
        <f>IF(B1220="","",IFERROR(VLOOKUP(B1220, PLANTA_BASE!A:W, 8, FALSE), "DOCENTE / FACILITADOR"))</f>
        <v/>
      </c>
      <c r="G1220" s="4" t="str">
        <f>IF(B1220="","",IFERROR(VLOOKUP(B1220, PLANTA_BASE!A:W, 9, FALSE), "GENERAL"))</f>
        <v/>
      </c>
      <c r="H1220" s="2" t="str">
        <f>IF(B1220="","",IFERROR(VLOOKUP(B1220, PLANTA_BASE!A:W, 17, FALSE), "GENERAL"))</f>
        <v/>
      </c>
    </row>
    <row r="1221" spans="1:8" ht="20.100000000000001" customHeight="1" x14ac:dyDescent="0.25">
      <c r="A1221" s="5" t="str">
        <f>IF(B1221="","",IFERROR(VLOOKUP(B1221, PLANTA_BASE!A:W, 2, FALSE), "NO ENCONTRADO EN PLANTA"))</f>
        <v/>
      </c>
      <c r="B1221" s="6"/>
      <c r="C1221" s="7" t="str">
        <f>IF(B1221="","",IFERROR(VLOOKUP(B1221, PLANTA_BASE!A:W, 3, FALSE), ""))</f>
        <v/>
      </c>
      <c r="D1221" s="5" t="str">
        <f>IF(B1221="","",IFERROR(VLOOKUP(B1221, PLANTA_BASE!A:W, 5, FALSE), "NO ENCONTRADO EN PLANTA"))</f>
        <v/>
      </c>
      <c r="E1221" s="5" t="str">
        <f>IF(B1221="","",IFERROR(VLOOKUP(B1221, PLANTA_BASE!A:W, 6, FALSE), "NO ENCONTRADO EN PLANTA"))</f>
        <v/>
      </c>
      <c r="F1221" s="7" t="str">
        <f>IF(B1221="","",IFERROR(VLOOKUP(B1221, PLANTA_BASE!A:W, 8, FALSE), "DOCENTE / FACILITADOR"))</f>
        <v/>
      </c>
      <c r="G1221" s="7" t="str">
        <f>IF(B1221="","",IFERROR(VLOOKUP(B1221, PLANTA_BASE!A:W, 9, FALSE), "GENERAL"))</f>
        <v/>
      </c>
      <c r="H1221" s="5" t="str">
        <f>IF(B1221="","",IFERROR(VLOOKUP(B1221, PLANTA_BASE!A:W, 17, FALSE), "GENERAL"))</f>
        <v/>
      </c>
    </row>
    <row r="1222" spans="1:8" ht="20.100000000000001" customHeight="1" x14ac:dyDescent="0.25">
      <c r="A1222" s="2" t="str">
        <f>IF(B1222="","",IFERROR(VLOOKUP(B1222, PLANTA_BASE!A:W, 2, FALSE), "NO ENCONTRADO EN PLANTA"))</f>
        <v/>
      </c>
      <c r="B1222" s="3"/>
      <c r="C1222" s="4" t="str">
        <f>IF(B1222="","",IFERROR(VLOOKUP(B1222, PLANTA_BASE!A:W, 3, FALSE), ""))</f>
        <v/>
      </c>
      <c r="D1222" s="2" t="str">
        <f>IF(B1222="","",IFERROR(VLOOKUP(B1222, PLANTA_BASE!A:W, 5, FALSE), "NO ENCONTRADO EN PLANTA"))</f>
        <v/>
      </c>
      <c r="E1222" s="2" t="str">
        <f>IF(B1222="","",IFERROR(VLOOKUP(B1222, PLANTA_BASE!A:W, 6, FALSE), "NO ENCONTRADO EN PLANTA"))</f>
        <v/>
      </c>
      <c r="F1222" s="4" t="str">
        <f>IF(B1222="","",IFERROR(VLOOKUP(B1222, PLANTA_BASE!A:W, 8, FALSE), "DOCENTE / FACILITADOR"))</f>
        <v/>
      </c>
      <c r="G1222" s="4" t="str">
        <f>IF(B1222="","",IFERROR(VLOOKUP(B1222, PLANTA_BASE!A:W, 9, FALSE), "GENERAL"))</f>
        <v/>
      </c>
      <c r="H1222" s="2" t="str">
        <f>IF(B1222="","",IFERROR(VLOOKUP(B1222, PLANTA_BASE!A:W, 17, FALSE), "GENERAL"))</f>
        <v/>
      </c>
    </row>
    <row r="1223" spans="1:8" ht="20.100000000000001" customHeight="1" x14ac:dyDescent="0.25">
      <c r="A1223" s="5" t="str">
        <f>IF(B1223="","",IFERROR(VLOOKUP(B1223, PLANTA_BASE!A:W, 2, FALSE), "NO ENCONTRADO EN PLANTA"))</f>
        <v/>
      </c>
      <c r="B1223" s="6"/>
      <c r="C1223" s="7" t="str">
        <f>IF(B1223="","",IFERROR(VLOOKUP(B1223, PLANTA_BASE!A:W, 3, FALSE), ""))</f>
        <v/>
      </c>
      <c r="D1223" s="5" t="str">
        <f>IF(B1223="","",IFERROR(VLOOKUP(B1223, PLANTA_BASE!A:W, 5, FALSE), "NO ENCONTRADO EN PLANTA"))</f>
        <v/>
      </c>
      <c r="E1223" s="5" t="str">
        <f>IF(B1223="","",IFERROR(VLOOKUP(B1223, PLANTA_BASE!A:W, 6, FALSE), "NO ENCONTRADO EN PLANTA"))</f>
        <v/>
      </c>
      <c r="F1223" s="7" t="str">
        <f>IF(B1223="","",IFERROR(VLOOKUP(B1223, PLANTA_BASE!A:W, 8, FALSE), "DOCENTE / FACILITADOR"))</f>
        <v/>
      </c>
      <c r="G1223" s="7" t="str">
        <f>IF(B1223="","",IFERROR(VLOOKUP(B1223, PLANTA_BASE!A:W, 9, FALSE), "GENERAL"))</f>
        <v/>
      </c>
      <c r="H1223" s="5" t="str">
        <f>IF(B1223="","",IFERROR(VLOOKUP(B1223, PLANTA_BASE!A:W, 17, FALSE), "GENERAL"))</f>
        <v/>
      </c>
    </row>
    <row r="1224" spans="1:8" ht="20.100000000000001" customHeight="1" x14ac:dyDescent="0.25">
      <c r="A1224" s="2" t="str">
        <f>IF(B1224="","",IFERROR(VLOOKUP(B1224, PLANTA_BASE!A:W, 2, FALSE), "NO ENCONTRADO EN PLANTA"))</f>
        <v/>
      </c>
      <c r="B1224" s="3"/>
      <c r="C1224" s="4" t="str">
        <f>IF(B1224="","",IFERROR(VLOOKUP(B1224, PLANTA_BASE!A:W, 3, FALSE), ""))</f>
        <v/>
      </c>
      <c r="D1224" s="2" t="str">
        <f>IF(B1224="","",IFERROR(VLOOKUP(B1224, PLANTA_BASE!A:W, 5, FALSE), "NO ENCONTRADO EN PLANTA"))</f>
        <v/>
      </c>
      <c r="E1224" s="2" t="str">
        <f>IF(B1224="","",IFERROR(VLOOKUP(B1224, PLANTA_BASE!A:W, 6, FALSE), "NO ENCONTRADO EN PLANTA"))</f>
        <v/>
      </c>
      <c r="F1224" s="4" t="str">
        <f>IF(B1224="","",IFERROR(VLOOKUP(B1224, PLANTA_BASE!A:W, 8, FALSE), "DOCENTE / FACILITADOR"))</f>
        <v/>
      </c>
      <c r="G1224" s="4" t="str">
        <f>IF(B1224="","",IFERROR(VLOOKUP(B1224, PLANTA_BASE!A:W, 9, FALSE), "GENERAL"))</f>
        <v/>
      </c>
      <c r="H1224" s="2" t="str">
        <f>IF(B1224="","",IFERROR(VLOOKUP(B1224, PLANTA_BASE!A:W, 17, FALSE), "GENERAL"))</f>
        <v/>
      </c>
    </row>
    <row r="1225" spans="1:8" ht="20.100000000000001" customHeight="1" x14ac:dyDescent="0.25">
      <c r="A1225" s="5" t="str">
        <f>IF(B1225="","",IFERROR(VLOOKUP(B1225, PLANTA_BASE!A:W, 2, FALSE), "NO ENCONTRADO EN PLANTA"))</f>
        <v/>
      </c>
      <c r="B1225" s="6"/>
      <c r="C1225" s="7" t="str">
        <f>IF(B1225="","",IFERROR(VLOOKUP(B1225, PLANTA_BASE!A:W, 3, FALSE), ""))</f>
        <v/>
      </c>
      <c r="D1225" s="5" t="str">
        <f>IF(B1225="","",IFERROR(VLOOKUP(B1225, PLANTA_BASE!A:W, 5, FALSE), "NO ENCONTRADO EN PLANTA"))</f>
        <v/>
      </c>
      <c r="E1225" s="5" t="str">
        <f>IF(B1225="","",IFERROR(VLOOKUP(B1225, PLANTA_BASE!A:W, 6, FALSE), "NO ENCONTRADO EN PLANTA"))</f>
        <v/>
      </c>
      <c r="F1225" s="7" t="str">
        <f>IF(B1225="","",IFERROR(VLOOKUP(B1225, PLANTA_BASE!A:W, 8, FALSE), "DOCENTE / FACILITADOR"))</f>
        <v/>
      </c>
      <c r="G1225" s="7" t="str">
        <f>IF(B1225="","",IFERROR(VLOOKUP(B1225, PLANTA_BASE!A:W, 9, FALSE), "GENERAL"))</f>
        <v/>
      </c>
      <c r="H1225" s="5" t="str">
        <f>IF(B1225="","",IFERROR(VLOOKUP(B1225, PLANTA_BASE!A:W, 17, FALSE), "GENERAL"))</f>
        <v/>
      </c>
    </row>
    <row r="1226" spans="1:8" ht="20.100000000000001" customHeight="1" x14ac:dyDescent="0.25">
      <c r="A1226" s="2" t="str">
        <f>IF(B1226="","",IFERROR(VLOOKUP(B1226, PLANTA_BASE!A:W, 2, FALSE), "NO ENCONTRADO EN PLANTA"))</f>
        <v/>
      </c>
      <c r="B1226" s="3"/>
      <c r="C1226" s="4" t="str">
        <f>IF(B1226="","",IFERROR(VLOOKUP(B1226, PLANTA_BASE!A:W, 3, FALSE), ""))</f>
        <v/>
      </c>
      <c r="D1226" s="2" t="str">
        <f>IF(B1226="","",IFERROR(VLOOKUP(B1226, PLANTA_BASE!A:W, 5, FALSE), "NO ENCONTRADO EN PLANTA"))</f>
        <v/>
      </c>
      <c r="E1226" s="2" t="str">
        <f>IF(B1226="","",IFERROR(VLOOKUP(B1226, PLANTA_BASE!A:W, 6, FALSE), "NO ENCONTRADO EN PLANTA"))</f>
        <v/>
      </c>
      <c r="F1226" s="4" t="str">
        <f>IF(B1226="","",IFERROR(VLOOKUP(B1226, PLANTA_BASE!A:W, 8, FALSE), "DOCENTE / FACILITADOR"))</f>
        <v/>
      </c>
      <c r="G1226" s="4" t="str">
        <f>IF(B1226="","",IFERROR(VLOOKUP(B1226, PLANTA_BASE!A:W, 9, FALSE), "GENERAL"))</f>
        <v/>
      </c>
      <c r="H1226" s="2" t="str">
        <f>IF(B1226="","",IFERROR(VLOOKUP(B1226, PLANTA_BASE!A:W, 17, FALSE), "GENERAL"))</f>
        <v/>
      </c>
    </row>
    <row r="1227" spans="1:8" ht="20.100000000000001" customHeight="1" x14ac:dyDescent="0.25">
      <c r="A1227" s="5" t="str">
        <f>IF(B1227="","",IFERROR(VLOOKUP(B1227, PLANTA_BASE!A:W, 2, FALSE), "NO ENCONTRADO EN PLANTA"))</f>
        <v/>
      </c>
      <c r="B1227" s="6"/>
      <c r="C1227" s="7" t="str">
        <f>IF(B1227="","",IFERROR(VLOOKUP(B1227, PLANTA_BASE!A:W, 3, FALSE), ""))</f>
        <v/>
      </c>
      <c r="D1227" s="5" t="str">
        <f>IF(B1227="","",IFERROR(VLOOKUP(B1227, PLANTA_BASE!A:W, 5, FALSE), "NO ENCONTRADO EN PLANTA"))</f>
        <v/>
      </c>
      <c r="E1227" s="5" t="str">
        <f>IF(B1227="","",IFERROR(VLOOKUP(B1227, PLANTA_BASE!A:W, 6, FALSE), "NO ENCONTRADO EN PLANTA"))</f>
        <v/>
      </c>
      <c r="F1227" s="7" t="str">
        <f>IF(B1227="","",IFERROR(VLOOKUP(B1227, PLANTA_BASE!A:W, 8, FALSE), "DOCENTE / FACILITADOR"))</f>
        <v/>
      </c>
      <c r="G1227" s="7" t="str">
        <f>IF(B1227="","",IFERROR(VLOOKUP(B1227, PLANTA_BASE!A:W, 9, FALSE), "GENERAL"))</f>
        <v/>
      </c>
      <c r="H1227" s="5" t="str">
        <f>IF(B1227="","",IFERROR(VLOOKUP(B1227, PLANTA_BASE!A:W, 17, FALSE), "GENERAL"))</f>
        <v/>
      </c>
    </row>
    <row r="1228" spans="1:8" ht="20.100000000000001" customHeight="1" x14ac:dyDescent="0.25">
      <c r="A1228" s="2" t="str">
        <f>IF(B1228="","",IFERROR(VLOOKUP(B1228, PLANTA_BASE!A:W, 2, FALSE), "NO ENCONTRADO EN PLANTA"))</f>
        <v/>
      </c>
      <c r="B1228" s="3"/>
      <c r="C1228" s="4" t="str">
        <f>IF(B1228="","",IFERROR(VLOOKUP(B1228, PLANTA_BASE!A:W, 3, FALSE), ""))</f>
        <v/>
      </c>
      <c r="D1228" s="2" t="str">
        <f>IF(B1228="","",IFERROR(VLOOKUP(B1228, PLANTA_BASE!A:W, 5, FALSE), "NO ENCONTRADO EN PLANTA"))</f>
        <v/>
      </c>
      <c r="E1228" s="2" t="str">
        <f>IF(B1228="","",IFERROR(VLOOKUP(B1228, PLANTA_BASE!A:W, 6, FALSE), "NO ENCONTRADO EN PLANTA"))</f>
        <v/>
      </c>
      <c r="F1228" s="4" t="str">
        <f>IF(B1228="","",IFERROR(VLOOKUP(B1228, PLANTA_BASE!A:W, 8, FALSE), "DOCENTE / FACILITADOR"))</f>
        <v/>
      </c>
      <c r="G1228" s="4" t="str">
        <f>IF(B1228="","",IFERROR(VLOOKUP(B1228, PLANTA_BASE!A:W, 9, FALSE), "GENERAL"))</f>
        <v/>
      </c>
      <c r="H1228" s="2" t="str">
        <f>IF(B1228="","",IFERROR(VLOOKUP(B1228, PLANTA_BASE!A:W, 17, FALSE), "GENERAL"))</f>
        <v/>
      </c>
    </row>
    <row r="1229" spans="1:8" ht="20.100000000000001" customHeight="1" x14ac:dyDescent="0.25">
      <c r="A1229" s="5" t="str">
        <f>IF(B1229="","",IFERROR(VLOOKUP(B1229, PLANTA_BASE!A:W, 2, FALSE), "NO ENCONTRADO EN PLANTA"))</f>
        <v/>
      </c>
      <c r="B1229" s="6"/>
      <c r="C1229" s="7" t="str">
        <f>IF(B1229="","",IFERROR(VLOOKUP(B1229, PLANTA_BASE!A:W, 3, FALSE), ""))</f>
        <v/>
      </c>
      <c r="D1229" s="5" t="str">
        <f>IF(B1229="","",IFERROR(VLOOKUP(B1229, PLANTA_BASE!A:W, 5, FALSE), "NO ENCONTRADO EN PLANTA"))</f>
        <v/>
      </c>
      <c r="E1229" s="5" t="str">
        <f>IF(B1229="","",IFERROR(VLOOKUP(B1229, PLANTA_BASE!A:W, 6, FALSE), "NO ENCONTRADO EN PLANTA"))</f>
        <v/>
      </c>
      <c r="F1229" s="7" t="str">
        <f>IF(B1229="","",IFERROR(VLOOKUP(B1229, PLANTA_BASE!A:W, 8, FALSE), "DOCENTE / FACILITADOR"))</f>
        <v/>
      </c>
      <c r="G1229" s="7" t="str">
        <f>IF(B1229="","",IFERROR(VLOOKUP(B1229, PLANTA_BASE!A:W, 9, FALSE), "GENERAL"))</f>
        <v/>
      </c>
      <c r="H1229" s="5" t="str">
        <f>IF(B1229="","",IFERROR(VLOOKUP(B1229, PLANTA_BASE!A:W, 17, FALSE), "GENERAL"))</f>
        <v/>
      </c>
    </row>
    <row r="1230" spans="1:8" ht="20.100000000000001" customHeight="1" x14ac:dyDescent="0.25">
      <c r="A1230" s="2" t="str">
        <f>IF(B1230="","",IFERROR(VLOOKUP(B1230, PLANTA_BASE!A:W, 2, FALSE), "NO ENCONTRADO EN PLANTA"))</f>
        <v/>
      </c>
      <c r="B1230" s="3"/>
      <c r="C1230" s="4" t="str">
        <f>IF(B1230="","",IFERROR(VLOOKUP(B1230, PLANTA_BASE!A:W, 3, FALSE), ""))</f>
        <v/>
      </c>
      <c r="D1230" s="2" t="str">
        <f>IF(B1230="","",IFERROR(VLOOKUP(B1230, PLANTA_BASE!A:W, 5, FALSE), "NO ENCONTRADO EN PLANTA"))</f>
        <v/>
      </c>
      <c r="E1230" s="2" t="str">
        <f>IF(B1230="","",IFERROR(VLOOKUP(B1230, PLANTA_BASE!A:W, 6, FALSE), "NO ENCONTRADO EN PLANTA"))</f>
        <v/>
      </c>
      <c r="F1230" s="4" t="str">
        <f>IF(B1230="","",IFERROR(VLOOKUP(B1230, PLANTA_BASE!A:W, 8, FALSE), "DOCENTE / FACILITADOR"))</f>
        <v/>
      </c>
      <c r="G1230" s="4" t="str">
        <f>IF(B1230="","",IFERROR(VLOOKUP(B1230, PLANTA_BASE!A:W, 9, FALSE), "GENERAL"))</f>
        <v/>
      </c>
      <c r="H1230" s="2" t="str">
        <f>IF(B1230="","",IFERROR(VLOOKUP(B1230, PLANTA_BASE!A:W, 17, FALSE), "GENERAL"))</f>
        <v/>
      </c>
    </row>
    <row r="1231" spans="1:8" ht="20.100000000000001" customHeight="1" x14ac:dyDescent="0.25">
      <c r="A1231" s="5" t="str">
        <f>IF(B1231="","",IFERROR(VLOOKUP(B1231, PLANTA_BASE!A:W, 2, FALSE), "NO ENCONTRADO EN PLANTA"))</f>
        <v/>
      </c>
      <c r="B1231" s="6"/>
      <c r="C1231" s="7" t="str">
        <f>IF(B1231="","",IFERROR(VLOOKUP(B1231, PLANTA_BASE!A:W, 3, FALSE), ""))</f>
        <v/>
      </c>
      <c r="D1231" s="5" t="str">
        <f>IF(B1231="","",IFERROR(VLOOKUP(B1231, PLANTA_BASE!A:W, 5, FALSE), "NO ENCONTRADO EN PLANTA"))</f>
        <v/>
      </c>
      <c r="E1231" s="5" t="str">
        <f>IF(B1231="","",IFERROR(VLOOKUP(B1231, PLANTA_BASE!A:W, 6, FALSE), "NO ENCONTRADO EN PLANTA"))</f>
        <v/>
      </c>
      <c r="F1231" s="7" t="str">
        <f>IF(B1231="","",IFERROR(VLOOKUP(B1231, PLANTA_BASE!A:W, 8, FALSE), "DOCENTE / FACILITADOR"))</f>
        <v/>
      </c>
      <c r="G1231" s="7" t="str">
        <f>IF(B1231="","",IFERROR(VLOOKUP(B1231, PLANTA_BASE!A:W, 9, FALSE), "GENERAL"))</f>
        <v/>
      </c>
      <c r="H1231" s="5" t="str">
        <f>IF(B1231="","",IFERROR(VLOOKUP(B1231, PLANTA_BASE!A:W, 17, FALSE), "GENERAL"))</f>
        <v/>
      </c>
    </row>
    <row r="1232" spans="1:8" ht="20.100000000000001" customHeight="1" x14ac:dyDescent="0.25">
      <c r="A1232" s="2" t="str">
        <f>IF(B1232="","",IFERROR(VLOOKUP(B1232, PLANTA_BASE!A:W, 2, FALSE), "NO ENCONTRADO EN PLANTA"))</f>
        <v/>
      </c>
      <c r="B1232" s="3"/>
      <c r="C1232" s="4" t="str">
        <f>IF(B1232="","",IFERROR(VLOOKUP(B1232, PLANTA_BASE!A:W, 3, FALSE), ""))</f>
        <v/>
      </c>
      <c r="D1232" s="2" t="str">
        <f>IF(B1232="","",IFERROR(VLOOKUP(B1232, PLANTA_BASE!A:W, 5, FALSE), "NO ENCONTRADO EN PLANTA"))</f>
        <v/>
      </c>
      <c r="E1232" s="2" t="str">
        <f>IF(B1232="","",IFERROR(VLOOKUP(B1232, PLANTA_BASE!A:W, 6, FALSE), "NO ENCONTRADO EN PLANTA"))</f>
        <v/>
      </c>
      <c r="F1232" s="4" t="str">
        <f>IF(B1232="","",IFERROR(VLOOKUP(B1232, PLANTA_BASE!A:W, 8, FALSE), "DOCENTE / FACILITADOR"))</f>
        <v/>
      </c>
      <c r="G1232" s="4" t="str">
        <f>IF(B1232="","",IFERROR(VLOOKUP(B1232, PLANTA_BASE!A:W, 9, FALSE), "GENERAL"))</f>
        <v/>
      </c>
      <c r="H1232" s="2" t="str">
        <f>IF(B1232="","",IFERROR(VLOOKUP(B1232, PLANTA_BASE!A:W, 17, FALSE), "GENERAL"))</f>
        <v/>
      </c>
    </row>
    <row r="1233" spans="1:8" ht="20.100000000000001" customHeight="1" x14ac:dyDescent="0.25">
      <c r="A1233" s="5" t="str">
        <f>IF(B1233="","",IFERROR(VLOOKUP(B1233, PLANTA_BASE!A:W, 2, FALSE), "NO ENCONTRADO EN PLANTA"))</f>
        <v/>
      </c>
      <c r="B1233" s="6"/>
      <c r="C1233" s="7" t="str">
        <f>IF(B1233="","",IFERROR(VLOOKUP(B1233, PLANTA_BASE!A:W, 3, FALSE), ""))</f>
        <v/>
      </c>
      <c r="D1233" s="5" t="str">
        <f>IF(B1233="","",IFERROR(VLOOKUP(B1233, PLANTA_BASE!A:W, 5, FALSE), "NO ENCONTRADO EN PLANTA"))</f>
        <v/>
      </c>
      <c r="E1233" s="5" t="str">
        <f>IF(B1233="","",IFERROR(VLOOKUP(B1233, PLANTA_BASE!A:W, 6, FALSE), "NO ENCONTRADO EN PLANTA"))</f>
        <v/>
      </c>
      <c r="F1233" s="7" t="str">
        <f>IF(B1233="","",IFERROR(VLOOKUP(B1233, PLANTA_BASE!A:W, 8, FALSE), "DOCENTE / FACILITADOR"))</f>
        <v/>
      </c>
      <c r="G1233" s="7" t="str">
        <f>IF(B1233="","",IFERROR(VLOOKUP(B1233, PLANTA_BASE!A:W, 9, FALSE), "GENERAL"))</f>
        <v/>
      </c>
      <c r="H1233" s="5" t="str">
        <f>IF(B1233="","",IFERROR(VLOOKUP(B1233, PLANTA_BASE!A:W, 17, FALSE), "GENERAL"))</f>
        <v/>
      </c>
    </row>
    <row r="1234" spans="1:8" ht="20.100000000000001" customHeight="1" x14ac:dyDescent="0.25">
      <c r="A1234" s="2" t="str">
        <f>IF(B1234="","",IFERROR(VLOOKUP(B1234, PLANTA_BASE!A:W, 2, FALSE), "NO ENCONTRADO EN PLANTA"))</f>
        <v/>
      </c>
      <c r="B1234" s="3"/>
      <c r="C1234" s="4" t="str">
        <f>IF(B1234="","",IFERROR(VLOOKUP(B1234, PLANTA_BASE!A:W, 3, FALSE), ""))</f>
        <v/>
      </c>
      <c r="D1234" s="2" t="str">
        <f>IF(B1234="","",IFERROR(VLOOKUP(B1234, PLANTA_BASE!A:W, 5, FALSE), "NO ENCONTRADO EN PLANTA"))</f>
        <v/>
      </c>
      <c r="E1234" s="2" t="str">
        <f>IF(B1234="","",IFERROR(VLOOKUP(B1234, PLANTA_BASE!A:W, 6, FALSE), "NO ENCONTRADO EN PLANTA"))</f>
        <v/>
      </c>
      <c r="F1234" s="4" t="str">
        <f>IF(B1234="","",IFERROR(VLOOKUP(B1234, PLANTA_BASE!A:W, 8, FALSE), "DOCENTE / FACILITADOR"))</f>
        <v/>
      </c>
      <c r="G1234" s="4" t="str">
        <f>IF(B1234="","",IFERROR(VLOOKUP(B1234, PLANTA_BASE!A:W, 9, FALSE), "GENERAL"))</f>
        <v/>
      </c>
      <c r="H1234" s="2" t="str">
        <f>IF(B1234="","",IFERROR(VLOOKUP(B1234, PLANTA_BASE!A:W, 17, FALSE), "GENERAL"))</f>
        <v/>
      </c>
    </row>
    <row r="1235" spans="1:8" ht="20.100000000000001" customHeight="1" x14ac:dyDescent="0.25">
      <c r="A1235" s="5" t="str">
        <f>IF(B1235="","",IFERROR(VLOOKUP(B1235, PLANTA_BASE!A:W, 2, FALSE), "NO ENCONTRADO EN PLANTA"))</f>
        <v/>
      </c>
      <c r="B1235" s="6"/>
      <c r="C1235" s="7" t="str">
        <f>IF(B1235="","",IFERROR(VLOOKUP(B1235, PLANTA_BASE!A:W, 3, FALSE), ""))</f>
        <v/>
      </c>
      <c r="D1235" s="5" t="str">
        <f>IF(B1235="","",IFERROR(VLOOKUP(B1235, PLANTA_BASE!A:W, 5, FALSE), "NO ENCONTRADO EN PLANTA"))</f>
        <v/>
      </c>
      <c r="E1235" s="5" t="str">
        <f>IF(B1235="","",IFERROR(VLOOKUP(B1235, PLANTA_BASE!A:W, 6, FALSE), "NO ENCONTRADO EN PLANTA"))</f>
        <v/>
      </c>
      <c r="F1235" s="7" t="str">
        <f>IF(B1235="","",IFERROR(VLOOKUP(B1235, PLANTA_BASE!A:W, 8, FALSE), "DOCENTE / FACILITADOR"))</f>
        <v/>
      </c>
      <c r="G1235" s="7" t="str">
        <f>IF(B1235="","",IFERROR(VLOOKUP(B1235, PLANTA_BASE!A:W, 9, FALSE), "GENERAL"))</f>
        <v/>
      </c>
      <c r="H1235" s="5" t="str">
        <f>IF(B1235="","",IFERROR(VLOOKUP(B1235, PLANTA_BASE!A:W, 17, FALSE), "GENERAL"))</f>
        <v/>
      </c>
    </row>
    <row r="1236" spans="1:8" ht="20.100000000000001" customHeight="1" x14ac:dyDescent="0.25">
      <c r="A1236" s="2" t="str">
        <f>IF(B1236="","",IFERROR(VLOOKUP(B1236, PLANTA_BASE!A:W, 2, FALSE), "NO ENCONTRADO EN PLANTA"))</f>
        <v/>
      </c>
      <c r="B1236" s="3"/>
      <c r="C1236" s="4" t="str">
        <f>IF(B1236="","",IFERROR(VLOOKUP(B1236, PLANTA_BASE!A:W, 3, FALSE), ""))</f>
        <v/>
      </c>
      <c r="D1236" s="2" t="str">
        <f>IF(B1236="","",IFERROR(VLOOKUP(B1236, PLANTA_BASE!A:W, 5, FALSE), "NO ENCONTRADO EN PLANTA"))</f>
        <v/>
      </c>
      <c r="E1236" s="2" t="str">
        <f>IF(B1236="","",IFERROR(VLOOKUP(B1236, PLANTA_BASE!A:W, 6, FALSE), "NO ENCONTRADO EN PLANTA"))</f>
        <v/>
      </c>
      <c r="F1236" s="4" t="str">
        <f>IF(B1236="","",IFERROR(VLOOKUP(B1236, PLANTA_BASE!A:W, 8, FALSE), "DOCENTE / FACILITADOR"))</f>
        <v/>
      </c>
      <c r="G1236" s="4" t="str">
        <f>IF(B1236="","",IFERROR(VLOOKUP(B1236, PLANTA_BASE!A:W, 9, FALSE), "GENERAL"))</f>
        <v/>
      </c>
      <c r="H1236" s="2" t="str">
        <f>IF(B1236="","",IFERROR(VLOOKUP(B1236, PLANTA_BASE!A:W, 17, FALSE), "GENERAL"))</f>
        <v/>
      </c>
    </row>
    <row r="1237" spans="1:8" ht="20.100000000000001" customHeight="1" x14ac:dyDescent="0.25">
      <c r="A1237" s="5" t="str">
        <f>IF(B1237="","",IFERROR(VLOOKUP(B1237, PLANTA_BASE!A:W, 2, FALSE), "NO ENCONTRADO EN PLANTA"))</f>
        <v/>
      </c>
      <c r="B1237" s="6"/>
      <c r="C1237" s="7" t="str">
        <f>IF(B1237="","",IFERROR(VLOOKUP(B1237, PLANTA_BASE!A:W, 3, FALSE), ""))</f>
        <v/>
      </c>
      <c r="D1237" s="5" t="str">
        <f>IF(B1237="","",IFERROR(VLOOKUP(B1237, PLANTA_BASE!A:W, 5, FALSE), "NO ENCONTRADO EN PLANTA"))</f>
        <v/>
      </c>
      <c r="E1237" s="5" t="str">
        <f>IF(B1237="","",IFERROR(VLOOKUP(B1237, PLANTA_BASE!A:W, 6, FALSE), "NO ENCONTRADO EN PLANTA"))</f>
        <v/>
      </c>
      <c r="F1237" s="7" t="str">
        <f>IF(B1237="","",IFERROR(VLOOKUP(B1237, PLANTA_BASE!A:W, 8, FALSE), "DOCENTE / FACILITADOR"))</f>
        <v/>
      </c>
      <c r="G1237" s="7" t="str">
        <f>IF(B1237="","",IFERROR(VLOOKUP(B1237, PLANTA_BASE!A:W, 9, FALSE), "GENERAL"))</f>
        <v/>
      </c>
      <c r="H1237" s="5" t="str">
        <f>IF(B1237="","",IFERROR(VLOOKUP(B1237, PLANTA_BASE!A:W, 17, FALSE), "GENERAL"))</f>
        <v/>
      </c>
    </row>
    <row r="1238" spans="1:8" ht="20.100000000000001" customHeight="1" x14ac:dyDescent="0.25">
      <c r="A1238" s="2" t="str">
        <f>IF(B1238="","",IFERROR(VLOOKUP(B1238, PLANTA_BASE!A:W, 2, FALSE), "NO ENCONTRADO EN PLANTA"))</f>
        <v/>
      </c>
      <c r="B1238" s="3"/>
      <c r="C1238" s="4" t="str">
        <f>IF(B1238="","",IFERROR(VLOOKUP(B1238, PLANTA_BASE!A:W, 3, FALSE), ""))</f>
        <v/>
      </c>
      <c r="D1238" s="2" t="str">
        <f>IF(B1238="","",IFERROR(VLOOKUP(B1238, PLANTA_BASE!A:W, 5, FALSE), "NO ENCONTRADO EN PLANTA"))</f>
        <v/>
      </c>
      <c r="E1238" s="2" t="str">
        <f>IF(B1238="","",IFERROR(VLOOKUP(B1238, PLANTA_BASE!A:W, 6, FALSE), "NO ENCONTRADO EN PLANTA"))</f>
        <v/>
      </c>
      <c r="F1238" s="4" t="str">
        <f>IF(B1238="","",IFERROR(VLOOKUP(B1238, PLANTA_BASE!A:W, 8, FALSE), "DOCENTE / FACILITADOR"))</f>
        <v/>
      </c>
      <c r="G1238" s="4" t="str">
        <f>IF(B1238="","",IFERROR(VLOOKUP(B1238, PLANTA_BASE!A:W, 9, FALSE), "GENERAL"))</f>
        <v/>
      </c>
      <c r="H1238" s="2" t="str">
        <f>IF(B1238="","",IFERROR(VLOOKUP(B1238, PLANTA_BASE!A:W, 17, FALSE), "GENERAL"))</f>
        <v/>
      </c>
    </row>
    <row r="1239" spans="1:8" ht="20.100000000000001" customHeight="1" x14ac:dyDescent="0.25">
      <c r="A1239" s="5" t="str">
        <f>IF(B1239="","",IFERROR(VLOOKUP(B1239, PLANTA_BASE!A:W, 2, FALSE), "NO ENCONTRADO EN PLANTA"))</f>
        <v/>
      </c>
      <c r="B1239" s="6"/>
      <c r="C1239" s="7" t="str">
        <f>IF(B1239="","",IFERROR(VLOOKUP(B1239, PLANTA_BASE!A:W, 3, FALSE), ""))</f>
        <v/>
      </c>
      <c r="D1239" s="5" t="str">
        <f>IF(B1239="","",IFERROR(VLOOKUP(B1239, PLANTA_BASE!A:W, 5, FALSE), "NO ENCONTRADO EN PLANTA"))</f>
        <v/>
      </c>
      <c r="E1239" s="5" t="str">
        <f>IF(B1239="","",IFERROR(VLOOKUP(B1239, PLANTA_BASE!A:W, 6, FALSE), "NO ENCONTRADO EN PLANTA"))</f>
        <v/>
      </c>
      <c r="F1239" s="7" t="str">
        <f>IF(B1239="","",IFERROR(VLOOKUP(B1239, PLANTA_BASE!A:W, 8, FALSE), "DOCENTE / FACILITADOR"))</f>
        <v/>
      </c>
      <c r="G1239" s="7" t="str">
        <f>IF(B1239="","",IFERROR(VLOOKUP(B1239, PLANTA_BASE!A:W, 9, FALSE), "GENERAL"))</f>
        <v/>
      </c>
      <c r="H1239" s="5" t="str">
        <f>IF(B1239="","",IFERROR(VLOOKUP(B1239, PLANTA_BASE!A:W, 17, FALSE), "GENERAL"))</f>
        <v/>
      </c>
    </row>
    <row r="1240" spans="1:8" ht="20.100000000000001" customHeight="1" x14ac:dyDescent="0.25">
      <c r="A1240" s="2" t="str">
        <f>IF(B1240="","",IFERROR(VLOOKUP(B1240, PLANTA_BASE!A:W, 2, FALSE), "NO ENCONTRADO EN PLANTA"))</f>
        <v/>
      </c>
      <c r="B1240" s="3"/>
      <c r="C1240" s="4" t="str">
        <f>IF(B1240="","",IFERROR(VLOOKUP(B1240, PLANTA_BASE!A:W, 3, FALSE), ""))</f>
        <v/>
      </c>
      <c r="D1240" s="2" t="str">
        <f>IF(B1240="","",IFERROR(VLOOKUP(B1240, PLANTA_BASE!A:W, 5, FALSE), "NO ENCONTRADO EN PLANTA"))</f>
        <v/>
      </c>
      <c r="E1240" s="2" t="str">
        <f>IF(B1240="","",IFERROR(VLOOKUP(B1240, PLANTA_BASE!A:W, 6, FALSE), "NO ENCONTRADO EN PLANTA"))</f>
        <v/>
      </c>
      <c r="F1240" s="4" t="str">
        <f>IF(B1240="","",IFERROR(VLOOKUP(B1240, PLANTA_BASE!A:W, 8, FALSE), "DOCENTE / FACILITADOR"))</f>
        <v/>
      </c>
      <c r="G1240" s="4" t="str">
        <f>IF(B1240="","",IFERROR(VLOOKUP(B1240, PLANTA_BASE!A:W, 9, FALSE), "GENERAL"))</f>
        <v/>
      </c>
      <c r="H1240" s="2" t="str">
        <f>IF(B1240="","",IFERROR(VLOOKUP(B1240, PLANTA_BASE!A:W, 17, FALSE), "GENERAL"))</f>
        <v/>
      </c>
    </row>
    <row r="1241" spans="1:8" ht="20.100000000000001" customHeight="1" x14ac:dyDescent="0.25">
      <c r="A1241" s="5" t="str">
        <f>IF(B1241="","",IFERROR(VLOOKUP(B1241, PLANTA_BASE!A:W, 2, FALSE), "NO ENCONTRADO EN PLANTA"))</f>
        <v/>
      </c>
      <c r="B1241" s="6"/>
      <c r="C1241" s="7" t="str">
        <f>IF(B1241="","",IFERROR(VLOOKUP(B1241, PLANTA_BASE!A:W, 3, FALSE), ""))</f>
        <v/>
      </c>
      <c r="D1241" s="5" t="str">
        <f>IF(B1241="","",IFERROR(VLOOKUP(B1241, PLANTA_BASE!A:W, 5, FALSE), "NO ENCONTRADO EN PLANTA"))</f>
        <v/>
      </c>
      <c r="E1241" s="5" t="str">
        <f>IF(B1241="","",IFERROR(VLOOKUP(B1241, PLANTA_BASE!A:W, 6, FALSE), "NO ENCONTRADO EN PLANTA"))</f>
        <v/>
      </c>
      <c r="F1241" s="7" t="str">
        <f>IF(B1241="","",IFERROR(VLOOKUP(B1241, PLANTA_BASE!A:W, 8, FALSE), "DOCENTE / FACILITADOR"))</f>
        <v/>
      </c>
      <c r="G1241" s="7" t="str">
        <f>IF(B1241="","",IFERROR(VLOOKUP(B1241, PLANTA_BASE!A:W, 9, FALSE), "GENERAL"))</f>
        <v/>
      </c>
      <c r="H1241" s="5" t="str">
        <f>IF(B1241="","",IFERROR(VLOOKUP(B1241, PLANTA_BASE!A:W, 17, FALSE), "GENERAL"))</f>
        <v/>
      </c>
    </row>
    <row r="1242" spans="1:8" ht="20.100000000000001" customHeight="1" x14ac:dyDescent="0.25">
      <c r="A1242" s="2" t="str">
        <f>IF(B1242="","",IFERROR(VLOOKUP(B1242, PLANTA_BASE!A:W, 2, FALSE), "NO ENCONTRADO EN PLANTA"))</f>
        <v/>
      </c>
      <c r="B1242" s="3"/>
      <c r="C1242" s="4" t="str">
        <f>IF(B1242="","",IFERROR(VLOOKUP(B1242, PLANTA_BASE!A:W, 3, FALSE), ""))</f>
        <v/>
      </c>
      <c r="D1242" s="2" t="str">
        <f>IF(B1242="","",IFERROR(VLOOKUP(B1242, PLANTA_BASE!A:W, 5, FALSE), "NO ENCONTRADO EN PLANTA"))</f>
        <v/>
      </c>
      <c r="E1242" s="2" t="str">
        <f>IF(B1242="","",IFERROR(VLOOKUP(B1242, PLANTA_BASE!A:W, 6, FALSE), "NO ENCONTRADO EN PLANTA"))</f>
        <v/>
      </c>
      <c r="F1242" s="4" t="str">
        <f>IF(B1242="","",IFERROR(VLOOKUP(B1242, PLANTA_BASE!A:W, 8, FALSE), "DOCENTE / FACILITADOR"))</f>
        <v/>
      </c>
      <c r="G1242" s="4" t="str">
        <f>IF(B1242="","",IFERROR(VLOOKUP(B1242, PLANTA_BASE!A:W, 9, FALSE), "GENERAL"))</f>
        <v/>
      </c>
      <c r="H1242" s="2" t="str">
        <f>IF(B1242="","",IFERROR(VLOOKUP(B1242, PLANTA_BASE!A:W, 17, FALSE), "GENERAL"))</f>
        <v/>
      </c>
    </row>
    <row r="1243" spans="1:8" ht="20.100000000000001" customHeight="1" x14ac:dyDescent="0.25">
      <c r="A1243" s="5" t="str">
        <f>IF(B1243="","",IFERROR(VLOOKUP(B1243, PLANTA_BASE!A:W, 2, FALSE), "NO ENCONTRADO EN PLANTA"))</f>
        <v/>
      </c>
      <c r="B1243" s="6"/>
      <c r="C1243" s="7" t="str">
        <f>IF(B1243="","",IFERROR(VLOOKUP(B1243, PLANTA_BASE!A:W, 3, FALSE), ""))</f>
        <v/>
      </c>
      <c r="D1243" s="5" t="str">
        <f>IF(B1243="","",IFERROR(VLOOKUP(B1243, PLANTA_BASE!A:W, 5, FALSE), "NO ENCONTRADO EN PLANTA"))</f>
        <v/>
      </c>
      <c r="E1243" s="5" t="str">
        <f>IF(B1243="","",IFERROR(VLOOKUP(B1243, PLANTA_BASE!A:W, 6, FALSE), "NO ENCONTRADO EN PLANTA"))</f>
        <v/>
      </c>
      <c r="F1243" s="7" t="str">
        <f>IF(B1243="","",IFERROR(VLOOKUP(B1243, PLANTA_BASE!A:W, 8, FALSE), "DOCENTE / FACILITADOR"))</f>
        <v/>
      </c>
      <c r="G1243" s="7" t="str">
        <f>IF(B1243="","",IFERROR(VLOOKUP(B1243, PLANTA_BASE!A:W, 9, FALSE), "GENERAL"))</f>
        <v/>
      </c>
      <c r="H1243" s="5" t="str">
        <f>IF(B1243="","",IFERROR(VLOOKUP(B1243, PLANTA_BASE!A:W, 17, FALSE), "GENERAL"))</f>
        <v/>
      </c>
    </row>
    <row r="1244" spans="1:8" ht="20.100000000000001" customHeight="1" x14ac:dyDescent="0.25">
      <c r="A1244" s="2" t="str">
        <f>IF(B1244="","",IFERROR(VLOOKUP(B1244, PLANTA_BASE!A:W, 2, FALSE), "NO ENCONTRADO EN PLANTA"))</f>
        <v/>
      </c>
      <c r="B1244" s="3"/>
      <c r="C1244" s="4" t="str">
        <f>IF(B1244="","",IFERROR(VLOOKUP(B1244, PLANTA_BASE!A:W, 3, FALSE), ""))</f>
        <v/>
      </c>
      <c r="D1244" s="2" t="str">
        <f>IF(B1244="","",IFERROR(VLOOKUP(B1244, PLANTA_BASE!A:W, 5, FALSE), "NO ENCONTRADO EN PLANTA"))</f>
        <v/>
      </c>
      <c r="E1244" s="2" t="str">
        <f>IF(B1244="","",IFERROR(VLOOKUP(B1244, PLANTA_BASE!A:W, 6, FALSE), "NO ENCONTRADO EN PLANTA"))</f>
        <v/>
      </c>
      <c r="F1244" s="4" t="str">
        <f>IF(B1244="","",IFERROR(VLOOKUP(B1244, PLANTA_BASE!A:W, 8, FALSE), "DOCENTE / FACILITADOR"))</f>
        <v/>
      </c>
      <c r="G1244" s="4" t="str">
        <f>IF(B1244="","",IFERROR(VLOOKUP(B1244, PLANTA_BASE!A:W, 9, FALSE), "GENERAL"))</f>
        <v/>
      </c>
      <c r="H1244" s="2" t="str">
        <f>IF(B1244="","",IFERROR(VLOOKUP(B1244, PLANTA_BASE!A:W, 17, FALSE), "GENERAL"))</f>
        <v/>
      </c>
    </row>
    <row r="1245" spans="1:8" ht="20.100000000000001" customHeight="1" x14ac:dyDescent="0.25">
      <c r="A1245" s="5" t="str">
        <f>IF(B1245="","",IFERROR(VLOOKUP(B1245, PLANTA_BASE!A:W, 2, FALSE), "NO ENCONTRADO EN PLANTA"))</f>
        <v/>
      </c>
      <c r="B1245" s="6"/>
      <c r="C1245" s="7" t="str">
        <f>IF(B1245="","",IFERROR(VLOOKUP(B1245, PLANTA_BASE!A:W, 3, FALSE), ""))</f>
        <v/>
      </c>
      <c r="D1245" s="5" t="str">
        <f>IF(B1245="","",IFERROR(VLOOKUP(B1245, PLANTA_BASE!A:W, 5, FALSE), "NO ENCONTRADO EN PLANTA"))</f>
        <v/>
      </c>
      <c r="E1245" s="5" t="str">
        <f>IF(B1245="","",IFERROR(VLOOKUP(B1245, PLANTA_BASE!A:W, 6, FALSE), "NO ENCONTRADO EN PLANTA"))</f>
        <v/>
      </c>
      <c r="F1245" s="7" t="str">
        <f>IF(B1245="","",IFERROR(VLOOKUP(B1245, PLANTA_BASE!A:W, 8, FALSE), "DOCENTE / FACILITADOR"))</f>
        <v/>
      </c>
      <c r="G1245" s="7" t="str">
        <f>IF(B1245="","",IFERROR(VLOOKUP(B1245, PLANTA_BASE!A:W, 9, FALSE), "GENERAL"))</f>
        <v/>
      </c>
      <c r="H1245" s="5" t="str">
        <f>IF(B1245="","",IFERROR(VLOOKUP(B1245, PLANTA_BASE!A:W, 17, FALSE), "GENERAL"))</f>
        <v/>
      </c>
    </row>
    <row r="1246" spans="1:8" ht="20.100000000000001" customHeight="1" x14ac:dyDescent="0.25">
      <c r="A1246" s="2" t="str">
        <f>IF(B1246="","",IFERROR(VLOOKUP(B1246, PLANTA_BASE!A:W, 2, FALSE), "NO ENCONTRADO EN PLANTA"))</f>
        <v/>
      </c>
      <c r="B1246" s="3"/>
      <c r="C1246" s="4" t="str">
        <f>IF(B1246="","",IFERROR(VLOOKUP(B1246, PLANTA_BASE!A:W, 3, FALSE), ""))</f>
        <v/>
      </c>
      <c r="D1246" s="2" t="str">
        <f>IF(B1246="","",IFERROR(VLOOKUP(B1246, PLANTA_BASE!A:W, 5, FALSE), "NO ENCONTRADO EN PLANTA"))</f>
        <v/>
      </c>
      <c r="E1246" s="2" t="str">
        <f>IF(B1246="","",IFERROR(VLOOKUP(B1246, PLANTA_BASE!A:W, 6, FALSE), "NO ENCONTRADO EN PLANTA"))</f>
        <v/>
      </c>
      <c r="F1246" s="4" t="str">
        <f>IF(B1246="","",IFERROR(VLOOKUP(B1246, PLANTA_BASE!A:W, 8, FALSE), "DOCENTE / FACILITADOR"))</f>
        <v/>
      </c>
      <c r="G1246" s="4" t="str">
        <f>IF(B1246="","",IFERROR(VLOOKUP(B1246, PLANTA_BASE!A:W, 9, FALSE), "GENERAL"))</f>
        <v/>
      </c>
      <c r="H1246" s="2" t="str">
        <f>IF(B1246="","",IFERROR(VLOOKUP(B1246, PLANTA_BASE!A:W, 17, FALSE), "GENERAL"))</f>
        <v/>
      </c>
    </row>
    <row r="1247" spans="1:8" ht="20.100000000000001" customHeight="1" x14ac:dyDescent="0.25">
      <c r="A1247" s="5" t="str">
        <f>IF(B1247="","",IFERROR(VLOOKUP(B1247, PLANTA_BASE!A:W, 2, FALSE), "NO ENCONTRADO EN PLANTA"))</f>
        <v/>
      </c>
      <c r="B1247" s="6"/>
      <c r="C1247" s="7" t="str">
        <f>IF(B1247="","",IFERROR(VLOOKUP(B1247, PLANTA_BASE!A:W, 3, FALSE), ""))</f>
        <v/>
      </c>
      <c r="D1247" s="5" t="str">
        <f>IF(B1247="","",IFERROR(VLOOKUP(B1247, PLANTA_BASE!A:W, 5, FALSE), "NO ENCONTRADO EN PLANTA"))</f>
        <v/>
      </c>
      <c r="E1247" s="5" t="str">
        <f>IF(B1247="","",IFERROR(VLOOKUP(B1247, PLANTA_BASE!A:W, 6, FALSE), "NO ENCONTRADO EN PLANTA"))</f>
        <v/>
      </c>
      <c r="F1247" s="7" t="str">
        <f>IF(B1247="","",IFERROR(VLOOKUP(B1247, PLANTA_BASE!A:W, 8, FALSE), "DOCENTE / FACILITADOR"))</f>
        <v/>
      </c>
      <c r="G1247" s="7" t="str">
        <f>IF(B1247="","",IFERROR(VLOOKUP(B1247, PLANTA_BASE!A:W, 9, FALSE), "GENERAL"))</f>
        <v/>
      </c>
      <c r="H1247" s="5" t="str">
        <f>IF(B1247="","",IFERROR(VLOOKUP(B1247, PLANTA_BASE!A:W, 17, FALSE), "GENERAL"))</f>
        <v/>
      </c>
    </row>
    <row r="1248" spans="1:8" ht="20.100000000000001" customHeight="1" x14ac:dyDescent="0.25">
      <c r="A1248" s="2" t="str">
        <f>IF(B1248="","",IFERROR(VLOOKUP(B1248, PLANTA_BASE!A:W, 2, FALSE), "NO ENCONTRADO EN PLANTA"))</f>
        <v/>
      </c>
      <c r="B1248" s="3"/>
      <c r="C1248" s="4" t="str">
        <f>IF(B1248="","",IFERROR(VLOOKUP(B1248, PLANTA_BASE!A:W, 3, FALSE), ""))</f>
        <v/>
      </c>
      <c r="D1248" s="2" t="str">
        <f>IF(B1248="","",IFERROR(VLOOKUP(B1248, PLANTA_BASE!A:W, 5, FALSE), "NO ENCONTRADO EN PLANTA"))</f>
        <v/>
      </c>
      <c r="E1248" s="2" t="str">
        <f>IF(B1248="","",IFERROR(VLOOKUP(B1248, PLANTA_BASE!A:W, 6, FALSE), "NO ENCONTRADO EN PLANTA"))</f>
        <v/>
      </c>
      <c r="F1248" s="4" t="str">
        <f>IF(B1248="","",IFERROR(VLOOKUP(B1248, PLANTA_BASE!A:W, 8, FALSE), "DOCENTE / FACILITADOR"))</f>
        <v/>
      </c>
      <c r="G1248" s="4" t="str">
        <f>IF(B1248="","",IFERROR(VLOOKUP(B1248, PLANTA_BASE!A:W, 9, FALSE), "GENERAL"))</f>
        <v/>
      </c>
      <c r="H1248" s="2" t="str">
        <f>IF(B1248="","",IFERROR(VLOOKUP(B1248, PLANTA_BASE!A:W, 17, FALSE), "GENERAL"))</f>
        <v/>
      </c>
    </row>
    <row r="1249" spans="1:8" ht="20.100000000000001" customHeight="1" x14ac:dyDescent="0.25">
      <c r="A1249" s="5" t="str">
        <f>IF(B1249="","",IFERROR(VLOOKUP(B1249, PLANTA_BASE!A:W, 2, FALSE), "NO ENCONTRADO EN PLANTA"))</f>
        <v/>
      </c>
      <c r="B1249" s="6"/>
      <c r="C1249" s="7" t="str">
        <f>IF(B1249="","",IFERROR(VLOOKUP(B1249, PLANTA_BASE!A:W, 3, FALSE), ""))</f>
        <v/>
      </c>
      <c r="D1249" s="5" t="str">
        <f>IF(B1249="","",IFERROR(VLOOKUP(B1249, PLANTA_BASE!A:W, 5, FALSE), "NO ENCONTRADO EN PLANTA"))</f>
        <v/>
      </c>
      <c r="E1249" s="5" t="str">
        <f>IF(B1249="","",IFERROR(VLOOKUP(B1249, PLANTA_BASE!A:W, 6, FALSE), "NO ENCONTRADO EN PLANTA"))</f>
        <v/>
      </c>
      <c r="F1249" s="7" t="str">
        <f>IF(B1249="","",IFERROR(VLOOKUP(B1249, PLANTA_BASE!A:W, 8, FALSE), "DOCENTE / FACILITADOR"))</f>
        <v/>
      </c>
      <c r="G1249" s="7" t="str">
        <f>IF(B1249="","",IFERROR(VLOOKUP(B1249, PLANTA_BASE!A:W, 9, FALSE), "GENERAL"))</f>
        <v/>
      </c>
      <c r="H1249" s="5" t="str">
        <f>IF(B1249="","",IFERROR(VLOOKUP(B1249, PLANTA_BASE!A:W, 17, FALSE), "GENERAL"))</f>
        <v/>
      </c>
    </row>
    <row r="1250" spans="1:8" ht="20.100000000000001" customHeight="1" x14ac:dyDescent="0.25">
      <c r="A1250" s="2" t="str">
        <f>IF(B1250="","",IFERROR(VLOOKUP(B1250, PLANTA_BASE!A:W, 2, FALSE), "NO ENCONTRADO EN PLANTA"))</f>
        <v/>
      </c>
      <c r="B1250" s="3"/>
      <c r="C1250" s="4" t="str">
        <f>IF(B1250="","",IFERROR(VLOOKUP(B1250, PLANTA_BASE!A:W, 3, FALSE), ""))</f>
        <v/>
      </c>
      <c r="D1250" s="2" t="str">
        <f>IF(B1250="","",IFERROR(VLOOKUP(B1250, PLANTA_BASE!A:W, 5, FALSE), "NO ENCONTRADO EN PLANTA"))</f>
        <v/>
      </c>
      <c r="E1250" s="2" t="str">
        <f>IF(B1250="","",IFERROR(VLOOKUP(B1250, PLANTA_BASE!A:W, 6, FALSE), "NO ENCONTRADO EN PLANTA"))</f>
        <v/>
      </c>
      <c r="F1250" s="4" t="str">
        <f>IF(B1250="","",IFERROR(VLOOKUP(B1250, PLANTA_BASE!A:W, 8, FALSE), "DOCENTE / FACILITADOR"))</f>
        <v/>
      </c>
      <c r="G1250" s="4" t="str">
        <f>IF(B1250="","",IFERROR(VLOOKUP(B1250, PLANTA_BASE!A:W, 9, FALSE), "GENERAL"))</f>
        <v/>
      </c>
      <c r="H1250" s="2" t="str">
        <f>IF(B1250="","",IFERROR(VLOOKUP(B1250, PLANTA_BASE!A:W, 17, FALSE), "GENERAL"))</f>
        <v/>
      </c>
    </row>
    <row r="1251" spans="1:8" ht="20.100000000000001" customHeight="1" x14ac:dyDescent="0.25">
      <c r="A1251" s="5" t="str">
        <f>IF(B1251="","",IFERROR(VLOOKUP(B1251, PLANTA_BASE!A:W, 2, FALSE), "NO ENCONTRADO EN PLANTA"))</f>
        <v/>
      </c>
      <c r="B1251" s="6"/>
      <c r="C1251" s="7" t="str">
        <f>IF(B1251="","",IFERROR(VLOOKUP(B1251, PLANTA_BASE!A:W, 3, FALSE), ""))</f>
        <v/>
      </c>
      <c r="D1251" s="5" t="str">
        <f>IF(B1251="","",IFERROR(VLOOKUP(B1251, PLANTA_BASE!A:W, 5, FALSE), "NO ENCONTRADO EN PLANTA"))</f>
        <v/>
      </c>
      <c r="E1251" s="5" t="str">
        <f>IF(B1251="","",IFERROR(VLOOKUP(B1251, PLANTA_BASE!A:W, 6, FALSE), "NO ENCONTRADO EN PLANTA"))</f>
        <v/>
      </c>
      <c r="F1251" s="7" t="str">
        <f>IF(B1251="","",IFERROR(VLOOKUP(B1251, PLANTA_BASE!A:W, 8, FALSE), "DOCENTE / FACILITADOR"))</f>
        <v/>
      </c>
      <c r="G1251" s="7" t="str">
        <f>IF(B1251="","",IFERROR(VLOOKUP(B1251, PLANTA_BASE!A:W, 9, FALSE), "GENERAL"))</f>
        <v/>
      </c>
      <c r="H1251" s="5" t="str">
        <f>IF(B1251="","",IFERROR(VLOOKUP(B1251, PLANTA_BASE!A:W, 17, FALSE), "GENERAL"))</f>
        <v/>
      </c>
    </row>
    <row r="1252" spans="1:8" ht="20.100000000000001" customHeight="1" x14ac:dyDescent="0.25">
      <c r="A1252" s="2" t="str">
        <f>IF(B1252="","",IFERROR(VLOOKUP(B1252, PLANTA_BASE!A:W, 2, FALSE), "NO ENCONTRADO EN PLANTA"))</f>
        <v/>
      </c>
      <c r="B1252" s="3"/>
      <c r="C1252" s="4" t="str">
        <f>IF(B1252="","",IFERROR(VLOOKUP(B1252, PLANTA_BASE!A:W, 3, FALSE), ""))</f>
        <v/>
      </c>
      <c r="D1252" s="2" t="str">
        <f>IF(B1252="","",IFERROR(VLOOKUP(B1252, PLANTA_BASE!A:W, 5, FALSE), "NO ENCONTRADO EN PLANTA"))</f>
        <v/>
      </c>
      <c r="E1252" s="2" t="str">
        <f>IF(B1252="","",IFERROR(VLOOKUP(B1252, PLANTA_BASE!A:W, 6, FALSE), "NO ENCONTRADO EN PLANTA"))</f>
        <v/>
      </c>
      <c r="F1252" s="4" t="str">
        <f>IF(B1252="","",IFERROR(VLOOKUP(B1252, PLANTA_BASE!A:W, 8, FALSE), "DOCENTE / FACILITADOR"))</f>
        <v/>
      </c>
      <c r="G1252" s="4" t="str">
        <f>IF(B1252="","",IFERROR(VLOOKUP(B1252, PLANTA_BASE!A:W, 9, FALSE), "GENERAL"))</f>
        <v/>
      </c>
      <c r="H1252" s="2" t="str">
        <f>IF(B1252="","",IFERROR(VLOOKUP(B1252, PLANTA_BASE!A:W, 17, FALSE), "GENERAL"))</f>
        <v/>
      </c>
    </row>
    <row r="1253" spans="1:8" ht="20.100000000000001" customHeight="1" x14ac:dyDescent="0.25">
      <c r="A1253" s="5" t="str">
        <f>IF(B1253="","",IFERROR(VLOOKUP(B1253, PLANTA_BASE!A:W, 2, FALSE), "NO ENCONTRADO EN PLANTA"))</f>
        <v/>
      </c>
      <c r="B1253" s="6"/>
      <c r="C1253" s="7" t="str">
        <f>IF(B1253="","",IFERROR(VLOOKUP(B1253, PLANTA_BASE!A:W, 3, FALSE), ""))</f>
        <v/>
      </c>
      <c r="D1253" s="5" t="str">
        <f>IF(B1253="","",IFERROR(VLOOKUP(B1253, PLANTA_BASE!A:W, 5, FALSE), "NO ENCONTRADO EN PLANTA"))</f>
        <v/>
      </c>
      <c r="E1253" s="5" t="str">
        <f>IF(B1253="","",IFERROR(VLOOKUP(B1253, PLANTA_BASE!A:W, 6, FALSE), "NO ENCONTRADO EN PLANTA"))</f>
        <v/>
      </c>
      <c r="F1253" s="7" t="str">
        <f>IF(B1253="","",IFERROR(VLOOKUP(B1253, PLANTA_BASE!A:W, 8, FALSE), "DOCENTE / FACILITADOR"))</f>
        <v/>
      </c>
      <c r="G1253" s="7" t="str">
        <f>IF(B1253="","",IFERROR(VLOOKUP(B1253, PLANTA_BASE!A:W, 9, FALSE), "GENERAL"))</f>
        <v/>
      </c>
      <c r="H1253" s="5" t="str">
        <f>IF(B1253="","",IFERROR(VLOOKUP(B1253, PLANTA_BASE!A:W, 17, FALSE), "GENERAL"))</f>
        <v/>
      </c>
    </row>
    <row r="1254" spans="1:8" ht="20.100000000000001" customHeight="1" x14ac:dyDescent="0.25">
      <c r="A1254" s="2" t="str">
        <f>IF(B1254="","",IFERROR(VLOOKUP(B1254, PLANTA_BASE!A:W, 2, FALSE), "NO ENCONTRADO EN PLANTA"))</f>
        <v/>
      </c>
      <c r="B1254" s="3"/>
      <c r="C1254" s="4" t="str">
        <f>IF(B1254="","",IFERROR(VLOOKUP(B1254, PLANTA_BASE!A:W, 3, FALSE), ""))</f>
        <v/>
      </c>
      <c r="D1254" s="2" t="str">
        <f>IF(B1254="","",IFERROR(VLOOKUP(B1254, PLANTA_BASE!A:W, 5, FALSE), "NO ENCONTRADO EN PLANTA"))</f>
        <v/>
      </c>
      <c r="E1254" s="2" t="str">
        <f>IF(B1254="","",IFERROR(VLOOKUP(B1254, PLANTA_BASE!A:W, 6, FALSE), "NO ENCONTRADO EN PLANTA"))</f>
        <v/>
      </c>
      <c r="F1254" s="4" t="str">
        <f>IF(B1254="","",IFERROR(VLOOKUP(B1254, PLANTA_BASE!A:W, 8, FALSE), "DOCENTE / FACILITADOR"))</f>
        <v/>
      </c>
      <c r="G1254" s="4" t="str">
        <f>IF(B1254="","",IFERROR(VLOOKUP(B1254, PLANTA_BASE!A:W, 9, FALSE), "GENERAL"))</f>
        <v/>
      </c>
      <c r="H1254" s="2" t="str">
        <f>IF(B1254="","",IFERROR(VLOOKUP(B1254, PLANTA_BASE!A:W, 17, FALSE), "GENERAL"))</f>
        <v/>
      </c>
    </row>
    <row r="1255" spans="1:8" ht="20.100000000000001" customHeight="1" x14ac:dyDescent="0.25">
      <c r="A1255" s="5" t="str">
        <f>IF(B1255="","",IFERROR(VLOOKUP(B1255, PLANTA_BASE!A:W, 2, FALSE), "NO ENCONTRADO EN PLANTA"))</f>
        <v/>
      </c>
      <c r="B1255" s="6"/>
      <c r="C1255" s="7" t="str">
        <f>IF(B1255="","",IFERROR(VLOOKUP(B1255, PLANTA_BASE!A:W, 3, FALSE), ""))</f>
        <v/>
      </c>
      <c r="D1255" s="5" t="str">
        <f>IF(B1255="","",IFERROR(VLOOKUP(B1255, PLANTA_BASE!A:W, 5, FALSE), "NO ENCONTRADO EN PLANTA"))</f>
        <v/>
      </c>
      <c r="E1255" s="5" t="str">
        <f>IF(B1255="","",IFERROR(VLOOKUP(B1255, PLANTA_BASE!A:W, 6, FALSE), "NO ENCONTRADO EN PLANTA"))</f>
        <v/>
      </c>
      <c r="F1255" s="7" t="str">
        <f>IF(B1255="","",IFERROR(VLOOKUP(B1255, PLANTA_BASE!A:W, 8, FALSE), "DOCENTE / FACILITADOR"))</f>
        <v/>
      </c>
      <c r="G1255" s="7" t="str">
        <f>IF(B1255="","",IFERROR(VLOOKUP(B1255, PLANTA_BASE!A:W, 9, FALSE), "GENERAL"))</f>
        <v/>
      </c>
      <c r="H1255" s="5" t="str">
        <f>IF(B1255="","",IFERROR(VLOOKUP(B1255, PLANTA_BASE!A:W, 17, FALSE), "GENERAL"))</f>
        <v/>
      </c>
    </row>
    <row r="1256" spans="1:8" ht="20.100000000000001" customHeight="1" x14ac:dyDescent="0.25">
      <c r="A1256" s="2" t="str">
        <f>IF(B1256="","",IFERROR(VLOOKUP(B1256, PLANTA_BASE!A:W, 2, FALSE), "NO ENCONTRADO EN PLANTA"))</f>
        <v/>
      </c>
      <c r="B1256" s="3"/>
      <c r="C1256" s="4" t="str">
        <f>IF(B1256="","",IFERROR(VLOOKUP(B1256, PLANTA_BASE!A:W, 3, FALSE), ""))</f>
        <v/>
      </c>
      <c r="D1256" s="2" t="str">
        <f>IF(B1256="","",IFERROR(VLOOKUP(B1256, PLANTA_BASE!A:W, 5, FALSE), "NO ENCONTRADO EN PLANTA"))</f>
        <v/>
      </c>
      <c r="E1256" s="2" t="str">
        <f>IF(B1256="","",IFERROR(VLOOKUP(B1256, PLANTA_BASE!A:W, 6, FALSE), "NO ENCONTRADO EN PLANTA"))</f>
        <v/>
      </c>
      <c r="F1256" s="4" t="str">
        <f>IF(B1256="","",IFERROR(VLOOKUP(B1256, PLANTA_BASE!A:W, 8, FALSE), "DOCENTE / FACILITADOR"))</f>
        <v/>
      </c>
      <c r="G1256" s="4" t="str">
        <f>IF(B1256="","",IFERROR(VLOOKUP(B1256, PLANTA_BASE!A:W, 9, FALSE), "GENERAL"))</f>
        <v/>
      </c>
      <c r="H1256" s="2" t="str">
        <f>IF(B1256="","",IFERROR(VLOOKUP(B1256, PLANTA_BASE!A:W, 17, FALSE), "GENERAL"))</f>
        <v/>
      </c>
    </row>
    <row r="1257" spans="1:8" ht="20.100000000000001" customHeight="1" x14ac:dyDescent="0.25">
      <c r="A1257" s="5" t="str">
        <f>IF(B1257="","",IFERROR(VLOOKUP(B1257, PLANTA_BASE!A:W, 2, FALSE), "NO ENCONTRADO EN PLANTA"))</f>
        <v/>
      </c>
      <c r="B1257" s="6"/>
      <c r="C1257" s="7" t="str">
        <f>IF(B1257="","",IFERROR(VLOOKUP(B1257, PLANTA_BASE!A:W, 3, FALSE), ""))</f>
        <v/>
      </c>
      <c r="D1257" s="5" t="str">
        <f>IF(B1257="","",IFERROR(VLOOKUP(B1257, PLANTA_BASE!A:W, 5, FALSE), "NO ENCONTRADO EN PLANTA"))</f>
        <v/>
      </c>
      <c r="E1257" s="5" t="str">
        <f>IF(B1257="","",IFERROR(VLOOKUP(B1257, PLANTA_BASE!A:W, 6, FALSE), "NO ENCONTRADO EN PLANTA"))</f>
        <v/>
      </c>
      <c r="F1257" s="7" t="str">
        <f>IF(B1257="","",IFERROR(VLOOKUP(B1257, PLANTA_BASE!A:W, 8, FALSE), "DOCENTE / FACILITADOR"))</f>
        <v/>
      </c>
      <c r="G1257" s="7" t="str">
        <f>IF(B1257="","",IFERROR(VLOOKUP(B1257, PLANTA_BASE!A:W, 9, FALSE), "GENERAL"))</f>
        <v/>
      </c>
      <c r="H1257" s="5" t="str">
        <f>IF(B1257="","",IFERROR(VLOOKUP(B1257, PLANTA_BASE!A:W, 17, FALSE), "GENERAL"))</f>
        <v/>
      </c>
    </row>
    <row r="1258" spans="1:8" ht="20.100000000000001" customHeight="1" x14ac:dyDescent="0.25">
      <c r="A1258" s="2" t="str">
        <f>IF(B1258="","",IFERROR(VLOOKUP(B1258, PLANTA_BASE!A:W, 2, FALSE), "NO ENCONTRADO EN PLANTA"))</f>
        <v/>
      </c>
      <c r="B1258" s="3"/>
      <c r="C1258" s="4" t="str">
        <f>IF(B1258="","",IFERROR(VLOOKUP(B1258, PLANTA_BASE!A:W, 3, FALSE), ""))</f>
        <v/>
      </c>
      <c r="D1258" s="2" t="str">
        <f>IF(B1258="","",IFERROR(VLOOKUP(B1258, PLANTA_BASE!A:W, 5, FALSE), "NO ENCONTRADO EN PLANTA"))</f>
        <v/>
      </c>
      <c r="E1258" s="2" t="str">
        <f>IF(B1258="","",IFERROR(VLOOKUP(B1258, PLANTA_BASE!A:W, 6, FALSE), "NO ENCONTRADO EN PLANTA"))</f>
        <v/>
      </c>
      <c r="F1258" s="4" t="str">
        <f>IF(B1258="","",IFERROR(VLOOKUP(B1258, PLANTA_BASE!A:W, 8, FALSE), "DOCENTE / FACILITADOR"))</f>
        <v/>
      </c>
      <c r="G1258" s="4" t="str">
        <f>IF(B1258="","",IFERROR(VLOOKUP(B1258, PLANTA_BASE!A:W, 9, FALSE), "GENERAL"))</f>
        <v/>
      </c>
      <c r="H1258" s="2" t="str">
        <f>IF(B1258="","",IFERROR(VLOOKUP(B1258, PLANTA_BASE!A:W, 17, FALSE), "GENERAL"))</f>
        <v/>
      </c>
    </row>
    <row r="1259" spans="1:8" ht="20.100000000000001" customHeight="1" x14ac:dyDescent="0.25">
      <c r="A1259" s="5" t="str">
        <f>IF(B1259="","",IFERROR(VLOOKUP(B1259, PLANTA_BASE!A:W, 2, FALSE), "NO ENCONTRADO EN PLANTA"))</f>
        <v/>
      </c>
      <c r="B1259" s="6"/>
      <c r="C1259" s="7" t="str">
        <f>IF(B1259="","",IFERROR(VLOOKUP(B1259, PLANTA_BASE!A:W, 3, FALSE), ""))</f>
        <v/>
      </c>
      <c r="D1259" s="5" t="str">
        <f>IF(B1259="","",IFERROR(VLOOKUP(B1259, PLANTA_BASE!A:W, 5, FALSE), "NO ENCONTRADO EN PLANTA"))</f>
        <v/>
      </c>
      <c r="E1259" s="5" t="str">
        <f>IF(B1259="","",IFERROR(VLOOKUP(B1259, PLANTA_BASE!A:W, 6, FALSE), "NO ENCONTRADO EN PLANTA"))</f>
        <v/>
      </c>
      <c r="F1259" s="7" t="str">
        <f>IF(B1259="","",IFERROR(VLOOKUP(B1259, PLANTA_BASE!A:W, 8, FALSE), "DOCENTE / FACILITADOR"))</f>
        <v/>
      </c>
      <c r="G1259" s="7" t="str">
        <f>IF(B1259="","",IFERROR(VLOOKUP(B1259, PLANTA_BASE!A:W, 9, FALSE), "GENERAL"))</f>
        <v/>
      </c>
      <c r="H1259" s="5" t="str">
        <f>IF(B1259="","",IFERROR(VLOOKUP(B1259, PLANTA_BASE!A:W, 17, FALSE), "GENERAL"))</f>
        <v/>
      </c>
    </row>
    <row r="1260" spans="1:8" ht="20.100000000000001" customHeight="1" x14ac:dyDescent="0.25">
      <c r="A1260" s="2" t="str">
        <f>IF(B1260="","",IFERROR(VLOOKUP(B1260, PLANTA_BASE!A:W, 2, FALSE), "NO ENCONTRADO EN PLANTA"))</f>
        <v/>
      </c>
      <c r="B1260" s="3"/>
      <c r="C1260" s="4" t="str">
        <f>IF(B1260="","",IFERROR(VLOOKUP(B1260, PLANTA_BASE!A:W, 3, FALSE), ""))</f>
        <v/>
      </c>
      <c r="D1260" s="2" t="str">
        <f>IF(B1260="","",IFERROR(VLOOKUP(B1260, PLANTA_BASE!A:W, 5, FALSE), "NO ENCONTRADO EN PLANTA"))</f>
        <v/>
      </c>
      <c r="E1260" s="2" t="str">
        <f>IF(B1260="","",IFERROR(VLOOKUP(B1260, PLANTA_BASE!A:W, 6, FALSE), "NO ENCONTRADO EN PLANTA"))</f>
        <v/>
      </c>
      <c r="F1260" s="4" t="str">
        <f>IF(B1260="","",IFERROR(VLOOKUP(B1260, PLANTA_BASE!A:W, 8, FALSE), "DOCENTE / FACILITADOR"))</f>
        <v/>
      </c>
      <c r="G1260" s="4" t="str">
        <f>IF(B1260="","",IFERROR(VLOOKUP(B1260, PLANTA_BASE!A:W, 9, FALSE), "GENERAL"))</f>
        <v/>
      </c>
      <c r="H1260" s="2" t="str">
        <f>IF(B1260="","",IFERROR(VLOOKUP(B1260, PLANTA_BASE!A:W, 17, FALSE), "GENERAL"))</f>
        <v/>
      </c>
    </row>
    <row r="1261" spans="1:8" ht="20.100000000000001" customHeight="1" x14ac:dyDescent="0.25">
      <c r="A1261" s="5" t="str">
        <f>IF(B1261="","",IFERROR(VLOOKUP(B1261, PLANTA_BASE!A:W, 2, FALSE), "NO ENCONTRADO EN PLANTA"))</f>
        <v/>
      </c>
      <c r="B1261" s="6"/>
      <c r="C1261" s="7" t="str">
        <f>IF(B1261="","",IFERROR(VLOOKUP(B1261, PLANTA_BASE!A:W, 3, FALSE), ""))</f>
        <v/>
      </c>
      <c r="D1261" s="5" t="str">
        <f>IF(B1261="","",IFERROR(VLOOKUP(B1261, PLANTA_BASE!A:W, 5, FALSE), "NO ENCONTRADO EN PLANTA"))</f>
        <v/>
      </c>
      <c r="E1261" s="5" t="str">
        <f>IF(B1261="","",IFERROR(VLOOKUP(B1261, PLANTA_BASE!A:W, 6, FALSE), "NO ENCONTRADO EN PLANTA"))</f>
        <v/>
      </c>
      <c r="F1261" s="7" t="str">
        <f>IF(B1261="","",IFERROR(VLOOKUP(B1261, PLANTA_BASE!A:W, 8, FALSE), "DOCENTE / FACILITADOR"))</f>
        <v/>
      </c>
      <c r="G1261" s="7" t="str">
        <f>IF(B1261="","",IFERROR(VLOOKUP(B1261, PLANTA_BASE!A:W, 9, FALSE), "GENERAL"))</f>
        <v/>
      </c>
      <c r="H1261" s="5" t="str">
        <f>IF(B1261="","",IFERROR(VLOOKUP(B1261, PLANTA_BASE!A:W, 17, FALSE), "GENERAL"))</f>
        <v/>
      </c>
    </row>
    <row r="1262" spans="1:8" ht="20.100000000000001" customHeight="1" x14ac:dyDescent="0.25">
      <c r="A1262" s="2" t="str">
        <f>IF(B1262="","",IFERROR(VLOOKUP(B1262, PLANTA_BASE!A:W, 2, FALSE), "NO ENCONTRADO EN PLANTA"))</f>
        <v/>
      </c>
      <c r="B1262" s="3"/>
      <c r="C1262" s="4" t="str">
        <f>IF(B1262="","",IFERROR(VLOOKUP(B1262, PLANTA_BASE!A:W, 3, FALSE), ""))</f>
        <v/>
      </c>
      <c r="D1262" s="2" t="str">
        <f>IF(B1262="","",IFERROR(VLOOKUP(B1262, PLANTA_BASE!A:W, 5, FALSE), "NO ENCONTRADO EN PLANTA"))</f>
        <v/>
      </c>
      <c r="E1262" s="2" t="str">
        <f>IF(B1262="","",IFERROR(VLOOKUP(B1262, PLANTA_BASE!A:W, 6, FALSE), "NO ENCONTRADO EN PLANTA"))</f>
        <v/>
      </c>
      <c r="F1262" s="4" t="str">
        <f>IF(B1262="","",IFERROR(VLOOKUP(B1262, PLANTA_BASE!A:W, 8, FALSE), "DOCENTE / FACILITADOR"))</f>
        <v/>
      </c>
      <c r="G1262" s="4" t="str">
        <f>IF(B1262="","",IFERROR(VLOOKUP(B1262, PLANTA_BASE!A:W, 9, FALSE), "GENERAL"))</f>
        <v/>
      </c>
      <c r="H1262" s="2" t="str">
        <f>IF(B1262="","",IFERROR(VLOOKUP(B1262, PLANTA_BASE!A:W, 17, FALSE), "GENERAL"))</f>
        <v/>
      </c>
    </row>
    <row r="1263" spans="1:8" ht="20.100000000000001" customHeight="1" x14ac:dyDescent="0.25">
      <c r="A1263" s="5" t="str">
        <f>IF(B1263="","",IFERROR(VLOOKUP(B1263, PLANTA_BASE!A:W, 2, FALSE), "NO ENCONTRADO EN PLANTA"))</f>
        <v/>
      </c>
      <c r="B1263" s="6"/>
      <c r="C1263" s="7" t="str">
        <f>IF(B1263="","",IFERROR(VLOOKUP(B1263, PLANTA_BASE!A:W, 3, FALSE), ""))</f>
        <v/>
      </c>
      <c r="D1263" s="5" t="str">
        <f>IF(B1263="","",IFERROR(VLOOKUP(B1263, PLANTA_BASE!A:W, 5, FALSE), "NO ENCONTRADO EN PLANTA"))</f>
        <v/>
      </c>
      <c r="E1263" s="5" t="str">
        <f>IF(B1263="","",IFERROR(VLOOKUP(B1263, PLANTA_BASE!A:W, 6, FALSE), "NO ENCONTRADO EN PLANTA"))</f>
        <v/>
      </c>
      <c r="F1263" s="7" t="str">
        <f>IF(B1263="","",IFERROR(VLOOKUP(B1263, PLANTA_BASE!A:W, 8, FALSE), "DOCENTE / FACILITADOR"))</f>
        <v/>
      </c>
      <c r="G1263" s="7" t="str">
        <f>IF(B1263="","",IFERROR(VLOOKUP(B1263, PLANTA_BASE!A:W, 9, FALSE), "GENERAL"))</f>
        <v/>
      </c>
      <c r="H1263" s="5" t="str">
        <f>IF(B1263="","",IFERROR(VLOOKUP(B1263, PLANTA_BASE!A:W, 17, FALSE), "GENERAL"))</f>
        <v/>
      </c>
    </row>
    <row r="1264" spans="1:8" ht="20.100000000000001" customHeight="1" x14ac:dyDescent="0.25">
      <c r="A1264" s="2" t="str">
        <f>IF(B1264="","",IFERROR(VLOOKUP(B1264, PLANTA_BASE!A:W, 2, FALSE), "NO ENCONTRADO EN PLANTA"))</f>
        <v/>
      </c>
      <c r="B1264" s="3"/>
      <c r="C1264" s="4" t="str">
        <f>IF(B1264="","",IFERROR(VLOOKUP(B1264, PLANTA_BASE!A:W, 3, FALSE), ""))</f>
        <v/>
      </c>
      <c r="D1264" s="2" t="str">
        <f>IF(B1264="","",IFERROR(VLOOKUP(B1264, PLANTA_BASE!A:W, 5, FALSE), "NO ENCONTRADO EN PLANTA"))</f>
        <v/>
      </c>
      <c r="E1264" s="2" t="str">
        <f>IF(B1264="","",IFERROR(VLOOKUP(B1264, PLANTA_BASE!A:W, 6, FALSE), "NO ENCONTRADO EN PLANTA"))</f>
        <v/>
      </c>
      <c r="F1264" s="4" t="str">
        <f>IF(B1264="","",IFERROR(VLOOKUP(B1264, PLANTA_BASE!A:W, 8, FALSE), "DOCENTE / FACILITADOR"))</f>
        <v/>
      </c>
      <c r="G1264" s="4" t="str">
        <f>IF(B1264="","",IFERROR(VLOOKUP(B1264, PLANTA_BASE!A:W, 9, FALSE), "GENERAL"))</f>
        <v/>
      </c>
      <c r="H1264" s="2" t="str">
        <f>IF(B1264="","",IFERROR(VLOOKUP(B1264, PLANTA_BASE!A:W, 17, FALSE), "GENERAL"))</f>
        <v/>
      </c>
    </row>
    <row r="1265" spans="1:8" ht="20.100000000000001" customHeight="1" x14ac:dyDescent="0.25">
      <c r="A1265" s="5" t="str">
        <f>IF(B1265="","",IFERROR(VLOOKUP(B1265, PLANTA_BASE!A:W, 2, FALSE), "NO ENCONTRADO EN PLANTA"))</f>
        <v/>
      </c>
      <c r="B1265" s="6"/>
      <c r="C1265" s="7" t="str">
        <f>IF(B1265="","",IFERROR(VLOOKUP(B1265, PLANTA_BASE!A:W, 3, FALSE), ""))</f>
        <v/>
      </c>
      <c r="D1265" s="5" t="str">
        <f>IF(B1265="","",IFERROR(VLOOKUP(B1265, PLANTA_BASE!A:W, 5, FALSE), "NO ENCONTRADO EN PLANTA"))</f>
        <v/>
      </c>
      <c r="E1265" s="5" t="str">
        <f>IF(B1265="","",IFERROR(VLOOKUP(B1265, PLANTA_BASE!A:W, 6, FALSE), "NO ENCONTRADO EN PLANTA"))</f>
        <v/>
      </c>
      <c r="F1265" s="7" t="str">
        <f>IF(B1265="","",IFERROR(VLOOKUP(B1265, PLANTA_BASE!A:W, 8, FALSE), "DOCENTE / FACILITADOR"))</f>
        <v/>
      </c>
      <c r="G1265" s="7" t="str">
        <f>IF(B1265="","",IFERROR(VLOOKUP(B1265, PLANTA_BASE!A:W, 9, FALSE), "GENERAL"))</f>
        <v/>
      </c>
      <c r="H1265" s="5" t="str">
        <f>IF(B1265="","",IFERROR(VLOOKUP(B1265, PLANTA_BASE!A:W, 17, FALSE), "GENERAL"))</f>
        <v/>
      </c>
    </row>
    <row r="1266" spans="1:8" ht="20.100000000000001" customHeight="1" x14ac:dyDescent="0.25">
      <c r="A1266" s="2" t="str">
        <f>IF(B1266="","",IFERROR(VLOOKUP(B1266, PLANTA_BASE!A:W, 2, FALSE), "NO ENCONTRADO EN PLANTA"))</f>
        <v/>
      </c>
      <c r="B1266" s="3"/>
      <c r="C1266" s="4" t="str">
        <f>IF(B1266="","",IFERROR(VLOOKUP(B1266, PLANTA_BASE!A:W, 3, FALSE), ""))</f>
        <v/>
      </c>
      <c r="D1266" s="2" t="str">
        <f>IF(B1266="","",IFERROR(VLOOKUP(B1266, PLANTA_BASE!A:W, 5, FALSE), "NO ENCONTRADO EN PLANTA"))</f>
        <v/>
      </c>
      <c r="E1266" s="2" t="str">
        <f>IF(B1266="","",IFERROR(VLOOKUP(B1266, PLANTA_BASE!A:W, 6, FALSE), "NO ENCONTRADO EN PLANTA"))</f>
        <v/>
      </c>
      <c r="F1266" s="4" t="str">
        <f>IF(B1266="","",IFERROR(VLOOKUP(B1266, PLANTA_BASE!A:W, 8, FALSE), "DOCENTE / FACILITADOR"))</f>
        <v/>
      </c>
      <c r="G1266" s="4" t="str">
        <f>IF(B1266="","",IFERROR(VLOOKUP(B1266, PLANTA_BASE!A:W, 9, FALSE), "GENERAL"))</f>
        <v/>
      </c>
      <c r="H1266" s="2" t="str">
        <f>IF(B1266="","",IFERROR(VLOOKUP(B1266, PLANTA_BASE!A:W, 17, FALSE), "GENERAL"))</f>
        <v/>
      </c>
    </row>
    <row r="1267" spans="1:8" ht="20.100000000000001" customHeight="1" x14ac:dyDescent="0.25">
      <c r="A1267" s="5" t="str">
        <f>IF(B1267="","",IFERROR(VLOOKUP(B1267, PLANTA_BASE!A:W, 2, FALSE), "NO ENCONTRADO EN PLANTA"))</f>
        <v/>
      </c>
      <c r="B1267" s="6"/>
      <c r="C1267" s="7" t="str">
        <f>IF(B1267="","",IFERROR(VLOOKUP(B1267, PLANTA_BASE!A:W, 3, FALSE), ""))</f>
        <v/>
      </c>
      <c r="D1267" s="5" t="str">
        <f>IF(B1267="","",IFERROR(VLOOKUP(B1267, PLANTA_BASE!A:W, 5, FALSE), "NO ENCONTRADO EN PLANTA"))</f>
        <v/>
      </c>
      <c r="E1267" s="5" t="str">
        <f>IF(B1267="","",IFERROR(VLOOKUP(B1267, PLANTA_BASE!A:W, 6, FALSE), "NO ENCONTRADO EN PLANTA"))</f>
        <v/>
      </c>
      <c r="F1267" s="7" t="str">
        <f>IF(B1267="","",IFERROR(VLOOKUP(B1267, PLANTA_BASE!A:W, 8, FALSE), "DOCENTE / FACILITADOR"))</f>
        <v/>
      </c>
      <c r="G1267" s="7" t="str">
        <f>IF(B1267="","",IFERROR(VLOOKUP(B1267, PLANTA_BASE!A:W, 9, FALSE), "GENERAL"))</f>
        <v/>
      </c>
      <c r="H1267" s="5" t="str">
        <f>IF(B1267="","",IFERROR(VLOOKUP(B1267, PLANTA_BASE!A:W, 17, FALSE), "GENERAL"))</f>
        <v/>
      </c>
    </row>
    <row r="1268" spans="1:8" ht="20.100000000000001" customHeight="1" x14ac:dyDescent="0.25">
      <c r="A1268" s="2" t="str">
        <f>IF(B1268="","",IFERROR(VLOOKUP(B1268, PLANTA_BASE!A:W, 2, FALSE), "NO ENCONTRADO EN PLANTA"))</f>
        <v/>
      </c>
      <c r="B1268" s="3"/>
      <c r="C1268" s="4" t="str">
        <f>IF(B1268="","",IFERROR(VLOOKUP(B1268, PLANTA_BASE!A:W, 3, FALSE), ""))</f>
        <v/>
      </c>
      <c r="D1268" s="2" t="str">
        <f>IF(B1268="","",IFERROR(VLOOKUP(B1268, PLANTA_BASE!A:W, 5, FALSE), "NO ENCONTRADO EN PLANTA"))</f>
        <v/>
      </c>
      <c r="E1268" s="2" t="str">
        <f>IF(B1268="","",IFERROR(VLOOKUP(B1268, PLANTA_BASE!A:W, 6, FALSE), "NO ENCONTRADO EN PLANTA"))</f>
        <v/>
      </c>
      <c r="F1268" s="4" t="str">
        <f>IF(B1268="","",IFERROR(VLOOKUP(B1268, PLANTA_BASE!A:W, 8, FALSE), "DOCENTE / FACILITADOR"))</f>
        <v/>
      </c>
      <c r="G1268" s="4" t="str">
        <f>IF(B1268="","",IFERROR(VLOOKUP(B1268, PLANTA_BASE!A:W, 9, FALSE), "GENERAL"))</f>
        <v/>
      </c>
      <c r="H1268" s="2" t="str">
        <f>IF(B1268="","",IFERROR(VLOOKUP(B1268, PLANTA_BASE!A:W, 17, FALSE), "GENERAL"))</f>
        <v/>
      </c>
    </row>
    <row r="1269" spans="1:8" ht="20.100000000000001" customHeight="1" x14ac:dyDescent="0.25">
      <c r="A1269" s="5" t="str">
        <f>IF(B1269="","",IFERROR(VLOOKUP(B1269, PLANTA_BASE!A:W, 2, FALSE), "NO ENCONTRADO EN PLANTA"))</f>
        <v/>
      </c>
      <c r="B1269" s="6"/>
      <c r="C1269" s="7" t="str">
        <f>IF(B1269="","",IFERROR(VLOOKUP(B1269, PLANTA_BASE!A:W, 3, FALSE), ""))</f>
        <v/>
      </c>
      <c r="D1269" s="5" t="str">
        <f>IF(B1269="","",IFERROR(VLOOKUP(B1269, PLANTA_BASE!A:W, 5, FALSE), "NO ENCONTRADO EN PLANTA"))</f>
        <v/>
      </c>
      <c r="E1269" s="5" t="str">
        <f>IF(B1269="","",IFERROR(VLOOKUP(B1269, PLANTA_BASE!A:W, 6, FALSE), "NO ENCONTRADO EN PLANTA"))</f>
        <v/>
      </c>
      <c r="F1269" s="7" t="str">
        <f>IF(B1269="","",IFERROR(VLOOKUP(B1269, PLANTA_BASE!A:W, 8, FALSE), "DOCENTE / FACILITADOR"))</f>
        <v/>
      </c>
      <c r="G1269" s="7" t="str">
        <f>IF(B1269="","",IFERROR(VLOOKUP(B1269, PLANTA_BASE!A:W, 9, FALSE), "GENERAL"))</f>
        <v/>
      </c>
      <c r="H1269" s="5" t="str">
        <f>IF(B1269="","",IFERROR(VLOOKUP(B1269, PLANTA_BASE!A:W, 17, FALSE), "GENERAL"))</f>
        <v/>
      </c>
    </row>
    <row r="1270" spans="1:8" ht="20.100000000000001" customHeight="1" x14ac:dyDescent="0.25">
      <c r="A1270" s="2" t="str">
        <f>IF(B1270="","",IFERROR(VLOOKUP(B1270, PLANTA_BASE!A:W, 2, FALSE), "NO ENCONTRADO EN PLANTA"))</f>
        <v/>
      </c>
      <c r="B1270" s="3"/>
      <c r="C1270" s="4" t="str">
        <f>IF(B1270="","",IFERROR(VLOOKUP(B1270, PLANTA_BASE!A:W, 3, FALSE), ""))</f>
        <v/>
      </c>
      <c r="D1270" s="2" t="str">
        <f>IF(B1270="","",IFERROR(VLOOKUP(B1270, PLANTA_BASE!A:W, 5, FALSE), "NO ENCONTRADO EN PLANTA"))</f>
        <v/>
      </c>
      <c r="E1270" s="2" t="str">
        <f>IF(B1270="","",IFERROR(VLOOKUP(B1270, PLANTA_BASE!A:W, 6, FALSE), "NO ENCONTRADO EN PLANTA"))</f>
        <v/>
      </c>
      <c r="F1270" s="4" t="str">
        <f>IF(B1270="","",IFERROR(VLOOKUP(B1270, PLANTA_BASE!A:W, 8, FALSE), "DOCENTE / FACILITADOR"))</f>
        <v/>
      </c>
      <c r="G1270" s="4" t="str">
        <f>IF(B1270="","",IFERROR(VLOOKUP(B1270, PLANTA_BASE!A:W, 9, FALSE), "GENERAL"))</f>
        <v/>
      </c>
      <c r="H1270" s="2" t="str">
        <f>IF(B1270="","",IFERROR(VLOOKUP(B1270, PLANTA_BASE!A:W, 17, FALSE), "GENERAL"))</f>
        <v/>
      </c>
    </row>
    <row r="1271" spans="1:8" ht="20.100000000000001" customHeight="1" x14ac:dyDescent="0.25">
      <c r="A1271" s="5" t="str">
        <f>IF(B1271="","",IFERROR(VLOOKUP(B1271, PLANTA_BASE!A:W, 2, FALSE), "NO ENCONTRADO EN PLANTA"))</f>
        <v/>
      </c>
      <c r="B1271" s="6"/>
      <c r="C1271" s="7" t="str">
        <f>IF(B1271="","",IFERROR(VLOOKUP(B1271, PLANTA_BASE!A:W, 3, FALSE), ""))</f>
        <v/>
      </c>
      <c r="D1271" s="5" t="str">
        <f>IF(B1271="","",IFERROR(VLOOKUP(B1271, PLANTA_BASE!A:W, 5, FALSE), "NO ENCONTRADO EN PLANTA"))</f>
        <v/>
      </c>
      <c r="E1271" s="5" t="str">
        <f>IF(B1271="","",IFERROR(VLOOKUP(B1271, PLANTA_BASE!A:W, 6, FALSE), "NO ENCONTRADO EN PLANTA"))</f>
        <v/>
      </c>
      <c r="F1271" s="7" t="str">
        <f>IF(B1271="","",IFERROR(VLOOKUP(B1271, PLANTA_BASE!A:W, 8, FALSE), "DOCENTE / FACILITADOR"))</f>
        <v/>
      </c>
      <c r="G1271" s="7" t="str">
        <f>IF(B1271="","",IFERROR(VLOOKUP(B1271, PLANTA_BASE!A:W, 9, FALSE), "GENERAL"))</f>
        <v/>
      </c>
      <c r="H1271" s="5" t="str">
        <f>IF(B1271="","",IFERROR(VLOOKUP(B1271, PLANTA_BASE!A:W, 17, FALSE), "GENERAL"))</f>
        <v/>
      </c>
    </row>
    <row r="1272" spans="1:8" ht="20.100000000000001" customHeight="1" x14ac:dyDescent="0.25">
      <c r="A1272" s="2" t="str">
        <f>IF(B1272="","",IFERROR(VLOOKUP(B1272, PLANTA_BASE!A:W, 2, FALSE), "NO ENCONTRADO EN PLANTA"))</f>
        <v/>
      </c>
      <c r="B1272" s="3"/>
      <c r="C1272" s="4" t="str">
        <f>IF(B1272="","",IFERROR(VLOOKUP(B1272, PLANTA_BASE!A:W, 3, FALSE), ""))</f>
        <v/>
      </c>
      <c r="D1272" s="2" t="str">
        <f>IF(B1272="","",IFERROR(VLOOKUP(B1272, PLANTA_BASE!A:W, 5, FALSE), "NO ENCONTRADO EN PLANTA"))</f>
        <v/>
      </c>
      <c r="E1272" s="2" t="str">
        <f>IF(B1272="","",IFERROR(VLOOKUP(B1272, PLANTA_BASE!A:W, 6, FALSE), "NO ENCONTRADO EN PLANTA"))</f>
        <v/>
      </c>
      <c r="F1272" s="4" t="str">
        <f>IF(B1272="","",IFERROR(VLOOKUP(B1272, PLANTA_BASE!A:W, 8, FALSE), "DOCENTE / FACILITADOR"))</f>
        <v/>
      </c>
      <c r="G1272" s="4" t="str">
        <f>IF(B1272="","",IFERROR(VLOOKUP(B1272, PLANTA_BASE!A:W, 9, FALSE), "GENERAL"))</f>
        <v/>
      </c>
      <c r="H1272" s="2" t="str">
        <f>IF(B1272="","",IFERROR(VLOOKUP(B1272, PLANTA_BASE!A:W, 17, FALSE), "GENERAL"))</f>
        <v/>
      </c>
    </row>
    <row r="1273" spans="1:8" ht="20.100000000000001" customHeight="1" x14ac:dyDescent="0.25">
      <c r="A1273" s="5" t="str">
        <f>IF(B1273="","",IFERROR(VLOOKUP(B1273, PLANTA_BASE!A:W, 2, FALSE), "NO ENCONTRADO EN PLANTA"))</f>
        <v/>
      </c>
      <c r="B1273" s="6"/>
      <c r="C1273" s="7" t="str">
        <f>IF(B1273="","",IFERROR(VLOOKUP(B1273, PLANTA_BASE!A:W, 3, FALSE), ""))</f>
        <v/>
      </c>
      <c r="D1273" s="5" t="str">
        <f>IF(B1273="","",IFERROR(VLOOKUP(B1273, PLANTA_BASE!A:W, 5, FALSE), "NO ENCONTRADO EN PLANTA"))</f>
        <v/>
      </c>
      <c r="E1273" s="5" t="str">
        <f>IF(B1273="","",IFERROR(VLOOKUP(B1273, PLANTA_BASE!A:W, 6, FALSE), "NO ENCONTRADO EN PLANTA"))</f>
        <v/>
      </c>
      <c r="F1273" s="7" t="str">
        <f>IF(B1273="","",IFERROR(VLOOKUP(B1273, PLANTA_BASE!A:W, 8, FALSE), "DOCENTE / FACILITADOR"))</f>
        <v/>
      </c>
      <c r="G1273" s="7" t="str">
        <f>IF(B1273="","",IFERROR(VLOOKUP(B1273, PLANTA_BASE!A:W, 9, FALSE), "GENERAL"))</f>
        <v/>
      </c>
      <c r="H1273" s="5" t="str">
        <f>IF(B1273="","",IFERROR(VLOOKUP(B1273, PLANTA_BASE!A:W, 17, FALSE), "GENERAL"))</f>
        <v/>
      </c>
    </row>
    <row r="1274" spans="1:8" ht="20.100000000000001" customHeight="1" x14ac:dyDescent="0.25">
      <c r="A1274" s="2" t="str">
        <f>IF(B1274="","",IFERROR(VLOOKUP(B1274, PLANTA_BASE!A:W, 2, FALSE), "NO ENCONTRADO EN PLANTA"))</f>
        <v/>
      </c>
      <c r="B1274" s="3"/>
      <c r="C1274" s="4" t="str">
        <f>IF(B1274="","",IFERROR(VLOOKUP(B1274, PLANTA_BASE!A:W, 3, FALSE), ""))</f>
        <v/>
      </c>
      <c r="D1274" s="2" t="str">
        <f>IF(B1274="","",IFERROR(VLOOKUP(B1274, PLANTA_BASE!A:W, 5, FALSE), "NO ENCONTRADO EN PLANTA"))</f>
        <v/>
      </c>
      <c r="E1274" s="2" t="str">
        <f>IF(B1274="","",IFERROR(VLOOKUP(B1274, PLANTA_BASE!A:W, 6, FALSE), "NO ENCONTRADO EN PLANTA"))</f>
        <v/>
      </c>
      <c r="F1274" s="4" t="str">
        <f>IF(B1274="","",IFERROR(VLOOKUP(B1274, PLANTA_BASE!A:W, 8, FALSE), "DOCENTE / FACILITADOR"))</f>
        <v/>
      </c>
      <c r="G1274" s="4" t="str">
        <f>IF(B1274="","",IFERROR(VLOOKUP(B1274, PLANTA_BASE!A:W, 9, FALSE), "GENERAL"))</f>
        <v/>
      </c>
      <c r="H1274" s="2" t="str">
        <f>IF(B1274="","",IFERROR(VLOOKUP(B1274, PLANTA_BASE!A:W, 17, FALSE), "GENERAL"))</f>
        <v/>
      </c>
    </row>
    <row r="1275" spans="1:8" ht="20.100000000000001" customHeight="1" x14ac:dyDescent="0.25">
      <c r="A1275" s="5" t="str">
        <f>IF(B1275="","",IFERROR(VLOOKUP(B1275, PLANTA_BASE!A:W, 2, FALSE), "NO ENCONTRADO EN PLANTA"))</f>
        <v/>
      </c>
      <c r="B1275" s="6"/>
      <c r="C1275" s="7" t="str">
        <f>IF(B1275="","",IFERROR(VLOOKUP(B1275, PLANTA_BASE!A:W, 3, FALSE), ""))</f>
        <v/>
      </c>
      <c r="D1275" s="5" t="str">
        <f>IF(B1275="","",IFERROR(VLOOKUP(B1275, PLANTA_BASE!A:W, 5, FALSE), "NO ENCONTRADO EN PLANTA"))</f>
        <v/>
      </c>
      <c r="E1275" s="5" t="str">
        <f>IF(B1275="","",IFERROR(VLOOKUP(B1275, PLANTA_BASE!A:W, 6, FALSE), "NO ENCONTRADO EN PLANTA"))</f>
        <v/>
      </c>
      <c r="F1275" s="7" t="str">
        <f>IF(B1275="","",IFERROR(VLOOKUP(B1275, PLANTA_BASE!A:W, 8, FALSE), "DOCENTE / FACILITADOR"))</f>
        <v/>
      </c>
      <c r="G1275" s="7" t="str">
        <f>IF(B1275="","",IFERROR(VLOOKUP(B1275, PLANTA_BASE!A:W, 9, FALSE), "GENERAL"))</f>
        <v/>
      </c>
      <c r="H1275" s="5" t="str">
        <f>IF(B1275="","",IFERROR(VLOOKUP(B1275, PLANTA_BASE!A:W, 17, FALSE), "GENERAL"))</f>
        <v/>
      </c>
    </row>
    <row r="1276" spans="1:8" ht="20.100000000000001" customHeight="1" x14ac:dyDescent="0.25">
      <c r="A1276" s="2" t="str">
        <f>IF(B1276="","",IFERROR(VLOOKUP(B1276, PLANTA_BASE!A:W, 2, FALSE), "NO ENCONTRADO EN PLANTA"))</f>
        <v/>
      </c>
      <c r="B1276" s="3"/>
      <c r="C1276" s="4" t="str">
        <f>IF(B1276="","",IFERROR(VLOOKUP(B1276, PLANTA_BASE!A:W, 3, FALSE), ""))</f>
        <v/>
      </c>
      <c r="D1276" s="2" t="str">
        <f>IF(B1276="","",IFERROR(VLOOKUP(B1276, PLANTA_BASE!A:W, 5, FALSE), "NO ENCONTRADO EN PLANTA"))</f>
        <v/>
      </c>
      <c r="E1276" s="2" t="str">
        <f>IF(B1276="","",IFERROR(VLOOKUP(B1276, PLANTA_BASE!A:W, 6, FALSE), "NO ENCONTRADO EN PLANTA"))</f>
        <v/>
      </c>
      <c r="F1276" s="4" t="str">
        <f>IF(B1276="","",IFERROR(VLOOKUP(B1276, PLANTA_BASE!A:W, 8, FALSE), "DOCENTE / FACILITADOR"))</f>
        <v/>
      </c>
      <c r="G1276" s="4" t="str">
        <f>IF(B1276="","",IFERROR(VLOOKUP(B1276, PLANTA_BASE!A:W, 9, FALSE), "GENERAL"))</f>
        <v/>
      </c>
      <c r="H1276" s="2" t="str">
        <f>IF(B1276="","",IFERROR(VLOOKUP(B1276, PLANTA_BASE!A:W, 17, FALSE), "GENERAL"))</f>
        <v/>
      </c>
    </row>
    <row r="1277" spans="1:8" ht="20.100000000000001" customHeight="1" x14ac:dyDescent="0.25">
      <c r="A1277" s="5" t="str">
        <f>IF(B1277="","",IFERROR(VLOOKUP(B1277, PLANTA_BASE!A:W, 2, FALSE), "NO ENCONTRADO EN PLANTA"))</f>
        <v/>
      </c>
      <c r="B1277" s="6"/>
      <c r="C1277" s="7" t="str">
        <f>IF(B1277="","",IFERROR(VLOOKUP(B1277, PLANTA_BASE!A:W, 3, FALSE), ""))</f>
        <v/>
      </c>
      <c r="D1277" s="5" t="str">
        <f>IF(B1277="","",IFERROR(VLOOKUP(B1277, PLANTA_BASE!A:W, 5, FALSE), "NO ENCONTRADO EN PLANTA"))</f>
        <v/>
      </c>
      <c r="E1277" s="5" t="str">
        <f>IF(B1277="","",IFERROR(VLOOKUP(B1277, PLANTA_BASE!A:W, 6, FALSE), "NO ENCONTRADO EN PLANTA"))</f>
        <v/>
      </c>
      <c r="F1277" s="7" t="str">
        <f>IF(B1277="","",IFERROR(VLOOKUP(B1277, PLANTA_BASE!A:W, 8, FALSE), "DOCENTE / FACILITADOR"))</f>
        <v/>
      </c>
      <c r="G1277" s="7" t="str">
        <f>IF(B1277="","",IFERROR(VLOOKUP(B1277, PLANTA_BASE!A:W, 9, FALSE), "GENERAL"))</f>
        <v/>
      </c>
      <c r="H1277" s="5" t="str">
        <f>IF(B1277="","",IFERROR(VLOOKUP(B1277, PLANTA_BASE!A:W, 17, FALSE), "GENERAL"))</f>
        <v/>
      </c>
    </row>
    <row r="1278" spans="1:8" ht="20.100000000000001" customHeight="1" x14ac:dyDescent="0.25">
      <c r="A1278" s="2" t="str">
        <f>IF(B1278="","",IFERROR(VLOOKUP(B1278, PLANTA_BASE!A:W, 2, FALSE), "NO ENCONTRADO EN PLANTA"))</f>
        <v/>
      </c>
      <c r="B1278" s="3"/>
      <c r="C1278" s="4" t="str">
        <f>IF(B1278="","",IFERROR(VLOOKUP(B1278, PLANTA_BASE!A:W, 3, FALSE), ""))</f>
        <v/>
      </c>
      <c r="D1278" s="2" t="str">
        <f>IF(B1278="","",IFERROR(VLOOKUP(B1278, PLANTA_BASE!A:W, 5, FALSE), "NO ENCONTRADO EN PLANTA"))</f>
        <v/>
      </c>
      <c r="E1278" s="2" t="str">
        <f>IF(B1278="","",IFERROR(VLOOKUP(B1278, PLANTA_BASE!A:W, 6, FALSE), "NO ENCONTRADO EN PLANTA"))</f>
        <v/>
      </c>
      <c r="F1278" s="4" t="str">
        <f>IF(B1278="","",IFERROR(VLOOKUP(B1278, PLANTA_BASE!A:W, 8, FALSE), "DOCENTE / FACILITADOR"))</f>
        <v/>
      </c>
      <c r="G1278" s="4" t="str">
        <f>IF(B1278="","",IFERROR(VLOOKUP(B1278, PLANTA_BASE!A:W, 9, FALSE), "GENERAL"))</f>
        <v/>
      </c>
      <c r="H1278" s="2" t="str">
        <f>IF(B1278="","",IFERROR(VLOOKUP(B1278, PLANTA_BASE!A:W, 17, FALSE), "GENERAL"))</f>
        <v/>
      </c>
    </row>
    <row r="1279" spans="1:8" ht="20.100000000000001" customHeight="1" x14ac:dyDescent="0.25">
      <c r="A1279" s="5" t="str">
        <f>IF(B1279="","",IFERROR(VLOOKUP(B1279, PLANTA_BASE!A:W, 2, FALSE), "NO ENCONTRADO EN PLANTA"))</f>
        <v/>
      </c>
      <c r="B1279" s="6"/>
      <c r="C1279" s="7" t="str">
        <f>IF(B1279="","",IFERROR(VLOOKUP(B1279, PLANTA_BASE!A:W, 3, FALSE), ""))</f>
        <v/>
      </c>
      <c r="D1279" s="5" t="str">
        <f>IF(B1279="","",IFERROR(VLOOKUP(B1279, PLANTA_BASE!A:W, 5, FALSE), "NO ENCONTRADO EN PLANTA"))</f>
        <v/>
      </c>
      <c r="E1279" s="5" t="str">
        <f>IF(B1279="","",IFERROR(VLOOKUP(B1279, PLANTA_BASE!A:W, 6, FALSE), "NO ENCONTRADO EN PLANTA"))</f>
        <v/>
      </c>
      <c r="F1279" s="7" t="str">
        <f>IF(B1279="","",IFERROR(VLOOKUP(B1279, PLANTA_BASE!A:W, 8, FALSE), "DOCENTE / FACILITADOR"))</f>
        <v/>
      </c>
      <c r="G1279" s="7" t="str">
        <f>IF(B1279="","",IFERROR(VLOOKUP(B1279, PLANTA_BASE!A:W, 9, FALSE), "GENERAL"))</f>
        <v/>
      </c>
      <c r="H1279" s="5" t="str">
        <f>IF(B1279="","",IFERROR(VLOOKUP(B1279, PLANTA_BASE!A:W, 17, FALSE), "GENERAL"))</f>
        <v/>
      </c>
    </row>
    <row r="1280" spans="1:8" ht="20.100000000000001" customHeight="1" x14ac:dyDescent="0.25">
      <c r="A1280" s="2" t="str">
        <f>IF(B1280="","",IFERROR(VLOOKUP(B1280, PLANTA_BASE!A:W, 2, FALSE), "NO ENCONTRADO EN PLANTA"))</f>
        <v/>
      </c>
      <c r="B1280" s="3"/>
      <c r="C1280" s="4" t="str">
        <f>IF(B1280="","",IFERROR(VLOOKUP(B1280, PLANTA_BASE!A:W, 3, FALSE), ""))</f>
        <v/>
      </c>
      <c r="D1280" s="2" t="str">
        <f>IF(B1280="","",IFERROR(VLOOKUP(B1280, PLANTA_BASE!A:W, 5, FALSE), "NO ENCONTRADO EN PLANTA"))</f>
        <v/>
      </c>
      <c r="E1280" s="2" t="str">
        <f>IF(B1280="","",IFERROR(VLOOKUP(B1280, PLANTA_BASE!A:W, 6, FALSE), "NO ENCONTRADO EN PLANTA"))</f>
        <v/>
      </c>
      <c r="F1280" s="4" t="str">
        <f>IF(B1280="","",IFERROR(VLOOKUP(B1280, PLANTA_BASE!A:W, 8, FALSE), "DOCENTE / FACILITADOR"))</f>
        <v/>
      </c>
      <c r="G1280" s="4" t="str">
        <f>IF(B1280="","",IFERROR(VLOOKUP(B1280, PLANTA_BASE!A:W, 9, FALSE), "GENERAL"))</f>
        <v/>
      </c>
      <c r="H1280" s="2" t="str">
        <f>IF(B1280="","",IFERROR(VLOOKUP(B1280, PLANTA_BASE!A:W, 17, FALSE), "GENERAL"))</f>
        <v/>
      </c>
    </row>
    <row r="1281" spans="1:8" ht="20.100000000000001" customHeight="1" x14ac:dyDescent="0.25">
      <c r="A1281" s="5" t="str">
        <f>IF(B1281="","",IFERROR(VLOOKUP(B1281, PLANTA_BASE!A:W, 2, FALSE), "NO ENCONTRADO EN PLANTA"))</f>
        <v/>
      </c>
      <c r="B1281" s="6"/>
      <c r="C1281" s="7" t="str">
        <f>IF(B1281="","",IFERROR(VLOOKUP(B1281, PLANTA_BASE!A:W, 3, FALSE), ""))</f>
        <v/>
      </c>
      <c r="D1281" s="5" t="str">
        <f>IF(B1281="","",IFERROR(VLOOKUP(B1281, PLANTA_BASE!A:W, 5, FALSE), "NO ENCONTRADO EN PLANTA"))</f>
        <v/>
      </c>
      <c r="E1281" s="5" t="str">
        <f>IF(B1281="","",IFERROR(VLOOKUP(B1281, PLANTA_BASE!A:W, 6, FALSE), "NO ENCONTRADO EN PLANTA"))</f>
        <v/>
      </c>
      <c r="F1281" s="7" t="str">
        <f>IF(B1281="","",IFERROR(VLOOKUP(B1281, PLANTA_BASE!A:W, 8, FALSE), "DOCENTE / FACILITADOR"))</f>
        <v/>
      </c>
      <c r="G1281" s="7" t="str">
        <f>IF(B1281="","",IFERROR(VLOOKUP(B1281, PLANTA_BASE!A:W, 9, FALSE), "GENERAL"))</f>
        <v/>
      </c>
      <c r="H1281" s="5" t="str">
        <f>IF(B1281="","",IFERROR(VLOOKUP(B1281, PLANTA_BASE!A:W, 17, FALSE), "GENERAL"))</f>
        <v/>
      </c>
    </row>
    <row r="1282" spans="1:8" ht="20.100000000000001" customHeight="1" x14ac:dyDescent="0.25">
      <c r="A1282" s="2" t="str">
        <f>IF(B1282="","",IFERROR(VLOOKUP(B1282, PLANTA_BASE!A:W, 2, FALSE), "NO ENCONTRADO EN PLANTA"))</f>
        <v/>
      </c>
      <c r="B1282" s="3"/>
      <c r="C1282" s="4" t="str">
        <f>IF(B1282="","",IFERROR(VLOOKUP(B1282, PLANTA_BASE!A:W, 3, FALSE), ""))</f>
        <v/>
      </c>
      <c r="D1282" s="2" t="str">
        <f>IF(B1282="","",IFERROR(VLOOKUP(B1282, PLANTA_BASE!A:W, 5, FALSE), "NO ENCONTRADO EN PLANTA"))</f>
        <v/>
      </c>
      <c r="E1282" s="2" t="str">
        <f>IF(B1282="","",IFERROR(VLOOKUP(B1282, PLANTA_BASE!A:W, 6, FALSE), "NO ENCONTRADO EN PLANTA"))</f>
        <v/>
      </c>
      <c r="F1282" s="4" t="str">
        <f>IF(B1282="","",IFERROR(VLOOKUP(B1282, PLANTA_BASE!A:W, 8, FALSE), "DOCENTE / FACILITADOR"))</f>
        <v/>
      </c>
      <c r="G1282" s="4" t="str">
        <f>IF(B1282="","",IFERROR(VLOOKUP(B1282, PLANTA_BASE!A:W, 9, FALSE), "GENERAL"))</f>
        <v/>
      </c>
      <c r="H1282" s="2" t="str">
        <f>IF(B1282="","",IFERROR(VLOOKUP(B1282, PLANTA_BASE!A:W, 17, FALSE), "GENERAL"))</f>
        <v/>
      </c>
    </row>
    <row r="1283" spans="1:8" ht="20.100000000000001" customHeight="1" x14ac:dyDescent="0.25">
      <c r="A1283" s="5" t="str">
        <f>IF(B1283="","",IFERROR(VLOOKUP(B1283, PLANTA_BASE!A:W, 2, FALSE), "NO ENCONTRADO EN PLANTA"))</f>
        <v/>
      </c>
      <c r="B1283" s="6"/>
      <c r="C1283" s="7" t="str">
        <f>IF(B1283="","",IFERROR(VLOOKUP(B1283, PLANTA_BASE!A:W, 3, FALSE), ""))</f>
        <v/>
      </c>
      <c r="D1283" s="5" t="str">
        <f>IF(B1283="","",IFERROR(VLOOKUP(B1283, PLANTA_BASE!A:W, 5, FALSE), "NO ENCONTRADO EN PLANTA"))</f>
        <v/>
      </c>
      <c r="E1283" s="5" t="str">
        <f>IF(B1283="","",IFERROR(VLOOKUP(B1283, PLANTA_BASE!A:W, 6, FALSE), "NO ENCONTRADO EN PLANTA"))</f>
        <v/>
      </c>
      <c r="F1283" s="7" t="str">
        <f>IF(B1283="","",IFERROR(VLOOKUP(B1283, PLANTA_BASE!A:W, 8, FALSE), "DOCENTE / FACILITADOR"))</f>
        <v/>
      </c>
      <c r="G1283" s="7" t="str">
        <f>IF(B1283="","",IFERROR(VLOOKUP(B1283, PLANTA_BASE!A:W, 9, FALSE), "GENERAL"))</f>
        <v/>
      </c>
      <c r="H1283" s="5" t="str">
        <f>IF(B1283="","",IFERROR(VLOOKUP(B1283, PLANTA_BASE!A:W, 17, FALSE), "GENERAL"))</f>
        <v/>
      </c>
    </row>
    <row r="1284" spans="1:8" ht="20.100000000000001" customHeight="1" x14ac:dyDescent="0.25">
      <c r="A1284" s="2" t="str">
        <f>IF(B1284="","",IFERROR(VLOOKUP(B1284, PLANTA_BASE!A:W, 2, FALSE), "NO ENCONTRADO EN PLANTA"))</f>
        <v/>
      </c>
      <c r="B1284" s="3"/>
      <c r="C1284" s="4" t="str">
        <f>IF(B1284="","",IFERROR(VLOOKUP(B1284, PLANTA_BASE!A:W, 3, FALSE), ""))</f>
        <v/>
      </c>
      <c r="D1284" s="2" t="str">
        <f>IF(B1284="","",IFERROR(VLOOKUP(B1284, PLANTA_BASE!A:W, 5, FALSE), "NO ENCONTRADO EN PLANTA"))</f>
        <v/>
      </c>
      <c r="E1284" s="2" t="str">
        <f>IF(B1284="","",IFERROR(VLOOKUP(B1284, PLANTA_BASE!A:W, 6, FALSE), "NO ENCONTRADO EN PLANTA"))</f>
        <v/>
      </c>
      <c r="F1284" s="4" t="str">
        <f>IF(B1284="","",IFERROR(VLOOKUP(B1284, PLANTA_BASE!A:W, 8, FALSE), "DOCENTE / FACILITADOR"))</f>
        <v/>
      </c>
      <c r="G1284" s="4" t="str">
        <f>IF(B1284="","",IFERROR(VLOOKUP(B1284, PLANTA_BASE!A:W, 9, FALSE), "GENERAL"))</f>
        <v/>
      </c>
      <c r="H1284" s="2" t="str">
        <f>IF(B1284="","",IFERROR(VLOOKUP(B1284, PLANTA_BASE!A:W, 17, FALSE), "GENERAL"))</f>
        <v/>
      </c>
    </row>
    <row r="1285" spans="1:8" ht="20.100000000000001" customHeight="1" x14ac:dyDescent="0.25">
      <c r="A1285" s="5" t="str">
        <f>IF(B1285="","",IFERROR(VLOOKUP(B1285, PLANTA_BASE!A:W, 2, FALSE), "NO ENCONTRADO EN PLANTA"))</f>
        <v/>
      </c>
      <c r="B1285" s="6"/>
      <c r="C1285" s="7" t="str">
        <f>IF(B1285="","",IFERROR(VLOOKUP(B1285, PLANTA_BASE!A:W, 3, FALSE), ""))</f>
        <v/>
      </c>
      <c r="D1285" s="5" t="str">
        <f>IF(B1285="","",IFERROR(VLOOKUP(B1285, PLANTA_BASE!A:W, 5, FALSE), "NO ENCONTRADO EN PLANTA"))</f>
        <v/>
      </c>
      <c r="E1285" s="5" t="str">
        <f>IF(B1285="","",IFERROR(VLOOKUP(B1285, PLANTA_BASE!A:W, 6, FALSE), "NO ENCONTRADO EN PLANTA"))</f>
        <v/>
      </c>
      <c r="F1285" s="7" t="str">
        <f>IF(B1285="","",IFERROR(VLOOKUP(B1285, PLANTA_BASE!A:W, 8, FALSE), "DOCENTE / FACILITADOR"))</f>
        <v/>
      </c>
      <c r="G1285" s="7" t="str">
        <f>IF(B1285="","",IFERROR(VLOOKUP(B1285, PLANTA_BASE!A:W, 9, FALSE), "GENERAL"))</f>
        <v/>
      </c>
      <c r="H1285" s="5" t="str">
        <f>IF(B1285="","",IFERROR(VLOOKUP(B1285, PLANTA_BASE!A:W, 17, FALSE), "GENERAL"))</f>
        <v/>
      </c>
    </row>
    <row r="1286" spans="1:8" ht="20.100000000000001" customHeight="1" x14ac:dyDescent="0.25">
      <c r="A1286" s="2" t="str">
        <f>IF(B1286="","",IFERROR(VLOOKUP(B1286, PLANTA_BASE!A:W, 2, FALSE), "NO ENCONTRADO EN PLANTA"))</f>
        <v/>
      </c>
      <c r="B1286" s="3"/>
      <c r="C1286" s="4" t="str">
        <f>IF(B1286="","",IFERROR(VLOOKUP(B1286, PLANTA_BASE!A:W, 3, FALSE), ""))</f>
        <v/>
      </c>
      <c r="D1286" s="2" t="str">
        <f>IF(B1286="","",IFERROR(VLOOKUP(B1286, PLANTA_BASE!A:W, 5, FALSE), "NO ENCONTRADO EN PLANTA"))</f>
        <v/>
      </c>
      <c r="E1286" s="2" t="str">
        <f>IF(B1286="","",IFERROR(VLOOKUP(B1286, PLANTA_BASE!A:W, 6, FALSE), "NO ENCONTRADO EN PLANTA"))</f>
        <v/>
      </c>
      <c r="F1286" s="4" t="str">
        <f>IF(B1286="","",IFERROR(VLOOKUP(B1286, PLANTA_BASE!A:W, 8, FALSE), "DOCENTE / FACILITADOR"))</f>
        <v/>
      </c>
      <c r="G1286" s="4" t="str">
        <f>IF(B1286="","",IFERROR(VLOOKUP(B1286, PLANTA_BASE!A:W, 9, FALSE), "GENERAL"))</f>
        <v/>
      </c>
      <c r="H1286" s="2" t="str">
        <f>IF(B1286="","",IFERROR(VLOOKUP(B1286, PLANTA_BASE!A:W, 17, FALSE), "GENERAL"))</f>
        <v/>
      </c>
    </row>
    <row r="1287" spans="1:8" ht="20.100000000000001" customHeight="1" x14ac:dyDescent="0.25">
      <c r="A1287" s="5" t="str">
        <f>IF(B1287="","",IFERROR(VLOOKUP(B1287, PLANTA_BASE!A:W, 2, FALSE), "NO ENCONTRADO EN PLANTA"))</f>
        <v/>
      </c>
      <c r="B1287" s="6"/>
      <c r="C1287" s="7" t="str">
        <f>IF(B1287="","",IFERROR(VLOOKUP(B1287, PLANTA_BASE!A:W, 3, FALSE), ""))</f>
        <v/>
      </c>
      <c r="D1287" s="5" t="str">
        <f>IF(B1287="","",IFERROR(VLOOKUP(B1287, PLANTA_BASE!A:W, 5, FALSE), "NO ENCONTRADO EN PLANTA"))</f>
        <v/>
      </c>
      <c r="E1287" s="5" t="str">
        <f>IF(B1287="","",IFERROR(VLOOKUP(B1287, PLANTA_BASE!A:W, 6, FALSE), "NO ENCONTRADO EN PLANTA"))</f>
        <v/>
      </c>
      <c r="F1287" s="7" t="str">
        <f>IF(B1287="","",IFERROR(VLOOKUP(B1287, PLANTA_BASE!A:W, 8, FALSE), "DOCENTE / FACILITADOR"))</f>
        <v/>
      </c>
      <c r="G1287" s="7" t="str">
        <f>IF(B1287="","",IFERROR(VLOOKUP(B1287, PLANTA_BASE!A:W, 9, FALSE), "GENERAL"))</f>
        <v/>
      </c>
      <c r="H1287" s="5" t="str">
        <f>IF(B1287="","",IFERROR(VLOOKUP(B1287, PLANTA_BASE!A:W, 17, FALSE), "GENERAL"))</f>
        <v/>
      </c>
    </row>
    <row r="1288" spans="1:8" ht="20.100000000000001" customHeight="1" x14ac:dyDescent="0.25">
      <c r="A1288" s="2" t="str">
        <f>IF(B1288="","",IFERROR(VLOOKUP(B1288, PLANTA_BASE!A:W, 2, FALSE), "NO ENCONTRADO EN PLANTA"))</f>
        <v/>
      </c>
      <c r="B1288" s="3"/>
      <c r="C1288" s="4" t="str">
        <f>IF(B1288="","",IFERROR(VLOOKUP(B1288, PLANTA_BASE!A:W, 3, FALSE), ""))</f>
        <v/>
      </c>
      <c r="D1288" s="2" t="str">
        <f>IF(B1288="","",IFERROR(VLOOKUP(B1288, PLANTA_BASE!A:W, 5, FALSE), "NO ENCONTRADO EN PLANTA"))</f>
        <v/>
      </c>
      <c r="E1288" s="2" t="str">
        <f>IF(B1288="","",IFERROR(VLOOKUP(B1288, PLANTA_BASE!A:W, 6, FALSE), "NO ENCONTRADO EN PLANTA"))</f>
        <v/>
      </c>
      <c r="F1288" s="4" t="str">
        <f>IF(B1288="","",IFERROR(VLOOKUP(B1288, PLANTA_BASE!A:W, 8, FALSE), "DOCENTE / FACILITADOR"))</f>
        <v/>
      </c>
      <c r="G1288" s="4" t="str">
        <f>IF(B1288="","",IFERROR(VLOOKUP(B1288, PLANTA_BASE!A:W, 9, FALSE), "GENERAL"))</f>
        <v/>
      </c>
      <c r="H1288" s="2" t="str">
        <f>IF(B1288="","",IFERROR(VLOOKUP(B1288, PLANTA_BASE!A:W, 17, FALSE), "GENERAL"))</f>
        <v/>
      </c>
    </row>
    <row r="1289" spans="1:8" ht="20.100000000000001" customHeight="1" x14ac:dyDescent="0.25">
      <c r="A1289" s="5" t="str">
        <f>IF(B1289="","",IFERROR(VLOOKUP(B1289, PLANTA_BASE!A:W, 2, FALSE), "NO ENCONTRADO EN PLANTA"))</f>
        <v/>
      </c>
      <c r="B1289" s="6"/>
      <c r="C1289" s="7" t="str">
        <f>IF(B1289="","",IFERROR(VLOOKUP(B1289, PLANTA_BASE!A:W, 3, FALSE), ""))</f>
        <v/>
      </c>
      <c r="D1289" s="5" t="str">
        <f>IF(B1289="","",IFERROR(VLOOKUP(B1289, PLANTA_BASE!A:W, 5, FALSE), "NO ENCONTRADO EN PLANTA"))</f>
        <v/>
      </c>
      <c r="E1289" s="5" t="str">
        <f>IF(B1289="","",IFERROR(VLOOKUP(B1289, PLANTA_BASE!A:W, 6, FALSE), "NO ENCONTRADO EN PLANTA"))</f>
        <v/>
      </c>
      <c r="F1289" s="7" t="str">
        <f>IF(B1289="","",IFERROR(VLOOKUP(B1289, PLANTA_BASE!A:W, 8, FALSE), "DOCENTE / FACILITADOR"))</f>
        <v/>
      </c>
      <c r="G1289" s="7" t="str">
        <f>IF(B1289="","",IFERROR(VLOOKUP(B1289, PLANTA_BASE!A:W, 9, FALSE), "GENERAL"))</f>
        <v/>
      </c>
      <c r="H1289" s="5" t="str">
        <f>IF(B1289="","",IFERROR(VLOOKUP(B1289, PLANTA_BASE!A:W, 17, FALSE), "GENERAL"))</f>
        <v/>
      </c>
    </row>
    <row r="1290" spans="1:8" ht="20.100000000000001" customHeight="1" x14ac:dyDescent="0.25">
      <c r="A1290" s="2" t="str">
        <f>IF(B1290="","",IFERROR(VLOOKUP(B1290, PLANTA_BASE!A:W, 2, FALSE), "NO ENCONTRADO EN PLANTA"))</f>
        <v/>
      </c>
      <c r="B1290" s="3"/>
      <c r="C1290" s="4" t="str">
        <f>IF(B1290="","",IFERROR(VLOOKUP(B1290, PLANTA_BASE!A:W, 3, FALSE), ""))</f>
        <v/>
      </c>
      <c r="D1290" s="2" t="str">
        <f>IF(B1290="","",IFERROR(VLOOKUP(B1290, PLANTA_BASE!A:W, 5, FALSE), "NO ENCONTRADO EN PLANTA"))</f>
        <v/>
      </c>
      <c r="E1290" s="2" t="str">
        <f>IF(B1290="","",IFERROR(VLOOKUP(B1290, PLANTA_BASE!A:W, 6, FALSE), "NO ENCONTRADO EN PLANTA"))</f>
        <v/>
      </c>
      <c r="F1290" s="4" t="str">
        <f>IF(B1290="","",IFERROR(VLOOKUP(B1290, PLANTA_BASE!A:W, 8, FALSE), "DOCENTE / FACILITADOR"))</f>
        <v/>
      </c>
      <c r="G1290" s="4" t="str">
        <f>IF(B1290="","",IFERROR(VLOOKUP(B1290, PLANTA_BASE!A:W, 9, FALSE), "GENERAL"))</f>
        <v/>
      </c>
      <c r="H1290" s="2" t="str">
        <f>IF(B1290="","",IFERROR(VLOOKUP(B1290, PLANTA_BASE!A:W, 17, FALSE), "GENERAL"))</f>
        <v/>
      </c>
    </row>
    <row r="1291" spans="1:8" ht="20.100000000000001" customHeight="1" x14ac:dyDescent="0.25">
      <c r="A1291" s="5" t="str">
        <f>IF(B1291="","",IFERROR(VLOOKUP(B1291, PLANTA_BASE!A:W, 2, FALSE), "NO ENCONTRADO EN PLANTA"))</f>
        <v/>
      </c>
      <c r="B1291" s="6"/>
      <c r="C1291" s="7" t="str">
        <f>IF(B1291="","",IFERROR(VLOOKUP(B1291, PLANTA_BASE!A:W, 3, FALSE), ""))</f>
        <v/>
      </c>
      <c r="D1291" s="5" t="str">
        <f>IF(B1291="","",IFERROR(VLOOKUP(B1291, PLANTA_BASE!A:W, 5, FALSE), "NO ENCONTRADO EN PLANTA"))</f>
        <v/>
      </c>
      <c r="E1291" s="5" t="str">
        <f>IF(B1291="","",IFERROR(VLOOKUP(B1291, PLANTA_BASE!A:W, 6, FALSE), "NO ENCONTRADO EN PLANTA"))</f>
        <v/>
      </c>
      <c r="F1291" s="7" t="str">
        <f>IF(B1291="","",IFERROR(VLOOKUP(B1291, PLANTA_BASE!A:W, 8, FALSE), "DOCENTE / FACILITADOR"))</f>
        <v/>
      </c>
      <c r="G1291" s="7" t="str">
        <f>IF(B1291="","",IFERROR(VLOOKUP(B1291, PLANTA_BASE!A:W, 9, FALSE), "GENERAL"))</f>
        <v/>
      </c>
      <c r="H1291" s="5" t="str">
        <f>IF(B1291="","",IFERROR(VLOOKUP(B1291, PLANTA_BASE!A:W, 17, FALSE), "GENERAL"))</f>
        <v/>
      </c>
    </row>
    <row r="1292" spans="1:8" ht="20.100000000000001" customHeight="1" x14ac:dyDescent="0.25">
      <c r="A1292" s="2" t="str">
        <f>IF(B1292="","",IFERROR(VLOOKUP(B1292, PLANTA_BASE!A:W, 2, FALSE), "NO ENCONTRADO EN PLANTA"))</f>
        <v/>
      </c>
      <c r="B1292" s="3"/>
      <c r="C1292" s="4" t="str">
        <f>IF(B1292="","",IFERROR(VLOOKUP(B1292, PLANTA_BASE!A:W, 3, FALSE), ""))</f>
        <v/>
      </c>
      <c r="D1292" s="2" t="str">
        <f>IF(B1292="","",IFERROR(VLOOKUP(B1292, PLANTA_BASE!A:W, 5, FALSE), "NO ENCONTRADO EN PLANTA"))</f>
        <v/>
      </c>
      <c r="E1292" s="2" t="str">
        <f>IF(B1292="","",IFERROR(VLOOKUP(B1292, PLANTA_BASE!A:W, 6, FALSE), "NO ENCONTRADO EN PLANTA"))</f>
        <v/>
      </c>
      <c r="F1292" s="4" t="str">
        <f>IF(B1292="","",IFERROR(VLOOKUP(B1292, PLANTA_BASE!A:W, 8, FALSE), "DOCENTE / FACILITADOR"))</f>
        <v/>
      </c>
      <c r="G1292" s="4" t="str">
        <f>IF(B1292="","",IFERROR(VLOOKUP(B1292, PLANTA_BASE!A:W, 9, FALSE), "GENERAL"))</f>
        <v/>
      </c>
      <c r="H1292" s="2" t="str">
        <f>IF(B1292="","",IFERROR(VLOOKUP(B1292, PLANTA_BASE!A:W, 17, FALSE), "GENERAL"))</f>
        <v/>
      </c>
    </row>
    <row r="1293" spans="1:8" ht="20.100000000000001" customHeight="1" x14ac:dyDescent="0.25">
      <c r="A1293" s="5" t="str">
        <f>IF(B1293="","",IFERROR(VLOOKUP(B1293, PLANTA_BASE!A:W, 2, FALSE), "NO ENCONTRADO EN PLANTA"))</f>
        <v/>
      </c>
      <c r="B1293" s="6"/>
      <c r="C1293" s="7" t="str">
        <f>IF(B1293="","",IFERROR(VLOOKUP(B1293, PLANTA_BASE!A:W, 3, FALSE), ""))</f>
        <v/>
      </c>
      <c r="D1293" s="5" t="str">
        <f>IF(B1293="","",IFERROR(VLOOKUP(B1293, PLANTA_BASE!A:W, 5, FALSE), "NO ENCONTRADO EN PLANTA"))</f>
        <v/>
      </c>
      <c r="E1293" s="5" t="str">
        <f>IF(B1293="","",IFERROR(VLOOKUP(B1293, PLANTA_BASE!A:W, 6, FALSE), "NO ENCONTRADO EN PLANTA"))</f>
        <v/>
      </c>
      <c r="F1293" s="7" t="str">
        <f>IF(B1293="","",IFERROR(VLOOKUP(B1293, PLANTA_BASE!A:W, 8, FALSE), "DOCENTE / FACILITADOR"))</f>
        <v/>
      </c>
      <c r="G1293" s="7" t="str">
        <f>IF(B1293="","",IFERROR(VLOOKUP(B1293, PLANTA_BASE!A:W, 9, FALSE), "GENERAL"))</f>
        <v/>
      </c>
      <c r="H1293" s="5" t="str">
        <f>IF(B1293="","",IFERROR(VLOOKUP(B1293, PLANTA_BASE!A:W, 17, FALSE), "GENERAL"))</f>
        <v/>
      </c>
    </row>
    <row r="1294" spans="1:8" ht="20.100000000000001" customHeight="1" x14ac:dyDescent="0.25">
      <c r="A1294" s="2" t="str">
        <f>IF(B1294="","",IFERROR(VLOOKUP(B1294, PLANTA_BASE!A:W, 2, FALSE), "NO ENCONTRADO EN PLANTA"))</f>
        <v/>
      </c>
      <c r="B1294" s="3"/>
      <c r="C1294" s="4" t="str">
        <f>IF(B1294="","",IFERROR(VLOOKUP(B1294, PLANTA_BASE!A:W, 3, FALSE), ""))</f>
        <v/>
      </c>
      <c r="D1294" s="2" t="str">
        <f>IF(B1294="","",IFERROR(VLOOKUP(B1294, PLANTA_BASE!A:W, 5, FALSE), "NO ENCONTRADO EN PLANTA"))</f>
        <v/>
      </c>
      <c r="E1294" s="2" t="str">
        <f>IF(B1294="","",IFERROR(VLOOKUP(B1294, PLANTA_BASE!A:W, 6, FALSE), "NO ENCONTRADO EN PLANTA"))</f>
        <v/>
      </c>
      <c r="F1294" s="4" t="str">
        <f>IF(B1294="","",IFERROR(VLOOKUP(B1294, PLANTA_BASE!A:W, 8, FALSE), "DOCENTE / FACILITADOR"))</f>
        <v/>
      </c>
      <c r="G1294" s="4" t="str">
        <f>IF(B1294="","",IFERROR(VLOOKUP(B1294, PLANTA_BASE!A:W, 9, FALSE), "GENERAL"))</f>
        <v/>
      </c>
      <c r="H1294" s="2" t="str">
        <f>IF(B1294="","",IFERROR(VLOOKUP(B1294, PLANTA_BASE!A:W, 17, FALSE), "GENERAL"))</f>
        <v/>
      </c>
    </row>
    <row r="1295" spans="1:8" ht="20.100000000000001" customHeight="1" x14ac:dyDescent="0.25">
      <c r="A1295" s="5" t="str">
        <f>IF(B1295="","",IFERROR(VLOOKUP(B1295, PLANTA_BASE!A:W, 2, FALSE), "NO ENCONTRADO EN PLANTA"))</f>
        <v/>
      </c>
      <c r="B1295" s="6"/>
      <c r="C1295" s="7" t="str">
        <f>IF(B1295="","",IFERROR(VLOOKUP(B1295, PLANTA_BASE!A:W, 3, FALSE), ""))</f>
        <v/>
      </c>
      <c r="D1295" s="5" t="str">
        <f>IF(B1295="","",IFERROR(VLOOKUP(B1295, PLANTA_BASE!A:W, 5, FALSE), "NO ENCONTRADO EN PLANTA"))</f>
        <v/>
      </c>
      <c r="E1295" s="5" t="str">
        <f>IF(B1295="","",IFERROR(VLOOKUP(B1295, PLANTA_BASE!A:W, 6, FALSE), "NO ENCONTRADO EN PLANTA"))</f>
        <v/>
      </c>
      <c r="F1295" s="7" t="str">
        <f>IF(B1295="","",IFERROR(VLOOKUP(B1295, PLANTA_BASE!A:W, 8, FALSE), "DOCENTE / FACILITADOR"))</f>
        <v/>
      </c>
      <c r="G1295" s="7" t="str">
        <f>IF(B1295="","",IFERROR(VLOOKUP(B1295, PLANTA_BASE!A:W, 9, FALSE), "GENERAL"))</f>
        <v/>
      </c>
      <c r="H1295" s="5" t="str">
        <f>IF(B1295="","",IFERROR(VLOOKUP(B1295, PLANTA_BASE!A:W, 17, FALSE), "GENERAL"))</f>
        <v/>
      </c>
    </row>
    <row r="1296" spans="1:8" ht="20.100000000000001" customHeight="1" x14ac:dyDescent="0.25">
      <c r="A1296" s="2" t="str">
        <f>IF(B1296="","",IFERROR(VLOOKUP(B1296, PLANTA_BASE!A:W, 2, FALSE), "NO ENCONTRADO EN PLANTA"))</f>
        <v/>
      </c>
      <c r="B1296" s="3"/>
      <c r="C1296" s="4" t="str">
        <f>IF(B1296="","",IFERROR(VLOOKUP(B1296, PLANTA_BASE!A:W, 3, FALSE), ""))</f>
        <v/>
      </c>
      <c r="D1296" s="2" t="str">
        <f>IF(B1296="","",IFERROR(VLOOKUP(B1296, PLANTA_BASE!A:W, 5, FALSE), "NO ENCONTRADO EN PLANTA"))</f>
        <v/>
      </c>
      <c r="E1296" s="2" t="str">
        <f>IF(B1296="","",IFERROR(VLOOKUP(B1296, PLANTA_BASE!A:W, 6, FALSE), "NO ENCONTRADO EN PLANTA"))</f>
        <v/>
      </c>
      <c r="F1296" s="4" t="str">
        <f>IF(B1296="","",IFERROR(VLOOKUP(B1296, PLANTA_BASE!A:W, 8, FALSE), "DOCENTE / FACILITADOR"))</f>
        <v/>
      </c>
      <c r="G1296" s="4" t="str">
        <f>IF(B1296="","",IFERROR(VLOOKUP(B1296, PLANTA_BASE!A:W, 9, FALSE), "GENERAL"))</f>
        <v/>
      </c>
      <c r="H1296" s="2" t="str">
        <f>IF(B1296="","",IFERROR(VLOOKUP(B1296, PLANTA_BASE!A:W, 17, FALSE), "GENERAL"))</f>
        <v/>
      </c>
    </row>
    <row r="1297" spans="1:8" ht="20.100000000000001" customHeight="1" x14ac:dyDescent="0.25">
      <c r="A1297" s="5" t="str">
        <f>IF(B1297="","",IFERROR(VLOOKUP(B1297, PLANTA_BASE!A:W, 2, FALSE), "NO ENCONTRADO EN PLANTA"))</f>
        <v/>
      </c>
      <c r="B1297" s="6"/>
      <c r="C1297" s="7" t="str">
        <f>IF(B1297="","",IFERROR(VLOOKUP(B1297, PLANTA_BASE!A:W, 3, FALSE), ""))</f>
        <v/>
      </c>
      <c r="D1297" s="5" t="str">
        <f>IF(B1297="","",IFERROR(VLOOKUP(B1297, PLANTA_BASE!A:W, 5, FALSE), "NO ENCONTRADO EN PLANTA"))</f>
        <v/>
      </c>
      <c r="E1297" s="5" t="str">
        <f>IF(B1297="","",IFERROR(VLOOKUP(B1297, PLANTA_BASE!A:W, 6, FALSE), "NO ENCONTRADO EN PLANTA"))</f>
        <v/>
      </c>
      <c r="F1297" s="7" t="str">
        <f>IF(B1297="","",IFERROR(VLOOKUP(B1297, PLANTA_BASE!A:W, 8, FALSE), "DOCENTE / FACILITADOR"))</f>
        <v/>
      </c>
      <c r="G1297" s="7" t="str">
        <f>IF(B1297="","",IFERROR(VLOOKUP(B1297, PLANTA_BASE!A:W, 9, FALSE), "GENERAL"))</f>
        <v/>
      </c>
      <c r="H1297" s="5" t="str">
        <f>IF(B1297="","",IFERROR(VLOOKUP(B1297, PLANTA_BASE!A:W, 17, FALSE), "GENERAL"))</f>
        <v/>
      </c>
    </row>
    <row r="1298" spans="1:8" ht="20.100000000000001" customHeight="1" x14ac:dyDescent="0.25">
      <c r="A1298" s="2" t="str">
        <f>IF(B1298="","",IFERROR(VLOOKUP(B1298, PLANTA_BASE!A:W, 2, FALSE), "NO ENCONTRADO EN PLANTA"))</f>
        <v/>
      </c>
      <c r="B1298" s="3"/>
      <c r="C1298" s="4" t="str">
        <f>IF(B1298="","",IFERROR(VLOOKUP(B1298, PLANTA_BASE!A:W, 3, FALSE), ""))</f>
        <v/>
      </c>
      <c r="D1298" s="2" t="str">
        <f>IF(B1298="","",IFERROR(VLOOKUP(B1298, PLANTA_BASE!A:W, 5, FALSE), "NO ENCONTRADO EN PLANTA"))</f>
        <v/>
      </c>
      <c r="E1298" s="2" t="str">
        <f>IF(B1298="","",IFERROR(VLOOKUP(B1298, PLANTA_BASE!A:W, 6, FALSE), "NO ENCONTRADO EN PLANTA"))</f>
        <v/>
      </c>
      <c r="F1298" s="4" t="str">
        <f>IF(B1298="","",IFERROR(VLOOKUP(B1298, PLANTA_BASE!A:W, 8, FALSE), "DOCENTE / FACILITADOR"))</f>
        <v/>
      </c>
      <c r="G1298" s="4" t="str">
        <f>IF(B1298="","",IFERROR(VLOOKUP(B1298, PLANTA_BASE!A:W, 9, FALSE), "GENERAL"))</f>
        <v/>
      </c>
      <c r="H1298" s="2" t="str">
        <f>IF(B1298="","",IFERROR(VLOOKUP(B1298, PLANTA_BASE!A:W, 17, FALSE), "GENERAL"))</f>
        <v/>
      </c>
    </row>
    <row r="1299" spans="1:8" ht="20.100000000000001" customHeight="1" x14ac:dyDescent="0.25">
      <c r="A1299" s="5" t="str">
        <f>IF(B1299="","",IFERROR(VLOOKUP(B1299, PLANTA_BASE!A:W, 2, FALSE), "NO ENCONTRADO EN PLANTA"))</f>
        <v/>
      </c>
      <c r="B1299" s="6"/>
      <c r="C1299" s="7" t="str">
        <f>IF(B1299="","",IFERROR(VLOOKUP(B1299, PLANTA_BASE!A:W, 3, FALSE), ""))</f>
        <v/>
      </c>
      <c r="D1299" s="5" t="str">
        <f>IF(B1299="","",IFERROR(VLOOKUP(B1299, PLANTA_BASE!A:W, 5, FALSE), "NO ENCONTRADO EN PLANTA"))</f>
        <v/>
      </c>
      <c r="E1299" s="5" t="str">
        <f>IF(B1299="","",IFERROR(VLOOKUP(B1299, PLANTA_BASE!A:W, 6, FALSE), "NO ENCONTRADO EN PLANTA"))</f>
        <v/>
      </c>
      <c r="F1299" s="7" t="str">
        <f>IF(B1299="","",IFERROR(VLOOKUP(B1299, PLANTA_BASE!A:W, 8, FALSE), "DOCENTE / FACILITADOR"))</f>
        <v/>
      </c>
      <c r="G1299" s="7" t="str">
        <f>IF(B1299="","",IFERROR(VLOOKUP(B1299, PLANTA_BASE!A:W, 9, FALSE), "GENERAL"))</f>
        <v/>
      </c>
      <c r="H1299" s="5" t="str">
        <f>IF(B1299="","",IFERROR(VLOOKUP(B1299, PLANTA_BASE!A:W, 17, FALSE), "GENERAL"))</f>
        <v/>
      </c>
    </row>
    <row r="1300" spans="1:8" ht="20.100000000000001" customHeight="1" x14ac:dyDescent="0.25">
      <c r="A1300" s="2" t="str">
        <f>IF(B1300="","",IFERROR(VLOOKUP(B1300, PLANTA_BASE!A:W, 2, FALSE), "NO ENCONTRADO EN PLANTA"))</f>
        <v/>
      </c>
      <c r="B1300" s="3"/>
      <c r="C1300" s="4" t="str">
        <f>IF(B1300="","",IFERROR(VLOOKUP(B1300, PLANTA_BASE!A:W, 3, FALSE), ""))</f>
        <v/>
      </c>
      <c r="D1300" s="2" t="str">
        <f>IF(B1300="","",IFERROR(VLOOKUP(B1300, PLANTA_BASE!A:W, 5, FALSE), "NO ENCONTRADO EN PLANTA"))</f>
        <v/>
      </c>
      <c r="E1300" s="2" t="str">
        <f>IF(B1300="","",IFERROR(VLOOKUP(B1300, PLANTA_BASE!A:W, 6, FALSE), "NO ENCONTRADO EN PLANTA"))</f>
        <v/>
      </c>
      <c r="F1300" s="4" t="str">
        <f>IF(B1300="","",IFERROR(VLOOKUP(B1300, PLANTA_BASE!A:W, 8, FALSE), "DOCENTE / FACILITADOR"))</f>
        <v/>
      </c>
      <c r="G1300" s="4" t="str">
        <f>IF(B1300="","",IFERROR(VLOOKUP(B1300, PLANTA_BASE!A:W, 9, FALSE), "GENERAL"))</f>
        <v/>
      </c>
      <c r="H1300" s="2" t="str">
        <f>IF(B1300="","",IFERROR(VLOOKUP(B1300, PLANTA_BASE!A:W, 17, FALSE), "GENERAL"))</f>
        <v/>
      </c>
    </row>
    <row r="1301" spans="1:8" ht="20.100000000000001" customHeight="1" x14ac:dyDescent="0.25">
      <c r="A1301" s="5" t="str">
        <f>IF(B1301="","",IFERROR(VLOOKUP(B1301, PLANTA_BASE!A:W, 2, FALSE), "NO ENCONTRADO EN PLANTA"))</f>
        <v/>
      </c>
      <c r="B1301" s="6"/>
      <c r="C1301" s="7" t="str">
        <f>IF(B1301="","",IFERROR(VLOOKUP(B1301, PLANTA_BASE!A:W, 3, FALSE), ""))</f>
        <v/>
      </c>
      <c r="D1301" s="5" t="str">
        <f>IF(B1301="","",IFERROR(VLOOKUP(B1301, PLANTA_BASE!A:W, 5, FALSE), "NO ENCONTRADO EN PLANTA"))</f>
        <v/>
      </c>
      <c r="E1301" s="5" t="str">
        <f>IF(B1301="","",IFERROR(VLOOKUP(B1301, PLANTA_BASE!A:W, 6, FALSE), "NO ENCONTRADO EN PLANTA"))</f>
        <v/>
      </c>
      <c r="F1301" s="7" t="str">
        <f>IF(B1301="","",IFERROR(VLOOKUP(B1301, PLANTA_BASE!A:W, 8, FALSE), "DOCENTE / FACILITADOR"))</f>
        <v/>
      </c>
      <c r="G1301" s="7" t="str">
        <f>IF(B1301="","",IFERROR(VLOOKUP(B1301, PLANTA_BASE!A:W, 9, FALSE), "GENERAL"))</f>
        <v/>
      </c>
      <c r="H1301" s="5" t="str">
        <f>IF(B1301="","",IFERROR(VLOOKUP(B1301, PLANTA_BASE!A:W, 17, FALSE), "GENERAL"))</f>
        <v/>
      </c>
    </row>
    <row r="1302" spans="1:8" ht="20.100000000000001" customHeight="1" x14ac:dyDescent="0.25">
      <c r="A1302" s="2" t="str">
        <f>IF(B1302="","",IFERROR(VLOOKUP(B1302, PLANTA_BASE!A:W, 2, FALSE), "NO ENCONTRADO EN PLANTA"))</f>
        <v/>
      </c>
      <c r="B1302" s="3"/>
      <c r="C1302" s="4" t="str">
        <f>IF(B1302="","",IFERROR(VLOOKUP(B1302, PLANTA_BASE!A:W, 3, FALSE), ""))</f>
        <v/>
      </c>
      <c r="D1302" s="2" t="str">
        <f>IF(B1302="","",IFERROR(VLOOKUP(B1302, PLANTA_BASE!A:W, 5, FALSE), "NO ENCONTRADO EN PLANTA"))</f>
        <v/>
      </c>
      <c r="E1302" s="2" t="str">
        <f>IF(B1302="","",IFERROR(VLOOKUP(B1302, PLANTA_BASE!A:W, 6, FALSE), "NO ENCONTRADO EN PLANTA"))</f>
        <v/>
      </c>
      <c r="F1302" s="4" t="str">
        <f>IF(B1302="","",IFERROR(VLOOKUP(B1302, PLANTA_BASE!A:W, 8, FALSE), "DOCENTE / FACILITADOR"))</f>
        <v/>
      </c>
      <c r="G1302" s="4" t="str">
        <f>IF(B1302="","",IFERROR(VLOOKUP(B1302, PLANTA_BASE!A:W, 9, FALSE), "GENERAL"))</f>
        <v/>
      </c>
      <c r="H1302" s="2" t="str">
        <f>IF(B1302="","",IFERROR(VLOOKUP(B1302, PLANTA_BASE!A:W, 17, FALSE), "GENERAL"))</f>
        <v/>
      </c>
    </row>
    <row r="1303" spans="1:8" ht="20.100000000000001" customHeight="1" x14ac:dyDescent="0.25">
      <c r="A1303" s="5" t="str">
        <f>IF(B1303="","",IFERROR(VLOOKUP(B1303, PLANTA_BASE!A:W, 2, FALSE), "NO ENCONTRADO EN PLANTA"))</f>
        <v/>
      </c>
      <c r="B1303" s="6"/>
      <c r="C1303" s="7" t="str">
        <f>IF(B1303="","",IFERROR(VLOOKUP(B1303, PLANTA_BASE!A:W, 3, FALSE), ""))</f>
        <v/>
      </c>
      <c r="D1303" s="5" t="str">
        <f>IF(B1303="","",IFERROR(VLOOKUP(B1303, PLANTA_BASE!A:W, 5, FALSE), "NO ENCONTRADO EN PLANTA"))</f>
        <v/>
      </c>
      <c r="E1303" s="5" t="str">
        <f>IF(B1303="","",IFERROR(VLOOKUP(B1303, PLANTA_BASE!A:W, 6, FALSE), "NO ENCONTRADO EN PLANTA"))</f>
        <v/>
      </c>
      <c r="F1303" s="7" t="str">
        <f>IF(B1303="","",IFERROR(VLOOKUP(B1303, PLANTA_BASE!A:W, 8, FALSE), "DOCENTE / FACILITADOR"))</f>
        <v/>
      </c>
      <c r="G1303" s="7" t="str">
        <f>IF(B1303="","",IFERROR(VLOOKUP(B1303, PLANTA_BASE!A:W, 9, FALSE), "GENERAL"))</f>
        <v/>
      </c>
      <c r="H1303" s="5" t="str">
        <f>IF(B1303="","",IFERROR(VLOOKUP(B1303, PLANTA_BASE!A:W, 17, FALSE), "GENERAL"))</f>
        <v/>
      </c>
    </row>
    <row r="1304" spans="1:8" ht="20.100000000000001" customHeight="1" x14ac:dyDescent="0.25">
      <c r="A1304" s="2" t="str">
        <f>IF(B1304="","",IFERROR(VLOOKUP(B1304, PLANTA_BASE!A:W, 2, FALSE), "NO ENCONTRADO EN PLANTA"))</f>
        <v/>
      </c>
      <c r="B1304" s="3"/>
      <c r="C1304" s="4" t="str">
        <f>IF(B1304="","",IFERROR(VLOOKUP(B1304, PLANTA_BASE!A:W, 3, FALSE), ""))</f>
        <v/>
      </c>
      <c r="D1304" s="2" t="str">
        <f>IF(B1304="","",IFERROR(VLOOKUP(B1304, PLANTA_BASE!A:W, 5, FALSE), "NO ENCONTRADO EN PLANTA"))</f>
        <v/>
      </c>
      <c r="E1304" s="2" t="str">
        <f>IF(B1304="","",IFERROR(VLOOKUP(B1304, PLANTA_BASE!A:W, 6, FALSE), "NO ENCONTRADO EN PLANTA"))</f>
        <v/>
      </c>
      <c r="F1304" s="4" t="str">
        <f>IF(B1304="","",IFERROR(VLOOKUP(B1304, PLANTA_BASE!A:W, 8, FALSE), "DOCENTE / FACILITADOR"))</f>
        <v/>
      </c>
      <c r="G1304" s="4" t="str">
        <f>IF(B1304="","",IFERROR(VLOOKUP(B1304, PLANTA_BASE!A:W, 9, FALSE), "GENERAL"))</f>
        <v/>
      </c>
      <c r="H1304" s="2" t="str">
        <f>IF(B1304="","",IFERROR(VLOOKUP(B1304, PLANTA_BASE!A:W, 17, FALSE), "GENERAL"))</f>
        <v/>
      </c>
    </row>
    <row r="1305" spans="1:8" ht="20.100000000000001" customHeight="1" x14ac:dyDescent="0.25">
      <c r="A1305" s="5" t="str">
        <f>IF(B1305="","",IFERROR(VLOOKUP(B1305, PLANTA_BASE!A:W, 2, FALSE), "NO ENCONTRADO EN PLANTA"))</f>
        <v/>
      </c>
      <c r="B1305" s="6"/>
      <c r="C1305" s="7" t="str">
        <f>IF(B1305="","",IFERROR(VLOOKUP(B1305, PLANTA_BASE!A:W, 3, FALSE), ""))</f>
        <v/>
      </c>
      <c r="D1305" s="5" t="str">
        <f>IF(B1305="","",IFERROR(VLOOKUP(B1305, PLANTA_BASE!A:W, 5, FALSE), "NO ENCONTRADO EN PLANTA"))</f>
        <v/>
      </c>
      <c r="E1305" s="5" t="str">
        <f>IF(B1305="","",IFERROR(VLOOKUP(B1305, PLANTA_BASE!A:W, 6, FALSE), "NO ENCONTRADO EN PLANTA"))</f>
        <v/>
      </c>
      <c r="F1305" s="7" t="str">
        <f>IF(B1305="","",IFERROR(VLOOKUP(B1305, PLANTA_BASE!A:W, 8, FALSE), "DOCENTE / FACILITADOR"))</f>
        <v/>
      </c>
      <c r="G1305" s="7" t="str">
        <f>IF(B1305="","",IFERROR(VLOOKUP(B1305, PLANTA_BASE!A:W, 9, FALSE), "GENERAL"))</f>
        <v/>
      </c>
      <c r="H1305" s="5" t="str">
        <f>IF(B1305="","",IFERROR(VLOOKUP(B1305, PLANTA_BASE!A:W, 17, FALSE), "GENERAL"))</f>
        <v/>
      </c>
    </row>
    <row r="1306" spans="1:8" ht="20.100000000000001" customHeight="1" x14ac:dyDescent="0.25">
      <c r="A1306" s="2" t="str">
        <f>IF(B1306="","",IFERROR(VLOOKUP(B1306, PLANTA_BASE!A:W, 2, FALSE), "NO ENCONTRADO EN PLANTA"))</f>
        <v/>
      </c>
      <c r="B1306" s="3"/>
      <c r="C1306" s="4" t="str">
        <f>IF(B1306="","",IFERROR(VLOOKUP(B1306, PLANTA_BASE!A:W, 3, FALSE), ""))</f>
        <v/>
      </c>
      <c r="D1306" s="2" t="str">
        <f>IF(B1306="","",IFERROR(VLOOKUP(B1306, PLANTA_BASE!A:W, 5, FALSE), "NO ENCONTRADO EN PLANTA"))</f>
        <v/>
      </c>
      <c r="E1306" s="2" t="str">
        <f>IF(B1306="","",IFERROR(VLOOKUP(B1306, PLANTA_BASE!A:W, 6, FALSE), "NO ENCONTRADO EN PLANTA"))</f>
        <v/>
      </c>
      <c r="F1306" s="4" t="str">
        <f>IF(B1306="","",IFERROR(VLOOKUP(B1306, PLANTA_BASE!A:W, 8, FALSE), "DOCENTE / FACILITADOR"))</f>
        <v/>
      </c>
      <c r="G1306" s="4" t="str">
        <f>IF(B1306="","",IFERROR(VLOOKUP(B1306, PLANTA_BASE!A:W, 9, FALSE), "GENERAL"))</f>
        <v/>
      </c>
      <c r="H1306" s="2" t="str">
        <f>IF(B1306="","",IFERROR(VLOOKUP(B1306, PLANTA_BASE!A:W, 17, FALSE), "GENERAL"))</f>
        <v/>
      </c>
    </row>
    <row r="1307" spans="1:8" ht="20.100000000000001" customHeight="1" x14ac:dyDescent="0.25">
      <c r="A1307" s="5" t="str">
        <f>IF(B1307="","",IFERROR(VLOOKUP(B1307, PLANTA_BASE!A:W, 2, FALSE), "NO ENCONTRADO EN PLANTA"))</f>
        <v/>
      </c>
      <c r="B1307" s="6"/>
      <c r="C1307" s="7" t="str">
        <f>IF(B1307="","",IFERROR(VLOOKUP(B1307, PLANTA_BASE!A:W, 3, FALSE), ""))</f>
        <v/>
      </c>
      <c r="D1307" s="5" t="str">
        <f>IF(B1307="","",IFERROR(VLOOKUP(B1307, PLANTA_BASE!A:W, 5, FALSE), "NO ENCONTRADO EN PLANTA"))</f>
        <v/>
      </c>
      <c r="E1307" s="5" t="str">
        <f>IF(B1307="","",IFERROR(VLOOKUP(B1307, PLANTA_BASE!A:W, 6, FALSE), "NO ENCONTRADO EN PLANTA"))</f>
        <v/>
      </c>
      <c r="F1307" s="7" t="str">
        <f>IF(B1307="","",IFERROR(VLOOKUP(B1307, PLANTA_BASE!A:W, 8, FALSE), "DOCENTE / FACILITADOR"))</f>
        <v/>
      </c>
      <c r="G1307" s="7" t="str">
        <f>IF(B1307="","",IFERROR(VLOOKUP(B1307, PLANTA_BASE!A:W, 9, FALSE), "GENERAL"))</f>
        <v/>
      </c>
      <c r="H1307" s="5" t="str">
        <f>IF(B1307="","",IFERROR(VLOOKUP(B1307, PLANTA_BASE!A:W, 17, FALSE), "GENERAL"))</f>
        <v/>
      </c>
    </row>
    <row r="1308" spans="1:8" ht="20.100000000000001" customHeight="1" x14ac:dyDescent="0.25">
      <c r="A1308" s="2" t="str">
        <f>IF(B1308="","",IFERROR(VLOOKUP(B1308, PLANTA_BASE!A:W, 2, FALSE), "NO ENCONTRADO EN PLANTA"))</f>
        <v/>
      </c>
      <c r="B1308" s="3"/>
      <c r="C1308" s="4" t="str">
        <f>IF(B1308="","",IFERROR(VLOOKUP(B1308, PLANTA_BASE!A:W, 3, FALSE), ""))</f>
        <v/>
      </c>
      <c r="D1308" s="2" t="str">
        <f>IF(B1308="","",IFERROR(VLOOKUP(B1308, PLANTA_BASE!A:W, 5, FALSE), "NO ENCONTRADO EN PLANTA"))</f>
        <v/>
      </c>
      <c r="E1308" s="2" t="str">
        <f>IF(B1308="","",IFERROR(VLOOKUP(B1308, PLANTA_BASE!A:W, 6, FALSE), "NO ENCONTRADO EN PLANTA"))</f>
        <v/>
      </c>
      <c r="F1308" s="4" t="str">
        <f>IF(B1308="","",IFERROR(VLOOKUP(B1308, PLANTA_BASE!A:W, 8, FALSE), "DOCENTE / FACILITADOR"))</f>
        <v/>
      </c>
      <c r="G1308" s="4" t="str">
        <f>IF(B1308="","",IFERROR(VLOOKUP(B1308, PLANTA_BASE!A:W, 9, FALSE), "GENERAL"))</f>
        <v/>
      </c>
      <c r="H1308" s="2" t="str">
        <f>IF(B1308="","",IFERROR(VLOOKUP(B1308, PLANTA_BASE!A:W, 17, FALSE), "GENERAL"))</f>
        <v/>
      </c>
    </row>
    <row r="1309" spans="1:8" ht="20.100000000000001" customHeight="1" x14ac:dyDescent="0.25">
      <c r="A1309" s="5" t="str">
        <f>IF(B1309="","",IFERROR(VLOOKUP(B1309, PLANTA_BASE!A:W, 2, FALSE), "NO ENCONTRADO EN PLANTA"))</f>
        <v/>
      </c>
      <c r="B1309" s="6"/>
      <c r="C1309" s="7" t="str">
        <f>IF(B1309="","",IFERROR(VLOOKUP(B1309, PLANTA_BASE!A:W, 3, FALSE), ""))</f>
        <v/>
      </c>
      <c r="D1309" s="5" t="str">
        <f>IF(B1309="","",IFERROR(VLOOKUP(B1309, PLANTA_BASE!A:W, 5, FALSE), "NO ENCONTRADO EN PLANTA"))</f>
        <v/>
      </c>
      <c r="E1309" s="5" t="str">
        <f>IF(B1309="","",IFERROR(VLOOKUP(B1309, PLANTA_BASE!A:W, 6, FALSE), "NO ENCONTRADO EN PLANTA"))</f>
        <v/>
      </c>
      <c r="F1309" s="7" t="str">
        <f>IF(B1309="","",IFERROR(VLOOKUP(B1309, PLANTA_BASE!A:W, 8, FALSE), "DOCENTE / FACILITADOR"))</f>
        <v/>
      </c>
      <c r="G1309" s="7" t="str">
        <f>IF(B1309="","",IFERROR(VLOOKUP(B1309, PLANTA_BASE!A:W, 9, FALSE), "GENERAL"))</f>
        <v/>
      </c>
      <c r="H1309" s="5" t="str">
        <f>IF(B1309="","",IFERROR(VLOOKUP(B1309, PLANTA_BASE!A:W, 17, FALSE), "GENERAL"))</f>
        <v/>
      </c>
    </row>
    <row r="1310" spans="1:8" ht="20.100000000000001" customHeight="1" x14ac:dyDescent="0.25">
      <c r="A1310" s="2" t="str">
        <f>IF(B1310="","",IFERROR(VLOOKUP(B1310, PLANTA_BASE!A:W, 2, FALSE), "NO ENCONTRADO EN PLANTA"))</f>
        <v/>
      </c>
      <c r="B1310" s="3"/>
      <c r="C1310" s="4" t="str">
        <f>IF(B1310="","",IFERROR(VLOOKUP(B1310, PLANTA_BASE!A:W, 3, FALSE), ""))</f>
        <v/>
      </c>
      <c r="D1310" s="2" t="str">
        <f>IF(B1310="","",IFERROR(VLOOKUP(B1310, PLANTA_BASE!A:W, 5, FALSE), "NO ENCONTRADO EN PLANTA"))</f>
        <v/>
      </c>
      <c r="E1310" s="2" t="str">
        <f>IF(B1310="","",IFERROR(VLOOKUP(B1310, PLANTA_BASE!A:W, 6, FALSE), "NO ENCONTRADO EN PLANTA"))</f>
        <v/>
      </c>
      <c r="F1310" s="4" t="str">
        <f>IF(B1310="","",IFERROR(VLOOKUP(B1310, PLANTA_BASE!A:W, 8, FALSE), "DOCENTE / FACILITADOR"))</f>
        <v/>
      </c>
      <c r="G1310" s="4" t="str">
        <f>IF(B1310="","",IFERROR(VLOOKUP(B1310, PLANTA_BASE!A:W, 9, FALSE), "GENERAL"))</f>
        <v/>
      </c>
      <c r="H1310" s="2" t="str">
        <f>IF(B1310="","",IFERROR(VLOOKUP(B1310, PLANTA_BASE!A:W, 17, FALSE), "GENERAL"))</f>
        <v/>
      </c>
    </row>
    <row r="1311" spans="1:8" ht="20.100000000000001" customHeight="1" x14ac:dyDescent="0.25">
      <c r="A1311" s="5" t="str">
        <f>IF(B1311="","",IFERROR(VLOOKUP(B1311, PLANTA_BASE!A:W, 2, FALSE), "NO ENCONTRADO EN PLANTA"))</f>
        <v/>
      </c>
      <c r="B1311" s="6"/>
      <c r="C1311" s="7" t="str">
        <f>IF(B1311="","",IFERROR(VLOOKUP(B1311, PLANTA_BASE!A:W, 3, FALSE), ""))</f>
        <v/>
      </c>
      <c r="D1311" s="5" t="str">
        <f>IF(B1311="","",IFERROR(VLOOKUP(B1311, PLANTA_BASE!A:W, 5, FALSE), "NO ENCONTRADO EN PLANTA"))</f>
        <v/>
      </c>
      <c r="E1311" s="5" t="str">
        <f>IF(B1311="","",IFERROR(VLOOKUP(B1311, PLANTA_BASE!A:W, 6, FALSE), "NO ENCONTRADO EN PLANTA"))</f>
        <v/>
      </c>
      <c r="F1311" s="7" t="str">
        <f>IF(B1311="","",IFERROR(VLOOKUP(B1311, PLANTA_BASE!A:W, 8, FALSE), "DOCENTE / FACILITADOR"))</f>
        <v/>
      </c>
      <c r="G1311" s="7" t="str">
        <f>IF(B1311="","",IFERROR(VLOOKUP(B1311, PLANTA_BASE!A:W, 9, FALSE), "GENERAL"))</f>
        <v/>
      </c>
      <c r="H1311" s="5" t="str">
        <f>IF(B1311="","",IFERROR(VLOOKUP(B1311, PLANTA_BASE!A:W, 17, FALSE), "GENERAL"))</f>
        <v/>
      </c>
    </row>
    <row r="1312" spans="1:8" ht="20.100000000000001" customHeight="1" x14ac:dyDescent="0.25">
      <c r="A1312" s="2" t="str">
        <f>IF(B1312="","",IFERROR(VLOOKUP(B1312, PLANTA_BASE!A:W, 2, FALSE), "NO ENCONTRADO EN PLANTA"))</f>
        <v/>
      </c>
      <c r="B1312" s="3"/>
      <c r="C1312" s="4" t="str">
        <f>IF(B1312="","",IFERROR(VLOOKUP(B1312, PLANTA_BASE!A:W, 3, FALSE), ""))</f>
        <v/>
      </c>
      <c r="D1312" s="2" t="str">
        <f>IF(B1312="","",IFERROR(VLOOKUP(B1312, PLANTA_BASE!A:W, 5, FALSE), "NO ENCONTRADO EN PLANTA"))</f>
        <v/>
      </c>
      <c r="E1312" s="2" t="str">
        <f>IF(B1312="","",IFERROR(VLOOKUP(B1312, PLANTA_BASE!A:W, 6, FALSE), "NO ENCONTRADO EN PLANTA"))</f>
        <v/>
      </c>
      <c r="F1312" s="4" t="str">
        <f>IF(B1312="","",IFERROR(VLOOKUP(B1312, PLANTA_BASE!A:W, 8, FALSE), "DOCENTE / FACILITADOR"))</f>
        <v/>
      </c>
      <c r="G1312" s="4" t="str">
        <f>IF(B1312="","",IFERROR(VLOOKUP(B1312, PLANTA_BASE!A:W, 9, FALSE), "GENERAL"))</f>
        <v/>
      </c>
      <c r="H1312" s="2" t="str">
        <f>IF(B1312="","",IFERROR(VLOOKUP(B1312, PLANTA_BASE!A:W, 17, FALSE), "GENERAL"))</f>
        <v/>
      </c>
    </row>
    <row r="1313" spans="1:8" ht="20.100000000000001" customHeight="1" x14ac:dyDescent="0.25">
      <c r="A1313" s="5" t="str">
        <f>IF(B1313="","",IFERROR(VLOOKUP(B1313, PLANTA_BASE!A:W, 2, FALSE), "NO ENCONTRADO EN PLANTA"))</f>
        <v/>
      </c>
      <c r="B1313" s="6"/>
      <c r="C1313" s="7" t="str">
        <f>IF(B1313="","",IFERROR(VLOOKUP(B1313, PLANTA_BASE!A:W, 3, FALSE), ""))</f>
        <v/>
      </c>
      <c r="D1313" s="5" t="str">
        <f>IF(B1313="","",IFERROR(VLOOKUP(B1313, PLANTA_BASE!A:W, 5, FALSE), "NO ENCONTRADO EN PLANTA"))</f>
        <v/>
      </c>
      <c r="E1313" s="5" t="str">
        <f>IF(B1313="","",IFERROR(VLOOKUP(B1313, PLANTA_BASE!A:W, 6, FALSE), "NO ENCONTRADO EN PLANTA"))</f>
        <v/>
      </c>
      <c r="F1313" s="7" t="str">
        <f>IF(B1313="","",IFERROR(VLOOKUP(B1313, PLANTA_BASE!A:W, 8, FALSE), "DOCENTE / FACILITADOR"))</f>
        <v/>
      </c>
      <c r="G1313" s="7" t="str">
        <f>IF(B1313="","",IFERROR(VLOOKUP(B1313, PLANTA_BASE!A:W, 9, FALSE), "GENERAL"))</f>
        <v/>
      </c>
      <c r="H1313" s="5" t="str">
        <f>IF(B1313="","",IFERROR(VLOOKUP(B1313, PLANTA_BASE!A:W, 17, FALSE), "GENERAL"))</f>
        <v/>
      </c>
    </row>
    <row r="1314" spans="1:8" ht="20.100000000000001" customHeight="1" x14ac:dyDescent="0.25">
      <c r="A1314" s="2" t="str">
        <f>IF(B1314="","",IFERROR(VLOOKUP(B1314, PLANTA_BASE!A:W, 2, FALSE), "NO ENCONTRADO EN PLANTA"))</f>
        <v/>
      </c>
      <c r="B1314" s="3"/>
      <c r="C1314" s="4" t="str">
        <f>IF(B1314="","",IFERROR(VLOOKUP(B1314, PLANTA_BASE!A:W, 3, FALSE), ""))</f>
        <v/>
      </c>
      <c r="D1314" s="2" t="str">
        <f>IF(B1314="","",IFERROR(VLOOKUP(B1314, PLANTA_BASE!A:W, 5, FALSE), "NO ENCONTRADO EN PLANTA"))</f>
        <v/>
      </c>
      <c r="E1314" s="2" t="str">
        <f>IF(B1314="","",IFERROR(VLOOKUP(B1314, PLANTA_BASE!A:W, 6, FALSE), "NO ENCONTRADO EN PLANTA"))</f>
        <v/>
      </c>
      <c r="F1314" s="4" t="str">
        <f>IF(B1314="","",IFERROR(VLOOKUP(B1314, PLANTA_BASE!A:W, 8, FALSE), "DOCENTE / FACILITADOR"))</f>
        <v/>
      </c>
      <c r="G1314" s="4" t="str">
        <f>IF(B1314="","",IFERROR(VLOOKUP(B1314, PLANTA_BASE!A:W, 9, FALSE), "GENERAL"))</f>
        <v/>
      </c>
      <c r="H1314" s="2" t="str">
        <f>IF(B1314="","",IFERROR(VLOOKUP(B1314, PLANTA_BASE!A:W, 17, FALSE), "GENERAL"))</f>
        <v/>
      </c>
    </row>
    <row r="1315" spans="1:8" ht="20.100000000000001" customHeight="1" x14ac:dyDescent="0.25">
      <c r="A1315" s="5" t="str">
        <f>IF(B1315="","",IFERROR(VLOOKUP(B1315, PLANTA_BASE!A:W, 2, FALSE), "NO ENCONTRADO EN PLANTA"))</f>
        <v/>
      </c>
      <c r="B1315" s="6"/>
      <c r="C1315" s="7" t="str">
        <f>IF(B1315="","",IFERROR(VLOOKUP(B1315, PLANTA_BASE!A:W, 3, FALSE), ""))</f>
        <v/>
      </c>
      <c r="D1315" s="5" t="str">
        <f>IF(B1315="","",IFERROR(VLOOKUP(B1315, PLANTA_BASE!A:W, 5, FALSE), "NO ENCONTRADO EN PLANTA"))</f>
        <v/>
      </c>
      <c r="E1315" s="5" t="str">
        <f>IF(B1315="","",IFERROR(VLOOKUP(B1315, PLANTA_BASE!A:W, 6, FALSE), "NO ENCONTRADO EN PLANTA"))</f>
        <v/>
      </c>
      <c r="F1315" s="7" t="str">
        <f>IF(B1315="","",IFERROR(VLOOKUP(B1315, PLANTA_BASE!A:W, 8, FALSE), "DOCENTE / FACILITADOR"))</f>
        <v/>
      </c>
      <c r="G1315" s="7" t="str">
        <f>IF(B1315="","",IFERROR(VLOOKUP(B1315, PLANTA_BASE!A:W, 9, FALSE), "GENERAL"))</f>
        <v/>
      </c>
      <c r="H1315" s="5" t="str">
        <f>IF(B1315="","",IFERROR(VLOOKUP(B1315, PLANTA_BASE!A:W, 17, FALSE), "GENERAL"))</f>
        <v/>
      </c>
    </row>
    <row r="1316" spans="1:8" ht="20.100000000000001" customHeight="1" x14ac:dyDescent="0.25">
      <c r="A1316" s="2" t="str">
        <f>IF(B1316="","",IFERROR(VLOOKUP(B1316, PLANTA_BASE!A:W, 2, FALSE), "NO ENCONTRADO EN PLANTA"))</f>
        <v/>
      </c>
      <c r="B1316" s="3"/>
      <c r="C1316" s="4" t="str">
        <f>IF(B1316="","",IFERROR(VLOOKUP(B1316, PLANTA_BASE!A:W, 3, FALSE), ""))</f>
        <v/>
      </c>
      <c r="D1316" s="2" t="str">
        <f>IF(B1316="","",IFERROR(VLOOKUP(B1316, PLANTA_BASE!A:W, 5, FALSE), "NO ENCONTRADO EN PLANTA"))</f>
        <v/>
      </c>
      <c r="E1316" s="2" t="str">
        <f>IF(B1316="","",IFERROR(VLOOKUP(B1316, PLANTA_BASE!A:W, 6, FALSE), "NO ENCONTRADO EN PLANTA"))</f>
        <v/>
      </c>
      <c r="F1316" s="4" t="str">
        <f>IF(B1316="","",IFERROR(VLOOKUP(B1316, PLANTA_BASE!A:W, 8, FALSE), "DOCENTE / FACILITADOR"))</f>
        <v/>
      </c>
      <c r="G1316" s="4" t="str">
        <f>IF(B1316="","",IFERROR(VLOOKUP(B1316, PLANTA_BASE!A:W, 9, FALSE), "GENERAL"))</f>
        <v/>
      </c>
      <c r="H1316" s="2" t="str">
        <f>IF(B1316="","",IFERROR(VLOOKUP(B1316, PLANTA_BASE!A:W, 17, FALSE), "GENERAL"))</f>
        <v/>
      </c>
    </row>
    <row r="1317" spans="1:8" ht="20.100000000000001" customHeight="1" x14ac:dyDescent="0.25">
      <c r="A1317" s="5" t="str">
        <f>IF(B1317="","",IFERROR(VLOOKUP(B1317, PLANTA_BASE!A:W, 2, FALSE), "NO ENCONTRADO EN PLANTA"))</f>
        <v/>
      </c>
      <c r="B1317" s="6"/>
      <c r="C1317" s="7" t="str">
        <f>IF(B1317="","",IFERROR(VLOOKUP(B1317, PLANTA_BASE!A:W, 3, FALSE), ""))</f>
        <v/>
      </c>
      <c r="D1317" s="5" t="str">
        <f>IF(B1317="","",IFERROR(VLOOKUP(B1317, PLANTA_BASE!A:W, 5, FALSE), "NO ENCONTRADO EN PLANTA"))</f>
        <v/>
      </c>
      <c r="E1317" s="5" t="str">
        <f>IF(B1317="","",IFERROR(VLOOKUP(B1317, PLANTA_BASE!A:W, 6, FALSE), "NO ENCONTRADO EN PLANTA"))</f>
        <v/>
      </c>
      <c r="F1317" s="7" t="str">
        <f>IF(B1317="","",IFERROR(VLOOKUP(B1317, PLANTA_BASE!A:W, 8, FALSE), "DOCENTE / FACILITADOR"))</f>
        <v/>
      </c>
      <c r="G1317" s="7" t="str">
        <f>IF(B1317="","",IFERROR(VLOOKUP(B1317, PLANTA_BASE!A:W, 9, FALSE), "GENERAL"))</f>
        <v/>
      </c>
      <c r="H1317" s="5" t="str">
        <f>IF(B1317="","",IFERROR(VLOOKUP(B1317, PLANTA_BASE!A:W, 17, FALSE), "GENERAL"))</f>
        <v/>
      </c>
    </row>
    <row r="1318" spans="1:8" ht="20.100000000000001" customHeight="1" x14ac:dyDescent="0.25">
      <c r="A1318" s="2" t="str">
        <f>IF(B1318="","",IFERROR(VLOOKUP(B1318, PLANTA_BASE!A:W, 2, FALSE), "NO ENCONTRADO EN PLANTA"))</f>
        <v/>
      </c>
      <c r="B1318" s="3"/>
      <c r="C1318" s="4" t="str">
        <f>IF(B1318="","",IFERROR(VLOOKUP(B1318, PLANTA_BASE!A:W, 3, FALSE), ""))</f>
        <v/>
      </c>
      <c r="D1318" s="2" t="str">
        <f>IF(B1318="","",IFERROR(VLOOKUP(B1318, PLANTA_BASE!A:W, 5, FALSE), "NO ENCONTRADO EN PLANTA"))</f>
        <v/>
      </c>
      <c r="E1318" s="2" t="str">
        <f>IF(B1318="","",IFERROR(VLOOKUP(B1318, PLANTA_BASE!A:W, 6, FALSE), "NO ENCONTRADO EN PLANTA"))</f>
        <v/>
      </c>
      <c r="F1318" s="4" t="str">
        <f>IF(B1318="","",IFERROR(VLOOKUP(B1318, PLANTA_BASE!A:W, 8, FALSE), "DOCENTE / FACILITADOR"))</f>
        <v/>
      </c>
      <c r="G1318" s="4" t="str">
        <f>IF(B1318="","",IFERROR(VLOOKUP(B1318, PLANTA_BASE!A:W, 9, FALSE), "GENERAL"))</f>
        <v/>
      </c>
      <c r="H1318" s="2" t="str">
        <f>IF(B1318="","",IFERROR(VLOOKUP(B1318, PLANTA_BASE!A:W, 17, FALSE), "GENERAL"))</f>
        <v/>
      </c>
    </row>
    <row r="1319" spans="1:8" ht="20.100000000000001" customHeight="1" x14ac:dyDescent="0.25">
      <c r="A1319" s="5" t="str">
        <f>IF(B1319="","",IFERROR(VLOOKUP(B1319, PLANTA_BASE!A:W, 2, FALSE), "NO ENCONTRADO EN PLANTA"))</f>
        <v/>
      </c>
      <c r="B1319" s="6"/>
      <c r="C1319" s="7" t="str">
        <f>IF(B1319="","",IFERROR(VLOOKUP(B1319, PLANTA_BASE!A:W, 3, FALSE), ""))</f>
        <v/>
      </c>
      <c r="D1319" s="5" t="str">
        <f>IF(B1319="","",IFERROR(VLOOKUP(B1319, PLANTA_BASE!A:W, 5, FALSE), "NO ENCONTRADO EN PLANTA"))</f>
        <v/>
      </c>
      <c r="E1319" s="5" t="str">
        <f>IF(B1319="","",IFERROR(VLOOKUP(B1319, PLANTA_BASE!A:W, 6, FALSE), "NO ENCONTRADO EN PLANTA"))</f>
        <v/>
      </c>
      <c r="F1319" s="7" t="str">
        <f>IF(B1319="","",IFERROR(VLOOKUP(B1319, PLANTA_BASE!A:W, 8, FALSE), "DOCENTE / FACILITADOR"))</f>
        <v/>
      </c>
      <c r="G1319" s="7" t="str">
        <f>IF(B1319="","",IFERROR(VLOOKUP(B1319, PLANTA_BASE!A:W, 9, FALSE), "GENERAL"))</f>
        <v/>
      </c>
      <c r="H1319" s="5" t="str">
        <f>IF(B1319="","",IFERROR(VLOOKUP(B1319, PLANTA_BASE!A:W, 17, FALSE), "GENERAL"))</f>
        <v/>
      </c>
    </row>
    <row r="1320" spans="1:8" ht="20.100000000000001" customHeight="1" x14ac:dyDescent="0.25">
      <c r="A1320" s="2" t="str">
        <f>IF(B1320="","",IFERROR(VLOOKUP(B1320, PLANTA_BASE!A:W, 2, FALSE), "NO ENCONTRADO EN PLANTA"))</f>
        <v/>
      </c>
      <c r="B1320" s="3"/>
      <c r="C1320" s="4" t="str">
        <f>IF(B1320="","",IFERROR(VLOOKUP(B1320, PLANTA_BASE!A:W, 3, FALSE), ""))</f>
        <v/>
      </c>
      <c r="D1320" s="2" t="str">
        <f>IF(B1320="","",IFERROR(VLOOKUP(B1320, PLANTA_BASE!A:W, 5, FALSE), "NO ENCONTRADO EN PLANTA"))</f>
        <v/>
      </c>
      <c r="E1320" s="2" t="str">
        <f>IF(B1320="","",IFERROR(VLOOKUP(B1320, PLANTA_BASE!A:W, 6, FALSE), "NO ENCONTRADO EN PLANTA"))</f>
        <v/>
      </c>
      <c r="F1320" s="4" t="str">
        <f>IF(B1320="","",IFERROR(VLOOKUP(B1320, PLANTA_BASE!A:W, 8, FALSE), "DOCENTE / FACILITADOR"))</f>
        <v/>
      </c>
      <c r="G1320" s="4" t="str">
        <f>IF(B1320="","",IFERROR(VLOOKUP(B1320, PLANTA_BASE!A:W, 9, FALSE), "GENERAL"))</f>
        <v/>
      </c>
      <c r="H1320" s="2" t="str">
        <f>IF(B1320="","",IFERROR(VLOOKUP(B1320, PLANTA_BASE!A:W, 17, FALSE), "GENERAL"))</f>
        <v/>
      </c>
    </row>
    <row r="1321" spans="1:8" ht="20.100000000000001" customHeight="1" x14ac:dyDescent="0.25">
      <c r="A1321" s="5" t="str">
        <f>IF(B1321="","",IFERROR(VLOOKUP(B1321, PLANTA_BASE!A:W, 2, FALSE), "NO ENCONTRADO EN PLANTA"))</f>
        <v/>
      </c>
      <c r="B1321" s="6"/>
      <c r="C1321" s="7" t="str">
        <f>IF(B1321="","",IFERROR(VLOOKUP(B1321, PLANTA_BASE!A:W, 3, FALSE), ""))</f>
        <v/>
      </c>
      <c r="D1321" s="5" t="str">
        <f>IF(B1321="","",IFERROR(VLOOKUP(B1321, PLANTA_BASE!A:W, 5, FALSE), "NO ENCONTRADO EN PLANTA"))</f>
        <v/>
      </c>
      <c r="E1321" s="5" t="str">
        <f>IF(B1321="","",IFERROR(VLOOKUP(B1321, PLANTA_BASE!A:W, 6, FALSE), "NO ENCONTRADO EN PLANTA"))</f>
        <v/>
      </c>
      <c r="F1321" s="7" t="str">
        <f>IF(B1321="","",IFERROR(VLOOKUP(B1321, PLANTA_BASE!A:W, 8, FALSE), "DOCENTE / FACILITADOR"))</f>
        <v/>
      </c>
      <c r="G1321" s="7" t="str">
        <f>IF(B1321="","",IFERROR(VLOOKUP(B1321, PLANTA_BASE!A:W, 9, FALSE), "GENERAL"))</f>
        <v/>
      </c>
      <c r="H1321" s="5" t="str">
        <f>IF(B1321="","",IFERROR(VLOOKUP(B1321, PLANTA_BASE!A:W, 17, FALSE), "GENERAL"))</f>
        <v/>
      </c>
    </row>
    <row r="1322" spans="1:8" ht="20.100000000000001" customHeight="1" x14ac:dyDescent="0.25">
      <c r="A1322" s="2" t="str">
        <f>IF(B1322="","",IFERROR(VLOOKUP(B1322, PLANTA_BASE!A:W, 2, FALSE), "NO ENCONTRADO EN PLANTA"))</f>
        <v/>
      </c>
      <c r="B1322" s="3"/>
      <c r="C1322" s="4" t="str">
        <f>IF(B1322="","",IFERROR(VLOOKUP(B1322, PLANTA_BASE!A:W, 3, FALSE), ""))</f>
        <v/>
      </c>
      <c r="D1322" s="2" t="str">
        <f>IF(B1322="","",IFERROR(VLOOKUP(B1322, PLANTA_BASE!A:W, 5, FALSE), "NO ENCONTRADO EN PLANTA"))</f>
        <v/>
      </c>
      <c r="E1322" s="2" t="str">
        <f>IF(B1322="","",IFERROR(VLOOKUP(B1322, PLANTA_BASE!A:W, 6, FALSE), "NO ENCONTRADO EN PLANTA"))</f>
        <v/>
      </c>
      <c r="F1322" s="4" t="str">
        <f>IF(B1322="","",IFERROR(VLOOKUP(B1322, PLANTA_BASE!A:W, 8, FALSE), "DOCENTE / FACILITADOR"))</f>
        <v/>
      </c>
      <c r="G1322" s="4" t="str">
        <f>IF(B1322="","",IFERROR(VLOOKUP(B1322, PLANTA_BASE!A:W, 9, FALSE), "GENERAL"))</f>
        <v/>
      </c>
      <c r="H1322" s="2" t="str">
        <f>IF(B1322="","",IFERROR(VLOOKUP(B1322, PLANTA_BASE!A:W, 17, FALSE), "GENERAL"))</f>
        <v/>
      </c>
    </row>
    <row r="1323" spans="1:8" ht="20.100000000000001" customHeight="1" x14ac:dyDescent="0.25">
      <c r="A1323" s="5" t="str">
        <f>IF(B1323="","",IFERROR(VLOOKUP(B1323, PLANTA_BASE!A:W, 2, FALSE), "NO ENCONTRADO EN PLANTA"))</f>
        <v/>
      </c>
      <c r="B1323" s="6"/>
      <c r="C1323" s="7" t="str">
        <f>IF(B1323="","",IFERROR(VLOOKUP(B1323, PLANTA_BASE!A:W, 3, FALSE), ""))</f>
        <v/>
      </c>
      <c r="D1323" s="5" t="str">
        <f>IF(B1323="","",IFERROR(VLOOKUP(B1323, PLANTA_BASE!A:W, 5, FALSE), "NO ENCONTRADO EN PLANTA"))</f>
        <v/>
      </c>
      <c r="E1323" s="5" t="str">
        <f>IF(B1323="","",IFERROR(VLOOKUP(B1323, PLANTA_BASE!A:W, 6, FALSE), "NO ENCONTRADO EN PLANTA"))</f>
        <v/>
      </c>
      <c r="F1323" s="7" t="str">
        <f>IF(B1323="","",IFERROR(VLOOKUP(B1323, PLANTA_BASE!A:W, 8, FALSE), "DOCENTE / FACILITADOR"))</f>
        <v/>
      </c>
      <c r="G1323" s="7" t="str">
        <f>IF(B1323="","",IFERROR(VLOOKUP(B1323, PLANTA_BASE!A:W, 9, FALSE), "GENERAL"))</f>
        <v/>
      </c>
      <c r="H1323" s="5" t="str">
        <f>IF(B1323="","",IFERROR(VLOOKUP(B1323, PLANTA_BASE!A:W, 17, FALSE), "GENERAL"))</f>
        <v/>
      </c>
    </row>
    <row r="1324" spans="1:8" ht="20.100000000000001" customHeight="1" x14ac:dyDescent="0.25">
      <c r="A1324" s="2" t="str">
        <f>IF(B1324="","",IFERROR(VLOOKUP(B1324, PLANTA_BASE!A:W, 2, FALSE), "NO ENCONTRADO EN PLANTA"))</f>
        <v/>
      </c>
      <c r="B1324" s="3"/>
      <c r="C1324" s="4" t="str">
        <f>IF(B1324="","",IFERROR(VLOOKUP(B1324, PLANTA_BASE!A:W, 3, FALSE), ""))</f>
        <v/>
      </c>
      <c r="D1324" s="2" t="str">
        <f>IF(B1324="","",IFERROR(VLOOKUP(B1324, PLANTA_BASE!A:W, 5, FALSE), "NO ENCONTRADO EN PLANTA"))</f>
        <v/>
      </c>
      <c r="E1324" s="2" t="str">
        <f>IF(B1324="","",IFERROR(VLOOKUP(B1324, PLANTA_BASE!A:W, 6, FALSE), "NO ENCONTRADO EN PLANTA"))</f>
        <v/>
      </c>
      <c r="F1324" s="4" t="str">
        <f>IF(B1324="","",IFERROR(VLOOKUP(B1324, PLANTA_BASE!A:W, 8, FALSE), "DOCENTE / FACILITADOR"))</f>
        <v/>
      </c>
      <c r="G1324" s="4" t="str">
        <f>IF(B1324="","",IFERROR(VLOOKUP(B1324, PLANTA_BASE!A:W, 9, FALSE), "GENERAL"))</f>
        <v/>
      </c>
      <c r="H1324" s="2" t="str">
        <f>IF(B1324="","",IFERROR(VLOOKUP(B1324, PLANTA_BASE!A:W, 17, FALSE), "GENERAL"))</f>
        <v/>
      </c>
    </row>
    <row r="1325" spans="1:8" ht="20.100000000000001" customHeight="1" x14ac:dyDescent="0.25">
      <c r="A1325" s="5" t="str">
        <f>IF(B1325="","",IFERROR(VLOOKUP(B1325, PLANTA_BASE!A:W, 2, FALSE), "NO ENCONTRADO EN PLANTA"))</f>
        <v/>
      </c>
      <c r="B1325" s="6"/>
      <c r="C1325" s="7" t="str">
        <f>IF(B1325="","",IFERROR(VLOOKUP(B1325, PLANTA_BASE!A:W, 3, FALSE), ""))</f>
        <v/>
      </c>
      <c r="D1325" s="5" t="str">
        <f>IF(B1325="","",IFERROR(VLOOKUP(B1325, PLANTA_BASE!A:W, 5, FALSE), "NO ENCONTRADO EN PLANTA"))</f>
        <v/>
      </c>
      <c r="E1325" s="5" t="str">
        <f>IF(B1325="","",IFERROR(VLOOKUP(B1325, PLANTA_BASE!A:W, 6, FALSE), "NO ENCONTRADO EN PLANTA"))</f>
        <v/>
      </c>
      <c r="F1325" s="7" t="str">
        <f>IF(B1325="","",IFERROR(VLOOKUP(B1325, PLANTA_BASE!A:W, 8, FALSE), "DOCENTE / FACILITADOR"))</f>
        <v/>
      </c>
      <c r="G1325" s="7" t="str">
        <f>IF(B1325="","",IFERROR(VLOOKUP(B1325, PLANTA_BASE!A:W, 9, FALSE), "GENERAL"))</f>
        <v/>
      </c>
      <c r="H1325" s="5" t="str">
        <f>IF(B1325="","",IFERROR(VLOOKUP(B1325, PLANTA_BASE!A:W, 17, FALSE), "GENERAL"))</f>
        <v/>
      </c>
    </row>
    <row r="1326" spans="1:8" ht="20.100000000000001" customHeight="1" x14ac:dyDescent="0.25">
      <c r="A1326" s="2" t="str">
        <f>IF(B1326="","",IFERROR(VLOOKUP(B1326, PLANTA_BASE!A:W, 2, FALSE), "NO ENCONTRADO EN PLANTA"))</f>
        <v/>
      </c>
      <c r="B1326" s="3"/>
      <c r="C1326" s="4" t="str">
        <f>IF(B1326="","",IFERROR(VLOOKUP(B1326, PLANTA_BASE!A:W, 3, FALSE), ""))</f>
        <v/>
      </c>
      <c r="D1326" s="2" t="str">
        <f>IF(B1326="","",IFERROR(VLOOKUP(B1326, PLANTA_BASE!A:W, 5, FALSE), "NO ENCONTRADO EN PLANTA"))</f>
        <v/>
      </c>
      <c r="E1326" s="2" t="str">
        <f>IF(B1326="","",IFERROR(VLOOKUP(B1326, PLANTA_BASE!A:W, 6, FALSE), "NO ENCONTRADO EN PLANTA"))</f>
        <v/>
      </c>
      <c r="F1326" s="4" t="str">
        <f>IF(B1326="","",IFERROR(VLOOKUP(B1326, PLANTA_BASE!A:W, 8, FALSE), "DOCENTE / FACILITADOR"))</f>
        <v/>
      </c>
      <c r="G1326" s="4" t="str">
        <f>IF(B1326="","",IFERROR(VLOOKUP(B1326, PLANTA_BASE!A:W, 9, FALSE), "GENERAL"))</f>
        <v/>
      </c>
      <c r="H1326" s="2" t="str">
        <f>IF(B1326="","",IFERROR(VLOOKUP(B1326, PLANTA_BASE!A:W, 17, FALSE), "GENERAL"))</f>
        <v/>
      </c>
    </row>
    <row r="1327" spans="1:8" ht="20.100000000000001" customHeight="1" x14ac:dyDescent="0.25">
      <c r="A1327" s="5" t="str">
        <f>IF(B1327="","",IFERROR(VLOOKUP(B1327, PLANTA_BASE!A:W, 2, FALSE), "NO ENCONTRADO EN PLANTA"))</f>
        <v/>
      </c>
      <c r="B1327" s="6"/>
      <c r="C1327" s="7" t="str">
        <f>IF(B1327="","",IFERROR(VLOOKUP(B1327, PLANTA_BASE!A:W, 3, FALSE), ""))</f>
        <v/>
      </c>
      <c r="D1327" s="5" t="str">
        <f>IF(B1327="","",IFERROR(VLOOKUP(B1327, PLANTA_BASE!A:W, 5, FALSE), "NO ENCONTRADO EN PLANTA"))</f>
        <v/>
      </c>
      <c r="E1327" s="5" t="str">
        <f>IF(B1327="","",IFERROR(VLOOKUP(B1327, PLANTA_BASE!A:W, 6, FALSE), "NO ENCONTRADO EN PLANTA"))</f>
        <v/>
      </c>
      <c r="F1327" s="7" t="str">
        <f>IF(B1327="","",IFERROR(VLOOKUP(B1327, PLANTA_BASE!A:W, 8, FALSE), "DOCENTE / FACILITADOR"))</f>
        <v/>
      </c>
      <c r="G1327" s="7" t="str">
        <f>IF(B1327="","",IFERROR(VLOOKUP(B1327, PLANTA_BASE!A:W, 9, FALSE), "GENERAL"))</f>
        <v/>
      </c>
      <c r="H1327" s="5" t="str">
        <f>IF(B1327="","",IFERROR(VLOOKUP(B1327, PLANTA_BASE!A:W, 17, FALSE), "GENERAL"))</f>
        <v/>
      </c>
    </row>
    <row r="1328" spans="1:8" ht="20.100000000000001" customHeight="1" x14ac:dyDescent="0.25">
      <c r="A1328" s="2" t="str">
        <f>IF(B1328="","",IFERROR(VLOOKUP(B1328, PLANTA_BASE!A:W, 2, FALSE), "NO ENCONTRADO EN PLANTA"))</f>
        <v/>
      </c>
      <c r="B1328" s="3"/>
      <c r="C1328" s="4" t="str">
        <f>IF(B1328="","",IFERROR(VLOOKUP(B1328, PLANTA_BASE!A:W, 3, FALSE), ""))</f>
        <v/>
      </c>
      <c r="D1328" s="2" t="str">
        <f>IF(B1328="","",IFERROR(VLOOKUP(B1328, PLANTA_BASE!A:W, 5, FALSE), "NO ENCONTRADO EN PLANTA"))</f>
        <v/>
      </c>
      <c r="E1328" s="2" t="str">
        <f>IF(B1328="","",IFERROR(VLOOKUP(B1328, PLANTA_BASE!A:W, 6, FALSE), "NO ENCONTRADO EN PLANTA"))</f>
        <v/>
      </c>
      <c r="F1328" s="4" t="str">
        <f>IF(B1328="","",IFERROR(VLOOKUP(B1328, PLANTA_BASE!A:W, 8, FALSE), "DOCENTE / FACILITADOR"))</f>
        <v/>
      </c>
      <c r="G1328" s="4" t="str">
        <f>IF(B1328="","",IFERROR(VLOOKUP(B1328, PLANTA_BASE!A:W, 9, FALSE), "GENERAL"))</f>
        <v/>
      </c>
      <c r="H1328" s="2" t="str">
        <f>IF(B1328="","",IFERROR(VLOOKUP(B1328, PLANTA_BASE!A:W, 17, FALSE), "GENERAL"))</f>
        <v/>
      </c>
    </row>
    <row r="1329" spans="1:8" ht="20.100000000000001" customHeight="1" x14ac:dyDescent="0.25">
      <c r="A1329" s="5" t="str">
        <f>IF(B1329="","",IFERROR(VLOOKUP(B1329, PLANTA_BASE!A:W, 2, FALSE), "NO ENCONTRADO EN PLANTA"))</f>
        <v/>
      </c>
      <c r="B1329" s="6"/>
      <c r="C1329" s="7" t="str">
        <f>IF(B1329="","",IFERROR(VLOOKUP(B1329, PLANTA_BASE!A:W, 3, FALSE), ""))</f>
        <v/>
      </c>
      <c r="D1329" s="5" t="str">
        <f>IF(B1329="","",IFERROR(VLOOKUP(B1329, PLANTA_BASE!A:W, 5, FALSE), "NO ENCONTRADO EN PLANTA"))</f>
        <v/>
      </c>
      <c r="E1329" s="5" t="str">
        <f>IF(B1329="","",IFERROR(VLOOKUP(B1329, PLANTA_BASE!A:W, 6, FALSE), "NO ENCONTRADO EN PLANTA"))</f>
        <v/>
      </c>
      <c r="F1329" s="7" t="str">
        <f>IF(B1329="","",IFERROR(VLOOKUP(B1329, PLANTA_BASE!A:W, 8, FALSE), "DOCENTE / FACILITADOR"))</f>
        <v/>
      </c>
      <c r="G1329" s="7" t="str">
        <f>IF(B1329="","",IFERROR(VLOOKUP(B1329, PLANTA_BASE!A:W, 9, FALSE), "GENERAL"))</f>
        <v/>
      </c>
      <c r="H1329" s="5" t="str">
        <f>IF(B1329="","",IFERROR(VLOOKUP(B1329, PLANTA_BASE!A:W, 17, FALSE), "GENERAL"))</f>
        <v/>
      </c>
    </row>
    <row r="1330" spans="1:8" ht="20.100000000000001" customHeight="1" x14ac:dyDescent="0.25">
      <c r="A1330" s="2" t="str">
        <f>IF(B1330="","",IFERROR(VLOOKUP(B1330, PLANTA_BASE!A:W, 2, FALSE), "NO ENCONTRADO EN PLANTA"))</f>
        <v/>
      </c>
      <c r="B1330" s="3"/>
      <c r="C1330" s="4" t="str">
        <f>IF(B1330="","",IFERROR(VLOOKUP(B1330, PLANTA_BASE!A:W, 3, FALSE), ""))</f>
        <v/>
      </c>
      <c r="D1330" s="2" t="str">
        <f>IF(B1330="","",IFERROR(VLOOKUP(B1330, PLANTA_BASE!A:W, 5, FALSE), "NO ENCONTRADO EN PLANTA"))</f>
        <v/>
      </c>
      <c r="E1330" s="2" t="str">
        <f>IF(B1330="","",IFERROR(VLOOKUP(B1330, PLANTA_BASE!A:W, 6, FALSE), "NO ENCONTRADO EN PLANTA"))</f>
        <v/>
      </c>
      <c r="F1330" s="4" t="str">
        <f>IF(B1330="","",IFERROR(VLOOKUP(B1330, PLANTA_BASE!A:W, 8, FALSE), "DOCENTE / FACILITADOR"))</f>
        <v/>
      </c>
      <c r="G1330" s="4" t="str">
        <f>IF(B1330="","",IFERROR(VLOOKUP(B1330, PLANTA_BASE!A:W, 9, FALSE), "GENERAL"))</f>
        <v/>
      </c>
      <c r="H1330" s="2" t="str">
        <f>IF(B1330="","",IFERROR(VLOOKUP(B1330, PLANTA_BASE!A:W, 17, FALSE), "GENERAL"))</f>
        <v/>
      </c>
    </row>
    <row r="1331" spans="1:8" ht="20.100000000000001" customHeight="1" x14ac:dyDescent="0.25">
      <c r="A1331" s="5" t="str">
        <f>IF(B1331="","",IFERROR(VLOOKUP(B1331, PLANTA_BASE!A:W, 2, FALSE), "NO ENCONTRADO EN PLANTA"))</f>
        <v/>
      </c>
      <c r="B1331" s="6"/>
      <c r="C1331" s="7" t="str">
        <f>IF(B1331="","",IFERROR(VLOOKUP(B1331, PLANTA_BASE!A:W, 3, FALSE), ""))</f>
        <v/>
      </c>
      <c r="D1331" s="5" t="str">
        <f>IF(B1331="","",IFERROR(VLOOKUP(B1331, PLANTA_BASE!A:W, 5, FALSE), "NO ENCONTRADO EN PLANTA"))</f>
        <v/>
      </c>
      <c r="E1331" s="5" t="str">
        <f>IF(B1331="","",IFERROR(VLOOKUP(B1331, PLANTA_BASE!A:W, 6, FALSE), "NO ENCONTRADO EN PLANTA"))</f>
        <v/>
      </c>
      <c r="F1331" s="7" t="str">
        <f>IF(B1331="","",IFERROR(VLOOKUP(B1331, PLANTA_BASE!A:W, 8, FALSE), "DOCENTE / FACILITADOR"))</f>
        <v/>
      </c>
      <c r="G1331" s="7" t="str">
        <f>IF(B1331="","",IFERROR(VLOOKUP(B1331, PLANTA_BASE!A:W, 9, FALSE), "GENERAL"))</f>
        <v/>
      </c>
      <c r="H1331" s="5" t="str">
        <f>IF(B1331="","",IFERROR(VLOOKUP(B1331, PLANTA_BASE!A:W, 17, FALSE), "GENERAL"))</f>
        <v/>
      </c>
    </row>
    <row r="1332" spans="1:8" ht="20.100000000000001" customHeight="1" x14ac:dyDescent="0.25">
      <c r="A1332" s="2" t="str">
        <f>IF(B1332="","",IFERROR(VLOOKUP(B1332, PLANTA_BASE!A:W, 2, FALSE), "NO ENCONTRADO EN PLANTA"))</f>
        <v/>
      </c>
      <c r="B1332" s="3"/>
      <c r="C1332" s="4" t="str">
        <f>IF(B1332="","",IFERROR(VLOOKUP(B1332, PLANTA_BASE!A:W, 3, FALSE), ""))</f>
        <v/>
      </c>
      <c r="D1332" s="2" t="str">
        <f>IF(B1332="","",IFERROR(VLOOKUP(B1332, PLANTA_BASE!A:W, 5, FALSE), "NO ENCONTRADO EN PLANTA"))</f>
        <v/>
      </c>
      <c r="E1332" s="2" t="str">
        <f>IF(B1332="","",IFERROR(VLOOKUP(B1332, PLANTA_BASE!A:W, 6, FALSE), "NO ENCONTRADO EN PLANTA"))</f>
        <v/>
      </c>
      <c r="F1332" s="4" t="str">
        <f>IF(B1332="","",IFERROR(VLOOKUP(B1332, PLANTA_BASE!A:W, 8, FALSE), "DOCENTE / FACILITADOR"))</f>
        <v/>
      </c>
      <c r="G1332" s="4" t="str">
        <f>IF(B1332="","",IFERROR(VLOOKUP(B1332, PLANTA_BASE!A:W, 9, FALSE), "GENERAL"))</f>
        <v/>
      </c>
      <c r="H1332" s="2" t="str">
        <f>IF(B1332="","",IFERROR(VLOOKUP(B1332, PLANTA_BASE!A:W, 17, FALSE), "GENERAL"))</f>
        <v/>
      </c>
    </row>
    <row r="1333" spans="1:8" ht="20.100000000000001" customHeight="1" x14ac:dyDescent="0.25">
      <c r="A1333" s="5" t="str">
        <f>IF(B1333="","",IFERROR(VLOOKUP(B1333, PLANTA_BASE!A:W, 2, FALSE), "NO ENCONTRADO EN PLANTA"))</f>
        <v/>
      </c>
      <c r="B1333" s="6"/>
      <c r="C1333" s="7" t="str">
        <f>IF(B1333="","",IFERROR(VLOOKUP(B1333, PLANTA_BASE!A:W, 3, FALSE), ""))</f>
        <v/>
      </c>
      <c r="D1333" s="5" t="str">
        <f>IF(B1333="","",IFERROR(VLOOKUP(B1333, PLANTA_BASE!A:W, 5, FALSE), "NO ENCONTRADO EN PLANTA"))</f>
        <v/>
      </c>
      <c r="E1333" s="5" t="str">
        <f>IF(B1333="","",IFERROR(VLOOKUP(B1333, PLANTA_BASE!A:W, 6, FALSE), "NO ENCONTRADO EN PLANTA"))</f>
        <v/>
      </c>
      <c r="F1333" s="7" t="str">
        <f>IF(B1333="","",IFERROR(VLOOKUP(B1333, PLANTA_BASE!A:W, 8, FALSE), "DOCENTE / FACILITADOR"))</f>
        <v/>
      </c>
      <c r="G1333" s="7" t="str">
        <f>IF(B1333="","",IFERROR(VLOOKUP(B1333, PLANTA_BASE!A:W, 9, FALSE), "GENERAL"))</f>
        <v/>
      </c>
      <c r="H1333" s="5" t="str">
        <f>IF(B1333="","",IFERROR(VLOOKUP(B1333, PLANTA_BASE!A:W, 17, FALSE), "GENERAL"))</f>
        <v/>
      </c>
    </row>
    <row r="1334" spans="1:8" ht="20.100000000000001" customHeight="1" x14ac:dyDescent="0.25">
      <c r="A1334" s="2" t="str">
        <f>IF(B1334="","",IFERROR(VLOOKUP(B1334, PLANTA_BASE!A:W, 2, FALSE), "NO ENCONTRADO EN PLANTA"))</f>
        <v/>
      </c>
      <c r="B1334" s="3"/>
      <c r="C1334" s="4" t="str">
        <f>IF(B1334="","",IFERROR(VLOOKUP(B1334, PLANTA_BASE!A:W, 3, FALSE), ""))</f>
        <v/>
      </c>
      <c r="D1334" s="2" t="str">
        <f>IF(B1334="","",IFERROR(VLOOKUP(B1334, PLANTA_BASE!A:W, 5, FALSE), "NO ENCONTRADO EN PLANTA"))</f>
        <v/>
      </c>
      <c r="E1334" s="2" t="str">
        <f>IF(B1334="","",IFERROR(VLOOKUP(B1334, PLANTA_BASE!A:W, 6, FALSE), "NO ENCONTRADO EN PLANTA"))</f>
        <v/>
      </c>
      <c r="F1334" s="4" t="str">
        <f>IF(B1334="","",IFERROR(VLOOKUP(B1334, PLANTA_BASE!A:W, 8, FALSE), "DOCENTE / FACILITADOR"))</f>
        <v/>
      </c>
      <c r="G1334" s="4" t="str">
        <f>IF(B1334="","",IFERROR(VLOOKUP(B1334, PLANTA_BASE!A:W, 9, FALSE), "GENERAL"))</f>
        <v/>
      </c>
      <c r="H1334" s="2" t="str">
        <f>IF(B1334="","",IFERROR(VLOOKUP(B1334, PLANTA_BASE!A:W, 17, FALSE), "GENERAL"))</f>
        <v/>
      </c>
    </row>
    <row r="1335" spans="1:8" ht="20.100000000000001" customHeight="1" x14ac:dyDescent="0.25">
      <c r="A1335" s="5" t="str">
        <f>IF(B1335="","",IFERROR(VLOOKUP(B1335, PLANTA_BASE!A:W, 2, FALSE), "NO ENCONTRADO EN PLANTA"))</f>
        <v/>
      </c>
      <c r="B1335" s="6"/>
      <c r="C1335" s="7" t="str">
        <f>IF(B1335="","",IFERROR(VLOOKUP(B1335, PLANTA_BASE!A:W, 3, FALSE), ""))</f>
        <v/>
      </c>
      <c r="D1335" s="5" t="str">
        <f>IF(B1335="","",IFERROR(VLOOKUP(B1335, PLANTA_BASE!A:W, 5, FALSE), "NO ENCONTRADO EN PLANTA"))</f>
        <v/>
      </c>
      <c r="E1335" s="5" t="str">
        <f>IF(B1335="","",IFERROR(VLOOKUP(B1335, PLANTA_BASE!A:W, 6, FALSE), "NO ENCONTRADO EN PLANTA"))</f>
        <v/>
      </c>
      <c r="F1335" s="7" t="str">
        <f>IF(B1335="","",IFERROR(VLOOKUP(B1335, PLANTA_BASE!A:W, 8, FALSE), "DOCENTE / FACILITADOR"))</f>
        <v/>
      </c>
      <c r="G1335" s="7" t="str">
        <f>IF(B1335="","",IFERROR(VLOOKUP(B1335, PLANTA_BASE!A:W, 9, FALSE), "GENERAL"))</f>
        <v/>
      </c>
      <c r="H1335" s="5" t="str">
        <f>IF(B1335="","",IFERROR(VLOOKUP(B1335, PLANTA_BASE!A:W, 17, FALSE), "GENERAL"))</f>
        <v/>
      </c>
    </row>
    <row r="1336" spans="1:8" ht="20.100000000000001" customHeight="1" x14ac:dyDescent="0.25">
      <c r="A1336" s="2" t="str">
        <f>IF(B1336="","",IFERROR(VLOOKUP(B1336, PLANTA_BASE!A:W, 2, FALSE), "NO ENCONTRADO EN PLANTA"))</f>
        <v/>
      </c>
      <c r="B1336" s="3"/>
      <c r="C1336" s="4" t="str">
        <f>IF(B1336="","",IFERROR(VLOOKUP(B1336, PLANTA_BASE!A:W, 3, FALSE), ""))</f>
        <v/>
      </c>
      <c r="D1336" s="2" t="str">
        <f>IF(B1336="","",IFERROR(VLOOKUP(B1336, PLANTA_BASE!A:W, 5, FALSE), "NO ENCONTRADO EN PLANTA"))</f>
        <v/>
      </c>
      <c r="E1336" s="2" t="str">
        <f>IF(B1336="","",IFERROR(VLOOKUP(B1336, PLANTA_BASE!A:W, 6, FALSE), "NO ENCONTRADO EN PLANTA"))</f>
        <v/>
      </c>
      <c r="F1336" s="4" t="str">
        <f>IF(B1336="","",IFERROR(VLOOKUP(B1336, PLANTA_BASE!A:W, 8, FALSE), "DOCENTE / FACILITADOR"))</f>
        <v/>
      </c>
      <c r="G1336" s="4" t="str">
        <f>IF(B1336="","",IFERROR(VLOOKUP(B1336, PLANTA_BASE!A:W, 9, FALSE), "GENERAL"))</f>
        <v/>
      </c>
      <c r="H1336" s="2" t="str">
        <f>IF(B1336="","",IFERROR(VLOOKUP(B1336, PLANTA_BASE!A:W, 17, FALSE), "GENERAL"))</f>
        <v/>
      </c>
    </row>
    <row r="1337" spans="1:8" ht="20.100000000000001" customHeight="1" x14ac:dyDescent="0.25">
      <c r="A1337" s="5" t="str">
        <f>IF(B1337="","",IFERROR(VLOOKUP(B1337, PLANTA_BASE!A:W, 2, FALSE), "NO ENCONTRADO EN PLANTA"))</f>
        <v/>
      </c>
      <c r="B1337" s="6"/>
      <c r="C1337" s="7" t="str">
        <f>IF(B1337="","",IFERROR(VLOOKUP(B1337, PLANTA_BASE!A:W, 3, FALSE), ""))</f>
        <v/>
      </c>
      <c r="D1337" s="5" t="str">
        <f>IF(B1337="","",IFERROR(VLOOKUP(B1337, PLANTA_BASE!A:W, 5, FALSE), "NO ENCONTRADO EN PLANTA"))</f>
        <v/>
      </c>
      <c r="E1337" s="5" t="str">
        <f>IF(B1337="","",IFERROR(VLOOKUP(B1337, PLANTA_BASE!A:W, 6, FALSE), "NO ENCONTRADO EN PLANTA"))</f>
        <v/>
      </c>
      <c r="F1337" s="7" t="str">
        <f>IF(B1337="","",IFERROR(VLOOKUP(B1337, PLANTA_BASE!A:W, 8, FALSE), "DOCENTE / FACILITADOR"))</f>
        <v/>
      </c>
      <c r="G1337" s="7" t="str">
        <f>IF(B1337="","",IFERROR(VLOOKUP(B1337, PLANTA_BASE!A:W, 9, FALSE), "GENERAL"))</f>
        <v/>
      </c>
      <c r="H1337" s="5" t="str">
        <f>IF(B1337="","",IFERROR(VLOOKUP(B1337, PLANTA_BASE!A:W, 17, FALSE), "GENERAL"))</f>
        <v/>
      </c>
    </row>
    <row r="1338" spans="1:8" ht="20.100000000000001" customHeight="1" x14ac:dyDescent="0.25">
      <c r="A1338" s="2" t="str">
        <f>IF(B1338="","",IFERROR(VLOOKUP(B1338, PLANTA_BASE!A:W, 2, FALSE), "NO ENCONTRADO EN PLANTA"))</f>
        <v/>
      </c>
      <c r="B1338" s="3"/>
      <c r="C1338" s="4" t="str">
        <f>IF(B1338="","",IFERROR(VLOOKUP(B1338, PLANTA_BASE!A:W, 3, FALSE), ""))</f>
        <v/>
      </c>
      <c r="D1338" s="2" t="str">
        <f>IF(B1338="","",IFERROR(VLOOKUP(B1338, PLANTA_BASE!A:W, 5, FALSE), "NO ENCONTRADO EN PLANTA"))</f>
        <v/>
      </c>
      <c r="E1338" s="2" t="str">
        <f>IF(B1338="","",IFERROR(VLOOKUP(B1338, PLANTA_BASE!A:W, 6, FALSE), "NO ENCONTRADO EN PLANTA"))</f>
        <v/>
      </c>
      <c r="F1338" s="4" t="str">
        <f>IF(B1338="","",IFERROR(VLOOKUP(B1338, PLANTA_BASE!A:W, 8, FALSE), "DOCENTE / FACILITADOR"))</f>
        <v/>
      </c>
      <c r="G1338" s="4" t="str">
        <f>IF(B1338="","",IFERROR(VLOOKUP(B1338, PLANTA_BASE!A:W, 9, FALSE), "GENERAL"))</f>
        <v/>
      </c>
      <c r="H1338" s="2" t="str">
        <f>IF(B1338="","",IFERROR(VLOOKUP(B1338, PLANTA_BASE!A:W, 17, FALSE), "GENERAL"))</f>
        <v/>
      </c>
    </row>
    <row r="1339" spans="1:8" ht="20.100000000000001" customHeight="1" x14ac:dyDescent="0.25">
      <c r="A1339" s="5" t="str">
        <f>IF(B1339="","",IFERROR(VLOOKUP(B1339, PLANTA_BASE!A:W, 2, FALSE), "NO ENCONTRADO EN PLANTA"))</f>
        <v/>
      </c>
      <c r="B1339" s="6"/>
      <c r="C1339" s="7" t="str">
        <f>IF(B1339="","",IFERROR(VLOOKUP(B1339, PLANTA_BASE!A:W, 3, FALSE), ""))</f>
        <v/>
      </c>
      <c r="D1339" s="5" t="str">
        <f>IF(B1339="","",IFERROR(VLOOKUP(B1339, PLANTA_BASE!A:W, 5, FALSE), "NO ENCONTRADO EN PLANTA"))</f>
        <v/>
      </c>
      <c r="E1339" s="5" t="str">
        <f>IF(B1339="","",IFERROR(VLOOKUP(B1339, PLANTA_BASE!A:W, 6, FALSE), "NO ENCONTRADO EN PLANTA"))</f>
        <v/>
      </c>
      <c r="F1339" s="7" t="str">
        <f>IF(B1339="","",IFERROR(VLOOKUP(B1339, PLANTA_BASE!A:W, 8, FALSE), "DOCENTE / FACILITADOR"))</f>
        <v/>
      </c>
      <c r="G1339" s="7" t="str">
        <f>IF(B1339="","",IFERROR(VLOOKUP(B1339, PLANTA_BASE!A:W, 9, FALSE), "GENERAL"))</f>
        <v/>
      </c>
      <c r="H1339" s="5" t="str">
        <f>IF(B1339="","",IFERROR(VLOOKUP(B1339, PLANTA_BASE!A:W, 17, FALSE), "GENERAL"))</f>
        <v/>
      </c>
    </row>
    <row r="1340" spans="1:8" ht="20.100000000000001" customHeight="1" x14ac:dyDescent="0.25">
      <c r="A1340" s="2" t="str">
        <f>IF(B1340="","",IFERROR(VLOOKUP(B1340, PLANTA_BASE!A:W, 2, FALSE), "NO ENCONTRADO EN PLANTA"))</f>
        <v/>
      </c>
      <c r="B1340" s="3"/>
      <c r="C1340" s="4" t="str">
        <f>IF(B1340="","",IFERROR(VLOOKUP(B1340, PLANTA_BASE!A:W, 3, FALSE), ""))</f>
        <v/>
      </c>
      <c r="D1340" s="2" t="str">
        <f>IF(B1340="","",IFERROR(VLOOKUP(B1340, PLANTA_BASE!A:W, 5, FALSE), "NO ENCONTRADO EN PLANTA"))</f>
        <v/>
      </c>
      <c r="E1340" s="2" t="str">
        <f>IF(B1340="","",IFERROR(VLOOKUP(B1340, PLANTA_BASE!A:W, 6, FALSE), "NO ENCONTRADO EN PLANTA"))</f>
        <v/>
      </c>
      <c r="F1340" s="4" t="str">
        <f>IF(B1340="","",IFERROR(VLOOKUP(B1340, PLANTA_BASE!A:W, 8, FALSE), "DOCENTE / FACILITADOR"))</f>
        <v/>
      </c>
      <c r="G1340" s="4" t="str">
        <f>IF(B1340="","",IFERROR(VLOOKUP(B1340, PLANTA_BASE!A:W, 9, FALSE), "GENERAL"))</f>
        <v/>
      </c>
      <c r="H1340" s="2" t="str">
        <f>IF(B1340="","",IFERROR(VLOOKUP(B1340, PLANTA_BASE!A:W, 17, FALSE), "GENERAL"))</f>
        <v/>
      </c>
    </row>
    <row r="1341" spans="1:8" ht="20.100000000000001" customHeight="1" x14ac:dyDescent="0.25">
      <c r="A1341" s="5" t="str">
        <f>IF(B1341="","",IFERROR(VLOOKUP(B1341, PLANTA_BASE!A:W, 2, FALSE), "NO ENCONTRADO EN PLANTA"))</f>
        <v/>
      </c>
      <c r="B1341" s="6"/>
      <c r="C1341" s="7" t="str">
        <f>IF(B1341="","",IFERROR(VLOOKUP(B1341, PLANTA_BASE!A:W, 3, FALSE), ""))</f>
        <v/>
      </c>
      <c r="D1341" s="5" t="str">
        <f>IF(B1341="","",IFERROR(VLOOKUP(B1341, PLANTA_BASE!A:W, 5, FALSE), "NO ENCONTRADO EN PLANTA"))</f>
        <v/>
      </c>
      <c r="E1341" s="5" t="str">
        <f>IF(B1341="","",IFERROR(VLOOKUP(B1341, PLANTA_BASE!A:W, 6, FALSE), "NO ENCONTRADO EN PLANTA"))</f>
        <v/>
      </c>
      <c r="F1341" s="7" t="str">
        <f>IF(B1341="","",IFERROR(VLOOKUP(B1341, PLANTA_BASE!A:W, 8, FALSE), "DOCENTE / FACILITADOR"))</f>
        <v/>
      </c>
      <c r="G1341" s="7" t="str">
        <f>IF(B1341="","",IFERROR(VLOOKUP(B1341, PLANTA_BASE!A:W, 9, FALSE), "GENERAL"))</f>
        <v/>
      </c>
      <c r="H1341" s="5" t="str">
        <f>IF(B1341="","",IFERROR(VLOOKUP(B1341, PLANTA_BASE!A:W, 17, FALSE), "GENERAL"))</f>
        <v/>
      </c>
    </row>
    <row r="1342" spans="1:8" ht="20.100000000000001" customHeight="1" x14ac:dyDescent="0.25">
      <c r="A1342" s="2" t="str">
        <f>IF(B1342="","",IFERROR(VLOOKUP(B1342, PLANTA_BASE!A:W, 2, FALSE), "NO ENCONTRADO EN PLANTA"))</f>
        <v/>
      </c>
      <c r="B1342" s="3"/>
      <c r="C1342" s="4" t="str">
        <f>IF(B1342="","",IFERROR(VLOOKUP(B1342, PLANTA_BASE!A:W, 3, FALSE), ""))</f>
        <v/>
      </c>
      <c r="D1342" s="2" t="str">
        <f>IF(B1342="","",IFERROR(VLOOKUP(B1342, PLANTA_BASE!A:W, 5, FALSE), "NO ENCONTRADO EN PLANTA"))</f>
        <v/>
      </c>
      <c r="E1342" s="2" t="str">
        <f>IF(B1342="","",IFERROR(VLOOKUP(B1342, PLANTA_BASE!A:W, 6, FALSE), "NO ENCONTRADO EN PLANTA"))</f>
        <v/>
      </c>
      <c r="F1342" s="4" t="str">
        <f>IF(B1342="","",IFERROR(VLOOKUP(B1342, PLANTA_BASE!A:W, 8, FALSE), "DOCENTE / FACILITADOR"))</f>
        <v/>
      </c>
      <c r="G1342" s="4" t="str">
        <f>IF(B1342="","",IFERROR(VLOOKUP(B1342, PLANTA_BASE!A:W, 9, FALSE), "GENERAL"))</f>
        <v/>
      </c>
      <c r="H1342" s="2" t="str">
        <f>IF(B1342="","",IFERROR(VLOOKUP(B1342, PLANTA_BASE!A:W, 17, FALSE), "GENERAL"))</f>
        <v/>
      </c>
    </row>
    <row r="1343" spans="1:8" ht="20.100000000000001" customHeight="1" x14ac:dyDescent="0.25">
      <c r="A1343" s="5" t="str">
        <f>IF(B1343="","",IFERROR(VLOOKUP(B1343, PLANTA_BASE!A:W, 2, FALSE), "NO ENCONTRADO EN PLANTA"))</f>
        <v/>
      </c>
      <c r="B1343" s="6"/>
      <c r="C1343" s="7" t="str">
        <f>IF(B1343="","",IFERROR(VLOOKUP(B1343, PLANTA_BASE!A:W, 3, FALSE), ""))</f>
        <v/>
      </c>
      <c r="D1343" s="5" t="str">
        <f>IF(B1343="","",IFERROR(VLOOKUP(B1343, PLANTA_BASE!A:W, 5, FALSE), "NO ENCONTRADO EN PLANTA"))</f>
        <v/>
      </c>
      <c r="E1343" s="5" t="str">
        <f>IF(B1343="","",IFERROR(VLOOKUP(B1343, PLANTA_BASE!A:W, 6, FALSE), "NO ENCONTRADO EN PLANTA"))</f>
        <v/>
      </c>
      <c r="F1343" s="7" t="str">
        <f>IF(B1343="","",IFERROR(VLOOKUP(B1343, PLANTA_BASE!A:W, 8, FALSE), "DOCENTE / FACILITADOR"))</f>
        <v/>
      </c>
      <c r="G1343" s="7" t="str">
        <f>IF(B1343="","",IFERROR(VLOOKUP(B1343, PLANTA_BASE!A:W, 9, FALSE), "GENERAL"))</f>
        <v/>
      </c>
      <c r="H1343" s="5" t="str">
        <f>IF(B1343="","",IFERROR(VLOOKUP(B1343, PLANTA_BASE!A:W, 17, FALSE), "GENERAL"))</f>
        <v/>
      </c>
    </row>
    <row r="1344" spans="1:8" ht="20.100000000000001" customHeight="1" x14ac:dyDescent="0.25">
      <c r="A1344" s="2" t="str">
        <f>IF(B1344="","",IFERROR(VLOOKUP(B1344, PLANTA_BASE!A:W, 2, FALSE), "NO ENCONTRADO EN PLANTA"))</f>
        <v/>
      </c>
      <c r="B1344" s="3"/>
      <c r="C1344" s="4" t="str">
        <f>IF(B1344="","",IFERROR(VLOOKUP(B1344, PLANTA_BASE!A:W, 3, FALSE), ""))</f>
        <v/>
      </c>
      <c r="D1344" s="2" t="str">
        <f>IF(B1344="","",IFERROR(VLOOKUP(B1344, PLANTA_BASE!A:W, 5, FALSE), "NO ENCONTRADO EN PLANTA"))</f>
        <v/>
      </c>
      <c r="E1344" s="2" t="str">
        <f>IF(B1344="","",IFERROR(VLOOKUP(B1344, PLANTA_BASE!A:W, 6, FALSE), "NO ENCONTRADO EN PLANTA"))</f>
        <v/>
      </c>
      <c r="F1344" s="4" t="str">
        <f>IF(B1344="","",IFERROR(VLOOKUP(B1344, PLANTA_BASE!A:W, 8, FALSE), "DOCENTE / FACILITADOR"))</f>
        <v/>
      </c>
      <c r="G1344" s="4" t="str">
        <f>IF(B1344="","",IFERROR(VLOOKUP(B1344, PLANTA_BASE!A:W, 9, FALSE), "GENERAL"))</f>
        <v/>
      </c>
      <c r="H1344" s="2" t="str">
        <f>IF(B1344="","",IFERROR(VLOOKUP(B1344, PLANTA_BASE!A:W, 17, FALSE), "GENERAL"))</f>
        <v/>
      </c>
    </row>
    <row r="1345" spans="1:8" ht="20.100000000000001" customHeight="1" x14ac:dyDescent="0.25">
      <c r="A1345" s="5" t="str">
        <f>IF(B1345="","",IFERROR(VLOOKUP(B1345, PLANTA_BASE!A:W, 2, FALSE), "NO ENCONTRADO EN PLANTA"))</f>
        <v/>
      </c>
      <c r="B1345" s="6"/>
      <c r="C1345" s="7" t="str">
        <f>IF(B1345="","",IFERROR(VLOOKUP(B1345, PLANTA_BASE!A:W, 3, FALSE), ""))</f>
        <v/>
      </c>
      <c r="D1345" s="5" t="str">
        <f>IF(B1345="","",IFERROR(VLOOKUP(B1345, PLANTA_BASE!A:W, 5, FALSE), "NO ENCONTRADO EN PLANTA"))</f>
        <v/>
      </c>
      <c r="E1345" s="5" t="str">
        <f>IF(B1345="","",IFERROR(VLOOKUP(B1345, PLANTA_BASE!A:W, 6, FALSE), "NO ENCONTRADO EN PLANTA"))</f>
        <v/>
      </c>
      <c r="F1345" s="7" t="str">
        <f>IF(B1345="","",IFERROR(VLOOKUP(B1345, PLANTA_BASE!A:W, 8, FALSE), "DOCENTE / FACILITADOR"))</f>
        <v/>
      </c>
      <c r="G1345" s="7" t="str">
        <f>IF(B1345="","",IFERROR(VLOOKUP(B1345, PLANTA_BASE!A:W, 9, FALSE), "GENERAL"))</f>
        <v/>
      </c>
      <c r="H1345" s="5" t="str">
        <f>IF(B1345="","",IFERROR(VLOOKUP(B1345, PLANTA_BASE!A:W, 17, FALSE), "GENERAL"))</f>
        <v/>
      </c>
    </row>
    <row r="1346" spans="1:8" ht="20.100000000000001" customHeight="1" x14ac:dyDescent="0.25">
      <c r="A1346" s="2" t="str">
        <f>IF(B1346="","",IFERROR(VLOOKUP(B1346, PLANTA_BASE!A:W, 2, FALSE), "NO ENCONTRADO EN PLANTA"))</f>
        <v/>
      </c>
      <c r="B1346" s="3"/>
      <c r="C1346" s="4" t="str">
        <f>IF(B1346="","",IFERROR(VLOOKUP(B1346, PLANTA_BASE!A:W, 3, FALSE), ""))</f>
        <v/>
      </c>
      <c r="D1346" s="2" t="str">
        <f>IF(B1346="","",IFERROR(VLOOKUP(B1346, PLANTA_BASE!A:W, 5, FALSE), "NO ENCONTRADO EN PLANTA"))</f>
        <v/>
      </c>
      <c r="E1346" s="2" t="str">
        <f>IF(B1346="","",IFERROR(VLOOKUP(B1346, PLANTA_BASE!A:W, 6, FALSE), "NO ENCONTRADO EN PLANTA"))</f>
        <v/>
      </c>
      <c r="F1346" s="4" t="str">
        <f>IF(B1346="","",IFERROR(VLOOKUP(B1346, PLANTA_BASE!A:W, 8, FALSE), "DOCENTE / FACILITADOR"))</f>
        <v/>
      </c>
      <c r="G1346" s="4" t="str">
        <f>IF(B1346="","",IFERROR(VLOOKUP(B1346, PLANTA_BASE!A:W, 9, FALSE), "GENERAL"))</f>
        <v/>
      </c>
      <c r="H1346" s="2" t="str">
        <f>IF(B1346="","",IFERROR(VLOOKUP(B1346, PLANTA_BASE!A:W, 17, FALSE), "GENERAL"))</f>
        <v/>
      </c>
    </row>
    <row r="1347" spans="1:8" ht="20.100000000000001" customHeight="1" x14ac:dyDescent="0.25">
      <c r="A1347" s="5" t="str">
        <f>IF(B1347="","",IFERROR(VLOOKUP(B1347, PLANTA_BASE!A:W, 2, FALSE), "NO ENCONTRADO EN PLANTA"))</f>
        <v/>
      </c>
      <c r="B1347" s="6"/>
      <c r="C1347" s="7" t="str">
        <f>IF(B1347="","",IFERROR(VLOOKUP(B1347, PLANTA_BASE!A:W, 3, FALSE), ""))</f>
        <v/>
      </c>
      <c r="D1347" s="5" t="str">
        <f>IF(B1347="","",IFERROR(VLOOKUP(B1347, PLANTA_BASE!A:W, 5, FALSE), "NO ENCONTRADO EN PLANTA"))</f>
        <v/>
      </c>
      <c r="E1347" s="5" t="str">
        <f>IF(B1347="","",IFERROR(VLOOKUP(B1347, PLANTA_BASE!A:W, 6, FALSE), "NO ENCONTRADO EN PLANTA"))</f>
        <v/>
      </c>
      <c r="F1347" s="7" t="str">
        <f>IF(B1347="","",IFERROR(VLOOKUP(B1347, PLANTA_BASE!A:W, 8, FALSE), "DOCENTE / FACILITADOR"))</f>
        <v/>
      </c>
      <c r="G1347" s="7" t="str">
        <f>IF(B1347="","",IFERROR(VLOOKUP(B1347, PLANTA_BASE!A:W, 9, FALSE), "GENERAL"))</f>
        <v/>
      </c>
      <c r="H1347" s="5" t="str">
        <f>IF(B1347="","",IFERROR(VLOOKUP(B1347, PLANTA_BASE!A:W, 17, FALSE), "GENERAL"))</f>
        <v/>
      </c>
    </row>
    <row r="1348" spans="1:8" ht="20.100000000000001" customHeight="1" x14ac:dyDescent="0.25">
      <c r="A1348" s="2" t="str">
        <f>IF(B1348="","",IFERROR(VLOOKUP(B1348, PLANTA_BASE!A:W, 2, FALSE), "NO ENCONTRADO EN PLANTA"))</f>
        <v/>
      </c>
      <c r="B1348" s="3"/>
      <c r="C1348" s="4" t="str">
        <f>IF(B1348="","",IFERROR(VLOOKUP(B1348, PLANTA_BASE!A:W, 3, FALSE), ""))</f>
        <v/>
      </c>
      <c r="D1348" s="2" t="str">
        <f>IF(B1348="","",IFERROR(VLOOKUP(B1348, PLANTA_BASE!A:W, 5, FALSE), "NO ENCONTRADO EN PLANTA"))</f>
        <v/>
      </c>
      <c r="E1348" s="2" t="str">
        <f>IF(B1348="","",IFERROR(VLOOKUP(B1348, PLANTA_BASE!A:W, 6, FALSE), "NO ENCONTRADO EN PLANTA"))</f>
        <v/>
      </c>
      <c r="F1348" s="4" t="str">
        <f>IF(B1348="","",IFERROR(VLOOKUP(B1348, PLANTA_BASE!A:W, 8, FALSE), "DOCENTE / FACILITADOR"))</f>
        <v/>
      </c>
      <c r="G1348" s="4" t="str">
        <f>IF(B1348="","",IFERROR(VLOOKUP(B1348, PLANTA_BASE!A:W, 9, FALSE), "GENERAL"))</f>
        <v/>
      </c>
      <c r="H1348" s="2" t="str">
        <f>IF(B1348="","",IFERROR(VLOOKUP(B1348, PLANTA_BASE!A:W, 17, FALSE), "GENERAL"))</f>
        <v/>
      </c>
    </row>
    <row r="1349" spans="1:8" ht="20.100000000000001" customHeight="1" x14ac:dyDescent="0.25">
      <c r="A1349" s="5" t="str">
        <f>IF(B1349="","",IFERROR(VLOOKUP(B1349, PLANTA_BASE!A:W, 2, FALSE), "NO ENCONTRADO EN PLANTA"))</f>
        <v/>
      </c>
      <c r="B1349" s="6"/>
      <c r="C1349" s="7" t="str">
        <f>IF(B1349="","",IFERROR(VLOOKUP(B1349, PLANTA_BASE!A:W, 3, FALSE), ""))</f>
        <v/>
      </c>
      <c r="D1349" s="5" t="str">
        <f>IF(B1349="","",IFERROR(VLOOKUP(B1349, PLANTA_BASE!A:W, 5, FALSE), "NO ENCONTRADO EN PLANTA"))</f>
        <v/>
      </c>
      <c r="E1349" s="5" t="str">
        <f>IF(B1349="","",IFERROR(VLOOKUP(B1349, PLANTA_BASE!A:W, 6, FALSE), "NO ENCONTRADO EN PLANTA"))</f>
        <v/>
      </c>
      <c r="F1349" s="7" t="str">
        <f>IF(B1349="","",IFERROR(VLOOKUP(B1349, PLANTA_BASE!A:W, 8, FALSE), "DOCENTE / FACILITADOR"))</f>
        <v/>
      </c>
      <c r="G1349" s="7" t="str">
        <f>IF(B1349="","",IFERROR(VLOOKUP(B1349, PLANTA_BASE!A:W, 9, FALSE), "GENERAL"))</f>
        <v/>
      </c>
      <c r="H1349" s="5" t="str">
        <f>IF(B1349="","",IFERROR(VLOOKUP(B1349, PLANTA_BASE!A:W, 17, FALSE), "GENERAL"))</f>
        <v/>
      </c>
    </row>
    <row r="1350" spans="1:8" ht="20.100000000000001" customHeight="1" x14ac:dyDescent="0.25">
      <c r="A1350" s="2" t="str">
        <f>IF(B1350="","",IFERROR(VLOOKUP(B1350, PLANTA_BASE!A:W, 2, FALSE), "NO ENCONTRADO EN PLANTA"))</f>
        <v/>
      </c>
      <c r="B1350" s="3"/>
      <c r="C1350" s="4" t="str">
        <f>IF(B1350="","",IFERROR(VLOOKUP(B1350, PLANTA_BASE!A:W, 3, FALSE), ""))</f>
        <v/>
      </c>
      <c r="D1350" s="2" t="str">
        <f>IF(B1350="","",IFERROR(VLOOKUP(B1350, PLANTA_BASE!A:W, 5, FALSE), "NO ENCONTRADO EN PLANTA"))</f>
        <v/>
      </c>
      <c r="E1350" s="2" t="str">
        <f>IF(B1350="","",IFERROR(VLOOKUP(B1350, PLANTA_BASE!A:W, 6, FALSE), "NO ENCONTRADO EN PLANTA"))</f>
        <v/>
      </c>
      <c r="F1350" s="4" t="str">
        <f>IF(B1350="","",IFERROR(VLOOKUP(B1350, PLANTA_BASE!A:W, 8, FALSE), "DOCENTE / FACILITADOR"))</f>
        <v/>
      </c>
      <c r="G1350" s="4" t="str">
        <f>IF(B1350="","",IFERROR(VLOOKUP(B1350, PLANTA_BASE!A:W, 9, FALSE), "GENERAL"))</f>
        <v/>
      </c>
      <c r="H1350" s="2" t="str">
        <f>IF(B1350="","",IFERROR(VLOOKUP(B1350, PLANTA_BASE!A:W, 17, FALSE), "GENERAL"))</f>
        <v/>
      </c>
    </row>
    <row r="1351" spans="1:8" ht="20.100000000000001" customHeight="1" x14ac:dyDescent="0.25">
      <c r="A1351" s="5" t="str">
        <f>IF(B1351="","",IFERROR(VLOOKUP(B1351, PLANTA_BASE!A:W, 2, FALSE), "NO ENCONTRADO EN PLANTA"))</f>
        <v/>
      </c>
      <c r="B1351" s="6"/>
      <c r="C1351" s="7" t="str">
        <f>IF(B1351="","",IFERROR(VLOOKUP(B1351, PLANTA_BASE!A:W, 3, FALSE), ""))</f>
        <v/>
      </c>
      <c r="D1351" s="5" t="str">
        <f>IF(B1351="","",IFERROR(VLOOKUP(B1351, PLANTA_BASE!A:W, 5, FALSE), "NO ENCONTRADO EN PLANTA"))</f>
        <v/>
      </c>
      <c r="E1351" s="5" t="str">
        <f>IF(B1351="","",IFERROR(VLOOKUP(B1351, PLANTA_BASE!A:W, 6, FALSE), "NO ENCONTRADO EN PLANTA"))</f>
        <v/>
      </c>
      <c r="F1351" s="7" t="str">
        <f>IF(B1351="","",IFERROR(VLOOKUP(B1351, PLANTA_BASE!A:W, 8, FALSE), "DOCENTE / FACILITADOR"))</f>
        <v/>
      </c>
      <c r="G1351" s="7" t="str">
        <f>IF(B1351="","",IFERROR(VLOOKUP(B1351, PLANTA_BASE!A:W, 9, FALSE), "GENERAL"))</f>
        <v/>
      </c>
      <c r="H1351" s="5" t="str">
        <f>IF(B1351="","",IFERROR(VLOOKUP(B1351, PLANTA_BASE!A:W, 17, FALSE), "GENERAL"))</f>
        <v/>
      </c>
    </row>
    <row r="1352" spans="1:8" ht="20.100000000000001" customHeight="1" x14ac:dyDescent="0.25">
      <c r="A1352" s="2" t="str">
        <f>IF(B1352="","",IFERROR(VLOOKUP(B1352, PLANTA_BASE!A:W, 2, FALSE), "NO ENCONTRADO EN PLANTA"))</f>
        <v/>
      </c>
      <c r="B1352" s="3"/>
      <c r="C1352" s="4" t="str">
        <f>IF(B1352="","",IFERROR(VLOOKUP(B1352, PLANTA_BASE!A:W, 3, FALSE), ""))</f>
        <v/>
      </c>
      <c r="D1352" s="2" t="str">
        <f>IF(B1352="","",IFERROR(VLOOKUP(B1352, PLANTA_BASE!A:W, 5, FALSE), "NO ENCONTRADO EN PLANTA"))</f>
        <v/>
      </c>
      <c r="E1352" s="2" t="str">
        <f>IF(B1352="","",IFERROR(VLOOKUP(B1352, PLANTA_BASE!A:W, 6, FALSE), "NO ENCONTRADO EN PLANTA"))</f>
        <v/>
      </c>
      <c r="F1352" s="4" t="str">
        <f>IF(B1352="","",IFERROR(VLOOKUP(B1352, PLANTA_BASE!A:W, 8, FALSE), "DOCENTE / FACILITADOR"))</f>
        <v/>
      </c>
      <c r="G1352" s="4" t="str">
        <f>IF(B1352="","",IFERROR(VLOOKUP(B1352, PLANTA_BASE!A:W, 9, FALSE), "GENERAL"))</f>
        <v/>
      </c>
      <c r="H1352" s="2" t="str">
        <f>IF(B1352="","",IFERROR(VLOOKUP(B1352, PLANTA_BASE!A:W, 17, FALSE), "GENERAL"))</f>
        <v/>
      </c>
    </row>
    <row r="1353" spans="1:8" ht="20.100000000000001" customHeight="1" x14ac:dyDescent="0.25">
      <c r="A1353" s="5" t="str">
        <f>IF(B1353="","",IFERROR(VLOOKUP(B1353, PLANTA_BASE!A:W, 2, FALSE), "NO ENCONTRADO EN PLANTA"))</f>
        <v/>
      </c>
      <c r="B1353" s="6"/>
      <c r="C1353" s="7" t="str">
        <f>IF(B1353="","",IFERROR(VLOOKUP(B1353, PLANTA_BASE!A:W, 3, FALSE), ""))</f>
        <v/>
      </c>
      <c r="D1353" s="5" t="str">
        <f>IF(B1353="","",IFERROR(VLOOKUP(B1353, PLANTA_BASE!A:W, 5, FALSE), "NO ENCONTRADO EN PLANTA"))</f>
        <v/>
      </c>
      <c r="E1353" s="5" t="str">
        <f>IF(B1353="","",IFERROR(VLOOKUP(B1353, PLANTA_BASE!A:W, 6, FALSE), "NO ENCONTRADO EN PLANTA"))</f>
        <v/>
      </c>
      <c r="F1353" s="7" t="str">
        <f>IF(B1353="","",IFERROR(VLOOKUP(B1353, PLANTA_BASE!A:W, 8, FALSE), "DOCENTE / FACILITADOR"))</f>
        <v/>
      </c>
      <c r="G1353" s="7" t="str">
        <f>IF(B1353="","",IFERROR(VLOOKUP(B1353, PLANTA_BASE!A:W, 9, FALSE), "GENERAL"))</f>
        <v/>
      </c>
      <c r="H1353" s="5" t="str">
        <f>IF(B1353="","",IFERROR(VLOOKUP(B1353, PLANTA_BASE!A:W, 17, FALSE), "GENERAL"))</f>
        <v/>
      </c>
    </row>
    <row r="1354" spans="1:8" ht="20.100000000000001" customHeight="1" x14ac:dyDescent="0.25">
      <c r="A1354" s="2" t="str">
        <f>IF(B1354="","",IFERROR(VLOOKUP(B1354, PLANTA_BASE!A:W, 2, FALSE), "NO ENCONTRADO EN PLANTA"))</f>
        <v/>
      </c>
      <c r="B1354" s="3"/>
      <c r="C1354" s="4" t="str">
        <f>IF(B1354="","",IFERROR(VLOOKUP(B1354, PLANTA_BASE!A:W, 3, FALSE), ""))</f>
        <v/>
      </c>
      <c r="D1354" s="2" t="str">
        <f>IF(B1354="","",IFERROR(VLOOKUP(B1354, PLANTA_BASE!A:W, 5, FALSE), "NO ENCONTRADO EN PLANTA"))</f>
        <v/>
      </c>
      <c r="E1354" s="2" t="str">
        <f>IF(B1354="","",IFERROR(VLOOKUP(B1354, PLANTA_BASE!A:W, 6, FALSE), "NO ENCONTRADO EN PLANTA"))</f>
        <v/>
      </c>
      <c r="F1354" s="4" t="str">
        <f>IF(B1354="","",IFERROR(VLOOKUP(B1354, PLANTA_BASE!A:W, 8, FALSE), "DOCENTE / FACILITADOR"))</f>
        <v/>
      </c>
      <c r="G1354" s="4" t="str">
        <f>IF(B1354="","",IFERROR(VLOOKUP(B1354, PLANTA_BASE!A:W, 9, FALSE), "GENERAL"))</f>
        <v/>
      </c>
      <c r="H1354" s="2" t="str">
        <f>IF(B1354="","",IFERROR(VLOOKUP(B1354, PLANTA_BASE!A:W, 17, FALSE), "GENERAL"))</f>
        <v/>
      </c>
    </row>
    <row r="1355" spans="1:8" ht="20.100000000000001" customHeight="1" x14ac:dyDescent="0.25">
      <c r="A1355" s="5" t="str">
        <f>IF(B1355="","",IFERROR(VLOOKUP(B1355, PLANTA_BASE!A:W, 2, FALSE), "NO ENCONTRADO EN PLANTA"))</f>
        <v/>
      </c>
      <c r="B1355" s="6"/>
      <c r="C1355" s="7" t="str">
        <f>IF(B1355="","",IFERROR(VLOOKUP(B1355, PLANTA_BASE!A:W, 3, FALSE), ""))</f>
        <v/>
      </c>
      <c r="D1355" s="5" t="str">
        <f>IF(B1355="","",IFERROR(VLOOKUP(B1355, PLANTA_BASE!A:W, 5, FALSE), "NO ENCONTRADO EN PLANTA"))</f>
        <v/>
      </c>
      <c r="E1355" s="5" t="str">
        <f>IF(B1355="","",IFERROR(VLOOKUP(B1355, PLANTA_BASE!A:W, 6, FALSE), "NO ENCONTRADO EN PLANTA"))</f>
        <v/>
      </c>
      <c r="F1355" s="7" t="str">
        <f>IF(B1355="","",IFERROR(VLOOKUP(B1355, PLANTA_BASE!A:W, 8, FALSE), "DOCENTE / FACILITADOR"))</f>
        <v/>
      </c>
      <c r="G1355" s="7" t="str">
        <f>IF(B1355="","",IFERROR(VLOOKUP(B1355, PLANTA_BASE!A:W, 9, FALSE), "GENERAL"))</f>
        <v/>
      </c>
      <c r="H1355" s="5" t="str">
        <f>IF(B1355="","",IFERROR(VLOOKUP(B1355, PLANTA_BASE!A:W, 17, FALSE), "GENERAL"))</f>
        <v/>
      </c>
    </row>
    <row r="1356" spans="1:8" ht="20.100000000000001" customHeight="1" x14ac:dyDescent="0.25">
      <c r="A1356" s="2" t="str">
        <f>IF(B1356="","",IFERROR(VLOOKUP(B1356, PLANTA_BASE!A:W, 2, FALSE), "NO ENCONTRADO EN PLANTA"))</f>
        <v/>
      </c>
      <c r="B1356" s="3"/>
      <c r="C1356" s="4" t="str">
        <f>IF(B1356="","",IFERROR(VLOOKUP(B1356, PLANTA_BASE!A:W, 3, FALSE), ""))</f>
        <v/>
      </c>
      <c r="D1356" s="2" t="str">
        <f>IF(B1356="","",IFERROR(VLOOKUP(B1356, PLANTA_BASE!A:W, 5, FALSE), "NO ENCONTRADO EN PLANTA"))</f>
        <v/>
      </c>
      <c r="E1356" s="2" t="str">
        <f>IF(B1356="","",IFERROR(VLOOKUP(B1356, PLANTA_BASE!A:W, 6, FALSE), "NO ENCONTRADO EN PLANTA"))</f>
        <v/>
      </c>
      <c r="F1356" s="4" t="str">
        <f>IF(B1356="","",IFERROR(VLOOKUP(B1356, PLANTA_BASE!A:W, 8, FALSE), "DOCENTE / FACILITADOR"))</f>
        <v/>
      </c>
      <c r="G1356" s="4" t="str">
        <f>IF(B1356="","",IFERROR(VLOOKUP(B1356, PLANTA_BASE!A:W, 9, FALSE), "GENERAL"))</f>
        <v/>
      </c>
      <c r="H1356" s="2" t="str">
        <f>IF(B1356="","",IFERROR(VLOOKUP(B1356, PLANTA_BASE!A:W, 17, FALSE), "GENERAL"))</f>
        <v/>
      </c>
    </row>
    <row r="1357" spans="1:8" ht="20.100000000000001" customHeight="1" x14ac:dyDescent="0.25">
      <c r="A1357" s="5" t="str">
        <f>IF(B1357="","",IFERROR(VLOOKUP(B1357, PLANTA_BASE!A:W, 2, FALSE), "NO ENCONTRADO EN PLANTA"))</f>
        <v/>
      </c>
      <c r="B1357" s="6"/>
      <c r="C1357" s="7" t="str">
        <f>IF(B1357="","",IFERROR(VLOOKUP(B1357, PLANTA_BASE!A:W, 3, FALSE), ""))</f>
        <v/>
      </c>
      <c r="D1357" s="5" t="str">
        <f>IF(B1357="","",IFERROR(VLOOKUP(B1357, PLANTA_BASE!A:W, 5, FALSE), "NO ENCONTRADO EN PLANTA"))</f>
        <v/>
      </c>
      <c r="E1357" s="5" t="str">
        <f>IF(B1357="","",IFERROR(VLOOKUP(B1357, PLANTA_BASE!A:W, 6, FALSE), "NO ENCONTRADO EN PLANTA"))</f>
        <v/>
      </c>
      <c r="F1357" s="7" t="str">
        <f>IF(B1357="","",IFERROR(VLOOKUP(B1357, PLANTA_BASE!A:W, 8, FALSE), "DOCENTE / FACILITADOR"))</f>
        <v/>
      </c>
      <c r="G1357" s="7" t="str">
        <f>IF(B1357="","",IFERROR(VLOOKUP(B1357, PLANTA_BASE!A:W, 9, FALSE), "GENERAL"))</f>
        <v/>
      </c>
      <c r="H1357" s="5" t="str">
        <f>IF(B1357="","",IFERROR(VLOOKUP(B1357, PLANTA_BASE!A:W, 17, FALSE), "GENERAL"))</f>
        <v/>
      </c>
    </row>
    <row r="1358" spans="1:8" ht="20.100000000000001" customHeight="1" x14ac:dyDescent="0.25">
      <c r="A1358" s="2" t="str">
        <f>IF(B1358="","",IFERROR(VLOOKUP(B1358, PLANTA_BASE!A:W, 2, FALSE), "NO ENCONTRADO EN PLANTA"))</f>
        <v/>
      </c>
      <c r="B1358" s="3"/>
      <c r="C1358" s="4" t="str">
        <f>IF(B1358="","",IFERROR(VLOOKUP(B1358, PLANTA_BASE!A:W, 3, FALSE), ""))</f>
        <v/>
      </c>
      <c r="D1358" s="2" t="str">
        <f>IF(B1358="","",IFERROR(VLOOKUP(B1358, PLANTA_BASE!A:W, 5, FALSE), "NO ENCONTRADO EN PLANTA"))</f>
        <v/>
      </c>
      <c r="E1358" s="2" t="str">
        <f>IF(B1358="","",IFERROR(VLOOKUP(B1358, PLANTA_BASE!A:W, 6, FALSE), "NO ENCONTRADO EN PLANTA"))</f>
        <v/>
      </c>
      <c r="F1358" s="4" t="str">
        <f>IF(B1358="","",IFERROR(VLOOKUP(B1358, PLANTA_BASE!A:W, 8, FALSE), "DOCENTE / FACILITADOR"))</f>
        <v/>
      </c>
      <c r="G1358" s="4" t="str">
        <f>IF(B1358="","",IFERROR(VLOOKUP(B1358, PLANTA_BASE!A:W, 9, FALSE), "GENERAL"))</f>
        <v/>
      </c>
      <c r="H1358" s="2" t="str">
        <f>IF(B1358="","",IFERROR(VLOOKUP(B1358, PLANTA_BASE!A:W, 17, FALSE), "GENERAL"))</f>
        <v/>
      </c>
    </row>
    <row r="1359" spans="1:8" ht="20.100000000000001" customHeight="1" x14ac:dyDescent="0.25">
      <c r="A1359" s="5" t="str">
        <f>IF(B1359="","",IFERROR(VLOOKUP(B1359, PLANTA_BASE!A:W, 2, FALSE), "NO ENCONTRADO EN PLANTA"))</f>
        <v/>
      </c>
      <c r="B1359" s="6"/>
      <c r="C1359" s="7" t="str">
        <f>IF(B1359="","",IFERROR(VLOOKUP(B1359, PLANTA_BASE!A:W, 3, FALSE), ""))</f>
        <v/>
      </c>
      <c r="D1359" s="5" t="str">
        <f>IF(B1359="","",IFERROR(VLOOKUP(B1359, PLANTA_BASE!A:W, 5, FALSE), "NO ENCONTRADO EN PLANTA"))</f>
        <v/>
      </c>
      <c r="E1359" s="5" t="str">
        <f>IF(B1359="","",IFERROR(VLOOKUP(B1359, PLANTA_BASE!A:W, 6, FALSE), "NO ENCONTRADO EN PLANTA"))</f>
        <v/>
      </c>
      <c r="F1359" s="7" t="str">
        <f>IF(B1359="","",IFERROR(VLOOKUP(B1359, PLANTA_BASE!A:W, 8, FALSE), "DOCENTE / FACILITADOR"))</f>
        <v/>
      </c>
      <c r="G1359" s="7" t="str">
        <f>IF(B1359="","",IFERROR(VLOOKUP(B1359, PLANTA_BASE!A:W, 9, FALSE), "GENERAL"))</f>
        <v/>
      </c>
      <c r="H1359" s="5" t="str">
        <f>IF(B1359="","",IFERROR(VLOOKUP(B1359, PLANTA_BASE!A:W, 17, FALSE), "GENERAL"))</f>
        <v/>
      </c>
    </row>
    <row r="1360" spans="1:8" ht="20.100000000000001" customHeight="1" x14ac:dyDescent="0.25">
      <c r="A1360" s="2" t="str">
        <f>IF(B1360="","",IFERROR(VLOOKUP(B1360, PLANTA_BASE!A:W, 2, FALSE), "NO ENCONTRADO EN PLANTA"))</f>
        <v/>
      </c>
      <c r="B1360" s="3"/>
      <c r="C1360" s="4" t="str">
        <f>IF(B1360="","",IFERROR(VLOOKUP(B1360, PLANTA_BASE!A:W, 3, FALSE), ""))</f>
        <v/>
      </c>
      <c r="D1360" s="2" t="str">
        <f>IF(B1360="","",IFERROR(VLOOKUP(B1360, PLANTA_BASE!A:W, 5, FALSE), "NO ENCONTRADO EN PLANTA"))</f>
        <v/>
      </c>
      <c r="E1360" s="2" t="str">
        <f>IF(B1360="","",IFERROR(VLOOKUP(B1360, PLANTA_BASE!A:W, 6, FALSE), "NO ENCONTRADO EN PLANTA"))</f>
        <v/>
      </c>
      <c r="F1360" s="4" t="str">
        <f>IF(B1360="","",IFERROR(VLOOKUP(B1360, PLANTA_BASE!A:W, 8, FALSE), "DOCENTE / FACILITADOR"))</f>
        <v/>
      </c>
      <c r="G1360" s="4" t="str">
        <f>IF(B1360="","",IFERROR(VLOOKUP(B1360, PLANTA_BASE!A:W, 9, FALSE), "GENERAL"))</f>
        <v/>
      </c>
      <c r="H1360" s="2" t="str">
        <f>IF(B1360="","",IFERROR(VLOOKUP(B1360, PLANTA_BASE!A:W, 17, FALSE), "GENERAL"))</f>
        <v/>
      </c>
    </row>
    <row r="1361" spans="1:8" ht="20.100000000000001" customHeight="1" x14ac:dyDescent="0.25">
      <c r="A1361" s="5" t="str">
        <f>IF(B1361="","",IFERROR(VLOOKUP(B1361, PLANTA_BASE!A:W, 2, FALSE), "NO ENCONTRADO EN PLANTA"))</f>
        <v/>
      </c>
      <c r="B1361" s="6"/>
      <c r="C1361" s="7" t="str">
        <f>IF(B1361="","",IFERROR(VLOOKUP(B1361, PLANTA_BASE!A:W, 3, FALSE), ""))</f>
        <v/>
      </c>
      <c r="D1361" s="5" t="str">
        <f>IF(B1361="","",IFERROR(VLOOKUP(B1361, PLANTA_BASE!A:W, 5, FALSE), "NO ENCONTRADO EN PLANTA"))</f>
        <v/>
      </c>
      <c r="E1361" s="5" t="str">
        <f>IF(B1361="","",IFERROR(VLOOKUP(B1361, PLANTA_BASE!A:W, 6, FALSE), "NO ENCONTRADO EN PLANTA"))</f>
        <v/>
      </c>
      <c r="F1361" s="7" t="str">
        <f>IF(B1361="","",IFERROR(VLOOKUP(B1361, PLANTA_BASE!A:W, 8, FALSE), "DOCENTE / FACILITADOR"))</f>
        <v/>
      </c>
      <c r="G1361" s="7" t="str">
        <f>IF(B1361="","",IFERROR(VLOOKUP(B1361, PLANTA_BASE!A:W, 9, FALSE), "GENERAL"))</f>
        <v/>
      </c>
      <c r="H1361" s="5" t="str">
        <f>IF(B1361="","",IFERROR(VLOOKUP(B1361, PLANTA_BASE!A:W, 17, FALSE), "GENERAL"))</f>
        <v/>
      </c>
    </row>
    <row r="1362" spans="1:8" ht="20.100000000000001" customHeight="1" x14ac:dyDescent="0.25">
      <c r="A1362" s="2" t="str">
        <f>IF(B1362="","",IFERROR(VLOOKUP(B1362, PLANTA_BASE!A:W, 2, FALSE), "NO ENCONTRADO EN PLANTA"))</f>
        <v/>
      </c>
      <c r="B1362" s="3"/>
      <c r="C1362" s="4" t="str">
        <f>IF(B1362="","",IFERROR(VLOOKUP(B1362, PLANTA_BASE!A:W, 3, FALSE), ""))</f>
        <v/>
      </c>
      <c r="D1362" s="2" t="str">
        <f>IF(B1362="","",IFERROR(VLOOKUP(B1362, PLANTA_BASE!A:W, 5, FALSE), "NO ENCONTRADO EN PLANTA"))</f>
        <v/>
      </c>
      <c r="E1362" s="2" t="str">
        <f>IF(B1362="","",IFERROR(VLOOKUP(B1362, PLANTA_BASE!A:W, 6, FALSE), "NO ENCONTRADO EN PLANTA"))</f>
        <v/>
      </c>
      <c r="F1362" s="4" t="str">
        <f>IF(B1362="","",IFERROR(VLOOKUP(B1362, PLANTA_BASE!A:W, 8, FALSE), "DOCENTE / FACILITADOR"))</f>
        <v/>
      </c>
      <c r="G1362" s="4" t="str">
        <f>IF(B1362="","",IFERROR(VLOOKUP(B1362, PLANTA_BASE!A:W, 9, FALSE), "GENERAL"))</f>
        <v/>
      </c>
      <c r="H1362" s="2" t="str">
        <f>IF(B1362="","",IFERROR(VLOOKUP(B1362, PLANTA_BASE!A:W, 17, FALSE), "GENERAL"))</f>
        <v/>
      </c>
    </row>
    <row r="1363" spans="1:8" ht="20.100000000000001" customHeight="1" x14ac:dyDescent="0.25">
      <c r="A1363" s="5" t="str">
        <f>IF(B1363="","",IFERROR(VLOOKUP(B1363, PLANTA_BASE!A:W, 2, FALSE), "NO ENCONTRADO EN PLANTA"))</f>
        <v/>
      </c>
      <c r="B1363" s="6"/>
      <c r="C1363" s="7" t="str">
        <f>IF(B1363="","",IFERROR(VLOOKUP(B1363, PLANTA_BASE!A:W, 3, FALSE), ""))</f>
        <v/>
      </c>
      <c r="D1363" s="5" t="str">
        <f>IF(B1363="","",IFERROR(VLOOKUP(B1363, PLANTA_BASE!A:W, 5, FALSE), "NO ENCONTRADO EN PLANTA"))</f>
        <v/>
      </c>
      <c r="E1363" s="5" t="str">
        <f>IF(B1363="","",IFERROR(VLOOKUP(B1363, PLANTA_BASE!A:W, 6, FALSE), "NO ENCONTRADO EN PLANTA"))</f>
        <v/>
      </c>
      <c r="F1363" s="7" t="str">
        <f>IF(B1363="","",IFERROR(VLOOKUP(B1363, PLANTA_BASE!A:W, 8, FALSE), "DOCENTE / FACILITADOR"))</f>
        <v/>
      </c>
      <c r="G1363" s="7" t="str">
        <f>IF(B1363="","",IFERROR(VLOOKUP(B1363, PLANTA_BASE!A:W, 9, FALSE), "GENERAL"))</f>
        <v/>
      </c>
      <c r="H1363" s="5" t="str">
        <f>IF(B1363="","",IFERROR(VLOOKUP(B1363, PLANTA_BASE!A:W, 17, FALSE), "GENERAL"))</f>
        <v/>
      </c>
    </row>
    <row r="1364" spans="1:8" ht="20.100000000000001" customHeight="1" x14ac:dyDescent="0.25">
      <c r="A1364" s="2" t="str">
        <f>IF(B1364="","",IFERROR(VLOOKUP(B1364, PLANTA_BASE!A:W, 2, FALSE), "NO ENCONTRADO EN PLANTA"))</f>
        <v/>
      </c>
      <c r="B1364" s="3"/>
      <c r="C1364" s="4" t="str">
        <f>IF(B1364="","",IFERROR(VLOOKUP(B1364, PLANTA_BASE!A:W, 3, FALSE), ""))</f>
        <v/>
      </c>
      <c r="D1364" s="2" t="str">
        <f>IF(B1364="","",IFERROR(VLOOKUP(B1364, PLANTA_BASE!A:W, 5, FALSE), "NO ENCONTRADO EN PLANTA"))</f>
        <v/>
      </c>
      <c r="E1364" s="2" t="str">
        <f>IF(B1364="","",IFERROR(VLOOKUP(B1364, PLANTA_BASE!A:W, 6, FALSE), "NO ENCONTRADO EN PLANTA"))</f>
        <v/>
      </c>
      <c r="F1364" s="4" t="str">
        <f>IF(B1364="","",IFERROR(VLOOKUP(B1364, PLANTA_BASE!A:W, 8, FALSE), "DOCENTE / FACILITADOR"))</f>
        <v/>
      </c>
      <c r="G1364" s="4" t="str">
        <f>IF(B1364="","",IFERROR(VLOOKUP(B1364, PLANTA_BASE!A:W, 9, FALSE), "GENERAL"))</f>
        <v/>
      </c>
      <c r="H1364" s="2" t="str">
        <f>IF(B1364="","",IFERROR(VLOOKUP(B1364, PLANTA_BASE!A:W, 17, FALSE), "GENERAL"))</f>
        <v/>
      </c>
    </row>
    <row r="1365" spans="1:8" ht="20.100000000000001" customHeight="1" x14ac:dyDescent="0.25">
      <c r="A1365" s="5" t="str">
        <f>IF(B1365="","",IFERROR(VLOOKUP(B1365, PLANTA_BASE!A:W, 2, FALSE), "NO ENCONTRADO EN PLANTA"))</f>
        <v/>
      </c>
      <c r="B1365" s="6"/>
      <c r="C1365" s="7" t="str">
        <f>IF(B1365="","",IFERROR(VLOOKUP(B1365, PLANTA_BASE!A:W, 3, FALSE), ""))</f>
        <v/>
      </c>
      <c r="D1365" s="5" t="str">
        <f>IF(B1365="","",IFERROR(VLOOKUP(B1365, PLANTA_BASE!A:W, 5, FALSE), "NO ENCONTRADO EN PLANTA"))</f>
        <v/>
      </c>
      <c r="E1365" s="5" t="str">
        <f>IF(B1365="","",IFERROR(VLOOKUP(B1365, PLANTA_BASE!A:W, 6, FALSE), "NO ENCONTRADO EN PLANTA"))</f>
        <v/>
      </c>
      <c r="F1365" s="7" t="str">
        <f>IF(B1365="","",IFERROR(VLOOKUP(B1365, PLANTA_BASE!A:W, 8, FALSE), "DOCENTE / FACILITADOR"))</f>
        <v/>
      </c>
      <c r="G1365" s="7" t="str">
        <f>IF(B1365="","",IFERROR(VLOOKUP(B1365, PLANTA_BASE!A:W, 9, FALSE), "GENERAL"))</f>
        <v/>
      </c>
      <c r="H1365" s="5" t="str">
        <f>IF(B1365="","",IFERROR(VLOOKUP(B1365, PLANTA_BASE!A:W, 17, FALSE), "GENERAL"))</f>
        <v/>
      </c>
    </row>
    <row r="1366" spans="1:8" ht="20.100000000000001" customHeight="1" x14ac:dyDescent="0.25">
      <c r="A1366" s="2" t="str">
        <f>IF(B1366="","",IFERROR(VLOOKUP(B1366, PLANTA_BASE!A:W, 2, FALSE), "NO ENCONTRADO EN PLANTA"))</f>
        <v/>
      </c>
      <c r="B1366" s="3"/>
      <c r="C1366" s="4" t="str">
        <f>IF(B1366="","",IFERROR(VLOOKUP(B1366, PLANTA_BASE!A:W, 3, FALSE), ""))</f>
        <v/>
      </c>
      <c r="D1366" s="2" t="str">
        <f>IF(B1366="","",IFERROR(VLOOKUP(B1366, PLANTA_BASE!A:W, 5, FALSE), "NO ENCONTRADO EN PLANTA"))</f>
        <v/>
      </c>
      <c r="E1366" s="2" t="str">
        <f>IF(B1366="","",IFERROR(VLOOKUP(B1366, PLANTA_BASE!A:W, 6, FALSE), "NO ENCONTRADO EN PLANTA"))</f>
        <v/>
      </c>
      <c r="F1366" s="4" t="str">
        <f>IF(B1366="","",IFERROR(VLOOKUP(B1366, PLANTA_BASE!A:W, 8, FALSE), "DOCENTE / FACILITADOR"))</f>
        <v/>
      </c>
      <c r="G1366" s="4" t="str">
        <f>IF(B1366="","",IFERROR(VLOOKUP(B1366, PLANTA_BASE!A:W, 9, FALSE), "GENERAL"))</f>
        <v/>
      </c>
      <c r="H1366" s="2" t="str">
        <f>IF(B1366="","",IFERROR(VLOOKUP(B1366, PLANTA_BASE!A:W, 17, FALSE), "GENERAL"))</f>
        <v/>
      </c>
    </row>
    <row r="1367" spans="1:8" ht="20.100000000000001" customHeight="1" x14ac:dyDescent="0.25">
      <c r="A1367" s="5" t="str">
        <f>IF(B1367="","",IFERROR(VLOOKUP(B1367, PLANTA_BASE!A:W, 2, FALSE), "NO ENCONTRADO EN PLANTA"))</f>
        <v/>
      </c>
      <c r="B1367" s="6"/>
      <c r="C1367" s="7" t="str">
        <f>IF(B1367="","",IFERROR(VLOOKUP(B1367, PLANTA_BASE!A:W, 3, FALSE), ""))</f>
        <v/>
      </c>
      <c r="D1367" s="5" t="str">
        <f>IF(B1367="","",IFERROR(VLOOKUP(B1367, PLANTA_BASE!A:W, 5, FALSE), "NO ENCONTRADO EN PLANTA"))</f>
        <v/>
      </c>
      <c r="E1367" s="5" t="str">
        <f>IF(B1367="","",IFERROR(VLOOKUP(B1367, PLANTA_BASE!A:W, 6, FALSE), "NO ENCONTRADO EN PLANTA"))</f>
        <v/>
      </c>
      <c r="F1367" s="7" t="str">
        <f>IF(B1367="","",IFERROR(VLOOKUP(B1367, PLANTA_BASE!A:W, 8, FALSE), "DOCENTE / FACILITADOR"))</f>
        <v/>
      </c>
      <c r="G1367" s="7" t="str">
        <f>IF(B1367="","",IFERROR(VLOOKUP(B1367, PLANTA_BASE!A:W, 9, FALSE), "GENERAL"))</f>
        <v/>
      </c>
      <c r="H1367" s="5" t="str">
        <f>IF(B1367="","",IFERROR(VLOOKUP(B1367, PLANTA_BASE!A:W, 17, FALSE), "GENERAL"))</f>
        <v/>
      </c>
    </row>
    <row r="1368" spans="1:8" ht="20.100000000000001" customHeight="1" x14ac:dyDescent="0.25">
      <c r="A1368" s="2" t="str">
        <f>IF(B1368="","",IFERROR(VLOOKUP(B1368, PLANTA_BASE!A:W, 2, FALSE), "NO ENCONTRADO EN PLANTA"))</f>
        <v/>
      </c>
      <c r="B1368" s="3"/>
      <c r="C1368" s="4" t="str">
        <f>IF(B1368="","",IFERROR(VLOOKUP(B1368, PLANTA_BASE!A:W, 3, FALSE), ""))</f>
        <v/>
      </c>
      <c r="D1368" s="2" t="str">
        <f>IF(B1368="","",IFERROR(VLOOKUP(B1368, PLANTA_BASE!A:W, 5, FALSE), "NO ENCONTRADO EN PLANTA"))</f>
        <v/>
      </c>
      <c r="E1368" s="2" t="str">
        <f>IF(B1368="","",IFERROR(VLOOKUP(B1368, PLANTA_BASE!A:W, 6, FALSE), "NO ENCONTRADO EN PLANTA"))</f>
        <v/>
      </c>
      <c r="F1368" s="4" t="str">
        <f>IF(B1368="","",IFERROR(VLOOKUP(B1368, PLANTA_BASE!A:W, 8, FALSE), "DOCENTE / FACILITADOR"))</f>
        <v/>
      </c>
      <c r="G1368" s="4" t="str">
        <f>IF(B1368="","",IFERROR(VLOOKUP(B1368, PLANTA_BASE!A:W, 9, FALSE), "GENERAL"))</f>
        <v/>
      </c>
      <c r="H1368" s="2" t="str">
        <f>IF(B1368="","",IFERROR(VLOOKUP(B1368, PLANTA_BASE!A:W, 17, FALSE), "GENERAL"))</f>
        <v/>
      </c>
    </row>
    <row r="1369" spans="1:8" ht="20.100000000000001" customHeight="1" x14ac:dyDescent="0.25">
      <c r="A1369" s="5" t="str">
        <f>IF(B1369="","",IFERROR(VLOOKUP(B1369, PLANTA_BASE!A:W, 2, FALSE), "NO ENCONTRADO EN PLANTA"))</f>
        <v/>
      </c>
      <c r="B1369" s="6"/>
      <c r="C1369" s="7" t="str">
        <f>IF(B1369="","",IFERROR(VLOOKUP(B1369, PLANTA_BASE!A:W, 3, FALSE), ""))</f>
        <v/>
      </c>
      <c r="D1369" s="5" t="str">
        <f>IF(B1369="","",IFERROR(VLOOKUP(B1369, PLANTA_BASE!A:W, 5, FALSE), "NO ENCONTRADO EN PLANTA"))</f>
        <v/>
      </c>
      <c r="E1369" s="5" t="str">
        <f>IF(B1369="","",IFERROR(VLOOKUP(B1369, PLANTA_BASE!A:W, 6, FALSE), "NO ENCONTRADO EN PLANTA"))</f>
        <v/>
      </c>
      <c r="F1369" s="7" t="str">
        <f>IF(B1369="","",IFERROR(VLOOKUP(B1369, PLANTA_BASE!A:W, 8, FALSE), "DOCENTE / FACILITADOR"))</f>
        <v/>
      </c>
      <c r="G1369" s="7" t="str">
        <f>IF(B1369="","",IFERROR(VLOOKUP(B1369, PLANTA_BASE!A:W, 9, FALSE), "GENERAL"))</f>
        <v/>
      </c>
      <c r="H1369" s="5" t="str">
        <f>IF(B1369="","",IFERROR(VLOOKUP(B1369, PLANTA_BASE!A:W, 17, FALSE), "GENERAL"))</f>
        <v/>
      </c>
    </row>
    <row r="1370" spans="1:8" ht="20.100000000000001" customHeight="1" x14ac:dyDescent="0.25">
      <c r="A1370" s="2" t="str">
        <f>IF(B1370="","",IFERROR(VLOOKUP(B1370, PLANTA_BASE!A:W, 2, FALSE), "NO ENCONTRADO EN PLANTA"))</f>
        <v/>
      </c>
      <c r="B1370" s="3"/>
      <c r="C1370" s="4" t="str">
        <f>IF(B1370="","",IFERROR(VLOOKUP(B1370, PLANTA_BASE!A:W, 3, FALSE), ""))</f>
        <v/>
      </c>
      <c r="D1370" s="2" t="str">
        <f>IF(B1370="","",IFERROR(VLOOKUP(B1370, PLANTA_BASE!A:W, 5, FALSE), "NO ENCONTRADO EN PLANTA"))</f>
        <v/>
      </c>
      <c r="E1370" s="2" t="str">
        <f>IF(B1370="","",IFERROR(VLOOKUP(B1370, PLANTA_BASE!A:W, 6, FALSE), "NO ENCONTRADO EN PLANTA"))</f>
        <v/>
      </c>
      <c r="F1370" s="4" t="str">
        <f>IF(B1370="","",IFERROR(VLOOKUP(B1370, PLANTA_BASE!A:W, 8, FALSE), "DOCENTE / FACILITADOR"))</f>
        <v/>
      </c>
      <c r="G1370" s="4" t="str">
        <f>IF(B1370="","",IFERROR(VLOOKUP(B1370, PLANTA_BASE!A:W, 9, FALSE), "GENERAL"))</f>
        <v/>
      </c>
      <c r="H1370" s="2" t="str">
        <f>IF(B1370="","",IFERROR(VLOOKUP(B1370, PLANTA_BASE!A:W, 17, FALSE), "GENERAL"))</f>
        <v/>
      </c>
    </row>
    <row r="1371" spans="1:8" ht="20.100000000000001" customHeight="1" x14ac:dyDescent="0.25">
      <c r="A1371" s="5" t="str">
        <f>IF(B1371="","",IFERROR(VLOOKUP(B1371, PLANTA_BASE!A:W, 2, FALSE), "NO ENCONTRADO EN PLANTA"))</f>
        <v/>
      </c>
      <c r="B1371" s="6"/>
      <c r="C1371" s="7" t="str">
        <f>IF(B1371="","",IFERROR(VLOOKUP(B1371, PLANTA_BASE!A:W, 3, FALSE), ""))</f>
        <v/>
      </c>
      <c r="D1371" s="5" t="str">
        <f>IF(B1371="","",IFERROR(VLOOKUP(B1371, PLANTA_BASE!A:W, 5, FALSE), "NO ENCONTRADO EN PLANTA"))</f>
        <v/>
      </c>
      <c r="E1371" s="5" t="str">
        <f>IF(B1371="","",IFERROR(VLOOKUP(B1371, PLANTA_BASE!A:W, 6, FALSE), "NO ENCONTRADO EN PLANTA"))</f>
        <v/>
      </c>
      <c r="F1371" s="7" t="str">
        <f>IF(B1371="","",IFERROR(VLOOKUP(B1371, PLANTA_BASE!A:W, 8, FALSE), "DOCENTE / FACILITADOR"))</f>
        <v/>
      </c>
      <c r="G1371" s="7" t="str">
        <f>IF(B1371="","",IFERROR(VLOOKUP(B1371, PLANTA_BASE!A:W, 9, FALSE), "GENERAL"))</f>
        <v/>
      </c>
      <c r="H1371" s="5" t="str">
        <f>IF(B1371="","",IFERROR(VLOOKUP(B1371, PLANTA_BASE!A:W, 17, FALSE), "GENERAL"))</f>
        <v/>
      </c>
    </row>
    <row r="1372" spans="1:8" ht="20.100000000000001" customHeight="1" x14ac:dyDescent="0.25">
      <c r="A1372" s="2" t="str">
        <f>IF(B1372="","",IFERROR(VLOOKUP(B1372, PLANTA_BASE!A:W, 2, FALSE), "NO ENCONTRADO EN PLANTA"))</f>
        <v/>
      </c>
      <c r="B1372" s="3"/>
      <c r="C1372" s="4" t="str">
        <f>IF(B1372="","",IFERROR(VLOOKUP(B1372, PLANTA_BASE!A:W, 3, FALSE), ""))</f>
        <v/>
      </c>
      <c r="D1372" s="2" t="str">
        <f>IF(B1372="","",IFERROR(VLOOKUP(B1372, PLANTA_BASE!A:W, 5, FALSE), "NO ENCONTRADO EN PLANTA"))</f>
        <v/>
      </c>
      <c r="E1372" s="2" t="str">
        <f>IF(B1372="","",IFERROR(VLOOKUP(B1372, PLANTA_BASE!A:W, 6, FALSE), "NO ENCONTRADO EN PLANTA"))</f>
        <v/>
      </c>
      <c r="F1372" s="4" t="str">
        <f>IF(B1372="","",IFERROR(VLOOKUP(B1372, PLANTA_BASE!A:W, 8, FALSE), "DOCENTE / FACILITADOR"))</f>
        <v/>
      </c>
      <c r="G1372" s="4" t="str">
        <f>IF(B1372="","",IFERROR(VLOOKUP(B1372, PLANTA_BASE!A:W, 9, FALSE), "GENERAL"))</f>
        <v/>
      </c>
      <c r="H1372" s="2" t="str">
        <f>IF(B1372="","",IFERROR(VLOOKUP(B1372, PLANTA_BASE!A:W, 17, FALSE), "GENERAL"))</f>
        <v/>
      </c>
    </row>
    <row r="1373" spans="1:8" ht="20.100000000000001" customHeight="1" x14ac:dyDescent="0.25">
      <c r="A1373" s="5" t="str">
        <f>IF(B1373="","",IFERROR(VLOOKUP(B1373, PLANTA_BASE!A:W, 2, FALSE), "NO ENCONTRADO EN PLANTA"))</f>
        <v/>
      </c>
      <c r="B1373" s="6"/>
      <c r="C1373" s="7" t="str">
        <f>IF(B1373="","",IFERROR(VLOOKUP(B1373, PLANTA_BASE!A:W, 3, FALSE), ""))</f>
        <v/>
      </c>
      <c r="D1373" s="5" t="str">
        <f>IF(B1373="","",IFERROR(VLOOKUP(B1373, PLANTA_BASE!A:W, 5, FALSE), "NO ENCONTRADO EN PLANTA"))</f>
        <v/>
      </c>
      <c r="E1373" s="5" t="str">
        <f>IF(B1373="","",IFERROR(VLOOKUP(B1373, PLANTA_BASE!A:W, 6, FALSE), "NO ENCONTRADO EN PLANTA"))</f>
        <v/>
      </c>
      <c r="F1373" s="7" t="str">
        <f>IF(B1373="","",IFERROR(VLOOKUP(B1373, PLANTA_BASE!A:W, 8, FALSE), "DOCENTE / FACILITADOR"))</f>
        <v/>
      </c>
      <c r="G1373" s="7" t="str">
        <f>IF(B1373="","",IFERROR(VLOOKUP(B1373, PLANTA_BASE!A:W, 9, FALSE), "GENERAL"))</f>
        <v/>
      </c>
      <c r="H1373" s="5" t="str">
        <f>IF(B1373="","",IFERROR(VLOOKUP(B1373, PLANTA_BASE!A:W, 17, FALSE), "GENERAL"))</f>
        <v/>
      </c>
    </row>
    <row r="1374" spans="1:8" ht="20.100000000000001" customHeight="1" x14ac:dyDescent="0.25">
      <c r="A1374" s="2" t="str">
        <f>IF(B1374="","",IFERROR(VLOOKUP(B1374, PLANTA_BASE!A:W, 2, FALSE), "NO ENCONTRADO EN PLANTA"))</f>
        <v/>
      </c>
      <c r="B1374" s="3"/>
      <c r="C1374" s="4" t="str">
        <f>IF(B1374="","",IFERROR(VLOOKUP(B1374, PLANTA_BASE!A:W, 3, FALSE), ""))</f>
        <v/>
      </c>
      <c r="D1374" s="2" t="str">
        <f>IF(B1374="","",IFERROR(VLOOKUP(B1374, PLANTA_BASE!A:W, 5, FALSE), "NO ENCONTRADO EN PLANTA"))</f>
        <v/>
      </c>
      <c r="E1374" s="2" t="str">
        <f>IF(B1374="","",IFERROR(VLOOKUP(B1374, PLANTA_BASE!A:W, 6, FALSE), "NO ENCONTRADO EN PLANTA"))</f>
        <v/>
      </c>
      <c r="F1374" s="4" t="str">
        <f>IF(B1374="","",IFERROR(VLOOKUP(B1374, PLANTA_BASE!A:W, 8, FALSE), "DOCENTE / FACILITADOR"))</f>
        <v/>
      </c>
      <c r="G1374" s="4" t="str">
        <f>IF(B1374="","",IFERROR(VLOOKUP(B1374, PLANTA_BASE!A:W, 9, FALSE), "GENERAL"))</f>
        <v/>
      </c>
      <c r="H1374" s="2" t="str">
        <f>IF(B1374="","",IFERROR(VLOOKUP(B1374, PLANTA_BASE!A:W, 17, FALSE), "GENERAL"))</f>
        <v/>
      </c>
    </row>
    <row r="1375" spans="1:8" ht="20.100000000000001" customHeight="1" x14ac:dyDescent="0.25">
      <c r="A1375" s="5" t="str">
        <f>IF(B1375="","",IFERROR(VLOOKUP(B1375, PLANTA_BASE!A:W, 2, FALSE), "NO ENCONTRADO EN PLANTA"))</f>
        <v/>
      </c>
      <c r="B1375" s="6"/>
      <c r="C1375" s="7" t="str">
        <f>IF(B1375="","",IFERROR(VLOOKUP(B1375, PLANTA_BASE!A:W, 3, FALSE), ""))</f>
        <v/>
      </c>
      <c r="D1375" s="5" t="str">
        <f>IF(B1375="","",IFERROR(VLOOKUP(B1375, PLANTA_BASE!A:W, 5, FALSE), "NO ENCONTRADO EN PLANTA"))</f>
        <v/>
      </c>
      <c r="E1375" s="5" t="str">
        <f>IF(B1375="","",IFERROR(VLOOKUP(B1375, PLANTA_BASE!A:W, 6, FALSE), "NO ENCONTRADO EN PLANTA"))</f>
        <v/>
      </c>
      <c r="F1375" s="7" t="str">
        <f>IF(B1375="","",IFERROR(VLOOKUP(B1375, PLANTA_BASE!A:W, 8, FALSE), "DOCENTE / FACILITADOR"))</f>
        <v/>
      </c>
      <c r="G1375" s="7" t="str">
        <f>IF(B1375="","",IFERROR(VLOOKUP(B1375, PLANTA_BASE!A:W, 9, FALSE), "GENERAL"))</f>
        <v/>
      </c>
      <c r="H1375" s="5" t="str">
        <f>IF(B1375="","",IFERROR(VLOOKUP(B1375, PLANTA_BASE!A:W, 17, FALSE), "GENERAL"))</f>
        <v/>
      </c>
    </row>
    <row r="1376" spans="1:8" ht="20.100000000000001" customHeight="1" x14ac:dyDescent="0.25">
      <c r="A1376" s="2" t="str">
        <f>IF(B1376="","",IFERROR(VLOOKUP(B1376, PLANTA_BASE!A:W, 2, FALSE), "NO ENCONTRADO EN PLANTA"))</f>
        <v/>
      </c>
      <c r="B1376" s="3"/>
      <c r="C1376" s="4" t="str">
        <f>IF(B1376="","",IFERROR(VLOOKUP(B1376, PLANTA_BASE!A:W, 3, FALSE), ""))</f>
        <v/>
      </c>
      <c r="D1376" s="2" t="str">
        <f>IF(B1376="","",IFERROR(VLOOKUP(B1376, PLANTA_BASE!A:W, 5, FALSE), "NO ENCONTRADO EN PLANTA"))</f>
        <v/>
      </c>
      <c r="E1376" s="2" t="str">
        <f>IF(B1376="","",IFERROR(VLOOKUP(B1376, PLANTA_BASE!A:W, 6, FALSE), "NO ENCONTRADO EN PLANTA"))</f>
        <v/>
      </c>
      <c r="F1376" s="4" t="str">
        <f>IF(B1376="","",IFERROR(VLOOKUP(B1376, PLANTA_BASE!A:W, 8, FALSE), "DOCENTE / FACILITADOR"))</f>
        <v/>
      </c>
      <c r="G1376" s="4" t="str">
        <f>IF(B1376="","",IFERROR(VLOOKUP(B1376, PLANTA_BASE!A:W, 9, FALSE), "GENERAL"))</f>
        <v/>
      </c>
      <c r="H1376" s="2" t="str">
        <f>IF(B1376="","",IFERROR(VLOOKUP(B1376, PLANTA_BASE!A:W, 17, FALSE), "GENERAL"))</f>
        <v/>
      </c>
    </row>
    <row r="1377" spans="1:8" ht="20.100000000000001" customHeight="1" x14ac:dyDescent="0.25">
      <c r="A1377" s="5" t="str">
        <f>IF(B1377="","",IFERROR(VLOOKUP(B1377, PLANTA_BASE!A:W, 2, FALSE), "NO ENCONTRADO EN PLANTA"))</f>
        <v/>
      </c>
      <c r="B1377" s="6"/>
      <c r="C1377" s="7" t="str">
        <f>IF(B1377="","",IFERROR(VLOOKUP(B1377, PLANTA_BASE!A:W, 3, FALSE), ""))</f>
        <v/>
      </c>
      <c r="D1377" s="5" t="str">
        <f>IF(B1377="","",IFERROR(VLOOKUP(B1377, PLANTA_BASE!A:W, 5, FALSE), "NO ENCONTRADO EN PLANTA"))</f>
        <v/>
      </c>
      <c r="E1377" s="5" t="str">
        <f>IF(B1377="","",IFERROR(VLOOKUP(B1377, PLANTA_BASE!A:W, 6, FALSE), "NO ENCONTRADO EN PLANTA"))</f>
        <v/>
      </c>
      <c r="F1377" s="7" t="str">
        <f>IF(B1377="","",IFERROR(VLOOKUP(B1377, PLANTA_BASE!A:W, 8, FALSE), "DOCENTE / FACILITADOR"))</f>
        <v/>
      </c>
      <c r="G1377" s="7" t="str">
        <f>IF(B1377="","",IFERROR(VLOOKUP(B1377, PLANTA_BASE!A:W, 9, FALSE), "GENERAL"))</f>
        <v/>
      </c>
      <c r="H1377" s="5" t="str">
        <f>IF(B1377="","",IFERROR(VLOOKUP(B1377, PLANTA_BASE!A:W, 17, FALSE), "GENERAL"))</f>
        <v/>
      </c>
    </row>
    <row r="1378" spans="1:8" ht="20.100000000000001" customHeight="1" x14ac:dyDescent="0.25">
      <c r="A1378" s="2" t="str">
        <f>IF(B1378="","",IFERROR(VLOOKUP(B1378, PLANTA_BASE!A:W, 2, FALSE), "NO ENCONTRADO EN PLANTA"))</f>
        <v/>
      </c>
      <c r="B1378" s="3"/>
      <c r="C1378" s="4" t="str">
        <f>IF(B1378="","",IFERROR(VLOOKUP(B1378, PLANTA_BASE!A:W, 3, FALSE), ""))</f>
        <v/>
      </c>
      <c r="D1378" s="2" t="str">
        <f>IF(B1378="","",IFERROR(VLOOKUP(B1378, PLANTA_BASE!A:W, 5, FALSE), "NO ENCONTRADO EN PLANTA"))</f>
        <v/>
      </c>
      <c r="E1378" s="2" t="str">
        <f>IF(B1378="","",IFERROR(VLOOKUP(B1378, PLANTA_BASE!A:W, 6, FALSE), "NO ENCONTRADO EN PLANTA"))</f>
        <v/>
      </c>
      <c r="F1378" s="4" t="str">
        <f>IF(B1378="","",IFERROR(VLOOKUP(B1378, PLANTA_BASE!A:W, 8, FALSE), "DOCENTE / FACILITADOR"))</f>
        <v/>
      </c>
      <c r="G1378" s="4" t="str">
        <f>IF(B1378="","",IFERROR(VLOOKUP(B1378, PLANTA_BASE!A:W, 9, FALSE), "GENERAL"))</f>
        <v/>
      </c>
      <c r="H1378" s="2" t="str">
        <f>IF(B1378="","",IFERROR(VLOOKUP(B1378, PLANTA_BASE!A:W, 17, FALSE), "GENERAL"))</f>
        <v/>
      </c>
    </row>
    <row r="1379" spans="1:8" ht="20.100000000000001" customHeight="1" x14ac:dyDescent="0.25">
      <c r="A1379" s="5" t="str">
        <f>IF(B1379="","",IFERROR(VLOOKUP(B1379, PLANTA_BASE!A:W, 2, FALSE), "NO ENCONTRADO EN PLANTA"))</f>
        <v/>
      </c>
      <c r="B1379" s="6"/>
      <c r="C1379" s="7" t="str">
        <f>IF(B1379="","",IFERROR(VLOOKUP(B1379, PLANTA_BASE!A:W, 3, FALSE), ""))</f>
        <v/>
      </c>
      <c r="D1379" s="5" t="str">
        <f>IF(B1379="","",IFERROR(VLOOKUP(B1379, PLANTA_BASE!A:W, 5, FALSE), "NO ENCONTRADO EN PLANTA"))</f>
        <v/>
      </c>
      <c r="E1379" s="5" t="str">
        <f>IF(B1379="","",IFERROR(VLOOKUP(B1379, PLANTA_BASE!A:W, 6, FALSE), "NO ENCONTRADO EN PLANTA"))</f>
        <v/>
      </c>
      <c r="F1379" s="7" t="str">
        <f>IF(B1379="","",IFERROR(VLOOKUP(B1379, PLANTA_BASE!A:W, 8, FALSE), "DOCENTE / FACILITADOR"))</f>
        <v/>
      </c>
      <c r="G1379" s="7" t="str">
        <f>IF(B1379="","",IFERROR(VLOOKUP(B1379, PLANTA_BASE!A:W, 9, FALSE), "GENERAL"))</f>
        <v/>
      </c>
      <c r="H1379" s="5" t="str">
        <f>IF(B1379="","",IFERROR(VLOOKUP(B1379, PLANTA_BASE!A:W, 17, FALSE), "GENERAL"))</f>
        <v/>
      </c>
    </row>
    <row r="1380" spans="1:8" ht="20.100000000000001" customHeight="1" x14ac:dyDescent="0.25">
      <c r="A1380" s="2" t="str">
        <f>IF(B1380="","",IFERROR(VLOOKUP(B1380, PLANTA_BASE!A:W, 2, FALSE), "NO ENCONTRADO EN PLANTA"))</f>
        <v/>
      </c>
      <c r="B1380" s="3"/>
      <c r="C1380" s="4" t="str">
        <f>IF(B1380="","",IFERROR(VLOOKUP(B1380, PLANTA_BASE!A:W, 3, FALSE), ""))</f>
        <v/>
      </c>
      <c r="D1380" s="2" t="str">
        <f>IF(B1380="","",IFERROR(VLOOKUP(B1380, PLANTA_BASE!A:W, 5, FALSE), "NO ENCONTRADO EN PLANTA"))</f>
        <v/>
      </c>
      <c r="E1380" s="2" t="str">
        <f>IF(B1380="","",IFERROR(VLOOKUP(B1380, PLANTA_BASE!A:W, 6, FALSE), "NO ENCONTRADO EN PLANTA"))</f>
        <v/>
      </c>
      <c r="F1380" s="4" t="str">
        <f>IF(B1380="","",IFERROR(VLOOKUP(B1380, PLANTA_BASE!A:W, 8, FALSE), "DOCENTE / FACILITADOR"))</f>
        <v/>
      </c>
      <c r="G1380" s="4" t="str">
        <f>IF(B1380="","",IFERROR(VLOOKUP(B1380, PLANTA_BASE!A:W, 9, FALSE), "GENERAL"))</f>
        <v/>
      </c>
      <c r="H1380" s="2" t="str">
        <f>IF(B1380="","",IFERROR(VLOOKUP(B1380, PLANTA_BASE!A:W, 17, FALSE), "GENERAL"))</f>
        <v/>
      </c>
    </row>
    <row r="1381" spans="1:8" ht="20.100000000000001" customHeight="1" x14ac:dyDescent="0.25">
      <c r="A1381" s="5" t="str">
        <f>IF(B1381="","",IFERROR(VLOOKUP(B1381, PLANTA_BASE!A:W, 2, FALSE), "NO ENCONTRADO EN PLANTA"))</f>
        <v/>
      </c>
      <c r="B1381" s="6"/>
      <c r="C1381" s="7" t="str">
        <f>IF(B1381="","",IFERROR(VLOOKUP(B1381, PLANTA_BASE!A:W, 3, FALSE), ""))</f>
        <v/>
      </c>
      <c r="D1381" s="5" t="str">
        <f>IF(B1381="","",IFERROR(VLOOKUP(B1381, PLANTA_BASE!A:W, 5, FALSE), "NO ENCONTRADO EN PLANTA"))</f>
        <v/>
      </c>
      <c r="E1381" s="5" t="str">
        <f>IF(B1381="","",IFERROR(VLOOKUP(B1381, PLANTA_BASE!A:W, 6, FALSE), "NO ENCONTRADO EN PLANTA"))</f>
        <v/>
      </c>
      <c r="F1381" s="7" t="str">
        <f>IF(B1381="","",IFERROR(VLOOKUP(B1381, PLANTA_BASE!A:W, 8, FALSE), "DOCENTE / FACILITADOR"))</f>
        <v/>
      </c>
      <c r="G1381" s="7" t="str">
        <f>IF(B1381="","",IFERROR(VLOOKUP(B1381, PLANTA_BASE!A:W, 9, FALSE), "GENERAL"))</f>
        <v/>
      </c>
      <c r="H1381" s="5" t="str">
        <f>IF(B1381="","",IFERROR(VLOOKUP(B1381, PLANTA_BASE!A:W, 17, FALSE), "GENERAL"))</f>
        <v/>
      </c>
    </row>
    <row r="1382" spans="1:8" ht="20.100000000000001" customHeight="1" x14ac:dyDescent="0.25">
      <c r="A1382" s="2" t="str">
        <f>IF(B1382="","",IFERROR(VLOOKUP(B1382, PLANTA_BASE!A:W, 2, FALSE), "NO ENCONTRADO EN PLANTA"))</f>
        <v/>
      </c>
      <c r="B1382" s="3"/>
      <c r="C1382" s="4" t="str">
        <f>IF(B1382="","",IFERROR(VLOOKUP(B1382, PLANTA_BASE!A:W, 3, FALSE), ""))</f>
        <v/>
      </c>
      <c r="D1382" s="2" t="str">
        <f>IF(B1382="","",IFERROR(VLOOKUP(B1382, PLANTA_BASE!A:W, 5, FALSE), "NO ENCONTRADO EN PLANTA"))</f>
        <v/>
      </c>
      <c r="E1382" s="2" t="str">
        <f>IF(B1382="","",IFERROR(VLOOKUP(B1382, PLANTA_BASE!A:W, 6, FALSE), "NO ENCONTRADO EN PLANTA"))</f>
        <v/>
      </c>
      <c r="F1382" s="4" t="str">
        <f>IF(B1382="","",IFERROR(VLOOKUP(B1382, PLANTA_BASE!A:W, 8, FALSE), "DOCENTE / FACILITADOR"))</f>
        <v/>
      </c>
      <c r="G1382" s="4" t="str">
        <f>IF(B1382="","",IFERROR(VLOOKUP(B1382, PLANTA_BASE!A:W, 9, FALSE), "GENERAL"))</f>
        <v/>
      </c>
      <c r="H1382" s="2" t="str">
        <f>IF(B1382="","",IFERROR(VLOOKUP(B1382, PLANTA_BASE!A:W, 17, FALSE), "GENERAL"))</f>
        <v/>
      </c>
    </row>
    <row r="1383" spans="1:8" ht="20.100000000000001" customHeight="1" x14ac:dyDescent="0.25">
      <c r="A1383" s="5" t="str">
        <f>IF(B1383="","",IFERROR(VLOOKUP(B1383, PLANTA_BASE!A:W, 2, FALSE), "NO ENCONTRADO EN PLANTA"))</f>
        <v/>
      </c>
      <c r="B1383" s="6"/>
      <c r="C1383" s="7" t="str">
        <f>IF(B1383="","",IFERROR(VLOOKUP(B1383, PLANTA_BASE!A:W, 3, FALSE), ""))</f>
        <v/>
      </c>
      <c r="D1383" s="5" t="str">
        <f>IF(B1383="","",IFERROR(VLOOKUP(B1383, PLANTA_BASE!A:W, 5, FALSE), "NO ENCONTRADO EN PLANTA"))</f>
        <v/>
      </c>
      <c r="E1383" s="5" t="str">
        <f>IF(B1383="","",IFERROR(VLOOKUP(B1383, PLANTA_BASE!A:W, 6, FALSE), "NO ENCONTRADO EN PLANTA"))</f>
        <v/>
      </c>
      <c r="F1383" s="7" t="str">
        <f>IF(B1383="","",IFERROR(VLOOKUP(B1383, PLANTA_BASE!A:W, 8, FALSE), "DOCENTE / FACILITADOR"))</f>
        <v/>
      </c>
      <c r="G1383" s="7" t="str">
        <f>IF(B1383="","",IFERROR(VLOOKUP(B1383, PLANTA_BASE!A:W, 9, FALSE), "GENERAL"))</f>
        <v/>
      </c>
      <c r="H1383" s="5" t="str">
        <f>IF(B1383="","",IFERROR(VLOOKUP(B1383, PLANTA_BASE!A:W, 17, FALSE), "GENERAL"))</f>
        <v/>
      </c>
    </row>
    <row r="1384" spans="1:8" ht="20.100000000000001" customHeight="1" x14ac:dyDescent="0.25">
      <c r="A1384" s="2" t="str">
        <f>IF(B1384="","",IFERROR(VLOOKUP(B1384, PLANTA_BASE!A:W, 2, FALSE), "NO ENCONTRADO EN PLANTA"))</f>
        <v/>
      </c>
      <c r="B1384" s="3"/>
      <c r="C1384" s="4" t="str">
        <f>IF(B1384="","",IFERROR(VLOOKUP(B1384, PLANTA_BASE!A:W, 3, FALSE), ""))</f>
        <v/>
      </c>
      <c r="D1384" s="2" t="str">
        <f>IF(B1384="","",IFERROR(VLOOKUP(B1384, PLANTA_BASE!A:W, 5, FALSE), "NO ENCONTRADO EN PLANTA"))</f>
        <v/>
      </c>
      <c r="E1384" s="2" t="str">
        <f>IF(B1384="","",IFERROR(VLOOKUP(B1384, PLANTA_BASE!A:W, 6, FALSE), "NO ENCONTRADO EN PLANTA"))</f>
        <v/>
      </c>
      <c r="F1384" s="4" t="str">
        <f>IF(B1384="","",IFERROR(VLOOKUP(B1384, PLANTA_BASE!A:W, 8, FALSE), "DOCENTE / FACILITADOR"))</f>
        <v/>
      </c>
      <c r="G1384" s="4" t="str">
        <f>IF(B1384="","",IFERROR(VLOOKUP(B1384, PLANTA_BASE!A:W, 9, FALSE), "GENERAL"))</f>
        <v/>
      </c>
      <c r="H1384" s="2" t="str">
        <f>IF(B1384="","",IFERROR(VLOOKUP(B1384, PLANTA_BASE!A:W, 17, FALSE), "GENERAL"))</f>
        <v/>
      </c>
    </row>
    <row r="1385" spans="1:8" ht="20.100000000000001" customHeight="1" x14ac:dyDescent="0.25">
      <c r="A1385" s="5" t="str">
        <f>IF(B1385="","",IFERROR(VLOOKUP(B1385, PLANTA_BASE!A:W, 2, FALSE), "NO ENCONTRADO EN PLANTA"))</f>
        <v/>
      </c>
      <c r="B1385" s="6"/>
      <c r="C1385" s="7" t="str">
        <f>IF(B1385="","",IFERROR(VLOOKUP(B1385, PLANTA_BASE!A:W, 3, FALSE), ""))</f>
        <v/>
      </c>
      <c r="D1385" s="5" t="str">
        <f>IF(B1385="","",IFERROR(VLOOKUP(B1385, PLANTA_BASE!A:W, 5, FALSE), "NO ENCONTRADO EN PLANTA"))</f>
        <v/>
      </c>
      <c r="E1385" s="5" t="str">
        <f>IF(B1385="","",IFERROR(VLOOKUP(B1385, PLANTA_BASE!A:W, 6, FALSE), "NO ENCONTRADO EN PLANTA"))</f>
        <v/>
      </c>
      <c r="F1385" s="7" t="str">
        <f>IF(B1385="","",IFERROR(VLOOKUP(B1385, PLANTA_BASE!A:W, 8, FALSE), "DOCENTE / FACILITADOR"))</f>
        <v/>
      </c>
      <c r="G1385" s="7" t="str">
        <f>IF(B1385="","",IFERROR(VLOOKUP(B1385, PLANTA_BASE!A:W, 9, FALSE), "GENERAL"))</f>
        <v/>
      </c>
      <c r="H1385" s="5" t="str">
        <f>IF(B1385="","",IFERROR(VLOOKUP(B1385, PLANTA_BASE!A:W, 17, FALSE), "GENERAL"))</f>
        <v/>
      </c>
    </row>
    <row r="1386" spans="1:8" ht="20.100000000000001" customHeight="1" x14ac:dyDescent="0.25">
      <c r="A1386" s="2" t="str">
        <f>IF(B1386="","",IFERROR(VLOOKUP(B1386, PLANTA_BASE!A:W, 2, FALSE), "NO ENCONTRADO EN PLANTA"))</f>
        <v/>
      </c>
      <c r="B1386" s="3"/>
      <c r="C1386" s="4" t="str">
        <f>IF(B1386="","",IFERROR(VLOOKUP(B1386, PLANTA_BASE!A:W, 3, FALSE), ""))</f>
        <v/>
      </c>
      <c r="D1386" s="2" t="str">
        <f>IF(B1386="","",IFERROR(VLOOKUP(B1386, PLANTA_BASE!A:W, 5, FALSE), "NO ENCONTRADO EN PLANTA"))</f>
        <v/>
      </c>
      <c r="E1386" s="2" t="str">
        <f>IF(B1386="","",IFERROR(VLOOKUP(B1386, PLANTA_BASE!A:W, 6, FALSE), "NO ENCONTRADO EN PLANTA"))</f>
        <v/>
      </c>
      <c r="F1386" s="4" t="str">
        <f>IF(B1386="","",IFERROR(VLOOKUP(B1386, PLANTA_BASE!A:W, 8, FALSE), "DOCENTE / FACILITADOR"))</f>
        <v/>
      </c>
      <c r="G1386" s="4" t="str">
        <f>IF(B1386="","",IFERROR(VLOOKUP(B1386, PLANTA_BASE!A:W, 9, FALSE), "GENERAL"))</f>
        <v/>
      </c>
      <c r="H1386" s="2" t="str">
        <f>IF(B1386="","",IFERROR(VLOOKUP(B1386, PLANTA_BASE!A:W, 17, FALSE), "GENERAL"))</f>
        <v/>
      </c>
    </row>
    <row r="1387" spans="1:8" ht="20.100000000000001" customHeight="1" x14ac:dyDescent="0.25">
      <c r="A1387" s="5" t="str">
        <f>IF(B1387="","",IFERROR(VLOOKUP(B1387, PLANTA_BASE!A:W, 2, FALSE), "NO ENCONTRADO EN PLANTA"))</f>
        <v/>
      </c>
      <c r="B1387" s="6"/>
      <c r="C1387" s="7" t="str">
        <f>IF(B1387="","",IFERROR(VLOOKUP(B1387, PLANTA_BASE!A:W, 3, FALSE), ""))</f>
        <v/>
      </c>
      <c r="D1387" s="5" t="str">
        <f>IF(B1387="","",IFERROR(VLOOKUP(B1387, PLANTA_BASE!A:W, 5, FALSE), "NO ENCONTRADO EN PLANTA"))</f>
        <v/>
      </c>
      <c r="E1387" s="5" t="str">
        <f>IF(B1387="","",IFERROR(VLOOKUP(B1387, PLANTA_BASE!A:W, 6, FALSE), "NO ENCONTRADO EN PLANTA"))</f>
        <v/>
      </c>
      <c r="F1387" s="7" t="str">
        <f>IF(B1387="","",IFERROR(VLOOKUP(B1387, PLANTA_BASE!A:W, 8, FALSE), "DOCENTE / FACILITADOR"))</f>
        <v/>
      </c>
      <c r="G1387" s="7" t="str">
        <f>IF(B1387="","",IFERROR(VLOOKUP(B1387, PLANTA_BASE!A:W, 9, FALSE), "GENERAL"))</f>
        <v/>
      </c>
      <c r="H1387" s="5" t="str">
        <f>IF(B1387="","",IFERROR(VLOOKUP(B1387, PLANTA_BASE!A:W, 17, FALSE), "GENERAL"))</f>
        <v/>
      </c>
    </row>
    <row r="1388" spans="1:8" ht="20.100000000000001" customHeight="1" x14ac:dyDescent="0.25">
      <c r="A1388" s="2" t="str">
        <f>IF(B1388="","",IFERROR(VLOOKUP(B1388, PLANTA_BASE!A:W, 2, FALSE), "NO ENCONTRADO EN PLANTA"))</f>
        <v/>
      </c>
      <c r="B1388" s="3"/>
      <c r="C1388" s="4" t="str">
        <f>IF(B1388="","",IFERROR(VLOOKUP(B1388, PLANTA_BASE!A:W, 3, FALSE), ""))</f>
        <v/>
      </c>
      <c r="D1388" s="2" t="str">
        <f>IF(B1388="","",IFERROR(VLOOKUP(B1388, PLANTA_BASE!A:W, 5, FALSE), "NO ENCONTRADO EN PLANTA"))</f>
        <v/>
      </c>
      <c r="E1388" s="2" t="str">
        <f>IF(B1388="","",IFERROR(VLOOKUP(B1388, PLANTA_BASE!A:W, 6, FALSE), "NO ENCONTRADO EN PLANTA"))</f>
        <v/>
      </c>
      <c r="F1388" s="4" t="str">
        <f>IF(B1388="","",IFERROR(VLOOKUP(B1388, PLANTA_BASE!A:W, 8, FALSE), "DOCENTE / FACILITADOR"))</f>
        <v/>
      </c>
      <c r="G1388" s="4" t="str">
        <f>IF(B1388="","",IFERROR(VLOOKUP(B1388, PLANTA_BASE!A:W, 9, FALSE), "GENERAL"))</f>
        <v/>
      </c>
      <c r="H1388" s="2" t="str">
        <f>IF(B1388="","",IFERROR(VLOOKUP(B1388, PLANTA_BASE!A:W, 17, FALSE), "GENERAL"))</f>
        <v/>
      </c>
    </row>
    <row r="1389" spans="1:8" ht="20.100000000000001" customHeight="1" x14ac:dyDescent="0.25">
      <c r="A1389" s="5" t="str">
        <f>IF(B1389="","",IFERROR(VLOOKUP(B1389, PLANTA_BASE!A:W, 2, FALSE), "NO ENCONTRADO EN PLANTA"))</f>
        <v/>
      </c>
      <c r="B1389" s="6"/>
      <c r="C1389" s="7" t="str">
        <f>IF(B1389="","",IFERROR(VLOOKUP(B1389, PLANTA_BASE!A:W, 3, FALSE), ""))</f>
        <v/>
      </c>
      <c r="D1389" s="5" t="str">
        <f>IF(B1389="","",IFERROR(VLOOKUP(B1389, PLANTA_BASE!A:W, 5, FALSE), "NO ENCONTRADO EN PLANTA"))</f>
        <v/>
      </c>
      <c r="E1389" s="5" t="str">
        <f>IF(B1389="","",IFERROR(VLOOKUP(B1389, PLANTA_BASE!A:W, 6, FALSE), "NO ENCONTRADO EN PLANTA"))</f>
        <v/>
      </c>
      <c r="F1389" s="7" t="str">
        <f>IF(B1389="","",IFERROR(VLOOKUP(B1389, PLANTA_BASE!A:W, 8, FALSE), "DOCENTE / FACILITADOR"))</f>
        <v/>
      </c>
      <c r="G1389" s="7" t="str">
        <f>IF(B1389="","",IFERROR(VLOOKUP(B1389, PLANTA_BASE!A:W, 9, FALSE), "GENERAL"))</f>
        <v/>
      </c>
      <c r="H1389" s="5" t="str">
        <f>IF(B1389="","",IFERROR(VLOOKUP(B1389, PLANTA_BASE!A:W, 17, FALSE), "GENERAL"))</f>
        <v/>
      </c>
    </row>
    <row r="1390" spans="1:8" ht="20.100000000000001" customHeight="1" x14ac:dyDescent="0.25">
      <c r="A1390" s="2" t="str">
        <f>IF(B1390="","",IFERROR(VLOOKUP(B1390, PLANTA_BASE!A:W, 2, FALSE), "NO ENCONTRADO EN PLANTA"))</f>
        <v/>
      </c>
      <c r="B1390" s="3"/>
      <c r="C1390" s="4" t="str">
        <f>IF(B1390="","",IFERROR(VLOOKUP(B1390, PLANTA_BASE!A:W, 3, FALSE), ""))</f>
        <v/>
      </c>
      <c r="D1390" s="2" t="str">
        <f>IF(B1390="","",IFERROR(VLOOKUP(B1390, PLANTA_BASE!A:W, 5, FALSE), "NO ENCONTRADO EN PLANTA"))</f>
        <v/>
      </c>
      <c r="E1390" s="2" t="str">
        <f>IF(B1390="","",IFERROR(VLOOKUP(B1390, PLANTA_BASE!A:W, 6, FALSE), "NO ENCONTRADO EN PLANTA"))</f>
        <v/>
      </c>
      <c r="F1390" s="4" t="str">
        <f>IF(B1390="","",IFERROR(VLOOKUP(B1390, PLANTA_BASE!A:W, 8, FALSE), "DOCENTE / FACILITADOR"))</f>
        <v/>
      </c>
      <c r="G1390" s="4" t="str">
        <f>IF(B1390="","",IFERROR(VLOOKUP(B1390, PLANTA_BASE!A:W, 9, FALSE), "GENERAL"))</f>
        <v/>
      </c>
      <c r="H1390" s="2" t="str">
        <f>IF(B1390="","",IFERROR(VLOOKUP(B1390, PLANTA_BASE!A:W, 17, FALSE), "GENERAL"))</f>
        <v/>
      </c>
    </row>
    <row r="1391" spans="1:8" ht="20.100000000000001" customHeight="1" x14ac:dyDescent="0.25">
      <c r="A1391" s="5" t="str">
        <f>IF(B1391="","",IFERROR(VLOOKUP(B1391, PLANTA_BASE!A:W, 2, FALSE), "NO ENCONTRADO EN PLANTA"))</f>
        <v/>
      </c>
      <c r="B1391" s="6"/>
      <c r="C1391" s="7" t="str">
        <f>IF(B1391="","",IFERROR(VLOOKUP(B1391, PLANTA_BASE!A:W, 3, FALSE), ""))</f>
        <v/>
      </c>
      <c r="D1391" s="5" t="str">
        <f>IF(B1391="","",IFERROR(VLOOKUP(B1391, PLANTA_BASE!A:W, 5, FALSE), "NO ENCONTRADO EN PLANTA"))</f>
        <v/>
      </c>
      <c r="E1391" s="5" t="str">
        <f>IF(B1391="","",IFERROR(VLOOKUP(B1391, PLANTA_BASE!A:W, 6, FALSE), "NO ENCONTRADO EN PLANTA"))</f>
        <v/>
      </c>
      <c r="F1391" s="7" t="str">
        <f>IF(B1391="","",IFERROR(VLOOKUP(B1391, PLANTA_BASE!A:W, 8, FALSE), "DOCENTE / FACILITADOR"))</f>
        <v/>
      </c>
      <c r="G1391" s="7" t="str">
        <f>IF(B1391="","",IFERROR(VLOOKUP(B1391, PLANTA_BASE!A:W, 9, FALSE), "GENERAL"))</f>
        <v/>
      </c>
      <c r="H1391" s="5" t="str">
        <f>IF(B1391="","",IFERROR(VLOOKUP(B1391, PLANTA_BASE!A:W, 17, FALSE), "GENERAL"))</f>
        <v/>
      </c>
    </row>
    <row r="1392" spans="1:8" ht="20.100000000000001" customHeight="1" x14ac:dyDescent="0.25">
      <c r="A1392" s="2" t="str">
        <f>IF(B1392="","",IFERROR(VLOOKUP(B1392, PLANTA_BASE!A:W, 2, FALSE), "NO ENCONTRADO EN PLANTA"))</f>
        <v/>
      </c>
      <c r="B1392" s="3"/>
      <c r="C1392" s="4" t="str">
        <f>IF(B1392="","",IFERROR(VLOOKUP(B1392, PLANTA_BASE!A:W, 3, FALSE), ""))</f>
        <v/>
      </c>
      <c r="D1392" s="2" t="str">
        <f>IF(B1392="","",IFERROR(VLOOKUP(B1392, PLANTA_BASE!A:W, 5, FALSE), "NO ENCONTRADO EN PLANTA"))</f>
        <v/>
      </c>
      <c r="E1392" s="2" t="str">
        <f>IF(B1392="","",IFERROR(VLOOKUP(B1392, PLANTA_BASE!A:W, 6, FALSE), "NO ENCONTRADO EN PLANTA"))</f>
        <v/>
      </c>
      <c r="F1392" s="4" t="str">
        <f>IF(B1392="","",IFERROR(VLOOKUP(B1392, PLANTA_BASE!A:W, 8, FALSE), "DOCENTE / FACILITADOR"))</f>
        <v/>
      </c>
      <c r="G1392" s="4" t="str">
        <f>IF(B1392="","",IFERROR(VLOOKUP(B1392, PLANTA_BASE!A:W, 9, FALSE), "GENERAL"))</f>
        <v/>
      </c>
      <c r="H1392" s="2" t="str">
        <f>IF(B1392="","",IFERROR(VLOOKUP(B1392, PLANTA_BASE!A:W, 17, FALSE), "GENERAL"))</f>
        <v/>
      </c>
    </row>
    <row r="1393" spans="1:8" ht="20.100000000000001" customHeight="1" x14ac:dyDescent="0.25">
      <c r="A1393" s="5" t="str">
        <f>IF(B1393="","",IFERROR(VLOOKUP(B1393, PLANTA_BASE!A:W, 2, FALSE), "NO ENCONTRADO EN PLANTA"))</f>
        <v/>
      </c>
      <c r="B1393" s="6"/>
      <c r="C1393" s="7" t="str">
        <f>IF(B1393="","",IFERROR(VLOOKUP(B1393, PLANTA_BASE!A:W, 3, FALSE), ""))</f>
        <v/>
      </c>
      <c r="D1393" s="5" t="str">
        <f>IF(B1393="","",IFERROR(VLOOKUP(B1393, PLANTA_BASE!A:W, 5, FALSE), "NO ENCONTRADO EN PLANTA"))</f>
        <v/>
      </c>
      <c r="E1393" s="5" t="str">
        <f>IF(B1393="","",IFERROR(VLOOKUP(B1393, PLANTA_BASE!A:W, 6, FALSE), "NO ENCONTRADO EN PLANTA"))</f>
        <v/>
      </c>
      <c r="F1393" s="7" t="str">
        <f>IF(B1393="","",IFERROR(VLOOKUP(B1393, PLANTA_BASE!A:W, 8, FALSE), "DOCENTE / FACILITADOR"))</f>
        <v/>
      </c>
      <c r="G1393" s="7" t="str">
        <f>IF(B1393="","",IFERROR(VLOOKUP(B1393, PLANTA_BASE!A:W, 9, FALSE), "GENERAL"))</f>
        <v/>
      </c>
      <c r="H1393" s="5" t="str">
        <f>IF(B1393="","",IFERROR(VLOOKUP(B1393, PLANTA_BASE!A:W, 17, FALSE), "GENERAL"))</f>
        <v/>
      </c>
    </row>
    <row r="1394" spans="1:8" ht="20.100000000000001" customHeight="1" x14ac:dyDescent="0.25">
      <c r="A1394" s="2" t="str">
        <f>IF(B1394="","",IFERROR(VLOOKUP(B1394, PLANTA_BASE!A:W, 2, FALSE), "NO ENCONTRADO EN PLANTA"))</f>
        <v/>
      </c>
      <c r="B1394" s="3"/>
      <c r="C1394" s="4" t="str">
        <f>IF(B1394="","",IFERROR(VLOOKUP(B1394, PLANTA_BASE!A:W, 3, FALSE), ""))</f>
        <v/>
      </c>
      <c r="D1394" s="2" t="str">
        <f>IF(B1394="","",IFERROR(VLOOKUP(B1394, PLANTA_BASE!A:W, 5, FALSE), "NO ENCONTRADO EN PLANTA"))</f>
        <v/>
      </c>
      <c r="E1394" s="2" t="str">
        <f>IF(B1394="","",IFERROR(VLOOKUP(B1394, PLANTA_BASE!A:W, 6, FALSE), "NO ENCONTRADO EN PLANTA"))</f>
        <v/>
      </c>
      <c r="F1394" s="4" t="str">
        <f>IF(B1394="","",IFERROR(VLOOKUP(B1394, PLANTA_BASE!A:W, 8, FALSE), "DOCENTE / FACILITADOR"))</f>
        <v/>
      </c>
      <c r="G1394" s="4" t="str">
        <f>IF(B1394="","",IFERROR(VLOOKUP(B1394, PLANTA_BASE!A:W, 9, FALSE), "GENERAL"))</f>
        <v/>
      </c>
      <c r="H1394" s="2" t="str">
        <f>IF(B1394="","",IFERROR(VLOOKUP(B1394, PLANTA_BASE!A:W, 17, FALSE), "GENERAL"))</f>
        <v/>
      </c>
    </row>
    <row r="1395" spans="1:8" ht="20.100000000000001" customHeight="1" x14ac:dyDescent="0.25">
      <c r="A1395" s="5" t="str">
        <f>IF(B1395="","",IFERROR(VLOOKUP(B1395, PLANTA_BASE!A:W, 2, FALSE), "NO ENCONTRADO EN PLANTA"))</f>
        <v/>
      </c>
      <c r="B1395" s="6"/>
      <c r="C1395" s="7" t="str">
        <f>IF(B1395="","",IFERROR(VLOOKUP(B1395, PLANTA_BASE!A:W, 3, FALSE), ""))</f>
        <v/>
      </c>
      <c r="D1395" s="5" t="str">
        <f>IF(B1395="","",IFERROR(VLOOKUP(B1395, PLANTA_BASE!A:W, 5, FALSE), "NO ENCONTRADO EN PLANTA"))</f>
        <v/>
      </c>
      <c r="E1395" s="5" t="str">
        <f>IF(B1395="","",IFERROR(VLOOKUP(B1395, PLANTA_BASE!A:W, 6, FALSE), "NO ENCONTRADO EN PLANTA"))</f>
        <v/>
      </c>
      <c r="F1395" s="7" t="str">
        <f>IF(B1395="","",IFERROR(VLOOKUP(B1395, PLANTA_BASE!A:W, 8, FALSE), "DOCENTE / FACILITADOR"))</f>
        <v/>
      </c>
      <c r="G1395" s="7" t="str">
        <f>IF(B1395="","",IFERROR(VLOOKUP(B1395, PLANTA_BASE!A:W, 9, FALSE), "GENERAL"))</f>
        <v/>
      </c>
      <c r="H1395" s="5" t="str">
        <f>IF(B1395="","",IFERROR(VLOOKUP(B1395, PLANTA_BASE!A:W, 17, FALSE), "GENERAL"))</f>
        <v/>
      </c>
    </row>
    <row r="1396" spans="1:8" ht="20.100000000000001" customHeight="1" x14ac:dyDescent="0.25">
      <c r="A1396" s="2" t="str">
        <f>IF(B1396="","",IFERROR(VLOOKUP(B1396, PLANTA_BASE!A:W, 2, FALSE), "NO ENCONTRADO EN PLANTA"))</f>
        <v/>
      </c>
      <c r="B1396" s="3"/>
      <c r="C1396" s="4" t="str">
        <f>IF(B1396="","",IFERROR(VLOOKUP(B1396, PLANTA_BASE!A:W, 3, FALSE), ""))</f>
        <v/>
      </c>
      <c r="D1396" s="2" t="str">
        <f>IF(B1396="","",IFERROR(VLOOKUP(B1396, PLANTA_BASE!A:W, 5, FALSE), "NO ENCONTRADO EN PLANTA"))</f>
        <v/>
      </c>
      <c r="E1396" s="2" t="str">
        <f>IF(B1396="","",IFERROR(VLOOKUP(B1396, PLANTA_BASE!A:W, 6, FALSE), "NO ENCONTRADO EN PLANTA"))</f>
        <v/>
      </c>
      <c r="F1396" s="4" t="str">
        <f>IF(B1396="","",IFERROR(VLOOKUP(B1396, PLANTA_BASE!A:W, 8, FALSE), "DOCENTE / FACILITADOR"))</f>
        <v/>
      </c>
      <c r="G1396" s="4" t="str">
        <f>IF(B1396="","",IFERROR(VLOOKUP(B1396, PLANTA_BASE!A:W, 9, FALSE), "GENERAL"))</f>
        <v/>
      </c>
      <c r="H1396" s="2" t="str">
        <f>IF(B1396="","",IFERROR(VLOOKUP(B1396, PLANTA_BASE!A:W, 17, FALSE), "GENERAL"))</f>
        <v/>
      </c>
    </row>
    <row r="1397" spans="1:8" ht="20.100000000000001" customHeight="1" x14ac:dyDescent="0.25">
      <c r="A1397" s="5" t="str">
        <f>IF(B1397="","",IFERROR(VLOOKUP(B1397, PLANTA_BASE!A:W, 2, FALSE), "NO ENCONTRADO EN PLANTA"))</f>
        <v/>
      </c>
      <c r="B1397" s="6"/>
      <c r="C1397" s="7" t="str">
        <f>IF(B1397="","",IFERROR(VLOOKUP(B1397, PLANTA_BASE!A:W, 3, FALSE), ""))</f>
        <v/>
      </c>
      <c r="D1397" s="5" t="str">
        <f>IF(B1397="","",IFERROR(VLOOKUP(B1397, PLANTA_BASE!A:W, 5, FALSE), "NO ENCONTRADO EN PLANTA"))</f>
        <v/>
      </c>
      <c r="E1397" s="5" t="str">
        <f>IF(B1397="","",IFERROR(VLOOKUP(B1397, PLANTA_BASE!A:W, 6, FALSE), "NO ENCONTRADO EN PLANTA"))</f>
        <v/>
      </c>
      <c r="F1397" s="7" t="str">
        <f>IF(B1397="","",IFERROR(VLOOKUP(B1397, PLANTA_BASE!A:W, 8, FALSE), "DOCENTE / FACILITADOR"))</f>
        <v/>
      </c>
      <c r="G1397" s="7" t="str">
        <f>IF(B1397="","",IFERROR(VLOOKUP(B1397, PLANTA_BASE!A:W, 9, FALSE), "GENERAL"))</f>
        <v/>
      </c>
      <c r="H1397" s="5" t="str">
        <f>IF(B1397="","",IFERROR(VLOOKUP(B1397, PLANTA_BASE!A:W, 17, FALSE), "GENERAL"))</f>
        <v/>
      </c>
    </row>
    <row r="1398" spans="1:8" ht="20.100000000000001" customHeight="1" x14ac:dyDescent="0.25">
      <c r="A1398" s="2" t="str">
        <f>IF(B1398="","",IFERROR(VLOOKUP(B1398, PLANTA_BASE!A:W, 2, FALSE), "NO ENCONTRADO EN PLANTA"))</f>
        <v/>
      </c>
      <c r="B1398" s="3"/>
      <c r="C1398" s="4" t="str">
        <f>IF(B1398="","",IFERROR(VLOOKUP(B1398, PLANTA_BASE!A:W, 3, FALSE), ""))</f>
        <v/>
      </c>
      <c r="D1398" s="2" t="str">
        <f>IF(B1398="","",IFERROR(VLOOKUP(B1398, PLANTA_BASE!A:W, 5, FALSE), "NO ENCONTRADO EN PLANTA"))</f>
        <v/>
      </c>
      <c r="E1398" s="2" t="str">
        <f>IF(B1398="","",IFERROR(VLOOKUP(B1398, PLANTA_BASE!A:W, 6, FALSE), "NO ENCONTRADO EN PLANTA"))</f>
        <v/>
      </c>
      <c r="F1398" s="4" t="str">
        <f>IF(B1398="","",IFERROR(VLOOKUP(B1398, PLANTA_BASE!A:W, 8, FALSE), "DOCENTE / FACILITADOR"))</f>
        <v/>
      </c>
      <c r="G1398" s="4" t="str">
        <f>IF(B1398="","",IFERROR(VLOOKUP(B1398, PLANTA_BASE!A:W, 9, FALSE), "GENERAL"))</f>
        <v/>
      </c>
      <c r="H1398" s="2" t="str">
        <f>IF(B1398="","",IFERROR(VLOOKUP(B1398, PLANTA_BASE!A:W, 17, FALSE), "GENERAL"))</f>
        <v/>
      </c>
    </row>
    <row r="1399" spans="1:8" ht="20.100000000000001" customHeight="1" x14ac:dyDescent="0.25">
      <c r="A1399" s="5" t="str">
        <f>IF(B1399="","",IFERROR(VLOOKUP(B1399, PLANTA_BASE!A:W, 2, FALSE), "NO ENCONTRADO EN PLANTA"))</f>
        <v/>
      </c>
      <c r="B1399" s="6"/>
      <c r="C1399" s="7" t="str">
        <f>IF(B1399="","",IFERROR(VLOOKUP(B1399, PLANTA_BASE!A:W, 3, FALSE), ""))</f>
        <v/>
      </c>
      <c r="D1399" s="5" t="str">
        <f>IF(B1399="","",IFERROR(VLOOKUP(B1399, PLANTA_BASE!A:W, 5, FALSE), "NO ENCONTRADO EN PLANTA"))</f>
        <v/>
      </c>
      <c r="E1399" s="5" t="str">
        <f>IF(B1399="","",IFERROR(VLOOKUP(B1399, PLANTA_BASE!A:W, 6, FALSE), "NO ENCONTRADO EN PLANTA"))</f>
        <v/>
      </c>
      <c r="F1399" s="7" t="str">
        <f>IF(B1399="","",IFERROR(VLOOKUP(B1399, PLANTA_BASE!A:W, 8, FALSE), "DOCENTE / FACILITADOR"))</f>
        <v/>
      </c>
      <c r="G1399" s="7" t="str">
        <f>IF(B1399="","",IFERROR(VLOOKUP(B1399, PLANTA_BASE!A:W, 9, FALSE), "GENERAL"))</f>
        <v/>
      </c>
      <c r="H1399" s="5" t="str">
        <f>IF(B1399="","",IFERROR(VLOOKUP(B1399, PLANTA_BASE!A:W, 17, FALSE), "GENERAL"))</f>
        <v/>
      </c>
    </row>
    <row r="1400" spans="1:8" ht="20.100000000000001" customHeight="1" x14ac:dyDescent="0.25">
      <c r="A1400" s="2" t="str">
        <f>IF(B1400="","",IFERROR(VLOOKUP(B1400, PLANTA_BASE!A:W, 2, FALSE), "NO ENCONTRADO EN PLANTA"))</f>
        <v/>
      </c>
      <c r="B1400" s="3"/>
      <c r="C1400" s="4" t="str">
        <f>IF(B1400="","",IFERROR(VLOOKUP(B1400, PLANTA_BASE!A:W, 3, FALSE), ""))</f>
        <v/>
      </c>
      <c r="D1400" s="2" t="str">
        <f>IF(B1400="","",IFERROR(VLOOKUP(B1400, PLANTA_BASE!A:W, 5, FALSE), "NO ENCONTRADO EN PLANTA"))</f>
        <v/>
      </c>
      <c r="E1400" s="2" t="str">
        <f>IF(B1400="","",IFERROR(VLOOKUP(B1400, PLANTA_BASE!A:W, 6, FALSE), "NO ENCONTRADO EN PLANTA"))</f>
        <v/>
      </c>
      <c r="F1400" s="4" t="str">
        <f>IF(B1400="","",IFERROR(VLOOKUP(B1400, PLANTA_BASE!A:W, 8, FALSE), "DOCENTE / FACILITADOR"))</f>
        <v/>
      </c>
      <c r="G1400" s="4" t="str">
        <f>IF(B1400="","",IFERROR(VLOOKUP(B1400, PLANTA_BASE!A:W, 9, FALSE), "GENERAL"))</f>
        <v/>
      </c>
      <c r="H1400" s="2" t="str">
        <f>IF(B1400="","",IFERROR(VLOOKUP(B1400, PLANTA_BASE!A:W, 17, FALSE), "GENERAL"))</f>
        <v/>
      </c>
    </row>
    <row r="1401" spans="1:8" ht="20.100000000000001" customHeight="1" x14ac:dyDescent="0.25">
      <c r="A1401" s="5" t="str">
        <f>IF(B1401="","",IFERROR(VLOOKUP(B1401, PLANTA_BASE!A:W, 2, FALSE), "NO ENCONTRADO EN PLANTA"))</f>
        <v/>
      </c>
      <c r="B1401" s="6"/>
      <c r="C1401" s="7" t="str">
        <f>IF(B1401="","",IFERROR(VLOOKUP(B1401, PLANTA_BASE!A:W, 3, FALSE), ""))</f>
        <v/>
      </c>
      <c r="D1401" s="5" t="str">
        <f>IF(B1401="","",IFERROR(VLOOKUP(B1401, PLANTA_BASE!A:W, 5, FALSE), "NO ENCONTRADO EN PLANTA"))</f>
        <v/>
      </c>
      <c r="E1401" s="5" t="str">
        <f>IF(B1401="","",IFERROR(VLOOKUP(B1401, PLANTA_BASE!A:W, 6, FALSE), "NO ENCONTRADO EN PLANTA"))</f>
        <v/>
      </c>
      <c r="F1401" s="7" t="str">
        <f>IF(B1401="","",IFERROR(VLOOKUP(B1401, PLANTA_BASE!A:W, 8, FALSE), "DOCENTE / FACILITADOR"))</f>
        <v/>
      </c>
      <c r="G1401" s="7" t="str">
        <f>IF(B1401="","",IFERROR(VLOOKUP(B1401, PLANTA_BASE!A:W, 9, FALSE), "GENERAL"))</f>
        <v/>
      </c>
      <c r="H1401" s="5" t="str">
        <f>IF(B1401="","",IFERROR(VLOOKUP(B1401, PLANTA_BASE!A:W, 17, FALSE), "GENERAL"))</f>
        <v/>
      </c>
    </row>
    <row r="1402" spans="1:8" ht="20.100000000000001" customHeight="1" x14ac:dyDescent="0.25">
      <c r="A1402" s="2" t="str">
        <f>IF(B1402="","",IFERROR(VLOOKUP(B1402, PLANTA_BASE!A:W, 2, FALSE), "NO ENCONTRADO EN PLANTA"))</f>
        <v/>
      </c>
      <c r="B1402" s="3"/>
      <c r="C1402" s="4" t="str">
        <f>IF(B1402="","",IFERROR(VLOOKUP(B1402, PLANTA_BASE!A:W, 3, FALSE), ""))</f>
        <v/>
      </c>
      <c r="D1402" s="2" t="str">
        <f>IF(B1402="","",IFERROR(VLOOKUP(B1402, PLANTA_BASE!A:W, 5, FALSE), "NO ENCONTRADO EN PLANTA"))</f>
        <v/>
      </c>
      <c r="E1402" s="2" t="str">
        <f>IF(B1402="","",IFERROR(VLOOKUP(B1402, PLANTA_BASE!A:W, 6, FALSE), "NO ENCONTRADO EN PLANTA"))</f>
        <v/>
      </c>
      <c r="F1402" s="4" t="str">
        <f>IF(B1402="","",IFERROR(VLOOKUP(B1402, PLANTA_BASE!A:W, 8, FALSE), "DOCENTE / FACILITADOR"))</f>
        <v/>
      </c>
      <c r="G1402" s="4" t="str">
        <f>IF(B1402="","",IFERROR(VLOOKUP(B1402, PLANTA_BASE!A:W, 9, FALSE), "GENERAL"))</f>
        <v/>
      </c>
      <c r="H1402" s="2" t="str">
        <f>IF(B1402="","",IFERROR(VLOOKUP(B1402, PLANTA_BASE!A:W, 17, FALSE), "GENERAL"))</f>
        <v/>
      </c>
    </row>
    <row r="1403" spans="1:8" ht="20.100000000000001" customHeight="1" x14ac:dyDescent="0.25">
      <c r="A1403" s="5" t="str">
        <f>IF(B1403="","",IFERROR(VLOOKUP(B1403, PLANTA_BASE!A:W, 2, FALSE), "NO ENCONTRADO EN PLANTA"))</f>
        <v/>
      </c>
      <c r="B1403" s="6"/>
      <c r="C1403" s="7" t="str">
        <f>IF(B1403="","",IFERROR(VLOOKUP(B1403, PLANTA_BASE!A:W, 3, FALSE), ""))</f>
        <v/>
      </c>
      <c r="D1403" s="5" t="str">
        <f>IF(B1403="","",IFERROR(VLOOKUP(B1403, PLANTA_BASE!A:W, 5, FALSE), "NO ENCONTRADO EN PLANTA"))</f>
        <v/>
      </c>
      <c r="E1403" s="5" t="str">
        <f>IF(B1403="","",IFERROR(VLOOKUP(B1403, PLANTA_BASE!A:W, 6, FALSE), "NO ENCONTRADO EN PLANTA"))</f>
        <v/>
      </c>
      <c r="F1403" s="7" t="str">
        <f>IF(B1403="","",IFERROR(VLOOKUP(B1403, PLANTA_BASE!A:W, 8, FALSE), "DOCENTE / FACILITADOR"))</f>
        <v/>
      </c>
      <c r="G1403" s="7" t="str">
        <f>IF(B1403="","",IFERROR(VLOOKUP(B1403, PLANTA_BASE!A:W, 9, FALSE), "GENERAL"))</f>
        <v/>
      </c>
      <c r="H1403" s="5" t="str">
        <f>IF(B1403="","",IFERROR(VLOOKUP(B1403, PLANTA_BASE!A:W, 17, FALSE), "GENERAL"))</f>
        <v/>
      </c>
    </row>
    <row r="1404" spans="1:8" ht="20.100000000000001" customHeight="1" x14ac:dyDescent="0.25">
      <c r="A1404" s="2" t="str">
        <f>IF(B1404="","",IFERROR(VLOOKUP(B1404, PLANTA_BASE!A:W, 2, FALSE), "NO ENCONTRADO EN PLANTA"))</f>
        <v/>
      </c>
      <c r="B1404" s="3"/>
      <c r="C1404" s="4" t="str">
        <f>IF(B1404="","",IFERROR(VLOOKUP(B1404, PLANTA_BASE!A:W, 3, FALSE), ""))</f>
        <v/>
      </c>
      <c r="D1404" s="2" t="str">
        <f>IF(B1404="","",IFERROR(VLOOKUP(B1404, PLANTA_BASE!A:W, 5, FALSE), "NO ENCONTRADO EN PLANTA"))</f>
        <v/>
      </c>
      <c r="E1404" s="2" t="str">
        <f>IF(B1404="","",IFERROR(VLOOKUP(B1404, PLANTA_BASE!A:W, 6, FALSE), "NO ENCONTRADO EN PLANTA"))</f>
        <v/>
      </c>
      <c r="F1404" s="4" t="str">
        <f>IF(B1404="","",IFERROR(VLOOKUP(B1404, PLANTA_BASE!A:W, 8, FALSE), "DOCENTE / FACILITADOR"))</f>
        <v/>
      </c>
      <c r="G1404" s="4" t="str">
        <f>IF(B1404="","",IFERROR(VLOOKUP(B1404, PLANTA_BASE!A:W, 9, FALSE), "GENERAL"))</f>
        <v/>
      </c>
      <c r="H1404" s="2" t="str">
        <f>IF(B1404="","",IFERROR(VLOOKUP(B1404, PLANTA_BASE!A:W, 17, FALSE), "GENERAL"))</f>
        <v/>
      </c>
    </row>
    <row r="1405" spans="1:8" ht="20.100000000000001" customHeight="1" x14ac:dyDescent="0.25">
      <c r="A1405" s="5" t="str">
        <f>IF(B1405="","",IFERROR(VLOOKUP(B1405, PLANTA_BASE!A:W, 2, FALSE), "NO ENCONTRADO EN PLANTA"))</f>
        <v/>
      </c>
      <c r="B1405" s="6"/>
      <c r="C1405" s="7" t="str">
        <f>IF(B1405="","",IFERROR(VLOOKUP(B1405, PLANTA_BASE!A:W, 3, FALSE), ""))</f>
        <v/>
      </c>
      <c r="D1405" s="5" t="str">
        <f>IF(B1405="","",IFERROR(VLOOKUP(B1405, PLANTA_BASE!A:W, 5, FALSE), "NO ENCONTRADO EN PLANTA"))</f>
        <v/>
      </c>
      <c r="E1405" s="5" t="str">
        <f>IF(B1405="","",IFERROR(VLOOKUP(B1405, PLANTA_BASE!A:W, 6, FALSE), "NO ENCONTRADO EN PLANTA"))</f>
        <v/>
      </c>
      <c r="F1405" s="7" t="str">
        <f>IF(B1405="","",IFERROR(VLOOKUP(B1405, PLANTA_BASE!A:W, 8, FALSE), "DOCENTE / FACILITADOR"))</f>
        <v/>
      </c>
      <c r="G1405" s="7" t="str">
        <f>IF(B1405="","",IFERROR(VLOOKUP(B1405, PLANTA_BASE!A:W, 9, FALSE), "GENERAL"))</f>
        <v/>
      </c>
      <c r="H1405" s="5" t="str">
        <f>IF(B1405="","",IFERROR(VLOOKUP(B1405, PLANTA_BASE!A:W, 17, FALSE), "GENERAL"))</f>
        <v/>
      </c>
    </row>
    <row r="1406" spans="1:8" ht="20.100000000000001" customHeight="1" x14ac:dyDescent="0.25">
      <c r="A1406" s="2" t="str">
        <f>IF(B1406="","",IFERROR(VLOOKUP(B1406, PLANTA_BASE!A:W, 2, FALSE), "NO ENCONTRADO EN PLANTA"))</f>
        <v/>
      </c>
      <c r="B1406" s="3"/>
      <c r="C1406" s="4" t="str">
        <f>IF(B1406="","",IFERROR(VLOOKUP(B1406, PLANTA_BASE!A:W, 3, FALSE), ""))</f>
        <v/>
      </c>
      <c r="D1406" s="2" t="str">
        <f>IF(B1406="","",IFERROR(VLOOKUP(B1406, PLANTA_BASE!A:W, 5, FALSE), "NO ENCONTRADO EN PLANTA"))</f>
        <v/>
      </c>
      <c r="E1406" s="2" t="str">
        <f>IF(B1406="","",IFERROR(VLOOKUP(B1406, PLANTA_BASE!A:W, 6, FALSE), "NO ENCONTRADO EN PLANTA"))</f>
        <v/>
      </c>
      <c r="F1406" s="4" t="str">
        <f>IF(B1406="","",IFERROR(VLOOKUP(B1406, PLANTA_BASE!A:W, 8, FALSE), "DOCENTE / FACILITADOR"))</f>
        <v/>
      </c>
      <c r="G1406" s="4" t="str">
        <f>IF(B1406="","",IFERROR(VLOOKUP(B1406, PLANTA_BASE!A:W, 9, FALSE), "GENERAL"))</f>
        <v/>
      </c>
      <c r="H1406" s="2" t="str">
        <f>IF(B1406="","",IFERROR(VLOOKUP(B1406, PLANTA_BASE!A:W, 17, FALSE), "GENERAL"))</f>
        <v/>
      </c>
    </row>
    <row r="1407" spans="1:8" ht="20.100000000000001" customHeight="1" x14ac:dyDescent="0.25">
      <c r="A1407" s="5" t="str">
        <f>IF(B1407="","",IFERROR(VLOOKUP(B1407, PLANTA_BASE!A:W, 2, FALSE), "NO ENCONTRADO EN PLANTA"))</f>
        <v/>
      </c>
      <c r="B1407" s="6"/>
      <c r="C1407" s="7" t="str">
        <f>IF(B1407="","",IFERROR(VLOOKUP(B1407, PLANTA_BASE!A:W, 3, FALSE), ""))</f>
        <v/>
      </c>
      <c r="D1407" s="5" t="str">
        <f>IF(B1407="","",IFERROR(VLOOKUP(B1407, PLANTA_BASE!A:W, 5, FALSE), "NO ENCONTRADO EN PLANTA"))</f>
        <v/>
      </c>
      <c r="E1407" s="5" t="str">
        <f>IF(B1407="","",IFERROR(VLOOKUP(B1407, PLANTA_BASE!A:W, 6, FALSE), "NO ENCONTRADO EN PLANTA"))</f>
        <v/>
      </c>
      <c r="F1407" s="7" t="str">
        <f>IF(B1407="","",IFERROR(VLOOKUP(B1407, PLANTA_BASE!A:W, 8, FALSE), "DOCENTE / FACILITADOR"))</f>
        <v/>
      </c>
      <c r="G1407" s="7" t="str">
        <f>IF(B1407="","",IFERROR(VLOOKUP(B1407, PLANTA_BASE!A:W, 9, FALSE), "GENERAL"))</f>
        <v/>
      </c>
      <c r="H1407" s="5" t="str">
        <f>IF(B1407="","",IFERROR(VLOOKUP(B1407, PLANTA_BASE!A:W, 17, FALSE), "GENERAL"))</f>
        <v/>
      </c>
    </row>
    <row r="1408" spans="1:8" ht="20.100000000000001" customHeight="1" x14ac:dyDescent="0.25">
      <c r="A1408" s="2" t="str">
        <f>IF(B1408="","",IFERROR(VLOOKUP(B1408, PLANTA_BASE!A:W, 2, FALSE), "NO ENCONTRADO EN PLANTA"))</f>
        <v/>
      </c>
      <c r="B1408" s="3"/>
      <c r="C1408" s="4" t="str">
        <f>IF(B1408="","",IFERROR(VLOOKUP(B1408, PLANTA_BASE!A:W, 3, FALSE), ""))</f>
        <v/>
      </c>
      <c r="D1408" s="2" t="str">
        <f>IF(B1408="","",IFERROR(VLOOKUP(B1408, PLANTA_BASE!A:W, 5, FALSE), "NO ENCONTRADO EN PLANTA"))</f>
        <v/>
      </c>
      <c r="E1408" s="2" t="str">
        <f>IF(B1408="","",IFERROR(VLOOKUP(B1408, PLANTA_BASE!A:W, 6, FALSE), "NO ENCONTRADO EN PLANTA"))</f>
        <v/>
      </c>
      <c r="F1408" s="4" t="str">
        <f>IF(B1408="","",IFERROR(VLOOKUP(B1408, PLANTA_BASE!A:W, 8, FALSE), "DOCENTE / FACILITADOR"))</f>
        <v/>
      </c>
      <c r="G1408" s="4" t="str">
        <f>IF(B1408="","",IFERROR(VLOOKUP(B1408, PLANTA_BASE!A:W, 9, FALSE), "GENERAL"))</f>
        <v/>
      </c>
      <c r="H1408" s="2" t="str">
        <f>IF(B1408="","",IFERROR(VLOOKUP(B1408, PLANTA_BASE!A:W, 17, FALSE), "GENERAL"))</f>
        <v/>
      </c>
    </row>
    <row r="1409" spans="1:8" ht="20.100000000000001" customHeight="1" x14ac:dyDescent="0.25">
      <c r="A1409" s="5" t="str">
        <f>IF(B1409="","",IFERROR(VLOOKUP(B1409, PLANTA_BASE!A:W, 2, FALSE), "NO ENCONTRADO EN PLANTA"))</f>
        <v/>
      </c>
      <c r="B1409" s="6"/>
      <c r="C1409" s="7" t="str">
        <f>IF(B1409="","",IFERROR(VLOOKUP(B1409, PLANTA_BASE!A:W, 3, FALSE), ""))</f>
        <v/>
      </c>
      <c r="D1409" s="5" t="str">
        <f>IF(B1409="","",IFERROR(VLOOKUP(B1409, PLANTA_BASE!A:W, 5, FALSE), "NO ENCONTRADO EN PLANTA"))</f>
        <v/>
      </c>
      <c r="E1409" s="5" t="str">
        <f>IF(B1409="","",IFERROR(VLOOKUP(B1409, PLANTA_BASE!A:W, 6, FALSE), "NO ENCONTRADO EN PLANTA"))</f>
        <v/>
      </c>
      <c r="F1409" s="7" t="str">
        <f>IF(B1409="","",IFERROR(VLOOKUP(B1409, PLANTA_BASE!A:W, 8, FALSE), "DOCENTE / FACILITADOR"))</f>
        <v/>
      </c>
      <c r="G1409" s="7" t="str">
        <f>IF(B1409="","",IFERROR(VLOOKUP(B1409, PLANTA_BASE!A:W, 9, FALSE), "GENERAL"))</f>
        <v/>
      </c>
      <c r="H1409" s="5" t="str">
        <f>IF(B1409="","",IFERROR(VLOOKUP(B1409, PLANTA_BASE!A:W, 17, FALSE), "GENERAL"))</f>
        <v/>
      </c>
    </row>
    <row r="1410" spans="1:8" ht="20.100000000000001" customHeight="1" x14ac:dyDescent="0.25">
      <c r="A1410" s="2" t="str">
        <f>IF(B1410="","",IFERROR(VLOOKUP(B1410, PLANTA_BASE!A:W, 2, FALSE), "NO ENCONTRADO EN PLANTA"))</f>
        <v/>
      </c>
      <c r="B1410" s="3"/>
      <c r="C1410" s="4" t="str">
        <f>IF(B1410="","",IFERROR(VLOOKUP(B1410, PLANTA_BASE!A:W, 3, FALSE), ""))</f>
        <v/>
      </c>
      <c r="D1410" s="2" t="str">
        <f>IF(B1410="","",IFERROR(VLOOKUP(B1410, PLANTA_BASE!A:W, 5, FALSE), "NO ENCONTRADO EN PLANTA"))</f>
        <v/>
      </c>
      <c r="E1410" s="2" t="str">
        <f>IF(B1410="","",IFERROR(VLOOKUP(B1410, PLANTA_BASE!A:W, 6, FALSE), "NO ENCONTRADO EN PLANTA"))</f>
        <v/>
      </c>
      <c r="F1410" s="4" t="str">
        <f>IF(B1410="","",IFERROR(VLOOKUP(B1410, PLANTA_BASE!A:W, 8, FALSE), "DOCENTE / FACILITADOR"))</f>
        <v/>
      </c>
      <c r="G1410" s="4" t="str">
        <f>IF(B1410="","",IFERROR(VLOOKUP(B1410, PLANTA_BASE!A:W, 9, FALSE), "GENERAL"))</f>
        <v/>
      </c>
      <c r="H1410" s="2" t="str">
        <f>IF(B1410="","",IFERROR(VLOOKUP(B1410, PLANTA_BASE!A:W, 17, FALSE), "GENERAL"))</f>
        <v/>
      </c>
    </row>
    <row r="1411" spans="1:8" ht="20.100000000000001" customHeight="1" x14ac:dyDescent="0.25">
      <c r="A1411" s="5" t="str">
        <f>IF(B1411="","",IFERROR(VLOOKUP(B1411, PLANTA_BASE!A:W, 2, FALSE), "NO ENCONTRADO EN PLANTA"))</f>
        <v/>
      </c>
      <c r="B1411" s="6"/>
      <c r="C1411" s="7" t="str">
        <f>IF(B1411="","",IFERROR(VLOOKUP(B1411, PLANTA_BASE!A:W, 3, FALSE), ""))</f>
        <v/>
      </c>
      <c r="D1411" s="5" t="str">
        <f>IF(B1411="","",IFERROR(VLOOKUP(B1411, PLANTA_BASE!A:W, 5, FALSE), "NO ENCONTRADO EN PLANTA"))</f>
        <v/>
      </c>
      <c r="E1411" s="5" t="str">
        <f>IF(B1411="","",IFERROR(VLOOKUP(B1411, PLANTA_BASE!A:W, 6, FALSE), "NO ENCONTRADO EN PLANTA"))</f>
        <v/>
      </c>
      <c r="F1411" s="7" t="str">
        <f>IF(B1411="","",IFERROR(VLOOKUP(B1411, PLANTA_BASE!A:W, 8, FALSE), "DOCENTE / FACILITADOR"))</f>
        <v/>
      </c>
      <c r="G1411" s="7" t="str">
        <f>IF(B1411="","",IFERROR(VLOOKUP(B1411, PLANTA_BASE!A:W, 9, FALSE), "GENERAL"))</f>
        <v/>
      </c>
      <c r="H1411" s="5" t="str">
        <f>IF(B1411="","",IFERROR(VLOOKUP(B1411, PLANTA_BASE!A:W, 17, FALSE), "GENERAL"))</f>
        <v/>
      </c>
    </row>
    <row r="1412" spans="1:8" ht="20.100000000000001" customHeight="1" x14ac:dyDescent="0.25">
      <c r="A1412" s="2" t="str">
        <f>IF(B1412="","",IFERROR(VLOOKUP(B1412, PLANTA_BASE!A:W, 2, FALSE), "NO ENCONTRADO EN PLANTA"))</f>
        <v/>
      </c>
      <c r="B1412" s="3"/>
      <c r="C1412" s="4" t="str">
        <f>IF(B1412="","",IFERROR(VLOOKUP(B1412, PLANTA_BASE!A:W, 3, FALSE), ""))</f>
        <v/>
      </c>
      <c r="D1412" s="2" t="str">
        <f>IF(B1412="","",IFERROR(VLOOKUP(B1412, PLANTA_BASE!A:W, 5, FALSE), "NO ENCONTRADO EN PLANTA"))</f>
        <v/>
      </c>
      <c r="E1412" s="2" t="str">
        <f>IF(B1412="","",IFERROR(VLOOKUP(B1412, PLANTA_BASE!A:W, 6, FALSE), "NO ENCONTRADO EN PLANTA"))</f>
        <v/>
      </c>
      <c r="F1412" s="4" t="str">
        <f>IF(B1412="","",IFERROR(VLOOKUP(B1412, PLANTA_BASE!A:W, 8, FALSE), "DOCENTE / FACILITADOR"))</f>
        <v/>
      </c>
      <c r="G1412" s="4" t="str">
        <f>IF(B1412="","",IFERROR(VLOOKUP(B1412, PLANTA_BASE!A:W, 9, FALSE), "GENERAL"))</f>
        <v/>
      </c>
      <c r="H1412" s="2" t="str">
        <f>IF(B1412="","",IFERROR(VLOOKUP(B1412, PLANTA_BASE!A:W, 17, FALSE), "GENERAL"))</f>
        <v/>
      </c>
    </row>
    <row r="1413" spans="1:8" ht="20.100000000000001" customHeight="1" x14ac:dyDescent="0.25">
      <c r="A1413" s="5" t="str">
        <f>IF(B1413="","",IFERROR(VLOOKUP(B1413, PLANTA_BASE!A:W, 2, FALSE), "NO ENCONTRADO EN PLANTA"))</f>
        <v/>
      </c>
      <c r="B1413" s="6"/>
      <c r="C1413" s="7" t="str">
        <f>IF(B1413="","",IFERROR(VLOOKUP(B1413, PLANTA_BASE!A:W, 3, FALSE), ""))</f>
        <v/>
      </c>
      <c r="D1413" s="5" t="str">
        <f>IF(B1413="","",IFERROR(VLOOKUP(B1413, PLANTA_BASE!A:W, 5, FALSE), "NO ENCONTRADO EN PLANTA"))</f>
        <v/>
      </c>
      <c r="E1413" s="5" t="str">
        <f>IF(B1413="","",IFERROR(VLOOKUP(B1413, PLANTA_BASE!A:W, 6, FALSE), "NO ENCONTRADO EN PLANTA"))</f>
        <v/>
      </c>
      <c r="F1413" s="7" t="str">
        <f>IF(B1413="","",IFERROR(VLOOKUP(B1413, PLANTA_BASE!A:W, 8, FALSE), "DOCENTE / FACILITADOR"))</f>
        <v/>
      </c>
      <c r="G1413" s="7" t="str">
        <f>IF(B1413="","",IFERROR(VLOOKUP(B1413, PLANTA_BASE!A:W, 9, FALSE), "GENERAL"))</f>
        <v/>
      </c>
      <c r="H1413" s="5" t="str">
        <f>IF(B1413="","",IFERROR(VLOOKUP(B1413, PLANTA_BASE!A:W, 17, FALSE), "GENERAL"))</f>
        <v/>
      </c>
    </row>
    <row r="1414" spans="1:8" ht="20.100000000000001" customHeight="1" x14ac:dyDescent="0.25">
      <c r="A1414" s="2" t="str">
        <f>IF(B1414="","",IFERROR(VLOOKUP(B1414, PLANTA_BASE!A:W, 2, FALSE), "NO ENCONTRADO EN PLANTA"))</f>
        <v/>
      </c>
      <c r="B1414" s="3"/>
      <c r="C1414" s="4" t="str">
        <f>IF(B1414="","",IFERROR(VLOOKUP(B1414, PLANTA_BASE!A:W, 3, FALSE), ""))</f>
        <v/>
      </c>
      <c r="D1414" s="2" t="str">
        <f>IF(B1414="","",IFERROR(VLOOKUP(B1414, PLANTA_BASE!A:W, 5, FALSE), "NO ENCONTRADO EN PLANTA"))</f>
        <v/>
      </c>
      <c r="E1414" s="2" t="str">
        <f>IF(B1414="","",IFERROR(VLOOKUP(B1414, PLANTA_BASE!A:W, 6, FALSE), "NO ENCONTRADO EN PLANTA"))</f>
        <v/>
      </c>
      <c r="F1414" s="4" t="str">
        <f>IF(B1414="","",IFERROR(VLOOKUP(B1414, PLANTA_BASE!A:W, 8, FALSE), "DOCENTE / FACILITADOR"))</f>
        <v/>
      </c>
      <c r="G1414" s="4" t="str">
        <f>IF(B1414="","",IFERROR(VLOOKUP(B1414, PLANTA_BASE!A:W, 9, FALSE), "GENERAL"))</f>
        <v/>
      </c>
      <c r="H1414" s="2" t="str">
        <f>IF(B1414="","",IFERROR(VLOOKUP(B1414, PLANTA_BASE!A:W, 17, FALSE), "GENERAL"))</f>
        <v/>
      </c>
    </row>
    <row r="1415" spans="1:8" ht="20.100000000000001" customHeight="1" x14ac:dyDescent="0.25">
      <c r="A1415" s="5" t="str">
        <f>IF(B1415="","",IFERROR(VLOOKUP(B1415, PLANTA_BASE!A:W, 2, FALSE), "NO ENCONTRADO EN PLANTA"))</f>
        <v/>
      </c>
      <c r="B1415" s="6"/>
      <c r="C1415" s="7" t="str">
        <f>IF(B1415="","",IFERROR(VLOOKUP(B1415, PLANTA_BASE!A:W, 3, FALSE), ""))</f>
        <v/>
      </c>
      <c r="D1415" s="5" t="str">
        <f>IF(B1415="","",IFERROR(VLOOKUP(B1415, PLANTA_BASE!A:W, 5, FALSE), "NO ENCONTRADO EN PLANTA"))</f>
        <v/>
      </c>
      <c r="E1415" s="5" t="str">
        <f>IF(B1415="","",IFERROR(VLOOKUP(B1415, PLANTA_BASE!A:W, 6, FALSE), "NO ENCONTRADO EN PLANTA"))</f>
        <v/>
      </c>
      <c r="F1415" s="7" t="str">
        <f>IF(B1415="","",IFERROR(VLOOKUP(B1415, PLANTA_BASE!A:W, 8, FALSE), "DOCENTE / FACILITADOR"))</f>
        <v/>
      </c>
      <c r="G1415" s="7" t="str">
        <f>IF(B1415="","",IFERROR(VLOOKUP(B1415, PLANTA_BASE!A:W, 9, FALSE), "GENERAL"))</f>
        <v/>
      </c>
      <c r="H1415" s="5" t="str">
        <f>IF(B1415="","",IFERROR(VLOOKUP(B1415, PLANTA_BASE!A:W, 17, FALSE), "GENERAL"))</f>
        <v/>
      </c>
    </row>
    <row r="1416" spans="1:8" ht="20.100000000000001" customHeight="1" x14ac:dyDescent="0.25">
      <c r="A1416" s="2" t="str">
        <f>IF(B1416="","",IFERROR(VLOOKUP(B1416, PLANTA_BASE!A:W, 2, FALSE), "NO ENCONTRADO EN PLANTA"))</f>
        <v/>
      </c>
      <c r="B1416" s="3"/>
      <c r="C1416" s="4" t="str">
        <f>IF(B1416="","",IFERROR(VLOOKUP(B1416, PLANTA_BASE!A:W, 3, FALSE), ""))</f>
        <v/>
      </c>
      <c r="D1416" s="2" t="str">
        <f>IF(B1416="","",IFERROR(VLOOKUP(B1416, PLANTA_BASE!A:W, 5, FALSE), "NO ENCONTRADO EN PLANTA"))</f>
        <v/>
      </c>
      <c r="E1416" s="2" t="str">
        <f>IF(B1416="","",IFERROR(VLOOKUP(B1416, PLANTA_BASE!A:W, 6, FALSE), "NO ENCONTRADO EN PLANTA"))</f>
        <v/>
      </c>
      <c r="F1416" s="4" t="str">
        <f>IF(B1416="","",IFERROR(VLOOKUP(B1416, PLANTA_BASE!A:W, 8, FALSE), "DOCENTE / FACILITADOR"))</f>
        <v/>
      </c>
      <c r="G1416" s="4" t="str">
        <f>IF(B1416="","",IFERROR(VLOOKUP(B1416, PLANTA_BASE!A:W, 9, FALSE), "GENERAL"))</f>
        <v/>
      </c>
      <c r="H1416" s="2" t="str">
        <f>IF(B1416="","",IFERROR(VLOOKUP(B1416, PLANTA_BASE!A:W, 17, FALSE), "GENERAL"))</f>
        <v/>
      </c>
    </row>
    <row r="1417" spans="1:8" ht="20.100000000000001" customHeight="1" x14ac:dyDescent="0.25">
      <c r="A1417" s="5" t="str">
        <f>IF(B1417="","",IFERROR(VLOOKUP(B1417, PLANTA_BASE!A:W, 2, FALSE), "NO ENCONTRADO EN PLANTA"))</f>
        <v/>
      </c>
      <c r="B1417" s="6"/>
      <c r="C1417" s="7" t="str">
        <f>IF(B1417="","",IFERROR(VLOOKUP(B1417, PLANTA_BASE!A:W, 3, FALSE), ""))</f>
        <v/>
      </c>
      <c r="D1417" s="5" t="str">
        <f>IF(B1417="","",IFERROR(VLOOKUP(B1417, PLANTA_BASE!A:W, 5, FALSE), "NO ENCONTRADO EN PLANTA"))</f>
        <v/>
      </c>
      <c r="E1417" s="5" t="str">
        <f>IF(B1417="","",IFERROR(VLOOKUP(B1417, PLANTA_BASE!A:W, 6, FALSE), "NO ENCONTRADO EN PLANTA"))</f>
        <v/>
      </c>
      <c r="F1417" s="7" t="str">
        <f>IF(B1417="","",IFERROR(VLOOKUP(B1417, PLANTA_BASE!A:W, 8, FALSE), "DOCENTE / FACILITADOR"))</f>
        <v/>
      </c>
      <c r="G1417" s="7" t="str">
        <f>IF(B1417="","",IFERROR(VLOOKUP(B1417, PLANTA_BASE!A:W, 9, FALSE), "GENERAL"))</f>
        <v/>
      </c>
      <c r="H1417" s="5" t="str">
        <f>IF(B1417="","",IFERROR(VLOOKUP(B1417, PLANTA_BASE!A:W, 17, FALSE), "GENERAL"))</f>
        <v/>
      </c>
    </row>
    <row r="1418" spans="1:8" ht="20.100000000000001" customHeight="1" x14ac:dyDescent="0.25">
      <c r="A1418" s="2" t="str">
        <f>IF(B1418="","",IFERROR(VLOOKUP(B1418, PLANTA_BASE!A:W, 2, FALSE), "NO ENCONTRADO EN PLANTA"))</f>
        <v/>
      </c>
      <c r="B1418" s="3"/>
      <c r="C1418" s="4" t="str">
        <f>IF(B1418="","",IFERROR(VLOOKUP(B1418, PLANTA_BASE!A:W, 3, FALSE), ""))</f>
        <v/>
      </c>
      <c r="D1418" s="2" t="str">
        <f>IF(B1418="","",IFERROR(VLOOKUP(B1418, PLANTA_BASE!A:W, 5, FALSE), "NO ENCONTRADO EN PLANTA"))</f>
        <v/>
      </c>
      <c r="E1418" s="2" t="str">
        <f>IF(B1418="","",IFERROR(VLOOKUP(B1418, PLANTA_BASE!A:W, 6, FALSE), "NO ENCONTRADO EN PLANTA"))</f>
        <v/>
      </c>
      <c r="F1418" s="4" t="str">
        <f>IF(B1418="","",IFERROR(VLOOKUP(B1418, PLANTA_BASE!A:W, 8, FALSE), "DOCENTE / FACILITADOR"))</f>
        <v/>
      </c>
      <c r="G1418" s="4" t="str">
        <f>IF(B1418="","",IFERROR(VLOOKUP(B1418, PLANTA_BASE!A:W, 9, FALSE), "GENERAL"))</f>
        <v/>
      </c>
      <c r="H1418" s="2" t="str">
        <f>IF(B1418="","",IFERROR(VLOOKUP(B1418, PLANTA_BASE!A:W, 17, FALSE), "GENERAL"))</f>
        <v/>
      </c>
    </row>
    <row r="1419" spans="1:8" ht="20.100000000000001" customHeight="1" x14ac:dyDescent="0.25">
      <c r="A1419" s="5" t="str">
        <f>IF(B1419="","",IFERROR(VLOOKUP(B1419, PLANTA_BASE!A:W, 2, FALSE), "NO ENCONTRADO EN PLANTA"))</f>
        <v/>
      </c>
      <c r="B1419" s="6"/>
      <c r="C1419" s="7" t="str">
        <f>IF(B1419="","",IFERROR(VLOOKUP(B1419, PLANTA_BASE!A:W, 3, FALSE), ""))</f>
        <v/>
      </c>
      <c r="D1419" s="5" t="str">
        <f>IF(B1419="","",IFERROR(VLOOKUP(B1419, PLANTA_BASE!A:W, 5, FALSE), "NO ENCONTRADO EN PLANTA"))</f>
        <v/>
      </c>
      <c r="E1419" s="5" t="str">
        <f>IF(B1419="","",IFERROR(VLOOKUP(B1419, PLANTA_BASE!A:W, 6, FALSE), "NO ENCONTRADO EN PLANTA"))</f>
        <v/>
      </c>
      <c r="F1419" s="7" t="str">
        <f>IF(B1419="","",IFERROR(VLOOKUP(B1419, PLANTA_BASE!A:W, 8, FALSE), "DOCENTE / FACILITADOR"))</f>
        <v/>
      </c>
      <c r="G1419" s="7" t="str">
        <f>IF(B1419="","",IFERROR(VLOOKUP(B1419, PLANTA_BASE!A:W, 9, FALSE), "GENERAL"))</f>
        <v/>
      </c>
      <c r="H1419" s="5" t="str">
        <f>IF(B1419="","",IFERROR(VLOOKUP(B1419, PLANTA_BASE!A:W, 17, FALSE), "GENERAL"))</f>
        <v/>
      </c>
    </row>
    <row r="1420" spans="1:8" ht="20.100000000000001" customHeight="1" x14ac:dyDescent="0.25">
      <c r="A1420" s="2" t="str">
        <f>IF(B1420="","",IFERROR(VLOOKUP(B1420, PLANTA_BASE!A:W, 2, FALSE), "NO ENCONTRADO EN PLANTA"))</f>
        <v/>
      </c>
      <c r="B1420" s="3"/>
      <c r="C1420" s="4" t="str">
        <f>IF(B1420="","",IFERROR(VLOOKUP(B1420, PLANTA_BASE!A:W, 3, FALSE), ""))</f>
        <v/>
      </c>
      <c r="D1420" s="2" t="str">
        <f>IF(B1420="","",IFERROR(VLOOKUP(B1420, PLANTA_BASE!A:W, 5, FALSE), "NO ENCONTRADO EN PLANTA"))</f>
        <v/>
      </c>
      <c r="E1420" s="2" t="str">
        <f>IF(B1420="","",IFERROR(VLOOKUP(B1420, PLANTA_BASE!A:W, 6, FALSE), "NO ENCONTRADO EN PLANTA"))</f>
        <v/>
      </c>
      <c r="F1420" s="4" t="str">
        <f>IF(B1420="","",IFERROR(VLOOKUP(B1420, PLANTA_BASE!A:W, 8, FALSE), "DOCENTE / FACILITADOR"))</f>
        <v/>
      </c>
      <c r="G1420" s="4" t="str">
        <f>IF(B1420="","",IFERROR(VLOOKUP(B1420, PLANTA_BASE!A:W, 9, FALSE), "GENERAL"))</f>
        <v/>
      </c>
      <c r="H1420" s="2" t="str">
        <f>IF(B1420="","",IFERROR(VLOOKUP(B1420, PLANTA_BASE!A:W, 17, FALSE), "GENERAL"))</f>
        <v/>
      </c>
    </row>
    <row r="1421" spans="1:8" ht="20.100000000000001" customHeight="1" x14ac:dyDescent="0.25">
      <c r="A1421" s="5" t="str">
        <f>IF(B1421="","",IFERROR(VLOOKUP(B1421, PLANTA_BASE!A:W, 2, FALSE), "NO ENCONTRADO EN PLANTA"))</f>
        <v/>
      </c>
      <c r="B1421" s="6"/>
      <c r="C1421" s="7" t="str">
        <f>IF(B1421="","",IFERROR(VLOOKUP(B1421, PLANTA_BASE!A:W, 3, FALSE), ""))</f>
        <v/>
      </c>
      <c r="D1421" s="5" t="str">
        <f>IF(B1421="","",IFERROR(VLOOKUP(B1421, PLANTA_BASE!A:W, 5, FALSE), "NO ENCONTRADO EN PLANTA"))</f>
        <v/>
      </c>
      <c r="E1421" s="5" t="str">
        <f>IF(B1421="","",IFERROR(VLOOKUP(B1421, PLANTA_BASE!A:W, 6, FALSE), "NO ENCONTRADO EN PLANTA"))</f>
        <v/>
      </c>
      <c r="F1421" s="7" t="str">
        <f>IF(B1421="","",IFERROR(VLOOKUP(B1421, PLANTA_BASE!A:W, 8, FALSE), "DOCENTE / FACILITADOR"))</f>
        <v/>
      </c>
      <c r="G1421" s="7" t="str">
        <f>IF(B1421="","",IFERROR(VLOOKUP(B1421, PLANTA_BASE!A:W, 9, FALSE), "GENERAL"))</f>
        <v/>
      </c>
      <c r="H1421" s="5" t="str">
        <f>IF(B1421="","",IFERROR(VLOOKUP(B1421, PLANTA_BASE!A:W, 17, FALSE), "GENERAL"))</f>
        <v/>
      </c>
    </row>
    <row r="1422" spans="1:8" ht="20.100000000000001" customHeight="1" x14ac:dyDescent="0.25">
      <c r="A1422" s="2" t="str">
        <f>IF(B1422="","",IFERROR(VLOOKUP(B1422, PLANTA_BASE!A:W, 2, FALSE), "NO ENCONTRADO EN PLANTA"))</f>
        <v/>
      </c>
      <c r="B1422" s="3"/>
      <c r="C1422" s="4" t="str">
        <f>IF(B1422="","",IFERROR(VLOOKUP(B1422, PLANTA_BASE!A:W, 3, FALSE), ""))</f>
        <v/>
      </c>
      <c r="D1422" s="2" t="str">
        <f>IF(B1422="","",IFERROR(VLOOKUP(B1422, PLANTA_BASE!A:W, 5, FALSE), "NO ENCONTRADO EN PLANTA"))</f>
        <v/>
      </c>
      <c r="E1422" s="2" t="str">
        <f>IF(B1422="","",IFERROR(VLOOKUP(B1422, PLANTA_BASE!A:W, 6, FALSE), "NO ENCONTRADO EN PLANTA"))</f>
        <v/>
      </c>
      <c r="F1422" s="4" t="str">
        <f>IF(B1422="","",IFERROR(VLOOKUP(B1422, PLANTA_BASE!A:W, 8, FALSE), "DOCENTE / FACILITADOR"))</f>
        <v/>
      </c>
      <c r="G1422" s="4" t="str">
        <f>IF(B1422="","",IFERROR(VLOOKUP(B1422, PLANTA_BASE!A:W, 9, FALSE), "GENERAL"))</f>
        <v/>
      </c>
      <c r="H1422" s="2" t="str">
        <f>IF(B1422="","",IFERROR(VLOOKUP(B1422, PLANTA_BASE!A:W, 17, FALSE), "GENERAL"))</f>
        <v/>
      </c>
    </row>
    <row r="1423" spans="1:8" ht="20.100000000000001" customHeight="1" x14ac:dyDescent="0.25">
      <c r="A1423" s="5" t="str">
        <f>IF(B1423="","",IFERROR(VLOOKUP(B1423, PLANTA_BASE!A:W, 2, FALSE), "NO ENCONTRADO EN PLANTA"))</f>
        <v/>
      </c>
      <c r="B1423" s="6"/>
      <c r="C1423" s="7" t="str">
        <f>IF(B1423="","",IFERROR(VLOOKUP(B1423, PLANTA_BASE!A:W, 3, FALSE), ""))</f>
        <v/>
      </c>
      <c r="D1423" s="5" t="str">
        <f>IF(B1423="","",IFERROR(VLOOKUP(B1423, PLANTA_BASE!A:W, 5, FALSE), "NO ENCONTRADO EN PLANTA"))</f>
        <v/>
      </c>
      <c r="E1423" s="5" t="str">
        <f>IF(B1423="","",IFERROR(VLOOKUP(B1423, PLANTA_BASE!A:W, 6, FALSE), "NO ENCONTRADO EN PLANTA"))</f>
        <v/>
      </c>
      <c r="F1423" s="7" t="str">
        <f>IF(B1423="","",IFERROR(VLOOKUP(B1423, PLANTA_BASE!A:W, 8, FALSE), "DOCENTE / FACILITADOR"))</f>
        <v/>
      </c>
      <c r="G1423" s="7" t="str">
        <f>IF(B1423="","",IFERROR(VLOOKUP(B1423, PLANTA_BASE!A:W, 9, FALSE), "GENERAL"))</f>
        <v/>
      </c>
      <c r="H1423" s="5" t="str">
        <f>IF(B1423="","",IFERROR(VLOOKUP(B1423, PLANTA_BASE!A:W, 17, FALSE), "GENERAL"))</f>
        <v/>
      </c>
    </row>
    <row r="1424" spans="1:8" ht="20.100000000000001" customHeight="1" x14ac:dyDescent="0.25">
      <c r="A1424" s="2" t="str">
        <f>IF(B1424="","",IFERROR(VLOOKUP(B1424, PLANTA_BASE!A:W, 2, FALSE), "NO ENCONTRADO EN PLANTA"))</f>
        <v/>
      </c>
      <c r="B1424" s="3"/>
      <c r="C1424" s="4" t="str">
        <f>IF(B1424="","",IFERROR(VLOOKUP(B1424, PLANTA_BASE!A:W, 3, FALSE), ""))</f>
        <v/>
      </c>
      <c r="D1424" s="2" t="str">
        <f>IF(B1424="","",IFERROR(VLOOKUP(B1424, PLANTA_BASE!A:W, 5, FALSE), "NO ENCONTRADO EN PLANTA"))</f>
        <v/>
      </c>
      <c r="E1424" s="2" t="str">
        <f>IF(B1424="","",IFERROR(VLOOKUP(B1424, PLANTA_BASE!A:W, 6, FALSE), "NO ENCONTRADO EN PLANTA"))</f>
        <v/>
      </c>
      <c r="F1424" s="4" t="str">
        <f>IF(B1424="","",IFERROR(VLOOKUP(B1424, PLANTA_BASE!A:W, 8, FALSE), "DOCENTE / FACILITADOR"))</f>
        <v/>
      </c>
      <c r="G1424" s="4" t="str">
        <f>IF(B1424="","",IFERROR(VLOOKUP(B1424, PLANTA_BASE!A:W, 9, FALSE), "GENERAL"))</f>
        <v/>
      </c>
      <c r="H1424" s="2" t="str">
        <f>IF(B1424="","",IFERROR(VLOOKUP(B1424, PLANTA_BASE!A:W, 17, FALSE), "GENERAL"))</f>
        <v/>
      </c>
    </row>
    <row r="1425" spans="1:8" ht="20.100000000000001" customHeight="1" x14ac:dyDescent="0.25">
      <c r="A1425" s="5" t="str">
        <f>IF(B1425="","",IFERROR(VLOOKUP(B1425, PLANTA_BASE!A:W, 2, FALSE), "NO ENCONTRADO EN PLANTA"))</f>
        <v/>
      </c>
      <c r="B1425" s="6"/>
      <c r="C1425" s="7" t="str">
        <f>IF(B1425="","",IFERROR(VLOOKUP(B1425, PLANTA_BASE!A:W, 3, FALSE), ""))</f>
        <v/>
      </c>
      <c r="D1425" s="5" t="str">
        <f>IF(B1425="","",IFERROR(VLOOKUP(B1425, PLANTA_BASE!A:W, 5, FALSE), "NO ENCONTRADO EN PLANTA"))</f>
        <v/>
      </c>
      <c r="E1425" s="5" t="str">
        <f>IF(B1425="","",IFERROR(VLOOKUP(B1425, PLANTA_BASE!A:W, 6, FALSE), "NO ENCONTRADO EN PLANTA"))</f>
        <v/>
      </c>
      <c r="F1425" s="7" t="str">
        <f>IF(B1425="","",IFERROR(VLOOKUP(B1425, PLANTA_BASE!A:W, 8, FALSE), "DOCENTE / FACILITADOR"))</f>
        <v/>
      </c>
      <c r="G1425" s="7" t="str">
        <f>IF(B1425="","",IFERROR(VLOOKUP(B1425, PLANTA_BASE!A:W, 9, FALSE), "GENERAL"))</f>
        <v/>
      </c>
      <c r="H1425" s="5" t="str">
        <f>IF(B1425="","",IFERROR(VLOOKUP(B1425, PLANTA_BASE!A:W, 17, FALSE), "GENERAL"))</f>
        <v/>
      </c>
    </row>
    <row r="1426" spans="1:8" ht="20.100000000000001" customHeight="1" x14ac:dyDescent="0.25">
      <c r="A1426" s="2" t="str">
        <f>IF(B1426="","",IFERROR(VLOOKUP(B1426, PLANTA_BASE!A:W, 2, FALSE), "NO ENCONTRADO EN PLANTA"))</f>
        <v/>
      </c>
      <c r="B1426" s="3"/>
      <c r="C1426" s="4" t="str">
        <f>IF(B1426="","",IFERROR(VLOOKUP(B1426, PLANTA_BASE!A:W, 3, FALSE), ""))</f>
        <v/>
      </c>
      <c r="D1426" s="2" t="str">
        <f>IF(B1426="","",IFERROR(VLOOKUP(B1426, PLANTA_BASE!A:W, 5, FALSE), "NO ENCONTRADO EN PLANTA"))</f>
        <v/>
      </c>
      <c r="E1426" s="2" t="str">
        <f>IF(B1426="","",IFERROR(VLOOKUP(B1426, PLANTA_BASE!A:W, 6, FALSE), "NO ENCONTRADO EN PLANTA"))</f>
        <v/>
      </c>
      <c r="F1426" s="4" t="str">
        <f>IF(B1426="","",IFERROR(VLOOKUP(B1426, PLANTA_BASE!A:W, 8, FALSE), "DOCENTE / FACILITADOR"))</f>
        <v/>
      </c>
      <c r="G1426" s="4" t="str">
        <f>IF(B1426="","",IFERROR(VLOOKUP(B1426, PLANTA_BASE!A:W, 9, FALSE), "GENERAL"))</f>
        <v/>
      </c>
      <c r="H1426" s="2" t="str">
        <f>IF(B1426="","",IFERROR(VLOOKUP(B1426, PLANTA_BASE!A:W, 17, FALSE), "GENERAL"))</f>
        <v/>
      </c>
    </row>
    <row r="1427" spans="1:8" ht="20.100000000000001" customHeight="1" x14ac:dyDescent="0.25">
      <c r="A1427" s="5" t="str">
        <f>IF(B1427="","",IFERROR(VLOOKUP(B1427, PLANTA_BASE!A:W, 2, FALSE), "NO ENCONTRADO EN PLANTA"))</f>
        <v/>
      </c>
      <c r="B1427" s="6"/>
      <c r="C1427" s="7" t="str">
        <f>IF(B1427="","",IFERROR(VLOOKUP(B1427, PLANTA_BASE!A:W, 3, FALSE), ""))</f>
        <v/>
      </c>
      <c r="D1427" s="5" t="str">
        <f>IF(B1427="","",IFERROR(VLOOKUP(B1427, PLANTA_BASE!A:W, 5, FALSE), "NO ENCONTRADO EN PLANTA"))</f>
        <v/>
      </c>
      <c r="E1427" s="5" t="str">
        <f>IF(B1427="","",IFERROR(VLOOKUP(B1427, PLANTA_BASE!A:W, 6, FALSE), "NO ENCONTRADO EN PLANTA"))</f>
        <v/>
      </c>
      <c r="F1427" s="7" t="str">
        <f>IF(B1427="","",IFERROR(VLOOKUP(B1427, PLANTA_BASE!A:W, 8, FALSE), "DOCENTE / FACILITADOR"))</f>
        <v/>
      </c>
      <c r="G1427" s="7" t="str">
        <f>IF(B1427="","",IFERROR(VLOOKUP(B1427, PLANTA_BASE!A:W, 9, FALSE), "GENERAL"))</f>
        <v/>
      </c>
      <c r="H1427" s="5" t="str">
        <f>IF(B1427="","",IFERROR(VLOOKUP(B1427, PLANTA_BASE!A:W, 17, FALSE), "GENERAL"))</f>
        <v/>
      </c>
    </row>
    <row r="1428" spans="1:8" ht="20.100000000000001" customHeight="1" x14ac:dyDescent="0.25">
      <c r="A1428" s="2" t="str">
        <f>IF(B1428="","",IFERROR(VLOOKUP(B1428, PLANTA_BASE!A:W, 2, FALSE), "NO ENCONTRADO EN PLANTA"))</f>
        <v/>
      </c>
      <c r="B1428" s="3"/>
      <c r="C1428" s="4" t="str">
        <f>IF(B1428="","",IFERROR(VLOOKUP(B1428, PLANTA_BASE!A:W, 3, FALSE), ""))</f>
        <v/>
      </c>
      <c r="D1428" s="2" t="str">
        <f>IF(B1428="","",IFERROR(VLOOKUP(B1428, PLANTA_BASE!A:W, 5, FALSE), "NO ENCONTRADO EN PLANTA"))</f>
        <v/>
      </c>
      <c r="E1428" s="2" t="str">
        <f>IF(B1428="","",IFERROR(VLOOKUP(B1428, PLANTA_BASE!A:W, 6, FALSE), "NO ENCONTRADO EN PLANTA"))</f>
        <v/>
      </c>
      <c r="F1428" s="4" t="str">
        <f>IF(B1428="","",IFERROR(VLOOKUP(B1428, PLANTA_BASE!A:W, 8, FALSE), "DOCENTE / FACILITADOR"))</f>
        <v/>
      </c>
      <c r="G1428" s="4" t="str">
        <f>IF(B1428="","",IFERROR(VLOOKUP(B1428, PLANTA_BASE!A:W, 9, FALSE), "GENERAL"))</f>
        <v/>
      </c>
      <c r="H1428" s="2" t="str">
        <f>IF(B1428="","",IFERROR(VLOOKUP(B1428, PLANTA_BASE!A:W, 17, FALSE), "GENERAL"))</f>
        <v/>
      </c>
    </row>
    <row r="1429" spans="1:8" ht="20.100000000000001" customHeight="1" x14ac:dyDescent="0.25">
      <c r="A1429" s="5" t="str">
        <f>IF(B1429="","",IFERROR(VLOOKUP(B1429, PLANTA_BASE!A:W, 2, FALSE), "NO ENCONTRADO EN PLANTA"))</f>
        <v/>
      </c>
      <c r="B1429" s="6"/>
      <c r="C1429" s="7" t="str">
        <f>IF(B1429="","",IFERROR(VLOOKUP(B1429, PLANTA_BASE!A:W, 3, FALSE), ""))</f>
        <v/>
      </c>
      <c r="D1429" s="5" t="str">
        <f>IF(B1429="","",IFERROR(VLOOKUP(B1429, PLANTA_BASE!A:W, 5, FALSE), "NO ENCONTRADO EN PLANTA"))</f>
        <v/>
      </c>
      <c r="E1429" s="5" t="str">
        <f>IF(B1429="","",IFERROR(VLOOKUP(B1429, PLANTA_BASE!A:W, 6, FALSE), "NO ENCONTRADO EN PLANTA"))</f>
        <v/>
      </c>
      <c r="F1429" s="7" t="str">
        <f>IF(B1429="","",IFERROR(VLOOKUP(B1429, PLANTA_BASE!A:W, 8, FALSE), "DOCENTE / FACILITADOR"))</f>
        <v/>
      </c>
      <c r="G1429" s="7" t="str">
        <f>IF(B1429="","",IFERROR(VLOOKUP(B1429, PLANTA_BASE!A:W, 9, FALSE), "GENERAL"))</f>
        <v/>
      </c>
      <c r="H1429" s="5" t="str">
        <f>IF(B1429="","",IFERROR(VLOOKUP(B1429, PLANTA_BASE!A:W, 17, FALSE), "GENERAL"))</f>
        <v/>
      </c>
    </row>
    <row r="1430" spans="1:8" ht="20.100000000000001" customHeight="1" x14ac:dyDescent="0.25">
      <c r="A1430" s="2" t="str">
        <f>IF(B1430="","",IFERROR(VLOOKUP(B1430, PLANTA_BASE!A:W, 2, FALSE), "NO ENCONTRADO EN PLANTA"))</f>
        <v/>
      </c>
      <c r="B1430" s="3"/>
      <c r="C1430" s="4" t="str">
        <f>IF(B1430="","",IFERROR(VLOOKUP(B1430, PLANTA_BASE!A:W, 3, FALSE), ""))</f>
        <v/>
      </c>
      <c r="D1430" s="2" t="str">
        <f>IF(B1430="","",IFERROR(VLOOKUP(B1430, PLANTA_BASE!A:W, 5, FALSE), "NO ENCONTRADO EN PLANTA"))</f>
        <v/>
      </c>
      <c r="E1430" s="2" t="str">
        <f>IF(B1430="","",IFERROR(VLOOKUP(B1430, PLANTA_BASE!A:W, 6, FALSE), "NO ENCONTRADO EN PLANTA"))</f>
        <v/>
      </c>
      <c r="F1430" s="4" t="str">
        <f>IF(B1430="","",IFERROR(VLOOKUP(B1430, PLANTA_BASE!A:W, 8, FALSE), "DOCENTE / FACILITADOR"))</f>
        <v/>
      </c>
      <c r="G1430" s="4" t="str">
        <f>IF(B1430="","",IFERROR(VLOOKUP(B1430, PLANTA_BASE!A:W, 9, FALSE), "GENERAL"))</f>
        <v/>
      </c>
      <c r="H1430" s="2" t="str">
        <f>IF(B1430="","",IFERROR(VLOOKUP(B1430, PLANTA_BASE!A:W, 17, FALSE), "GENERAL"))</f>
        <v/>
      </c>
    </row>
    <row r="1431" spans="1:8" ht="20.100000000000001" customHeight="1" x14ac:dyDescent="0.25">
      <c r="A1431" s="5" t="str">
        <f>IF(B1431="","",IFERROR(VLOOKUP(B1431, PLANTA_BASE!A:W, 2, FALSE), "NO ENCONTRADO EN PLANTA"))</f>
        <v/>
      </c>
      <c r="B1431" s="6"/>
      <c r="C1431" s="7" t="str">
        <f>IF(B1431="","",IFERROR(VLOOKUP(B1431, PLANTA_BASE!A:W, 3, FALSE), ""))</f>
        <v/>
      </c>
      <c r="D1431" s="5" t="str">
        <f>IF(B1431="","",IFERROR(VLOOKUP(B1431, PLANTA_BASE!A:W, 5, FALSE), "NO ENCONTRADO EN PLANTA"))</f>
        <v/>
      </c>
      <c r="E1431" s="5" t="str">
        <f>IF(B1431="","",IFERROR(VLOOKUP(B1431, PLANTA_BASE!A:W, 6, FALSE), "NO ENCONTRADO EN PLANTA"))</f>
        <v/>
      </c>
      <c r="F1431" s="7" t="str">
        <f>IF(B1431="","",IFERROR(VLOOKUP(B1431, PLANTA_BASE!A:W, 8, FALSE), "DOCENTE / FACILITADOR"))</f>
        <v/>
      </c>
      <c r="G1431" s="7" t="str">
        <f>IF(B1431="","",IFERROR(VLOOKUP(B1431, PLANTA_BASE!A:W, 9, FALSE), "GENERAL"))</f>
        <v/>
      </c>
      <c r="H1431" s="5" t="str">
        <f>IF(B1431="","",IFERROR(VLOOKUP(B1431, PLANTA_BASE!A:W, 17, FALSE), "GENERAL"))</f>
        <v/>
      </c>
    </row>
    <row r="1432" spans="1:8" ht="20.100000000000001" customHeight="1" x14ac:dyDescent="0.25">
      <c r="A1432" s="2" t="str">
        <f>IF(B1432="","",IFERROR(VLOOKUP(B1432, PLANTA_BASE!A:W, 2, FALSE), "NO ENCONTRADO EN PLANTA"))</f>
        <v/>
      </c>
      <c r="B1432" s="3"/>
      <c r="C1432" s="4" t="str">
        <f>IF(B1432="","",IFERROR(VLOOKUP(B1432, PLANTA_BASE!A:W, 3, FALSE), ""))</f>
        <v/>
      </c>
      <c r="D1432" s="2" t="str">
        <f>IF(B1432="","",IFERROR(VLOOKUP(B1432, PLANTA_BASE!A:W, 5, FALSE), "NO ENCONTRADO EN PLANTA"))</f>
        <v/>
      </c>
      <c r="E1432" s="2" t="str">
        <f>IF(B1432="","",IFERROR(VLOOKUP(B1432, PLANTA_BASE!A:W, 6, FALSE), "NO ENCONTRADO EN PLANTA"))</f>
        <v/>
      </c>
      <c r="F1432" s="4" t="str">
        <f>IF(B1432="","",IFERROR(VLOOKUP(B1432, PLANTA_BASE!A:W, 8, FALSE), "DOCENTE / FACILITADOR"))</f>
        <v/>
      </c>
      <c r="G1432" s="4" t="str">
        <f>IF(B1432="","",IFERROR(VLOOKUP(B1432, PLANTA_BASE!A:W, 9, FALSE), "GENERAL"))</f>
        <v/>
      </c>
      <c r="H1432" s="2" t="str">
        <f>IF(B1432="","",IFERROR(VLOOKUP(B1432, PLANTA_BASE!A:W, 17, FALSE), "GENERAL"))</f>
        <v/>
      </c>
    </row>
    <row r="1433" spans="1:8" ht="20.100000000000001" customHeight="1" x14ac:dyDescent="0.25">
      <c r="A1433" s="5" t="str">
        <f>IF(B1433="","",IFERROR(VLOOKUP(B1433, PLANTA_BASE!A:W, 2, FALSE), "NO ENCONTRADO EN PLANTA"))</f>
        <v/>
      </c>
      <c r="B1433" s="6"/>
      <c r="C1433" s="7" t="str">
        <f>IF(B1433="","",IFERROR(VLOOKUP(B1433, PLANTA_BASE!A:W, 3, FALSE), ""))</f>
        <v/>
      </c>
      <c r="D1433" s="5" t="str">
        <f>IF(B1433="","",IFERROR(VLOOKUP(B1433, PLANTA_BASE!A:W, 5, FALSE), "NO ENCONTRADO EN PLANTA"))</f>
        <v/>
      </c>
      <c r="E1433" s="5" t="str">
        <f>IF(B1433="","",IFERROR(VLOOKUP(B1433, PLANTA_BASE!A:W, 6, FALSE), "NO ENCONTRADO EN PLANTA"))</f>
        <v/>
      </c>
      <c r="F1433" s="7" t="str">
        <f>IF(B1433="","",IFERROR(VLOOKUP(B1433, PLANTA_BASE!A:W, 8, FALSE), "DOCENTE / FACILITADOR"))</f>
        <v/>
      </c>
      <c r="G1433" s="7" t="str">
        <f>IF(B1433="","",IFERROR(VLOOKUP(B1433, PLANTA_BASE!A:W, 9, FALSE), "GENERAL"))</f>
        <v/>
      </c>
      <c r="H1433" s="5" t="str">
        <f>IF(B1433="","",IFERROR(VLOOKUP(B1433, PLANTA_BASE!A:W, 17, FALSE), "GENERAL"))</f>
        <v/>
      </c>
    </row>
    <row r="1434" spans="1:8" ht="20.100000000000001" customHeight="1" x14ac:dyDescent="0.25">
      <c r="A1434" s="2" t="str">
        <f>IF(B1434="","",IFERROR(VLOOKUP(B1434, PLANTA_BASE!A:W, 2, FALSE), "NO ENCONTRADO EN PLANTA"))</f>
        <v/>
      </c>
      <c r="B1434" s="3"/>
      <c r="C1434" s="4" t="str">
        <f>IF(B1434="","",IFERROR(VLOOKUP(B1434, PLANTA_BASE!A:W, 3, FALSE), ""))</f>
        <v/>
      </c>
      <c r="D1434" s="2" t="str">
        <f>IF(B1434="","",IFERROR(VLOOKUP(B1434, PLANTA_BASE!A:W, 5, FALSE), "NO ENCONTRADO EN PLANTA"))</f>
        <v/>
      </c>
      <c r="E1434" s="2" t="str">
        <f>IF(B1434="","",IFERROR(VLOOKUP(B1434, PLANTA_BASE!A:W, 6, FALSE), "NO ENCONTRADO EN PLANTA"))</f>
        <v/>
      </c>
      <c r="F1434" s="4" t="str">
        <f>IF(B1434="","",IFERROR(VLOOKUP(B1434, PLANTA_BASE!A:W, 8, FALSE), "DOCENTE / FACILITADOR"))</f>
        <v/>
      </c>
      <c r="G1434" s="4" t="str">
        <f>IF(B1434="","",IFERROR(VLOOKUP(B1434, PLANTA_BASE!A:W, 9, FALSE), "GENERAL"))</f>
        <v/>
      </c>
      <c r="H1434" s="2" t="str">
        <f>IF(B1434="","",IFERROR(VLOOKUP(B1434, PLANTA_BASE!A:W, 17, FALSE), "GENERAL"))</f>
        <v/>
      </c>
    </row>
    <row r="1435" spans="1:8" ht="20.100000000000001" customHeight="1" x14ac:dyDescent="0.25">
      <c r="A1435" s="5" t="str">
        <f>IF(B1435="","",IFERROR(VLOOKUP(B1435, PLANTA_BASE!A:W, 2, FALSE), "NO ENCONTRADO EN PLANTA"))</f>
        <v/>
      </c>
      <c r="B1435" s="6"/>
      <c r="C1435" s="7" t="str">
        <f>IF(B1435="","",IFERROR(VLOOKUP(B1435, PLANTA_BASE!A:W, 3, FALSE), ""))</f>
        <v/>
      </c>
      <c r="D1435" s="5" t="str">
        <f>IF(B1435="","",IFERROR(VLOOKUP(B1435, PLANTA_BASE!A:W, 5, FALSE), "NO ENCONTRADO EN PLANTA"))</f>
        <v/>
      </c>
      <c r="E1435" s="5" t="str">
        <f>IF(B1435="","",IFERROR(VLOOKUP(B1435, PLANTA_BASE!A:W, 6, FALSE), "NO ENCONTRADO EN PLANTA"))</f>
        <v/>
      </c>
      <c r="F1435" s="7" t="str">
        <f>IF(B1435="","",IFERROR(VLOOKUP(B1435, PLANTA_BASE!A:W, 8, FALSE), "DOCENTE / FACILITADOR"))</f>
        <v/>
      </c>
      <c r="G1435" s="7" t="str">
        <f>IF(B1435="","",IFERROR(VLOOKUP(B1435, PLANTA_BASE!A:W, 9, FALSE), "GENERAL"))</f>
        <v/>
      </c>
      <c r="H1435" s="5" t="str">
        <f>IF(B1435="","",IFERROR(VLOOKUP(B1435, PLANTA_BASE!A:W, 17, FALSE), "GENERAL"))</f>
        <v/>
      </c>
    </row>
    <row r="1436" spans="1:8" ht="20.100000000000001" customHeight="1" x14ac:dyDescent="0.25">
      <c r="A1436" s="2" t="str">
        <f>IF(B1436="","",IFERROR(VLOOKUP(B1436, PLANTA_BASE!A:W, 2, FALSE), "NO ENCONTRADO EN PLANTA"))</f>
        <v/>
      </c>
      <c r="B1436" s="3"/>
      <c r="C1436" s="4" t="str">
        <f>IF(B1436="","",IFERROR(VLOOKUP(B1436, PLANTA_BASE!A:W, 3, FALSE), ""))</f>
        <v/>
      </c>
      <c r="D1436" s="2" t="str">
        <f>IF(B1436="","",IFERROR(VLOOKUP(B1436, PLANTA_BASE!A:W, 5, FALSE), "NO ENCONTRADO EN PLANTA"))</f>
        <v/>
      </c>
      <c r="E1436" s="2" t="str">
        <f>IF(B1436="","",IFERROR(VLOOKUP(B1436, PLANTA_BASE!A:W, 6, FALSE), "NO ENCONTRADO EN PLANTA"))</f>
        <v/>
      </c>
      <c r="F1436" s="4" t="str">
        <f>IF(B1436="","",IFERROR(VLOOKUP(B1436, PLANTA_BASE!A:W, 8, FALSE), "DOCENTE / FACILITADOR"))</f>
        <v/>
      </c>
      <c r="G1436" s="4" t="str">
        <f>IF(B1436="","",IFERROR(VLOOKUP(B1436, PLANTA_BASE!A:W, 9, FALSE), "GENERAL"))</f>
        <v/>
      </c>
      <c r="H1436" s="2" t="str">
        <f>IF(B1436="","",IFERROR(VLOOKUP(B1436, PLANTA_BASE!A:W, 17, FALSE), "GENERAL"))</f>
        <v/>
      </c>
    </row>
    <row r="1437" spans="1:8" ht="20.100000000000001" customHeight="1" x14ac:dyDescent="0.25">
      <c r="A1437" s="5" t="str">
        <f>IF(B1437="","",IFERROR(VLOOKUP(B1437, PLANTA_BASE!A:W, 2, FALSE), "NO ENCONTRADO EN PLANTA"))</f>
        <v/>
      </c>
      <c r="B1437" s="6"/>
      <c r="C1437" s="7" t="str">
        <f>IF(B1437="","",IFERROR(VLOOKUP(B1437, PLANTA_BASE!A:W, 3, FALSE), ""))</f>
        <v/>
      </c>
      <c r="D1437" s="5" t="str">
        <f>IF(B1437="","",IFERROR(VLOOKUP(B1437, PLANTA_BASE!A:W, 5, FALSE), "NO ENCONTRADO EN PLANTA"))</f>
        <v/>
      </c>
      <c r="E1437" s="5" t="str">
        <f>IF(B1437="","",IFERROR(VLOOKUP(B1437, PLANTA_BASE!A:W, 6, FALSE), "NO ENCONTRADO EN PLANTA"))</f>
        <v/>
      </c>
      <c r="F1437" s="7" t="str">
        <f>IF(B1437="","",IFERROR(VLOOKUP(B1437, PLANTA_BASE!A:W, 8, FALSE), "DOCENTE / FACILITADOR"))</f>
        <v/>
      </c>
      <c r="G1437" s="7" t="str">
        <f>IF(B1437="","",IFERROR(VLOOKUP(B1437, PLANTA_BASE!A:W, 9, FALSE), "GENERAL"))</f>
        <v/>
      </c>
      <c r="H1437" s="5" t="str">
        <f>IF(B1437="","",IFERROR(VLOOKUP(B1437, PLANTA_BASE!A:W, 17, FALSE), "GENERAL"))</f>
        <v/>
      </c>
    </row>
    <row r="1438" spans="1:8" ht="20.100000000000001" customHeight="1" x14ac:dyDescent="0.25">
      <c r="A1438" s="2" t="str">
        <f>IF(B1438="","",IFERROR(VLOOKUP(B1438, PLANTA_BASE!A:W, 2, FALSE), "NO ENCONTRADO EN PLANTA"))</f>
        <v/>
      </c>
      <c r="B1438" s="3"/>
      <c r="C1438" s="4" t="str">
        <f>IF(B1438="","",IFERROR(VLOOKUP(B1438, PLANTA_BASE!A:W, 3, FALSE), ""))</f>
        <v/>
      </c>
      <c r="D1438" s="2" t="str">
        <f>IF(B1438="","",IFERROR(VLOOKUP(B1438, PLANTA_BASE!A:W, 5, FALSE), "NO ENCONTRADO EN PLANTA"))</f>
        <v/>
      </c>
      <c r="E1438" s="2" t="str">
        <f>IF(B1438="","",IFERROR(VLOOKUP(B1438, PLANTA_BASE!A:W, 6, FALSE), "NO ENCONTRADO EN PLANTA"))</f>
        <v/>
      </c>
      <c r="F1438" s="4" t="str">
        <f>IF(B1438="","",IFERROR(VLOOKUP(B1438, PLANTA_BASE!A:W, 8, FALSE), "DOCENTE / FACILITADOR"))</f>
        <v/>
      </c>
      <c r="G1438" s="4" t="str">
        <f>IF(B1438="","",IFERROR(VLOOKUP(B1438, PLANTA_BASE!A:W, 9, FALSE), "GENERAL"))</f>
        <v/>
      </c>
      <c r="H1438" s="2" t="str">
        <f>IF(B1438="","",IFERROR(VLOOKUP(B1438, PLANTA_BASE!A:W, 17, FALSE), "GENERAL"))</f>
        <v/>
      </c>
    </row>
    <row r="1439" spans="1:8" ht="20.100000000000001" customHeight="1" x14ac:dyDescent="0.25">
      <c r="A1439" s="5" t="str">
        <f>IF(B1439="","",IFERROR(VLOOKUP(B1439, PLANTA_BASE!A:W, 2, FALSE), "NO ENCONTRADO EN PLANTA"))</f>
        <v/>
      </c>
      <c r="B1439" s="6"/>
      <c r="C1439" s="7" t="str">
        <f>IF(B1439="","",IFERROR(VLOOKUP(B1439, PLANTA_BASE!A:W, 3, FALSE), ""))</f>
        <v/>
      </c>
      <c r="D1439" s="5" t="str">
        <f>IF(B1439="","",IFERROR(VLOOKUP(B1439, PLANTA_BASE!A:W, 5, FALSE), "NO ENCONTRADO EN PLANTA"))</f>
        <v/>
      </c>
      <c r="E1439" s="5" t="str">
        <f>IF(B1439="","",IFERROR(VLOOKUP(B1439, PLANTA_BASE!A:W, 6, FALSE), "NO ENCONTRADO EN PLANTA"))</f>
        <v/>
      </c>
      <c r="F1439" s="7" t="str">
        <f>IF(B1439="","",IFERROR(VLOOKUP(B1439, PLANTA_BASE!A:W, 8, FALSE), "DOCENTE / FACILITADOR"))</f>
        <v/>
      </c>
      <c r="G1439" s="7" t="str">
        <f>IF(B1439="","",IFERROR(VLOOKUP(B1439, PLANTA_BASE!A:W, 9, FALSE), "GENERAL"))</f>
        <v/>
      </c>
      <c r="H1439" s="5" t="str">
        <f>IF(B1439="","",IFERROR(VLOOKUP(B1439, PLANTA_BASE!A:W, 17, FALSE), "GENERAL"))</f>
        <v/>
      </c>
    </row>
    <row r="1440" spans="1:8" ht="20.100000000000001" customHeight="1" x14ac:dyDescent="0.25">
      <c r="A1440" s="2" t="str">
        <f>IF(B1440="","",IFERROR(VLOOKUP(B1440, PLANTA_BASE!A:W, 2, FALSE), "NO ENCONTRADO EN PLANTA"))</f>
        <v/>
      </c>
      <c r="B1440" s="3"/>
      <c r="C1440" s="4" t="str">
        <f>IF(B1440="","",IFERROR(VLOOKUP(B1440, PLANTA_BASE!A:W, 3, FALSE), ""))</f>
        <v/>
      </c>
      <c r="D1440" s="2" t="str">
        <f>IF(B1440="","",IFERROR(VLOOKUP(B1440, PLANTA_BASE!A:W, 5, FALSE), "NO ENCONTRADO EN PLANTA"))</f>
        <v/>
      </c>
      <c r="E1440" s="2" t="str">
        <f>IF(B1440="","",IFERROR(VLOOKUP(B1440, PLANTA_BASE!A:W, 6, FALSE), "NO ENCONTRADO EN PLANTA"))</f>
        <v/>
      </c>
      <c r="F1440" s="4" t="str">
        <f>IF(B1440="","",IFERROR(VLOOKUP(B1440, PLANTA_BASE!A:W, 8, FALSE), "DOCENTE / FACILITADOR"))</f>
        <v/>
      </c>
      <c r="G1440" s="4" t="str">
        <f>IF(B1440="","",IFERROR(VLOOKUP(B1440, PLANTA_BASE!A:W, 9, FALSE), "GENERAL"))</f>
        <v/>
      </c>
      <c r="H1440" s="2" t="str">
        <f>IF(B1440="","",IFERROR(VLOOKUP(B1440, PLANTA_BASE!A:W, 17, FALSE), "GENERAL"))</f>
        <v/>
      </c>
    </row>
    <row r="1441" spans="1:8" ht="20.100000000000001" customHeight="1" x14ac:dyDescent="0.25">
      <c r="A1441" s="5" t="str">
        <f>IF(B1441="","",IFERROR(VLOOKUP(B1441, PLANTA_BASE!A:W, 2, FALSE), "NO ENCONTRADO EN PLANTA"))</f>
        <v/>
      </c>
      <c r="B1441" s="6"/>
      <c r="C1441" s="7" t="str">
        <f>IF(B1441="","",IFERROR(VLOOKUP(B1441, PLANTA_BASE!A:W, 3, FALSE), ""))</f>
        <v/>
      </c>
      <c r="D1441" s="5" t="str">
        <f>IF(B1441="","",IFERROR(VLOOKUP(B1441, PLANTA_BASE!A:W, 5, FALSE), "NO ENCONTRADO EN PLANTA"))</f>
        <v/>
      </c>
      <c r="E1441" s="5" t="str">
        <f>IF(B1441="","",IFERROR(VLOOKUP(B1441, PLANTA_BASE!A:W, 6, FALSE), "NO ENCONTRADO EN PLANTA"))</f>
        <v/>
      </c>
      <c r="F1441" s="7" t="str">
        <f>IF(B1441="","",IFERROR(VLOOKUP(B1441, PLANTA_BASE!A:W, 8, FALSE), "DOCENTE / FACILITADOR"))</f>
        <v/>
      </c>
      <c r="G1441" s="7" t="str">
        <f>IF(B1441="","",IFERROR(VLOOKUP(B1441, PLANTA_BASE!A:W, 9, FALSE), "GENERAL"))</f>
        <v/>
      </c>
      <c r="H1441" s="5" t="str">
        <f>IF(B1441="","",IFERROR(VLOOKUP(B1441, PLANTA_BASE!A:W, 17, FALSE), "GENERAL"))</f>
        <v/>
      </c>
    </row>
    <row r="1442" spans="1:8" ht="20.100000000000001" customHeight="1" x14ac:dyDescent="0.25">
      <c r="A1442" s="2" t="str">
        <f>IF(B1442="","",IFERROR(VLOOKUP(B1442, PLANTA_BASE!A:W, 2, FALSE), "NO ENCONTRADO EN PLANTA"))</f>
        <v/>
      </c>
      <c r="B1442" s="3"/>
      <c r="C1442" s="4" t="str">
        <f>IF(B1442="","",IFERROR(VLOOKUP(B1442, PLANTA_BASE!A:W, 3, FALSE), ""))</f>
        <v/>
      </c>
      <c r="D1442" s="2" t="str">
        <f>IF(B1442="","",IFERROR(VLOOKUP(B1442, PLANTA_BASE!A:W, 5, FALSE), "NO ENCONTRADO EN PLANTA"))</f>
        <v/>
      </c>
      <c r="E1442" s="2" t="str">
        <f>IF(B1442="","",IFERROR(VLOOKUP(B1442, PLANTA_BASE!A:W, 6, FALSE), "NO ENCONTRADO EN PLANTA"))</f>
        <v/>
      </c>
      <c r="F1442" s="4" t="str">
        <f>IF(B1442="","",IFERROR(VLOOKUP(B1442, PLANTA_BASE!A:W, 8, FALSE), "DOCENTE / FACILITADOR"))</f>
        <v/>
      </c>
      <c r="G1442" s="4" t="str">
        <f>IF(B1442="","",IFERROR(VLOOKUP(B1442, PLANTA_BASE!A:W, 9, FALSE), "GENERAL"))</f>
        <v/>
      </c>
      <c r="H1442" s="2" t="str">
        <f>IF(B1442="","",IFERROR(VLOOKUP(B1442, PLANTA_BASE!A:W, 17, FALSE), "GENERAL"))</f>
        <v/>
      </c>
    </row>
    <row r="1443" spans="1:8" ht="20.100000000000001" customHeight="1" x14ac:dyDescent="0.25">
      <c r="A1443" s="5" t="str">
        <f>IF(B1443="","",IFERROR(VLOOKUP(B1443, PLANTA_BASE!A:W, 2, FALSE), "NO ENCONTRADO EN PLANTA"))</f>
        <v/>
      </c>
      <c r="B1443" s="6"/>
      <c r="C1443" s="7" t="str">
        <f>IF(B1443="","",IFERROR(VLOOKUP(B1443, PLANTA_BASE!A:W, 3, FALSE), ""))</f>
        <v/>
      </c>
      <c r="D1443" s="5" t="str">
        <f>IF(B1443="","",IFERROR(VLOOKUP(B1443, PLANTA_BASE!A:W, 5, FALSE), "NO ENCONTRADO EN PLANTA"))</f>
        <v/>
      </c>
      <c r="E1443" s="5" t="str">
        <f>IF(B1443="","",IFERROR(VLOOKUP(B1443, PLANTA_BASE!A:W, 6, FALSE), "NO ENCONTRADO EN PLANTA"))</f>
        <v/>
      </c>
      <c r="F1443" s="7" t="str">
        <f>IF(B1443="","",IFERROR(VLOOKUP(B1443, PLANTA_BASE!A:W, 8, FALSE), "DOCENTE / FACILITADOR"))</f>
        <v/>
      </c>
      <c r="G1443" s="7" t="str">
        <f>IF(B1443="","",IFERROR(VLOOKUP(B1443, PLANTA_BASE!A:W, 9, FALSE), "GENERAL"))</f>
        <v/>
      </c>
      <c r="H1443" s="5" t="str">
        <f>IF(B1443="","",IFERROR(VLOOKUP(B1443, PLANTA_BASE!A:W, 17, FALSE), "GENERAL"))</f>
        <v/>
      </c>
    </row>
    <row r="1444" spans="1:8" ht="20.100000000000001" customHeight="1" x14ac:dyDescent="0.25">
      <c r="A1444" s="2" t="str">
        <f>IF(B1444="","",IFERROR(VLOOKUP(B1444, PLANTA_BASE!A:W, 2, FALSE), "NO ENCONTRADO EN PLANTA"))</f>
        <v/>
      </c>
      <c r="B1444" s="3"/>
      <c r="C1444" s="4" t="str">
        <f>IF(B1444="","",IFERROR(VLOOKUP(B1444, PLANTA_BASE!A:W, 3, FALSE), ""))</f>
        <v/>
      </c>
      <c r="D1444" s="2" t="str">
        <f>IF(B1444="","",IFERROR(VLOOKUP(B1444, PLANTA_BASE!A:W, 5, FALSE), "NO ENCONTRADO EN PLANTA"))</f>
        <v/>
      </c>
      <c r="E1444" s="2" t="str">
        <f>IF(B1444="","",IFERROR(VLOOKUP(B1444, PLANTA_BASE!A:W, 6, FALSE), "NO ENCONTRADO EN PLANTA"))</f>
        <v/>
      </c>
      <c r="F1444" s="4" t="str">
        <f>IF(B1444="","",IFERROR(VLOOKUP(B1444, PLANTA_BASE!A:W, 8, FALSE), "DOCENTE / FACILITADOR"))</f>
        <v/>
      </c>
      <c r="G1444" s="4" t="str">
        <f>IF(B1444="","",IFERROR(VLOOKUP(B1444, PLANTA_BASE!A:W, 9, FALSE), "GENERAL"))</f>
        <v/>
      </c>
      <c r="H1444" s="2" t="str">
        <f>IF(B1444="","",IFERROR(VLOOKUP(B1444, PLANTA_BASE!A:W, 17, FALSE), "GENERAL"))</f>
        <v/>
      </c>
    </row>
    <row r="1445" spans="1:8" ht="20.100000000000001" customHeight="1" x14ac:dyDescent="0.25">
      <c r="A1445" s="5" t="str">
        <f>IF(B1445="","",IFERROR(VLOOKUP(B1445, PLANTA_BASE!A:W, 2, FALSE), "NO ENCONTRADO EN PLANTA"))</f>
        <v/>
      </c>
      <c r="B1445" s="6"/>
      <c r="C1445" s="7" t="str">
        <f>IF(B1445="","",IFERROR(VLOOKUP(B1445, PLANTA_BASE!A:W, 3, FALSE), ""))</f>
        <v/>
      </c>
      <c r="D1445" s="5" t="str">
        <f>IF(B1445="","",IFERROR(VLOOKUP(B1445, PLANTA_BASE!A:W, 5, FALSE), "NO ENCONTRADO EN PLANTA"))</f>
        <v/>
      </c>
      <c r="E1445" s="5" t="str">
        <f>IF(B1445="","",IFERROR(VLOOKUP(B1445, PLANTA_BASE!A:W, 6, FALSE), "NO ENCONTRADO EN PLANTA"))</f>
        <v/>
      </c>
      <c r="F1445" s="7" t="str">
        <f>IF(B1445="","",IFERROR(VLOOKUP(B1445, PLANTA_BASE!A:W, 8, FALSE), "DOCENTE / FACILITADOR"))</f>
        <v/>
      </c>
      <c r="G1445" s="7" t="str">
        <f>IF(B1445="","",IFERROR(VLOOKUP(B1445, PLANTA_BASE!A:W, 9, FALSE), "GENERAL"))</f>
        <v/>
      </c>
      <c r="H1445" s="5" t="str">
        <f>IF(B1445="","",IFERROR(VLOOKUP(B1445, PLANTA_BASE!A:W, 17, FALSE), "GENERAL"))</f>
        <v/>
      </c>
    </row>
    <row r="1446" spans="1:8" ht="20.100000000000001" customHeight="1" x14ac:dyDescent="0.25">
      <c r="A1446" s="2" t="str">
        <f>IF(B1446="","",IFERROR(VLOOKUP(B1446, PLANTA_BASE!A:W, 2, FALSE), "NO ENCONTRADO EN PLANTA"))</f>
        <v/>
      </c>
      <c r="B1446" s="3"/>
      <c r="C1446" s="4" t="str">
        <f>IF(B1446="","",IFERROR(VLOOKUP(B1446, PLANTA_BASE!A:W, 3, FALSE), ""))</f>
        <v/>
      </c>
      <c r="D1446" s="2" t="str">
        <f>IF(B1446="","",IFERROR(VLOOKUP(B1446, PLANTA_BASE!A:W, 5, FALSE), "NO ENCONTRADO EN PLANTA"))</f>
        <v/>
      </c>
      <c r="E1446" s="2" t="str">
        <f>IF(B1446="","",IFERROR(VLOOKUP(B1446, PLANTA_BASE!A:W, 6, FALSE), "NO ENCONTRADO EN PLANTA"))</f>
        <v/>
      </c>
      <c r="F1446" s="4" t="str">
        <f>IF(B1446="","",IFERROR(VLOOKUP(B1446, PLANTA_BASE!A:W, 8, FALSE), "DOCENTE / FACILITADOR"))</f>
        <v/>
      </c>
      <c r="G1446" s="4" t="str">
        <f>IF(B1446="","",IFERROR(VLOOKUP(B1446, PLANTA_BASE!A:W, 9, FALSE), "GENERAL"))</f>
        <v/>
      </c>
      <c r="H1446" s="2" t="str">
        <f>IF(B1446="","",IFERROR(VLOOKUP(B1446, PLANTA_BASE!A:W, 17, FALSE), "GENERAL"))</f>
        <v/>
      </c>
    </row>
    <row r="1447" spans="1:8" ht="20.100000000000001" customHeight="1" x14ac:dyDescent="0.25">
      <c r="A1447" s="5" t="str">
        <f>IF(B1447="","",IFERROR(VLOOKUP(B1447, PLANTA_BASE!A:W, 2, FALSE), "NO ENCONTRADO EN PLANTA"))</f>
        <v/>
      </c>
      <c r="B1447" s="6"/>
      <c r="C1447" s="7" t="str">
        <f>IF(B1447="","",IFERROR(VLOOKUP(B1447, PLANTA_BASE!A:W, 3, FALSE), ""))</f>
        <v/>
      </c>
      <c r="D1447" s="5" t="str">
        <f>IF(B1447="","",IFERROR(VLOOKUP(B1447, PLANTA_BASE!A:W, 5, FALSE), "NO ENCONTRADO EN PLANTA"))</f>
        <v/>
      </c>
      <c r="E1447" s="5" t="str">
        <f>IF(B1447="","",IFERROR(VLOOKUP(B1447, PLANTA_BASE!A:W, 6, FALSE), "NO ENCONTRADO EN PLANTA"))</f>
        <v/>
      </c>
      <c r="F1447" s="7" t="str">
        <f>IF(B1447="","",IFERROR(VLOOKUP(B1447, PLANTA_BASE!A:W, 8, FALSE), "DOCENTE / FACILITADOR"))</f>
        <v/>
      </c>
      <c r="G1447" s="7" t="str">
        <f>IF(B1447="","",IFERROR(VLOOKUP(B1447, PLANTA_BASE!A:W, 9, FALSE), "GENERAL"))</f>
        <v/>
      </c>
      <c r="H1447" s="5" t="str">
        <f>IF(B1447="","",IFERROR(VLOOKUP(B1447, PLANTA_BASE!A:W, 17, FALSE), "GENERAL"))</f>
        <v/>
      </c>
    </row>
    <row r="1448" spans="1:8" ht="20.100000000000001" customHeight="1" x14ac:dyDescent="0.25">
      <c r="A1448" s="2" t="str">
        <f>IF(B1448="","",IFERROR(VLOOKUP(B1448, PLANTA_BASE!A:W, 2, FALSE), "NO ENCONTRADO EN PLANTA"))</f>
        <v/>
      </c>
      <c r="B1448" s="3"/>
      <c r="C1448" s="4" t="str">
        <f>IF(B1448="","",IFERROR(VLOOKUP(B1448, PLANTA_BASE!A:W, 3, FALSE), ""))</f>
        <v/>
      </c>
      <c r="D1448" s="2" t="str">
        <f>IF(B1448="","",IFERROR(VLOOKUP(B1448, PLANTA_BASE!A:W, 5, FALSE), "NO ENCONTRADO EN PLANTA"))</f>
        <v/>
      </c>
      <c r="E1448" s="2" t="str">
        <f>IF(B1448="","",IFERROR(VLOOKUP(B1448, PLANTA_BASE!A:W, 6, FALSE), "NO ENCONTRADO EN PLANTA"))</f>
        <v/>
      </c>
      <c r="F1448" s="4" t="str">
        <f>IF(B1448="","",IFERROR(VLOOKUP(B1448, PLANTA_BASE!A:W, 8, FALSE), "DOCENTE / FACILITADOR"))</f>
        <v/>
      </c>
      <c r="G1448" s="4" t="str">
        <f>IF(B1448="","",IFERROR(VLOOKUP(B1448, PLANTA_BASE!A:W, 9, FALSE), "GENERAL"))</f>
        <v/>
      </c>
      <c r="H1448" s="2" t="str">
        <f>IF(B1448="","",IFERROR(VLOOKUP(B1448, PLANTA_BASE!A:W, 17, FALSE), "GENERAL"))</f>
        <v/>
      </c>
    </row>
    <row r="1449" spans="1:8" ht="20.100000000000001" customHeight="1" x14ac:dyDescent="0.25">
      <c r="A1449" s="5" t="str">
        <f>IF(B1449="","",IFERROR(VLOOKUP(B1449, PLANTA_BASE!A:W, 2, FALSE), "NO ENCONTRADO EN PLANTA"))</f>
        <v/>
      </c>
      <c r="B1449" s="6"/>
      <c r="C1449" s="7" t="str">
        <f>IF(B1449="","",IFERROR(VLOOKUP(B1449, PLANTA_BASE!A:W, 3, FALSE), ""))</f>
        <v/>
      </c>
      <c r="D1449" s="5" t="str">
        <f>IF(B1449="","",IFERROR(VLOOKUP(B1449, PLANTA_BASE!A:W, 5, FALSE), "NO ENCONTRADO EN PLANTA"))</f>
        <v/>
      </c>
      <c r="E1449" s="5" t="str">
        <f>IF(B1449="","",IFERROR(VLOOKUP(B1449, PLANTA_BASE!A:W, 6, FALSE), "NO ENCONTRADO EN PLANTA"))</f>
        <v/>
      </c>
      <c r="F1449" s="7" t="str">
        <f>IF(B1449="","",IFERROR(VLOOKUP(B1449, PLANTA_BASE!A:W, 8, FALSE), "DOCENTE / FACILITADOR"))</f>
        <v/>
      </c>
      <c r="G1449" s="7" t="str">
        <f>IF(B1449="","",IFERROR(VLOOKUP(B1449, PLANTA_BASE!A:W, 9, FALSE), "GENERAL"))</f>
        <v/>
      </c>
      <c r="H1449" s="5" t="str">
        <f>IF(B1449="","",IFERROR(VLOOKUP(B1449, PLANTA_BASE!A:W, 17, FALSE), "GENERAL"))</f>
        <v/>
      </c>
    </row>
    <row r="1450" spans="1:8" ht="20.100000000000001" customHeight="1" x14ac:dyDescent="0.25">
      <c r="A1450" s="2" t="str">
        <f>IF(B1450="","",IFERROR(VLOOKUP(B1450, PLANTA_BASE!A:W, 2, FALSE), "NO ENCONTRADO EN PLANTA"))</f>
        <v/>
      </c>
      <c r="B1450" s="3"/>
      <c r="C1450" s="4" t="str">
        <f>IF(B1450="","",IFERROR(VLOOKUP(B1450, PLANTA_BASE!A:W, 3, FALSE), ""))</f>
        <v/>
      </c>
      <c r="D1450" s="2" t="str">
        <f>IF(B1450="","",IFERROR(VLOOKUP(B1450, PLANTA_BASE!A:W, 5, FALSE), "NO ENCONTRADO EN PLANTA"))</f>
        <v/>
      </c>
      <c r="E1450" s="2" t="str">
        <f>IF(B1450="","",IFERROR(VLOOKUP(B1450, PLANTA_BASE!A:W, 6, FALSE), "NO ENCONTRADO EN PLANTA"))</f>
        <v/>
      </c>
      <c r="F1450" s="4" t="str">
        <f>IF(B1450="","",IFERROR(VLOOKUP(B1450, PLANTA_BASE!A:W, 8, FALSE), "DOCENTE / FACILITADOR"))</f>
        <v/>
      </c>
      <c r="G1450" s="4" t="str">
        <f>IF(B1450="","",IFERROR(VLOOKUP(B1450, PLANTA_BASE!A:W, 9, FALSE), "GENERAL"))</f>
        <v/>
      </c>
      <c r="H1450" s="2" t="str">
        <f>IF(B1450="","",IFERROR(VLOOKUP(B1450, PLANTA_BASE!A:W, 17, FALSE), "GENERAL"))</f>
        <v/>
      </c>
    </row>
    <row r="1451" spans="1:8" ht="20.100000000000001" customHeight="1" x14ac:dyDescent="0.25">
      <c r="A1451" s="5" t="str">
        <f>IF(B1451="","",IFERROR(VLOOKUP(B1451, PLANTA_BASE!A:W, 2, FALSE), "NO ENCONTRADO EN PLANTA"))</f>
        <v/>
      </c>
      <c r="B1451" s="6"/>
      <c r="C1451" s="7" t="str">
        <f>IF(B1451="","",IFERROR(VLOOKUP(B1451, PLANTA_BASE!A:W, 3, FALSE), ""))</f>
        <v/>
      </c>
      <c r="D1451" s="5" t="str">
        <f>IF(B1451="","",IFERROR(VLOOKUP(B1451, PLANTA_BASE!A:W, 5, FALSE), "NO ENCONTRADO EN PLANTA"))</f>
        <v/>
      </c>
      <c r="E1451" s="5" t="str">
        <f>IF(B1451="","",IFERROR(VLOOKUP(B1451, PLANTA_BASE!A:W, 6, FALSE), "NO ENCONTRADO EN PLANTA"))</f>
        <v/>
      </c>
      <c r="F1451" s="7" t="str">
        <f>IF(B1451="","",IFERROR(VLOOKUP(B1451, PLANTA_BASE!A:W, 8, FALSE), "DOCENTE / FACILITADOR"))</f>
        <v/>
      </c>
      <c r="G1451" s="7" t="str">
        <f>IF(B1451="","",IFERROR(VLOOKUP(B1451, PLANTA_BASE!A:W, 9, FALSE), "GENERAL"))</f>
        <v/>
      </c>
      <c r="H1451" s="5" t="str">
        <f>IF(B1451="","",IFERROR(VLOOKUP(B1451, PLANTA_BASE!A:W, 17, FALSE), "GENERAL"))</f>
        <v/>
      </c>
    </row>
    <row r="1452" spans="1:8" ht="20.100000000000001" customHeight="1" x14ac:dyDescent="0.25">
      <c r="A1452" s="2" t="str">
        <f>IF(B1452="","",IFERROR(VLOOKUP(B1452, PLANTA_BASE!A:W, 2, FALSE), "NO ENCONTRADO EN PLANTA"))</f>
        <v/>
      </c>
      <c r="B1452" s="3"/>
      <c r="C1452" s="4" t="str">
        <f>IF(B1452="","",IFERROR(VLOOKUP(B1452, PLANTA_BASE!A:W, 3, FALSE), ""))</f>
        <v/>
      </c>
      <c r="D1452" s="2" t="str">
        <f>IF(B1452="","",IFERROR(VLOOKUP(B1452, PLANTA_BASE!A:W, 5, FALSE), "NO ENCONTRADO EN PLANTA"))</f>
        <v/>
      </c>
      <c r="E1452" s="2" t="str">
        <f>IF(B1452="","",IFERROR(VLOOKUP(B1452, PLANTA_BASE!A:W, 6, FALSE), "NO ENCONTRADO EN PLANTA"))</f>
        <v/>
      </c>
      <c r="F1452" s="4" t="str">
        <f>IF(B1452="","",IFERROR(VLOOKUP(B1452, PLANTA_BASE!A:W, 8, FALSE), "DOCENTE / FACILITADOR"))</f>
        <v/>
      </c>
      <c r="G1452" s="4" t="str">
        <f>IF(B1452="","",IFERROR(VLOOKUP(B1452, PLANTA_BASE!A:W, 9, FALSE), "GENERAL"))</f>
        <v/>
      </c>
      <c r="H1452" s="2" t="str">
        <f>IF(B1452="","",IFERROR(VLOOKUP(B1452, PLANTA_BASE!A:W, 17, FALSE), "GENERAL"))</f>
        <v/>
      </c>
    </row>
    <row r="1453" spans="1:8" ht="20.100000000000001" customHeight="1" x14ac:dyDescent="0.25">
      <c r="A1453" s="5" t="str">
        <f>IF(B1453="","",IFERROR(VLOOKUP(B1453, PLANTA_BASE!A:W, 2, FALSE), "NO ENCONTRADO EN PLANTA"))</f>
        <v/>
      </c>
      <c r="B1453" s="6"/>
      <c r="C1453" s="7" t="str">
        <f>IF(B1453="","",IFERROR(VLOOKUP(B1453, PLANTA_BASE!A:W, 3, FALSE), ""))</f>
        <v/>
      </c>
      <c r="D1453" s="5" t="str">
        <f>IF(B1453="","",IFERROR(VLOOKUP(B1453, PLANTA_BASE!A:W, 5, FALSE), "NO ENCONTRADO EN PLANTA"))</f>
        <v/>
      </c>
      <c r="E1453" s="5" t="str">
        <f>IF(B1453="","",IFERROR(VLOOKUP(B1453, PLANTA_BASE!A:W, 6, FALSE), "NO ENCONTRADO EN PLANTA"))</f>
        <v/>
      </c>
      <c r="F1453" s="7" t="str">
        <f>IF(B1453="","",IFERROR(VLOOKUP(B1453, PLANTA_BASE!A:W, 8, FALSE), "DOCENTE / FACILITADOR"))</f>
        <v/>
      </c>
      <c r="G1453" s="7" t="str">
        <f>IF(B1453="","",IFERROR(VLOOKUP(B1453, PLANTA_BASE!A:W, 9, FALSE), "GENERAL"))</f>
        <v/>
      </c>
      <c r="H1453" s="5" t="str">
        <f>IF(B1453="","",IFERROR(VLOOKUP(B1453, PLANTA_BASE!A:W, 17, FALSE), "GENERAL"))</f>
        <v/>
      </c>
    </row>
    <row r="1454" spans="1:8" ht="20.100000000000001" customHeight="1" x14ac:dyDescent="0.25">
      <c r="A1454" s="2" t="str">
        <f>IF(B1454="","",IFERROR(VLOOKUP(B1454, PLANTA_BASE!A:W, 2, FALSE), "NO ENCONTRADO EN PLANTA"))</f>
        <v/>
      </c>
      <c r="B1454" s="3"/>
      <c r="C1454" s="4" t="str">
        <f>IF(B1454="","",IFERROR(VLOOKUP(B1454, PLANTA_BASE!A:W, 3, FALSE), ""))</f>
        <v/>
      </c>
      <c r="D1454" s="2" t="str">
        <f>IF(B1454="","",IFERROR(VLOOKUP(B1454, PLANTA_BASE!A:W, 5, FALSE), "NO ENCONTRADO EN PLANTA"))</f>
        <v/>
      </c>
      <c r="E1454" s="2" t="str">
        <f>IF(B1454="","",IFERROR(VLOOKUP(B1454, PLANTA_BASE!A:W, 6, FALSE), "NO ENCONTRADO EN PLANTA"))</f>
        <v/>
      </c>
      <c r="F1454" s="4" t="str">
        <f>IF(B1454="","",IFERROR(VLOOKUP(B1454, PLANTA_BASE!A:W, 8, FALSE), "DOCENTE / FACILITADOR"))</f>
        <v/>
      </c>
      <c r="G1454" s="4" t="str">
        <f>IF(B1454="","",IFERROR(VLOOKUP(B1454, PLANTA_BASE!A:W, 9, FALSE), "GENERAL"))</f>
        <v/>
      </c>
      <c r="H1454" s="2" t="str">
        <f>IF(B1454="","",IFERROR(VLOOKUP(B1454, PLANTA_BASE!A:W, 17, FALSE), "GENERAL"))</f>
        <v/>
      </c>
    </row>
    <row r="1455" spans="1:8" ht="20.100000000000001" customHeight="1" x14ac:dyDescent="0.25">
      <c r="A1455" s="5" t="str">
        <f>IF(B1455="","",IFERROR(VLOOKUP(B1455, PLANTA_BASE!A:W, 2, FALSE), "NO ENCONTRADO EN PLANTA"))</f>
        <v/>
      </c>
      <c r="B1455" s="6"/>
      <c r="C1455" s="7" t="str">
        <f>IF(B1455="","",IFERROR(VLOOKUP(B1455, PLANTA_BASE!A:W, 3, FALSE), ""))</f>
        <v/>
      </c>
      <c r="D1455" s="5" t="str">
        <f>IF(B1455="","",IFERROR(VLOOKUP(B1455, PLANTA_BASE!A:W, 5, FALSE), "NO ENCONTRADO EN PLANTA"))</f>
        <v/>
      </c>
      <c r="E1455" s="5" t="str">
        <f>IF(B1455="","",IFERROR(VLOOKUP(B1455, PLANTA_BASE!A:W, 6, FALSE), "NO ENCONTRADO EN PLANTA"))</f>
        <v/>
      </c>
      <c r="F1455" s="7" t="str">
        <f>IF(B1455="","",IFERROR(VLOOKUP(B1455, PLANTA_BASE!A:W, 8, FALSE), "DOCENTE / FACILITADOR"))</f>
        <v/>
      </c>
      <c r="G1455" s="7" t="str">
        <f>IF(B1455="","",IFERROR(VLOOKUP(B1455, PLANTA_BASE!A:W, 9, FALSE), "GENERAL"))</f>
        <v/>
      </c>
      <c r="H1455" s="5" t="str">
        <f>IF(B1455="","",IFERROR(VLOOKUP(B1455, PLANTA_BASE!A:W, 17, FALSE), "GENERAL"))</f>
        <v/>
      </c>
    </row>
    <row r="1456" spans="1:8" ht="20.100000000000001" customHeight="1" x14ac:dyDescent="0.25">
      <c r="A1456" s="2" t="str">
        <f>IF(B1456="","",IFERROR(VLOOKUP(B1456, PLANTA_BASE!A:W, 2, FALSE), "NO ENCONTRADO EN PLANTA"))</f>
        <v/>
      </c>
      <c r="B1456" s="3"/>
      <c r="C1456" s="4" t="str">
        <f>IF(B1456="","",IFERROR(VLOOKUP(B1456, PLANTA_BASE!A:W, 3, FALSE), ""))</f>
        <v/>
      </c>
      <c r="D1456" s="2" t="str">
        <f>IF(B1456="","",IFERROR(VLOOKUP(B1456, PLANTA_BASE!A:W, 5, FALSE), "NO ENCONTRADO EN PLANTA"))</f>
        <v/>
      </c>
      <c r="E1456" s="2" t="str">
        <f>IF(B1456="","",IFERROR(VLOOKUP(B1456, PLANTA_BASE!A:W, 6, FALSE), "NO ENCONTRADO EN PLANTA"))</f>
        <v/>
      </c>
      <c r="F1456" s="4" t="str">
        <f>IF(B1456="","",IFERROR(VLOOKUP(B1456, PLANTA_BASE!A:W, 8, FALSE), "DOCENTE / FACILITADOR"))</f>
        <v/>
      </c>
      <c r="G1456" s="4" t="str">
        <f>IF(B1456="","",IFERROR(VLOOKUP(B1456, PLANTA_BASE!A:W, 9, FALSE), "GENERAL"))</f>
        <v/>
      </c>
      <c r="H1456" s="2" t="str">
        <f>IF(B1456="","",IFERROR(VLOOKUP(B1456, PLANTA_BASE!A:W, 17, FALSE), "GENERAL"))</f>
        <v/>
      </c>
    </row>
    <row r="1457" spans="1:8" ht="20.100000000000001" customHeight="1" x14ac:dyDescent="0.25">
      <c r="A1457" s="5" t="str">
        <f>IF(B1457="","",IFERROR(VLOOKUP(B1457, PLANTA_BASE!A:W, 2, FALSE), "NO ENCONTRADO EN PLANTA"))</f>
        <v/>
      </c>
      <c r="B1457" s="6"/>
      <c r="C1457" s="7" t="str">
        <f>IF(B1457="","",IFERROR(VLOOKUP(B1457, PLANTA_BASE!A:W, 3, FALSE), ""))</f>
        <v/>
      </c>
      <c r="D1457" s="5" t="str">
        <f>IF(B1457="","",IFERROR(VLOOKUP(B1457, PLANTA_BASE!A:W, 5, FALSE), "NO ENCONTRADO EN PLANTA"))</f>
        <v/>
      </c>
      <c r="E1457" s="5" t="str">
        <f>IF(B1457="","",IFERROR(VLOOKUP(B1457, PLANTA_BASE!A:W, 6, FALSE), "NO ENCONTRADO EN PLANTA"))</f>
        <v/>
      </c>
      <c r="F1457" s="7" t="str">
        <f>IF(B1457="","",IFERROR(VLOOKUP(B1457, PLANTA_BASE!A:W, 8, FALSE), "DOCENTE / FACILITADOR"))</f>
        <v/>
      </c>
      <c r="G1457" s="7" t="str">
        <f>IF(B1457="","",IFERROR(VLOOKUP(B1457, PLANTA_BASE!A:W, 9, FALSE), "GENERAL"))</f>
        <v/>
      </c>
      <c r="H1457" s="5" t="str">
        <f>IF(B1457="","",IFERROR(VLOOKUP(B1457, PLANTA_BASE!A:W, 17, FALSE), "GENERAL"))</f>
        <v/>
      </c>
    </row>
    <row r="1458" spans="1:8" ht="20.100000000000001" customHeight="1" x14ac:dyDescent="0.25">
      <c r="A1458" s="2" t="str">
        <f>IF(B1458="","",IFERROR(VLOOKUP(B1458, PLANTA_BASE!A:W, 2, FALSE), "NO ENCONTRADO EN PLANTA"))</f>
        <v/>
      </c>
      <c r="B1458" s="3"/>
      <c r="C1458" s="4" t="str">
        <f>IF(B1458="","",IFERROR(VLOOKUP(B1458, PLANTA_BASE!A:W, 3, FALSE), ""))</f>
        <v/>
      </c>
      <c r="D1458" s="2" t="str">
        <f>IF(B1458="","",IFERROR(VLOOKUP(B1458, PLANTA_BASE!A:W, 5, FALSE), "NO ENCONTRADO EN PLANTA"))</f>
        <v/>
      </c>
      <c r="E1458" s="2" t="str">
        <f>IF(B1458="","",IFERROR(VLOOKUP(B1458, PLANTA_BASE!A:W, 6, FALSE), "NO ENCONTRADO EN PLANTA"))</f>
        <v/>
      </c>
      <c r="F1458" s="4" t="str">
        <f>IF(B1458="","",IFERROR(VLOOKUP(B1458, PLANTA_BASE!A:W, 8, FALSE), "DOCENTE / FACILITADOR"))</f>
        <v/>
      </c>
      <c r="G1458" s="4" t="str">
        <f>IF(B1458="","",IFERROR(VLOOKUP(B1458, PLANTA_BASE!A:W, 9, FALSE), "GENERAL"))</f>
        <v/>
      </c>
      <c r="H1458" s="2" t="str">
        <f>IF(B1458="","",IFERROR(VLOOKUP(B1458, PLANTA_BASE!A:W, 17, FALSE), "GENERAL"))</f>
        <v/>
      </c>
    </row>
    <row r="1459" spans="1:8" ht="20.100000000000001" customHeight="1" x14ac:dyDescent="0.25">
      <c r="A1459" s="5" t="str">
        <f>IF(B1459="","",IFERROR(VLOOKUP(B1459, PLANTA_BASE!A:W, 2, FALSE), "NO ENCONTRADO EN PLANTA"))</f>
        <v/>
      </c>
      <c r="B1459" s="6"/>
      <c r="C1459" s="7" t="str">
        <f>IF(B1459="","",IFERROR(VLOOKUP(B1459, PLANTA_BASE!A:W, 3, FALSE), ""))</f>
        <v/>
      </c>
      <c r="D1459" s="5" t="str">
        <f>IF(B1459="","",IFERROR(VLOOKUP(B1459, PLANTA_BASE!A:W, 5, FALSE), "NO ENCONTRADO EN PLANTA"))</f>
        <v/>
      </c>
      <c r="E1459" s="5" t="str">
        <f>IF(B1459="","",IFERROR(VLOOKUP(B1459, PLANTA_BASE!A:W, 6, FALSE), "NO ENCONTRADO EN PLANTA"))</f>
        <v/>
      </c>
      <c r="F1459" s="7" t="str">
        <f>IF(B1459="","",IFERROR(VLOOKUP(B1459, PLANTA_BASE!A:W, 8, FALSE), "DOCENTE / FACILITADOR"))</f>
        <v/>
      </c>
      <c r="G1459" s="7" t="str">
        <f>IF(B1459="","",IFERROR(VLOOKUP(B1459, PLANTA_BASE!A:W, 9, FALSE), "GENERAL"))</f>
        <v/>
      </c>
      <c r="H1459" s="5" t="str">
        <f>IF(B1459="","",IFERROR(VLOOKUP(B1459, PLANTA_BASE!A:W, 17, FALSE), "GENERAL"))</f>
        <v/>
      </c>
    </row>
    <row r="1460" spans="1:8" ht="20.100000000000001" customHeight="1" x14ac:dyDescent="0.25">
      <c r="A1460" s="2" t="str">
        <f>IF(B1460="","",IFERROR(VLOOKUP(B1460, PLANTA_BASE!A:W, 2, FALSE), "NO ENCONTRADO EN PLANTA"))</f>
        <v/>
      </c>
      <c r="B1460" s="3"/>
      <c r="C1460" s="4" t="str">
        <f>IF(B1460="","",IFERROR(VLOOKUP(B1460, PLANTA_BASE!A:W, 3, FALSE), ""))</f>
        <v/>
      </c>
      <c r="D1460" s="2" t="str">
        <f>IF(B1460="","",IFERROR(VLOOKUP(B1460, PLANTA_BASE!A:W, 5, FALSE), "NO ENCONTRADO EN PLANTA"))</f>
        <v/>
      </c>
      <c r="E1460" s="2" t="str">
        <f>IF(B1460="","",IFERROR(VLOOKUP(B1460, PLANTA_BASE!A:W, 6, FALSE), "NO ENCONTRADO EN PLANTA"))</f>
        <v/>
      </c>
      <c r="F1460" s="4" t="str">
        <f>IF(B1460="","",IFERROR(VLOOKUP(B1460, PLANTA_BASE!A:W, 8, FALSE), "DOCENTE / FACILITADOR"))</f>
        <v/>
      </c>
      <c r="G1460" s="4" t="str">
        <f>IF(B1460="","",IFERROR(VLOOKUP(B1460, PLANTA_BASE!A:W, 9, FALSE), "GENERAL"))</f>
        <v/>
      </c>
      <c r="H1460" s="2" t="str">
        <f>IF(B1460="","",IFERROR(VLOOKUP(B1460, PLANTA_BASE!A:W, 17, FALSE), "GENERAL"))</f>
        <v/>
      </c>
    </row>
    <row r="1461" spans="1:8" ht="20.100000000000001" customHeight="1" x14ac:dyDescent="0.25">
      <c r="A1461" s="5" t="str">
        <f>IF(B1461="","",IFERROR(VLOOKUP(B1461, PLANTA_BASE!A:W, 2, FALSE), "NO ENCONTRADO EN PLANTA"))</f>
        <v/>
      </c>
      <c r="B1461" s="6"/>
      <c r="C1461" s="7" t="str">
        <f>IF(B1461="","",IFERROR(VLOOKUP(B1461, PLANTA_BASE!A:W, 3, FALSE), ""))</f>
        <v/>
      </c>
      <c r="D1461" s="5" t="str">
        <f>IF(B1461="","",IFERROR(VLOOKUP(B1461, PLANTA_BASE!A:W, 5, FALSE), "NO ENCONTRADO EN PLANTA"))</f>
        <v/>
      </c>
      <c r="E1461" s="5" t="str">
        <f>IF(B1461="","",IFERROR(VLOOKUP(B1461, PLANTA_BASE!A:W, 6, FALSE), "NO ENCONTRADO EN PLANTA"))</f>
        <v/>
      </c>
      <c r="F1461" s="7" t="str">
        <f>IF(B1461="","",IFERROR(VLOOKUP(B1461, PLANTA_BASE!A:W, 8, FALSE), "DOCENTE / FACILITADOR"))</f>
        <v/>
      </c>
      <c r="G1461" s="7" t="str">
        <f>IF(B1461="","",IFERROR(VLOOKUP(B1461, PLANTA_BASE!A:W, 9, FALSE), "GENERAL"))</f>
        <v/>
      </c>
      <c r="H1461" s="5" t="str">
        <f>IF(B1461="","",IFERROR(VLOOKUP(B1461, PLANTA_BASE!A:W, 17, FALSE), "GENERAL"))</f>
        <v/>
      </c>
    </row>
    <row r="1462" spans="1:8" ht="20.100000000000001" customHeight="1" x14ac:dyDescent="0.25">
      <c r="A1462" s="2" t="str">
        <f>IF(B1462="","",IFERROR(VLOOKUP(B1462, PLANTA_BASE!A:W, 2, FALSE), "NO ENCONTRADO EN PLANTA"))</f>
        <v/>
      </c>
      <c r="B1462" s="3"/>
      <c r="C1462" s="4" t="str">
        <f>IF(B1462="","",IFERROR(VLOOKUP(B1462, PLANTA_BASE!A:W, 3, FALSE), ""))</f>
        <v/>
      </c>
      <c r="D1462" s="2" t="str">
        <f>IF(B1462="","",IFERROR(VLOOKUP(B1462, PLANTA_BASE!A:W, 5, FALSE), "NO ENCONTRADO EN PLANTA"))</f>
        <v/>
      </c>
      <c r="E1462" s="2" t="str">
        <f>IF(B1462="","",IFERROR(VLOOKUP(B1462, PLANTA_BASE!A:W, 6, FALSE), "NO ENCONTRADO EN PLANTA"))</f>
        <v/>
      </c>
      <c r="F1462" s="4" t="str">
        <f>IF(B1462="","",IFERROR(VLOOKUP(B1462, PLANTA_BASE!A:W, 8, FALSE), "DOCENTE / FACILITADOR"))</f>
        <v/>
      </c>
      <c r="G1462" s="4" t="str">
        <f>IF(B1462="","",IFERROR(VLOOKUP(B1462, PLANTA_BASE!A:W, 9, FALSE), "GENERAL"))</f>
        <v/>
      </c>
      <c r="H1462" s="2" t="str">
        <f>IF(B1462="","",IFERROR(VLOOKUP(B1462, PLANTA_BASE!A:W, 17, FALSE), "GENERAL"))</f>
        <v/>
      </c>
    </row>
    <row r="1463" spans="1:8" ht="20.100000000000001" customHeight="1" x14ac:dyDescent="0.25">
      <c r="A1463" s="5" t="str">
        <f>IF(B1463="","",IFERROR(VLOOKUP(B1463, PLANTA_BASE!A:W, 2, FALSE), "NO ENCONTRADO EN PLANTA"))</f>
        <v/>
      </c>
      <c r="B1463" s="6"/>
      <c r="C1463" s="7" t="str">
        <f>IF(B1463="","",IFERROR(VLOOKUP(B1463, PLANTA_BASE!A:W, 3, FALSE), ""))</f>
        <v/>
      </c>
      <c r="D1463" s="5" t="str">
        <f>IF(B1463="","",IFERROR(VLOOKUP(B1463, PLANTA_BASE!A:W, 5, FALSE), "NO ENCONTRADO EN PLANTA"))</f>
        <v/>
      </c>
      <c r="E1463" s="5" t="str">
        <f>IF(B1463="","",IFERROR(VLOOKUP(B1463, PLANTA_BASE!A:W, 6, FALSE), "NO ENCONTRADO EN PLANTA"))</f>
        <v/>
      </c>
      <c r="F1463" s="7" t="str">
        <f>IF(B1463="","",IFERROR(VLOOKUP(B1463, PLANTA_BASE!A:W, 8, FALSE), "DOCENTE / FACILITADOR"))</f>
        <v/>
      </c>
      <c r="G1463" s="7" t="str">
        <f>IF(B1463="","",IFERROR(VLOOKUP(B1463, PLANTA_BASE!A:W, 9, FALSE), "GENERAL"))</f>
        <v/>
      </c>
      <c r="H1463" s="5" t="str">
        <f>IF(B1463="","",IFERROR(VLOOKUP(B1463, PLANTA_BASE!A:W, 17, FALSE), "GENERAL"))</f>
        <v/>
      </c>
    </row>
    <row r="1464" spans="1:8" ht="20.100000000000001" customHeight="1" x14ac:dyDescent="0.25">
      <c r="A1464" s="2" t="str">
        <f>IF(B1464="","",IFERROR(VLOOKUP(B1464, PLANTA_BASE!A:W, 2, FALSE), "NO ENCONTRADO EN PLANTA"))</f>
        <v/>
      </c>
      <c r="B1464" s="3"/>
      <c r="C1464" s="4" t="str">
        <f>IF(B1464="","",IFERROR(VLOOKUP(B1464, PLANTA_BASE!A:W, 3, FALSE), ""))</f>
        <v/>
      </c>
      <c r="D1464" s="2" t="str">
        <f>IF(B1464="","",IFERROR(VLOOKUP(B1464, PLANTA_BASE!A:W, 5, FALSE), "NO ENCONTRADO EN PLANTA"))</f>
        <v/>
      </c>
      <c r="E1464" s="2" t="str">
        <f>IF(B1464="","",IFERROR(VLOOKUP(B1464, PLANTA_BASE!A:W, 6, FALSE), "NO ENCONTRADO EN PLANTA"))</f>
        <v/>
      </c>
      <c r="F1464" s="4" t="str">
        <f>IF(B1464="","",IFERROR(VLOOKUP(B1464, PLANTA_BASE!A:W, 8, FALSE), "DOCENTE / FACILITADOR"))</f>
        <v/>
      </c>
      <c r="G1464" s="4" t="str">
        <f>IF(B1464="","",IFERROR(VLOOKUP(B1464, PLANTA_BASE!A:W, 9, FALSE), "GENERAL"))</f>
        <v/>
      </c>
      <c r="H1464" s="2" t="str">
        <f>IF(B1464="","",IFERROR(VLOOKUP(B1464, PLANTA_BASE!A:W, 17, FALSE), "GENERAL"))</f>
        <v/>
      </c>
    </row>
    <row r="1465" spans="1:8" ht="20.100000000000001" customHeight="1" x14ac:dyDescent="0.25">
      <c r="A1465" s="5" t="str">
        <f>IF(B1465="","",IFERROR(VLOOKUP(B1465, PLANTA_BASE!A:W, 2, FALSE), "NO ENCONTRADO EN PLANTA"))</f>
        <v/>
      </c>
      <c r="B1465" s="6"/>
      <c r="C1465" s="7" t="str">
        <f>IF(B1465="","",IFERROR(VLOOKUP(B1465, PLANTA_BASE!A:W, 3, FALSE), ""))</f>
        <v/>
      </c>
      <c r="D1465" s="5" t="str">
        <f>IF(B1465="","",IFERROR(VLOOKUP(B1465, PLANTA_BASE!A:W, 5, FALSE), "NO ENCONTRADO EN PLANTA"))</f>
        <v/>
      </c>
      <c r="E1465" s="5" t="str">
        <f>IF(B1465="","",IFERROR(VLOOKUP(B1465, PLANTA_BASE!A:W, 6, FALSE), "NO ENCONTRADO EN PLANTA"))</f>
        <v/>
      </c>
      <c r="F1465" s="7" t="str">
        <f>IF(B1465="","",IFERROR(VLOOKUP(B1465, PLANTA_BASE!A:W, 8, FALSE), "DOCENTE / FACILITADOR"))</f>
        <v/>
      </c>
      <c r="G1465" s="7" t="str">
        <f>IF(B1465="","",IFERROR(VLOOKUP(B1465, PLANTA_BASE!A:W, 9, FALSE), "GENERAL"))</f>
        <v/>
      </c>
      <c r="H1465" s="5" t="str">
        <f>IF(B1465="","",IFERROR(VLOOKUP(B1465, PLANTA_BASE!A:W, 17, FALSE), "GENERAL"))</f>
        <v/>
      </c>
    </row>
    <row r="1466" spans="1:8" ht="20.100000000000001" customHeight="1" x14ac:dyDescent="0.25">
      <c r="A1466" s="2" t="str">
        <f>IF(B1466="","",IFERROR(VLOOKUP(B1466, PLANTA_BASE!A:W, 2, FALSE), "NO ENCONTRADO EN PLANTA"))</f>
        <v/>
      </c>
      <c r="B1466" s="3"/>
      <c r="C1466" s="4" t="str">
        <f>IF(B1466="","",IFERROR(VLOOKUP(B1466, PLANTA_BASE!A:W, 3, FALSE), ""))</f>
        <v/>
      </c>
      <c r="D1466" s="2" t="str">
        <f>IF(B1466="","",IFERROR(VLOOKUP(B1466, PLANTA_BASE!A:W, 5, FALSE), "NO ENCONTRADO EN PLANTA"))</f>
        <v/>
      </c>
      <c r="E1466" s="2" t="str">
        <f>IF(B1466="","",IFERROR(VLOOKUP(B1466, PLANTA_BASE!A:W, 6, FALSE), "NO ENCONTRADO EN PLANTA"))</f>
        <v/>
      </c>
      <c r="F1466" s="4" t="str">
        <f>IF(B1466="","",IFERROR(VLOOKUP(B1466, PLANTA_BASE!A:W, 8, FALSE), "DOCENTE / FACILITADOR"))</f>
        <v/>
      </c>
      <c r="G1466" s="4" t="str">
        <f>IF(B1466="","",IFERROR(VLOOKUP(B1466, PLANTA_BASE!A:W, 9, FALSE), "GENERAL"))</f>
        <v/>
      </c>
      <c r="H1466" s="2" t="str">
        <f>IF(B1466="","",IFERROR(VLOOKUP(B1466, PLANTA_BASE!A:W, 17, FALSE), "GENERAL"))</f>
        <v/>
      </c>
    </row>
    <row r="1467" spans="1:8" ht="20.100000000000001" customHeight="1" x14ac:dyDescent="0.25">
      <c r="A1467" s="5" t="str">
        <f>IF(B1467="","",IFERROR(VLOOKUP(B1467, PLANTA_BASE!A:W, 2, FALSE), "NO ENCONTRADO EN PLANTA"))</f>
        <v/>
      </c>
      <c r="B1467" s="6"/>
      <c r="C1467" s="7" t="str">
        <f>IF(B1467="","",IFERROR(VLOOKUP(B1467, PLANTA_BASE!A:W, 3, FALSE), ""))</f>
        <v/>
      </c>
      <c r="D1467" s="5" t="str">
        <f>IF(B1467="","",IFERROR(VLOOKUP(B1467, PLANTA_BASE!A:W, 5, FALSE), "NO ENCONTRADO EN PLANTA"))</f>
        <v/>
      </c>
      <c r="E1467" s="5" t="str">
        <f>IF(B1467="","",IFERROR(VLOOKUP(B1467, PLANTA_BASE!A:W, 6, FALSE), "NO ENCONTRADO EN PLANTA"))</f>
        <v/>
      </c>
      <c r="F1467" s="7" t="str">
        <f>IF(B1467="","",IFERROR(VLOOKUP(B1467, PLANTA_BASE!A:W, 8, FALSE), "DOCENTE / FACILITADOR"))</f>
        <v/>
      </c>
      <c r="G1467" s="7" t="str">
        <f>IF(B1467="","",IFERROR(VLOOKUP(B1467, PLANTA_BASE!A:W, 9, FALSE), "GENERAL"))</f>
        <v/>
      </c>
      <c r="H1467" s="5" t="str">
        <f>IF(B1467="","",IFERROR(VLOOKUP(B1467, PLANTA_BASE!A:W, 17, FALSE), "GENERAL"))</f>
        <v/>
      </c>
    </row>
    <row r="1468" spans="1:8" ht="20.100000000000001" customHeight="1" x14ac:dyDescent="0.25">
      <c r="A1468" s="2" t="str">
        <f>IF(B1468="","",IFERROR(VLOOKUP(B1468, PLANTA_BASE!A:W, 2, FALSE), "NO ENCONTRADO EN PLANTA"))</f>
        <v/>
      </c>
      <c r="B1468" s="3"/>
      <c r="C1468" s="4" t="str">
        <f>IF(B1468="","",IFERROR(VLOOKUP(B1468, PLANTA_BASE!A:W, 3, FALSE), ""))</f>
        <v/>
      </c>
      <c r="D1468" s="2" t="str">
        <f>IF(B1468="","",IFERROR(VLOOKUP(B1468, PLANTA_BASE!A:W, 5, FALSE), "NO ENCONTRADO EN PLANTA"))</f>
        <v/>
      </c>
      <c r="E1468" s="2" t="str">
        <f>IF(B1468="","",IFERROR(VLOOKUP(B1468, PLANTA_BASE!A:W, 6, FALSE), "NO ENCONTRADO EN PLANTA"))</f>
        <v/>
      </c>
      <c r="F1468" s="4" t="str">
        <f>IF(B1468="","",IFERROR(VLOOKUP(B1468, PLANTA_BASE!A:W, 8, FALSE), "DOCENTE / FACILITADOR"))</f>
        <v/>
      </c>
      <c r="G1468" s="4" t="str">
        <f>IF(B1468="","",IFERROR(VLOOKUP(B1468, PLANTA_BASE!A:W, 9, FALSE), "GENERAL"))</f>
        <v/>
      </c>
      <c r="H1468" s="2" t="str">
        <f>IF(B1468="","",IFERROR(VLOOKUP(B1468, PLANTA_BASE!A:W, 17, FALSE), "GENERAL"))</f>
        <v/>
      </c>
    </row>
    <row r="1469" spans="1:8" ht="20.100000000000001" customHeight="1" x14ac:dyDescent="0.25">
      <c r="A1469" s="5" t="str">
        <f>IF(B1469="","",IFERROR(VLOOKUP(B1469, PLANTA_BASE!A:W, 2, FALSE), "NO ENCONTRADO EN PLANTA"))</f>
        <v/>
      </c>
      <c r="B1469" s="6"/>
      <c r="C1469" s="7" t="str">
        <f>IF(B1469="","",IFERROR(VLOOKUP(B1469, PLANTA_BASE!A:W, 3, FALSE), ""))</f>
        <v/>
      </c>
      <c r="D1469" s="5" t="str">
        <f>IF(B1469="","",IFERROR(VLOOKUP(B1469, PLANTA_BASE!A:W, 5, FALSE), "NO ENCONTRADO EN PLANTA"))</f>
        <v/>
      </c>
      <c r="E1469" s="5" t="str">
        <f>IF(B1469="","",IFERROR(VLOOKUP(B1469, PLANTA_BASE!A:W, 6, FALSE), "NO ENCONTRADO EN PLANTA"))</f>
        <v/>
      </c>
      <c r="F1469" s="7" t="str">
        <f>IF(B1469="","",IFERROR(VLOOKUP(B1469, PLANTA_BASE!A:W, 8, FALSE), "DOCENTE / FACILITADOR"))</f>
        <v/>
      </c>
      <c r="G1469" s="7" t="str">
        <f>IF(B1469="","",IFERROR(VLOOKUP(B1469, PLANTA_BASE!A:W, 9, FALSE), "GENERAL"))</f>
        <v/>
      </c>
      <c r="H1469" s="5" t="str">
        <f>IF(B1469="","",IFERROR(VLOOKUP(B1469, PLANTA_BASE!A:W, 17, FALSE), "GENERAL"))</f>
        <v/>
      </c>
    </row>
    <row r="1470" spans="1:8" ht="20.100000000000001" customHeight="1" x14ac:dyDescent="0.25">
      <c r="A1470" s="2" t="str">
        <f>IF(B1470="","",IFERROR(VLOOKUP(B1470, PLANTA_BASE!A:W, 2, FALSE), "NO ENCONTRADO EN PLANTA"))</f>
        <v/>
      </c>
      <c r="B1470" s="3"/>
      <c r="C1470" s="4" t="str">
        <f>IF(B1470="","",IFERROR(VLOOKUP(B1470, PLANTA_BASE!A:W, 3, FALSE), ""))</f>
        <v/>
      </c>
      <c r="D1470" s="2" t="str">
        <f>IF(B1470="","",IFERROR(VLOOKUP(B1470, PLANTA_BASE!A:W, 5, FALSE), "NO ENCONTRADO EN PLANTA"))</f>
        <v/>
      </c>
      <c r="E1470" s="2" t="str">
        <f>IF(B1470="","",IFERROR(VLOOKUP(B1470, PLANTA_BASE!A:W, 6, FALSE), "NO ENCONTRADO EN PLANTA"))</f>
        <v/>
      </c>
      <c r="F1470" s="4" t="str">
        <f>IF(B1470="","",IFERROR(VLOOKUP(B1470, PLANTA_BASE!A:W, 8, FALSE), "DOCENTE / FACILITADOR"))</f>
        <v/>
      </c>
      <c r="G1470" s="4" t="str">
        <f>IF(B1470="","",IFERROR(VLOOKUP(B1470, PLANTA_BASE!A:W, 9, FALSE), "GENERAL"))</f>
        <v/>
      </c>
      <c r="H1470" s="2" t="str">
        <f>IF(B1470="","",IFERROR(VLOOKUP(B1470, PLANTA_BASE!A:W, 17, FALSE), "GENERAL"))</f>
        <v/>
      </c>
    </row>
    <row r="1471" spans="1:8" ht="20.100000000000001" customHeight="1" x14ac:dyDescent="0.25">
      <c r="A1471" s="5" t="str">
        <f>IF(B1471="","",IFERROR(VLOOKUP(B1471, PLANTA_BASE!A:W, 2, FALSE), "NO ENCONTRADO EN PLANTA"))</f>
        <v/>
      </c>
      <c r="B1471" s="6"/>
      <c r="C1471" s="7" t="str">
        <f>IF(B1471="","",IFERROR(VLOOKUP(B1471, PLANTA_BASE!A:W, 3, FALSE), ""))</f>
        <v/>
      </c>
      <c r="D1471" s="5" t="str">
        <f>IF(B1471="","",IFERROR(VLOOKUP(B1471, PLANTA_BASE!A:W, 5, FALSE), "NO ENCONTRADO EN PLANTA"))</f>
        <v/>
      </c>
      <c r="E1471" s="5" t="str">
        <f>IF(B1471="","",IFERROR(VLOOKUP(B1471, PLANTA_BASE!A:W, 6, FALSE), "NO ENCONTRADO EN PLANTA"))</f>
        <v/>
      </c>
      <c r="F1471" s="7" t="str">
        <f>IF(B1471="","",IFERROR(VLOOKUP(B1471, PLANTA_BASE!A:W, 8, FALSE), "DOCENTE / FACILITADOR"))</f>
        <v/>
      </c>
      <c r="G1471" s="7" t="str">
        <f>IF(B1471="","",IFERROR(VLOOKUP(B1471, PLANTA_BASE!A:W, 9, FALSE), "GENERAL"))</f>
        <v/>
      </c>
      <c r="H1471" s="5" t="str">
        <f>IF(B1471="","",IFERROR(VLOOKUP(B1471, PLANTA_BASE!A:W, 17, FALSE), "GENERAL"))</f>
        <v/>
      </c>
    </row>
    <row r="1472" spans="1:8" ht="20.100000000000001" customHeight="1" x14ac:dyDescent="0.25">
      <c r="A1472" s="2" t="str">
        <f>IF(B1472="","",IFERROR(VLOOKUP(B1472, PLANTA_BASE!A:W, 2, FALSE), "NO ENCONTRADO EN PLANTA"))</f>
        <v/>
      </c>
      <c r="B1472" s="3"/>
      <c r="C1472" s="4" t="str">
        <f>IF(B1472="","",IFERROR(VLOOKUP(B1472, PLANTA_BASE!A:W, 3, FALSE), ""))</f>
        <v/>
      </c>
      <c r="D1472" s="2" t="str">
        <f>IF(B1472="","",IFERROR(VLOOKUP(B1472, PLANTA_BASE!A:W, 5, FALSE), "NO ENCONTRADO EN PLANTA"))</f>
        <v/>
      </c>
      <c r="E1472" s="2" t="str">
        <f>IF(B1472="","",IFERROR(VLOOKUP(B1472, PLANTA_BASE!A:W, 6, FALSE), "NO ENCONTRADO EN PLANTA"))</f>
        <v/>
      </c>
      <c r="F1472" s="4" t="str">
        <f>IF(B1472="","",IFERROR(VLOOKUP(B1472, PLANTA_BASE!A:W, 8, FALSE), "DOCENTE / FACILITADOR"))</f>
        <v/>
      </c>
      <c r="G1472" s="4" t="str">
        <f>IF(B1472="","",IFERROR(VLOOKUP(B1472, PLANTA_BASE!A:W, 9, FALSE), "GENERAL"))</f>
        <v/>
      </c>
      <c r="H1472" s="2" t="str">
        <f>IF(B1472="","",IFERROR(VLOOKUP(B1472, PLANTA_BASE!A:W, 17, FALSE), "GENERAL"))</f>
        <v/>
      </c>
    </row>
    <row r="1473" spans="1:8" ht="20.100000000000001" customHeight="1" x14ac:dyDescent="0.25">
      <c r="A1473" s="5" t="str">
        <f>IF(B1473="","",IFERROR(VLOOKUP(B1473, PLANTA_BASE!A:W, 2, FALSE), "NO ENCONTRADO EN PLANTA"))</f>
        <v/>
      </c>
      <c r="B1473" s="6"/>
      <c r="C1473" s="7" t="str">
        <f>IF(B1473="","",IFERROR(VLOOKUP(B1473, PLANTA_BASE!A:W, 3, FALSE), ""))</f>
        <v/>
      </c>
      <c r="D1473" s="5" t="str">
        <f>IF(B1473="","",IFERROR(VLOOKUP(B1473, PLANTA_BASE!A:W, 5, FALSE), "NO ENCONTRADO EN PLANTA"))</f>
        <v/>
      </c>
      <c r="E1473" s="5" t="str">
        <f>IF(B1473="","",IFERROR(VLOOKUP(B1473, PLANTA_BASE!A:W, 6, FALSE), "NO ENCONTRADO EN PLANTA"))</f>
        <v/>
      </c>
      <c r="F1473" s="7" t="str">
        <f>IF(B1473="","",IFERROR(VLOOKUP(B1473, PLANTA_BASE!A:W, 8, FALSE), "DOCENTE / FACILITADOR"))</f>
        <v/>
      </c>
      <c r="G1473" s="7" t="str">
        <f>IF(B1473="","",IFERROR(VLOOKUP(B1473, PLANTA_BASE!A:W, 9, FALSE), "GENERAL"))</f>
        <v/>
      </c>
      <c r="H1473" s="5" t="str">
        <f>IF(B1473="","",IFERROR(VLOOKUP(B1473, PLANTA_BASE!A:W, 17, FALSE), "GENERAL"))</f>
        <v/>
      </c>
    </row>
    <row r="1474" spans="1:8" ht="20.100000000000001" customHeight="1" x14ac:dyDescent="0.25">
      <c r="A1474" s="2" t="str">
        <f>IF(B1474="","",IFERROR(VLOOKUP(B1474, PLANTA_BASE!A:W, 2, FALSE), "NO ENCONTRADO EN PLANTA"))</f>
        <v/>
      </c>
      <c r="B1474" s="3"/>
      <c r="C1474" s="4" t="str">
        <f>IF(B1474="","",IFERROR(VLOOKUP(B1474, PLANTA_BASE!A:W, 3, FALSE), ""))</f>
        <v/>
      </c>
      <c r="D1474" s="2" t="str">
        <f>IF(B1474="","",IFERROR(VLOOKUP(B1474, PLANTA_BASE!A:W, 5, FALSE), "NO ENCONTRADO EN PLANTA"))</f>
        <v/>
      </c>
      <c r="E1474" s="2" t="str">
        <f>IF(B1474="","",IFERROR(VLOOKUP(B1474, PLANTA_BASE!A:W, 6, FALSE), "NO ENCONTRADO EN PLANTA"))</f>
        <v/>
      </c>
      <c r="F1474" s="4" t="str">
        <f>IF(B1474="","",IFERROR(VLOOKUP(B1474, PLANTA_BASE!A:W, 8, FALSE), "DOCENTE / FACILITADOR"))</f>
        <v/>
      </c>
      <c r="G1474" s="4" t="str">
        <f>IF(B1474="","",IFERROR(VLOOKUP(B1474, PLANTA_BASE!A:W, 9, FALSE), "GENERAL"))</f>
        <v/>
      </c>
      <c r="H1474" s="2" t="str">
        <f>IF(B1474="","",IFERROR(VLOOKUP(B1474, PLANTA_BASE!A:W, 17, FALSE), "GENERAL"))</f>
        <v/>
      </c>
    </row>
    <row r="1475" spans="1:8" ht="20.100000000000001" customHeight="1" x14ac:dyDescent="0.25">
      <c r="A1475" s="5" t="str">
        <f>IF(B1475="","",IFERROR(VLOOKUP(B1475, PLANTA_BASE!A:W, 2, FALSE), "NO ENCONTRADO EN PLANTA"))</f>
        <v/>
      </c>
      <c r="B1475" s="6"/>
      <c r="C1475" s="7" t="str">
        <f>IF(B1475="","",IFERROR(VLOOKUP(B1475, PLANTA_BASE!A:W, 3, FALSE), ""))</f>
        <v/>
      </c>
      <c r="D1475" s="5" t="str">
        <f>IF(B1475="","",IFERROR(VLOOKUP(B1475, PLANTA_BASE!A:W, 5, FALSE), "NO ENCONTRADO EN PLANTA"))</f>
        <v/>
      </c>
      <c r="E1475" s="5" t="str">
        <f>IF(B1475="","",IFERROR(VLOOKUP(B1475, PLANTA_BASE!A:W, 6, FALSE), "NO ENCONTRADO EN PLANTA"))</f>
        <v/>
      </c>
      <c r="F1475" s="7" t="str">
        <f>IF(B1475="","",IFERROR(VLOOKUP(B1475, PLANTA_BASE!A:W, 8, FALSE), "DOCENTE / FACILITADOR"))</f>
        <v/>
      </c>
      <c r="G1475" s="7" t="str">
        <f>IF(B1475="","",IFERROR(VLOOKUP(B1475, PLANTA_BASE!A:W, 9, FALSE), "GENERAL"))</f>
        <v/>
      </c>
      <c r="H1475" s="5" t="str">
        <f>IF(B1475="","",IFERROR(VLOOKUP(B1475, PLANTA_BASE!A:W, 17, FALSE), "GENERAL"))</f>
        <v/>
      </c>
    </row>
    <row r="1476" spans="1:8" ht="20.100000000000001" customHeight="1" x14ac:dyDescent="0.25">
      <c r="A1476" s="2" t="str">
        <f>IF(B1476="","",IFERROR(VLOOKUP(B1476, PLANTA_BASE!A:W, 2, FALSE), "NO ENCONTRADO EN PLANTA"))</f>
        <v/>
      </c>
      <c r="B1476" s="3"/>
      <c r="C1476" s="4" t="str">
        <f>IF(B1476="","",IFERROR(VLOOKUP(B1476, PLANTA_BASE!A:W, 3, FALSE), ""))</f>
        <v/>
      </c>
      <c r="D1476" s="2" t="str">
        <f>IF(B1476="","",IFERROR(VLOOKUP(B1476, PLANTA_BASE!A:W, 5, FALSE), "NO ENCONTRADO EN PLANTA"))</f>
        <v/>
      </c>
      <c r="E1476" s="2" t="str">
        <f>IF(B1476="","",IFERROR(VLOOKUP(B1476, PLANTA_BASE!A:W, 6, FALSE), "NO ENCONTRADO EN PLANTA"))</f>
        <v/>
      </c>
      <c r="F1476" s="4" t="str">
        <f>IF(B1476="","",IFERROR(VLOOKUP(B1476, PLANTA_BASE!A:W, 8, FALSE), "DOCENTE / FACILITADOR"))</f>
        <v/>
      </c>
      <c r="G1476" s="4" t="str">
        <f>IF(B1476="","",IFERROR(VLOOKUP(B1476, PLANTA_BASE!A:W, 9, FALSE), "GENERAL"))</f>
        <v/>
      </c>
      <c r="H1476" s="2" t="str">
        <f>IF(B1476="","",IFERROR(VLOOKUP(B1476, PLANTA_BASE!A:W, 17, FALSE), "GENERAL"))</f>
        <v/>
      </c>
    </row>
    <row r="1477" spans="1:8" ht="20.100000000000001" customHeight="1" x14ac:dyDescent="0.25">
      <c r="A1477" s="5" t="str">
        <f>IF(B1477="","",IFERROR(VLOOKUP(B1477, PLANTA_BASE!A:W, 2, FALSE), "NO ENCONTRADO EN PLANTA"))</f>
        <v/>
      </c>
      <c r="B1477" s="6"/>
      <c r="C1477" s="7" t="str">
        <f>IF(B1477="","",IFERROR(VLOOKUP(B1477, PLANTA_BASE!A:W, 3, FALSE), ""))</f>
        <v/>
      </c>
      <c r="D1477" s="5" t="str">
        <f>IF(B1477="","",IFERROR(VLOOKUP(B1477, PLANTA_BASE!A:W, 5, FALSE), "NO ENCONTRADO EN PLANTA"))</f>
        <v/>
      </c>
      <c r="E1477" s="5" t="str">
        <f>IF(B1477="","",IFERROR(VLOOKUP(B1477, PLANTA_BASE!A:W, 6, FALSE), "NO ENCONTRADO EN PLANTA"))</f>
        <v/>
      </c>
      <c r="F1477" s="7" t="str">
        <f>IF(B1477="","",IFERROR(VLOOKUP(B1477, PLANTA_BASE!A:W, 8, FALSE), "DOCENTE / FACILITADOR"))</f>
        <v/>
      </c>
      <c r="G1477" s="7" t="str">
        <f>IF(B1477="","",IFERROR(VLOOKUP(B1477, PLANTA_BASE!A:W, 9, FALSE), "GENERAL"))</f>
        <v/>
      </c>
      <c r="H1477" s="5" t="str">
        <f>IF(B1477="","",IFERROR(VLOOKUP(B1477, PLANTA_BASE!A:W, 17, FALSE), "GENERAL"))</f>
        <v/>
      </c>
    </row>
    <row r="1478" spans="1:8" ht="20.100000000000001" customHeight="1" x14ac:dyDescent="0.25">
      <c r="A1478" s="2" t="str">
        <f>IF(B1478="","",IFERROR(VLOOKUP(B1478, PLANTA_BASE!A:W, 2, FALSE), "NO ENCONTRADO EN PLANTA"))</f>
        <v/>
      </c>
      <c r="B1478" s="3"/>
      <c r="C1478" s="4" t="str">
        <f>IF(B1478="","",IFERROR(VLOOKUP(B1478, PLANTA_BASE!A:W, 3, FALSE), ""))</f>
        <v/>
      </c>
      <c r="D1478" s="2" t="str">
        <f>IF(B1478="","",IFERROR(VLOOKUP(B1478, PLANTA_BASE!A:W, 5, FALSE), "NO ENCONTRADO EN PLANTA"))</f>
        <v/>
      </c>
      <c r="E1478" s="2" t="str">
        <f>IF(B1478="","",IFERROR(VLOOKUP(B1478, PLANTA_BASE!A:W, 6, FALSE), "NO ENCONTRADO EN PLANTA"))</f>
        <v/>
      </c>
      <c r="F1478" s="4" t="str">
        <f>IF(B1478="","",IFERROR(VLOOKUP(B1478, PLANTA_BASE!A:W, 8, FALSE), "DOCENTE / FACILITADOR"))</f>
        <v/>
      </c>
      <c r="G1478" s="4" t="str">
        <f>IF(B1478="","",IFERROR(VLOOKUP(B1478, PLANTA_BASE!A:W, 9, FALSE), "GENERAL"))</f>
        <v/>
      </c>
      <c r="H1478" s="2" t="str">
        <f>IF(B1478="","",IFERROR(VLOOKUP(B1478, PLANTA_BASE!A:W, 17, FALSE), "GENERAL"))</f>
        <v/>
      </c>
    </row>
    <row r="1479" spans="1:8" ht="20.100000000000001" customHeight="1" x14ac:dyDescent="0.25">
      <c r="A1479" s="5" t="str">
        <f>IF(B1479="","",IFERROR(VLOOKUP(B1479, PLANTA_BASE!A:W, 2, FALSE), "NO ENCONTRADO EN PLANTA"))</f>
        <v/>
      </c>
      <c r="B1479" s="6"/>
      <c r="C1479" s="7" t="str">
        <f>IF(B1479="","",IFERROR(VLOOKUP(B1479, PLANTA_BASE!A:W, 3, FALSE), ""))</f>
        <v/>
      </c>
      <c r="D1479" s="5" t="str">
        <f>IF(B1479="","",IFERROR(VLOOKUP(B1479, PLANTA_BASE!A:W, 5, FALSE), "NO ENCONTRADO EN PLANTA"))</f>
        <v/>
      </c>
      <c r="E1479" s="5" t="str">
        <f>IF(B1479="","",IFERROR(VLOOKUP(B1479, PLANTA_BASE!A:W, 6, FALSE), "NO ENCONTRADO EN PLANTA"))</f>
        <v/>
      </c>
      <c r="F1479" s="7" t="str">
        <f>IF(B1479="","",IFERROR(VLOOKUP(B1479, PLANTA_BASE!A:W, 8, FALSE), "DOCENTE / FACILITADOR"))</f>
        <v/>
      </c>
      <c r="G1479" s="7" t="str">
        <f>IF(B1479="","",IFERROR(VLOOKUP(B1479, PLANTA_BASE!A:W, 9, FALSE), "GENERAL"))</f>
        <v/>
      </c>
      <c r="H1479" s="5" t="str">
        <f>IF(B1479="","",IFERROR(VLOOKUP(B1479, PLANTA_BASE!A:W, 17, FALSE), "GENERAL"))</f>
        <v/>
      </c>
    </row>
    <row r="1480" spans="1:8" ht="20.100000000000001" customHeight="1" x14ac:dyDescent="0.25">
      <c r="A1480" s="2" t="str">
        <f>IF(B1480="","",IFERROR(VLOOKUP(B1480, PLANTA_BASE!A:W, 2, FALSE), "NO ENCONTRADO EN PLANTA"))</f>
        <v/>
      </c>
      <c r="B1480" s="3"/>
      <c r="C1480" s="4" t="str">
        <f>IF(B1480="","",IFERROR(VLOOKUP(B1480, PLANTA_BASE!A:W, 3, FALSE), ""))</f>
        <v/>
      </c>
      <c r="D1480" s="2" t="str">
        <f>IF(B1480="","",IFERROR(VLOOKUP(B1480, PLANTA_BASE!A:W, 5, FALSE), "NO ENCONTRADO EN PLANTA"))</f>
        <v/>
      </c>
      <c r="E1480" s="2" t="str">
        <f>IF(B1480="","",IFERROR(VLOOKUP(B1480, PLANTA_BASE!A:W, 6, FALSE), "NO ENCONTRADO EN PLANTA"))</f>
        <v/>
      </c>
      <c r="F1480" s="4" t="str">
        <f>IF(B1480="","",IFERROR(VLOOKUP(B1480, PLANTA_BASE!A:W, 8, FALSE), "DOCENTE / FACILITADOR"))</f>
        <v/>
      </c>
      <c r="G1480" s="4" t="str">
        <f>IF(B1480="","",IFERROR(VLOOKUP(B1480, PLANTA_BASE!A:W, 9, FALSE), "GENERAL"))</f>
        <v/>
      </c>
      <c r="H1480" s="2" t="str">
        <f>IF(B1480="","",IFERROR(VLOOKUP(B1480, PLANTA_BASE!A:W, 17, FALSE), "GENERAL"))</f>
        <v/>
      </c>
    </row>
    <row r="1481" spans="1:8" ht="20.100000000000001" customHeight="1" x14ac:dyDescent="0.25">
      <c r="A1481" s="5" t="str">
        <f>IF(B1481="","",IFERROR(VLOOKUP(B1481, PLANTA_BASE!A:W, 2, FALSE), "NO ENCONTRADO EN PLANTA"))</f>
        <v/>
      </c>
      <c r="B1481" s="6"/>
      <c r="C1481" s="7" t="str">
        <f>IF(B1481="","",IFERROR(VLOOKUP(B1481, PLANTA_BASE!A:W, 3, FALSE), ""))</f>
        <v/>
      </c>
      <c r="D1481" s="5" t="str">
        <f>IF(B1481="","",IFERROR(VLOOKUP(B1481, PLANTA_BASE!A:W, 5, FALSE), "NO ENCONTRADO EN PLANTA"))</f>
        <v/>
      </c>
      <c r="E1481" s="5" t="str">
        <f>IF(B1481="","",IFERROR(VLOOKUP(B1481, PLANTA_BASE!A:W, 6, FALSE), "NO ENCONTRADO EN PLANTA"))</f>
        <v/>
      </c>
      <c r="F1481" s="7" t="str">
        <f>IF(B1481="","",IFERROR(VLOOKUP(B1481, PLANTA_BASE!A:W, 8, FALSE), "DOCENTE / FACILITADOR"))</f>
        <v/>
      </c>
      <c r="G1481" s="7" t="str">
        <f>IF(B1481="","",IFERROR(VLOOKUP(B1481, PLANTA_BASE!A:W, 9, FALSE), "GENERAL"))</f>
        <v/>
      </c>
      <c r="H1481" s="5" t="str">
        <f>IF(B1481="","",IFERROR(VLOOKUP(B1481, PLANTA_BASE!A:W, 17, FALSE), "GENERAL"))</f>
        <v/>
      </c>
    </row>
    <row r="1482" spans="1:8" ht="20.100000000000001" customHeight="1" x14ac:dyDescent="0.25">
      <c r="A1482" s="2" t="str">
        <f>IF(B1482="","",IFERROR(VLOOKUP(B1482, PLANTA_BASE!A:W, 2, FALSE), "NO ENCONTRADO EN PLANTA"))</f>
        <v/>
      </c>
      <c r="B1482" s="3"/>
      <c r="C1482" s="4" t="str">
        <f>IF(B1482="","",IFERROR(VLOOKUP(B1482, PLANTA_BASE!A:W, 3, FALSE), ""))</f>
        <v/>
      </c>
      <c r="D1482" s="2" t="str">
        <f>IF(B1482="","",IFERROR(VLOOKUP(B1482, PLANTA_BASE!A:W, 5, FALSE), "NO ENCONTRADO EN PLANTA"))</f>
        <v/>
      </c>
      <c r="E1482" s="2" t="str">
        <f>IF(B1482="","",IFERROR(VLOOKUP(B1482, PLANTA_BASE!A:W, 6, FALSE), "NO ENCONTRADO EN PLANTA"))</f>
        <v/>
      </c>
      <c r="F1482" s="4" t="str">
        <f>IF(B1482="","",IFERROR(VLOOKUP(B1482, PLANTA_BASE!A:W, 8, FALSE), "DOCENTE / FACILITADOR"))</f>
        <v/>
      </c>
      <c r="G1482" s="4" t="str">
        <f>IF(B1482="","",IFERROR(VLOOKUP(B1482, PLANTA_BASE!A:W, 9, FALSE), "GENERAL"))</f>
        <v/>
      </c>
      <c r="H1482" s="2" t="str">
        <f>IF(B1482="","",IFERROR(VLOOKUP(B1482, PLANTA_BASE!A:W, 17, FALSE), "GENERAL"))</f>
        <v/>
      </c>
    </row>
    <row r="1483" spans="1:8" ht="20.100000000000001" customHeight="1" x14ac:dyDescent="0.25">
      <c r="A1483" s="5" t="str">
        <f>IF(B1483="","",IFERROR(VLOOKUP(B1483, PLANTA_BASE!A:W, 2, FALSE), "NO ENCONTRADO EN PLANTA"))</f>
        <v/>
      </c>
      <c r="B1483" s="6"/>
      <c r="C1483" s="7" t="str">
        <f>IF(B1483="","",IFERROR(VLOOKUP(B1483, PLANTA_BASE!A:W, 3, FALSE), ""))</f>
        <v/>
      </c>
      <c r="D1483" s="5" t="str">
        <f>IF(B1483="","",IFERROR(VLOOKUP(B1483, PLANTA_BASE!A:W, 5, FALSE), "NO ENCONTRADO EN PLANTA"))</f>
        <v/>
      </c>
      <c r="E1483" s="5" t="str">
        <f>IF(B1483="","",IFERROR(VLOOKUP(B1483, PLANTA_BASE!A:W, 6, FALSE), "NO ENCONTRADO EN PLANTA"))</f>
        <v/>
      </c>
      <c r="F1483" s="7" t="str">
        <f>IF(B1483="","",IFERROR(VLOOKUP(B1483, PLANTA_BASE!A:W, 8, FALSE), "DOCENTE / FACILITADOR"))</f>
        <v/>
      </c>
      <c r="G1483" s="7" t="str">
        <f>IF(B1483="","",IFERROR(VLOOKUP(B1483, PLANTA_BASE!A:W, 9, FALSE), "GENERAL"))</f>
        <v/>
      </c>
      <c r="H1483" s="5" t="str">
        <f>IF(B1483="","",IFERROR(VLOOKUP(B1483, PLANTA_BASE!A:W, 17, FALSE), "GENERAL"))</f>
        <v/>
      </c>
    </row>
    <row r="1484" spans="1:8" ht="20.100000000000001" customHeight="1" x14ac:dyDescent="0.25">
      <c r="A1484" s="2" t="str">
        <f>IF(B1484="","",IFERROR(VLOOKUP(B1484, PLANTA_BASE!A:W, 2, FALSE), "NO ENCONTRADO EN PLANTA"))</f>
        <v/>
      </c>
      <c r="B1484" s="3"/>
      <c r="C1484" s="4" t="str">
        <f>IF(B1484="","",IFERROR(VLOOKUP(B1484, PLANTA_BASE!A:W, 3, FALSE), ""))</f>
        <v/>
      </c>
      <c r="D1484" s="2" t="str">
        <f>IF(B1484="","",IFERROR(VLOOKUP(B1484, PLANTA_BASE!A:W, 5, FALSE), "NO ENCONTRADO EN PLANTA"))</f>
        <v/>
      </c>
      <c r="E1484" s="2" t="str">
        <f>IF(B1484="","",IFERROR(VLOOKUP(B1484, PLANTA_BASE!A:W, 6, FALSE), "NO ENCONTRADO EN PLANTA"))</f>
        <v/>
      </c>
      <c r="F1484" s="4" t="str">
        <f>IF(B1484="","",IFERROR(VLOOKUP(B1484, PLANTA_BASE!A:W, 8, FALSE), "DOCENTE / FACILITADOR"))</f>
        <v/>
      </c>
      <c r="G1484" s="4" t="str">
        <f>IF(B1484="","",IFERROR(VLOOKUP(B1484, PLANTA_BASE!A:W, 9, FALSE), "GENERAL"))</f>
        <v/>
      </c>
      <c r="H1484" s="2" t="str">
        <f>IF(B1484="","",IFERROR(VLOOKUP(B1484, PLANTA_BASE!A:W, 17, FALSE), "GENERAL"))</f>
        <v/>
      </c>
    </row>
    <row r="1485" spans="1:8" ht="20.100000000000001" customHeight="1" x14ac:dyDescent="0.25">
      <c r="A1485" s="5" t="str">
        <f>IF(B1485="","",IFERROR(VLOOKUP(B1485, PLANTA_BASE!A:W, 2, FALSE), "NO ENCONTRADO EN PLANTA"))</f>
        <v/>
      </c>
      <c r="B1485" s="6"/>
      <c r="C1485" s="7" t="str">
        <f>IF(B1485="","",IFERROR(VLOOKUP(B1485, PLANTA_BASE!A:W, 3, FALSE), ""))</f>
        <v/>
      </c>
      <c r="D1485" s="5" t="str">
        <f>IF(B1485="","",IFERROR(VLOOKUP(B1485, PLANTA_BASE!A:W, 5, FALSE), "NO ENCONTRADO EN PLANTA"))</f>
        <v/>
      </c>
      <c r="E1485" s="5" t="str">
        <f>IF(B1485="","",IFERROR(VLOOKUP(B1485, PLANTA_BASE!A:W, 6, FALSE), "NO ENCONTRADO EN PLANTA"))</f>
        <v/>
      </c>
      <c r="F1485" s="7" t="str">
        <f>IF(B1485="","",IFERROR(VLOOKUP(B1485, PLANTA_BASE!A:W, 8, FALSE), "DOCENTE / FACILITADOR"))</f>
        <v/>
      </c>
      <c r="G1485" s="7" t="str">
        <f>IF(B1485="","",IFERROR(VLOOKUP(B1485, PLANTA_BASE!A:W, 9, FALSE), "GENERAL"))</f>
        <v/>
      </c>
      <c r="H1485" s="5" t="str">
        <f>IF(B1485="","",IFERROR(VLOOKUP(B1485, PLANTA_BASE!A:W, 17, FALSE), "GENERAL"))</f>
        <v/>
      </c>
    </row>
    <row r="1486" spans="1:8" ht="20.100000000000001" customHeight="1" x14ac:dyDescent="0.25">
      <c r="A1486" s="2" t="str">
        <f>IF(B1486="","",IFERROR(VLOOKUP(B1486, PLANTA_BASE!A:W, 2, FALSE), "NO ENCONTRADO EN PLANTA"))</f>
        <v/>
      </c>
      <c r="B1486" s="3"/>
      <c r="C1486" s="4" t="str">
        <f>IF(B1486="","",IFERROR(VLOOKUP(B1486, PLANTA_BASE!A:W, 3, FALSE), ""))</f>
        <v/>
      </c>
      <c r="D1486" s="2" t="str">
        <f>IF(B1486="","",IFERROR(VLOOKUP(B1486, PLANTA_BASE!A:W, 5, FALSE), "NO ENCONTRADO EN PLANTA"))</f>
        <v/>
      </c>
      <c r="E1486" s="2" t="str">
        <f>IF(B1486="","",IFERROR(VLOOKUP(B1486, PLANTA_BASE!A:W, 6, FALSE), "NO ENCONTRADO EN PLANTA"))</f>
        <v/>
      </c>
      <c r="F1486" s="4" t="str">
        <f>IF(B1486="","",IFERROR(VLOOKUP(B1486, PLANTA_BASE!A:W, 8, FALSE), "DOCENTE / FACILITADOR"))</f>
        <v/>
      </c>
      <c r="G1486" s="4" t="str">
        <f>IF(B1486="","",IFERROR(VLOOKUP(B1486, PLANTA_BASE!A:W, 9, FALSE), "GENERAL"))</f>
        <v/>
      </c>
      <c r="H1486" s="2" t="str">
        <f>IF(B1486="","",IFERROR(VLOOKUP(B1486, PLANTA_BASE!A:W, 17, FALSE), "GENERAL"))</f>
        <v/>
      </c>
    </row>
    <row r="1487" spans="1:8" ht="20.100000000000001" customHeight="1" x14ac:dyDescent="0.25">
      <c r="A1487" s="5" t="str">
        <f>IF(B1487="","",IFERROR(VLOOKUP(B1487, PLANTA_BASE!A:W, 2, FALSE), "NO ENCONTRADO EN PLANTA"))</f>
        <v/>
      </c>
      <c r="B1487" s="6"/>
      <c r="C1487" s="7" t="str">
        <f>IF(B1487="","",IFERROR(VLOOKUP(B1487, PLANTA_BASE!A:W, 3, FALSE), ""))</f>
        <v/>
      </c>
      <c r="D1487" s="5" t="str">
        <f>IF(B1487="","",IFERROR(VLOOKUP(B1487, PLANTA_BASE!A:W, 5, FALSE), "NO ENCONTRADO EN PLANTA"))</f>
        <v/>
      </c>
      <c r="E1487" s="5" t="str">
        <f>IF(B1487="","",IFERROR(VLOOKUP(B1487, PLANTA_BASE!A:W, 6, FALSE), "NO ENCONTRADO EN PLANTA"))</f>
        <v/>
      </c>
      <c r="F1487" s="7" t="str">
        <f>IF(B1487="","",IFERROR(VLOOKUP(B1487, PLANTA_BASE!A:W, 8, FALSE), "DOCENTE / FACILITADOR"))</f>
        <v/>
      </c>
      <c r="G1487" s="7" t="str">
        <f>IF(B1487="","",IFERROR(VLOOKUP(B1487, PLANTA_BASE!A:W, 9, FALSE), "GENERAL"))</f>
        <v/>
      </c>
      <c r="H1487" s="5" t="str">
        <f>IF(B1487="","",IFERROR(VLOOKUP(B1487, PLANTA_BASE!A:W, 17, FALSE), "GENERAL"))</f>
        <v/>
      </c>
    </row>
    <row r="1488" spans="1:8" ht="20.100000000000001" customHeight="1" x14ac:dyDescent="0.25">
      <c r="A1488" s="2" t="str">
        <f>IF(B1488="","",IFERROR(VLOOKUP(B1488, PLANTA_BASE!A:W, 2, FALSE), "NO ENCONTRADO EN PLANTA"))</f>
        <v/>
      </c>
      <c r="B1488" s="3"/>
      <c r="C1488" s="4" t="str">
        <f>IF(B1488="","",IFERROR(VLOOKUP(B1488, PLANTA_BASE!A:W, 3, FALSE), ""))</f>
        <v/>
      </c>
      <c r="D1488" s="2" t="str">
        <f>IF(B1488="","",IFERROR(VLOOKUP(B1488, PLANTA_BASE!A:W, 5, FALSE), "NO ENCONTRADO EN PLANTA"))</f>
        <v/>
      </c>
      <c r="E1488" s="2" t="str">
        <f>IF(B1488="","",IFERROR(VLOOKUP(B1488, PLANTA_BASE!A:W, 6, FALSE), "NO ENCONTRADO EN PLANTA"))</f>
        <v/>
      </c>
      <c r="F1488" s="4" t="str">
        <f>IF(B1488="","",IFERROR(VLOOKUP(B1488, PLANTA_BASE!A:W, 8, FALSE), "DOCENTE / FACILITADOR"))</f>
        <v/>
      </c>
      <c r="G1488" s="4" t="str">
        <f>IF(B1488="","",IFERROR(VLOOKUP(B1488, PLANTA_BASE!A:W, 9, FALSE), "GENERAL"))</f>
        <v/>
      </c>
      <c r="H1488" s="2" t="str">
        <f>IF(B1488="","",IFERROR(VLOOKUP(B1488, PLANTA_BASE!A:W, 17, FALSE), "GENERAL"))</f>
        <v/>
      </c>
    </row>
    <row r="1489" spans="1:8" ht="20.100000000000001" customHeight="1" x14ac:dyDescent="0.25">
      <c r="A1489" s="5" t="str">
        <f>IF(B1489="","",IFERROR(VLOOKUP(B1489, PLANTA_BASE!A:W, 2, FALSE), "NO ENCONTRADO EN PLANTA"))</f>
        <v/>
      </c>
      <c r="B1489" s="6"/>
      <c r="C1489" s="7" t="str">
        <f>IF(B1489="","",IFERROR(VLOOKUP(B1489, PLANTA_BASE!A:W, 3, FALSE), ""))</f>
        <v/>
      </c>
      <c r="D1489" s="5" t="str">
        <f>IF(B1489="","",IFERROR(VLOOKUP(B1489, PLANTA_BASE!A:W, 5, FALSE), "NO ENCONTRADO EN PLANTA"))</f>
        <v/>
      </c>
      <c r="E1489" s="5" t="str">
        <f>IF(B1489="","",IFERROR(VLOOKUP(B1489, PLANTA_BASE!A:W, 6, FALSE), "NO ENCONTRADO EN PLANTA"))</f>
        <v/>
      </c>
      <c r="F1489" s="7" t="str">
        <f>IF(B1489="","",IFERROR(VLOOKUP(B1489, PLANTA_BASE!A:W, 8, FALSE), "DOCENTE / FACILITADOR"))</f>
        <v/>
      </c>
      <c r="G1489" s="7" t="str">
        <f>IF(B1489="","",IFERROR(VLOOKUP(B1489, PLANTA_BASE!A:W, 9, FALSE), "GENERAL"))</f>
        <v/>
      </c>
      <c r="H1489" s="5" t="str">
        <f>IF(B1489="","",IFERROR(VLOOKUP(B1489, PLANTA_BASE!A:W, 17, FALSE), "GENERAL"))</f>
        <v/>
      </c>
    </row>
    <row r="1490" spans="1:8" ht="20.100000000000001" customHeight="1" x14ac:dyDescent="0.25">
      <c r="A1490" s="2" t="str">
        <f>IF(B1490="","",IFERROR(VLOOKUP(B1490, PLANTA_BASE!A:W, 2, FALSE), "NO ENCONTRADO EN PLANTA"))</f>
        <v/>
      </c>
      <c r="B1490" s="3"/>
      <c r="C1490" s="4" t="str">
        <f>IF(B1490="","",IFERROR(VLOOKUP(B1490, PLANTA_BASE!A:W, 3, FALSE), ""))</f>
        <v/>
      </c>
      <c r="D1490" s="2" t="str">
        <f>IF(B1490="","",IFERROR(VLOOKUP(B1490, PLANTA_BASE!A:W, 5, FALSE), "NO ENCONTRADO EN PLANTA"))</f>
        <v/>
      </c>
      <c r="E1490" s="2" t="str">
        <f>IF(B1490="","",IFERROR(VLOOKUP(B1490, PLANTA_BASE!A:W, 6, FALSE), "NO ENCONTRADO EN PLANTA"))</f>
        <v/>
      </c>
      <c r="F1490" s="4" t="str">
        <f>IF(B1490="","",IFERROR(VLOOKUP(B1490, PLANTA_BASE!A:W, 8, FALSE), "DOCENTE / FACILITADOR"))</f>
        <v/>
      </c>
      <c r="G1490" s="4" t="str">
        <f>IF(B1490="","",IFERROR(VLOOKUP(B1490, PLANTA_BASE!A:W, 9, FALSE), "GENERAL"))</f>
        <v/>
      </c>
      <c r="H1490" s="2" t="str">
        <f>IF(B1490="","",IFERROR(VLOOKUP(B1490, PLANTA_BASE!A:W, 17, FALSE), "GENERAL"))</f>
        <v/>
      </c>
    </row>
    <row r="1491" spans="1:8" ht="20.100000000000001" customHeight="1" x14ac:dyDescent="0.25">
      <c r="A1491" s="5" t="str">
        <f>IF(B1491="","",IFERROR(VLOOKUP(B1491, PLANTA_BASE!A:W, 2, FALSE), "NO ENCONTRADO EN PLANTA"))</f>
        <v/>
      </c>
      <c r="B1491" s="6"/>
      <c r="C1491" s="7" t="str">
        <f>IF(B1491="","",IFERROR(VLOOKUP(B1491, PLANTA_BASE!A:W, 3, FALSE), ""))</f>
        <v/>
      </c>
      <c r="D1491" s="5" t="str">
        <f>IF(B1491="","",IFERROR(VLOOKUP(B1491, PLANTA_BASE!A:W, 5, FALSE), "NO ENCONTRADO EN PLANTA"))</f>
        <v/>
      </c>
      <c r="E1491" s="5" t="str">
        <f>IF(B1491="","",IFERROR(VLOOKUP(B1491, PLANTA_BASE!A:W, 6, FALSE), "NO ENCONTRADO EN PLANTA"))</f>
        <v/>
      </c>
      <c r="F1491" s="7" t="str">
        <f>IF(B1491="","",IFERROR(VLOOKUP(B1491, PLANTA_BASE!A:W, 8, FALSE), "DOCENTE / FACILITADOR"))</f>
        <v/>
      </c>
      <c r="G1491" s="7" t="str">
        <f>IF(B1491="","",IFERROR(VLOOKUP(B1491, PLANTA_BASE!A:W, 9, FALSE), "GENERAL"))</f>
        <v/>
      </c>
      <c r="H1491" s="5" t="str">
        <f>IF(B1491="","",IFERROR(VLOOKUP(B1491, PLANTA_BASE!A:W, 17, FALSE), "GENERAL"))</f>
        <v/>
      </c>
    </row>
    <row r="1492" spans="1:8" ht="20.100000000000001" customHeight="1" x14ac:dyDescent="0.25">
      <c r="A1492" s="2" t="str">
        <f>IF(B1492="","",IFERROR(VLOOKUP(B1492, PLANTA_BASE!A:W, 2, FALSE), "NO ENCONTRADO EN PLANTA"))</f>
        <v/>
      </c>
      <c r="B1492" s="3"/>
      <c r="C1492" s="4" t="str">
        <f>IF(B1492="","",IFERROR(VLOOKUP(B1492, PLANTA_BASE!A:W, 3, FALSE), ""))</f>
        <v/>
      </c>
      <c r="D1492" s="2" t="str">
        <f>IF(B1492="","",IFERROR(VLOOKUP(B1492, PLANTA_BASE!A:W, 5, FALSE), "NO ENCONTRADO EN PLANTA"))</f>
        <v/>
      </c>
      <c r="E1492" s="2" t="str">
        <f>IF(B1492="","",IFERROR(VLOOKUP(B1492, PLANTA_BASE!A:W, 6, FALSE), "NO ENCONTRADO EN PLANTA"))</f>
        <v/>
      </c>
      <c r="F1492" s="4" t="str">
        <f>IF(B1492="","",IFERROR(VLOOKUP(B1492, PLANTA_BASE!A:W, 8, FALSE), "DOCENTE / FACILITADOR"))</f>
        <v/>
      </c>
      <c r="G1492" s="4" t="str">
        <f>IF(B1492="","",IFERROR(VLOOKUP(B1492, PLANTA_BASE!A:W, 9, FALSE), "GENERAL"))</f>
        <v/>
      </c>
      <c r="H1492" s="2" t="str">
        <f>IF(B1492="","",IFERROR(VLOOKUP(B1492, PLANTA_BASE!A:W, 17, FALSE), "GENERAL"))</f>
        <v/>
      </c>
    </row>
    <row r="1493" spans="1:8" ht="20.100000000000001" customHeight="1" x14ac:dyDescent="0.25">
      <c r="A1493" s="5" t="str">
        <f>IF(B1493="","",IFERROR(VLOOKUP(B1493, PLANTA_BASE!A:W, 2, FALSE), "NO ENCONTRADO EN PLANTA"))</f>
        <v/>
      </c>
      <c r="B1493" s="6"/>
      <c r="C1493" s="7" t="str">
        <f>IF(B1493="","",IFERROR(VLOOKUP(B1493, PLANTA_BASE!A:W, 3, FALSE), ""))</f>
        <v/>
      </c>
      <c r="D1493" s="5" t="str">
        <f>IF(B1493="","",IFERROR(VLOOKUP(B1493, PLANTA_BASE!A:W, 5, FALSE), "NO ENCONTRADO EN PLANTA"))</f>
        <v/>
      </c>
      <c r="E1493" s="5" t="str">
        <f>IF(B1493="","",IFERROR(VLOOKUP(B1493, PLANTA_BASE!A:W, 6, FALSE), "NO ENCONTRADO EN PLANTA"))</f>
        <v/>
      </c>
      <c r="F1493" s="7" t="str">
        <f>IF(B1493="","",IFERROR(VLOOKUP(B1493, PLANTA_BASE!A:W, 8, FALSE), "DOCENTE / FACILITADOR"))</f>
        <v/>
      </c>
      <c r="G1493" s="7" t="str">
        <f>IF(B1493="","",IFERROR(VLOOKUP(B1493, PLANTA_BASE!A:W, 9, FALSE), "GENERAL"))</f>
        <v/>
      </c>
      <c r="H1493" s="5" t="str">
        <f>IF(B1493="","",IFERROR(VLOOKUP(B1493, PLANTA_BASE!A:W, 17, FALSE), "GENERAL"))</f>
        <v/>
      </c>
    </row>
    <row r="1494" spans="1:8" ht="20.100000000000001" customHeight="1" x14ac:dyDescent="0.25">
      <c r="A1494" s="2" t="str">
        <f>IF(B1494="","",IFERROR(VLOOKUP(B1494, PLANTA_BASE!A:W, 2, FALSE), "NO ENCONTRADO EN PLANTA"))</f>
        <v/>
      </c>
      <c r="B1494" s="3"/>
      <c r="C1494" s="4" t="str">
        <f>IF(B1494="","",IFERROR(VLOOKUP(B1494, PLANTA_BASE!A:W, 3, FALSE), ""))</f>
        <v/>
      </c>
      <c r="D1494" s="2" t="str">
        <f>IF(B1494="","",IFERROR(VLOOKUP(B1494, PLANTA_BASE!A:W, 5, FALSE), "NO ENCONTRADO EN PLANTA"))</f>
        <v/>
      </c>
      <c r="E1494" s="2" t="str">
        <f>IF(B1494="","",IFERROR(VLOOKUP(B1494, PLANTA_BASE!A:W, 6, FALSE), "NO ENCONTRADO EN PLANTA"))</f>
        <v/>
      </c>
      <c r="F1494" s="4" t="str">
        <f>IF(B1494="","",IFERROR(VLOOKUP(B1494, PLANTA_BASE!A:W, 8, FALSE), "DOCENTE / FACILITADOR"))</f>
        <v/>
      </c>
      <c r="G1494" s="4" t="str">
        <f>IF(B1494="","",IFERROR(VLOOKUP(B1494, PLANTA_BASE!A:W, 9, FALSE), "GENERAL"))</f>
        <v/>
      </c>
      <c r="H1494" s="2" t="str">
        <f>IF(B1494="","",IFERROR(VLOOKUP(B1494, PLANTA_BASE!A:W, 17, FALSE), "GENERAL"))</f>
        <v/>
      </c>
    </row>
    <row r="1495" spans="1:8" ht="20.100000000000001" customHeight="1" x14ac:dyDescent="0.25">
      <c r="A1495" s="5" t="str">
        <f>IF(B1495="","",IFERROR(VLOOKUP(B1495, PLANTA_BASE!A:W, 2, FALSE), "NO ENCONTRADO EN PLANTA"))</f>
        <v/>
      </c>
      <c r="B1495" s="6"/>
      <c r="C1495" s="7" t="str">
        <f>IF(B1495="","",IFERROR(VLOOKUP(B1495, PLANTA_BASE!A:W, 3, FALSE), ""))</f>
        <v/>
      </c>
      <c r="D1495" s="5" t="str">
        <f>IF(B1495="","",IFERROR(VLOOKUP(B1495, PLANTA_BASE!A:W, 5, FALSE), "NO ENCONTRADO EN PLANTA"))</f>
        <v/>
      </c>
      <c r="E1495" s="5" t="str">
        <f>IF(B1495="","",IFERROR(VLOOKUP(B1495, PLANTA_BASE!A:W, 6, FALSE), "NO ENCONTRADO EN PLANTA"))</f>
        <v/>
      </c>
      <c r="F1495" s="7" t="str">
        <f>IF(B1495="","",IFERROR(VLOOKUP(B1495, PLANTA_BASE!A:W, 8, FALSE), "DOCENTE / FACILITADOR"))</f>
        <v/>
      </c>
      <c r="G1495" s="7" t="str">
        <f>IF(B1495="","",IFERROR(VLOOKUP(B1495, PLANTA_BASE!A:W, 9, FALSE), "GENERAL"))</f>
        <v/>
      </c>
      <c r="H1495" s="5" t="str">
        <f>IF(B1495="","",IFERROR(VLOOKUP(B1495, PLANTA_BASE!A:W, 17, FALSE), "GENERAL"))</f>
        <v/>
      </c>
    </row>
    <row r="1496" spans="1:8" ht="20.100000000000001" customHeight="1" x14ac:dyDescent="0.25">
      <c r="A1496" s="2" t="str">
        <f>IF(B1496="","",IFERROR(VLOOKUP(B1496, PLANTA_BASE!A:W, 2, FALSE), "NO ENCONTRADO EN PLANTA"))</f>
        <v/>
      </c>
      <c r="B1496" s="3"/>
      <c r="C1496" s="4" t="str">
        <f>IF(B1496="","",IFERROR(VLOOKUP(B1496, PLANTA_BASE!A:W, 3, FALSE), ""))</f>
        <v/>
      </c>
      <c r="D1496" s="2" t="str">
        <f>IF(B1496="","",IFERROR(VLOOKUP(B1496, PLANTA_BASE!A:W, 5, FALSE), "NO ENCONTRADO EN PLANTA"))</f>
        <v/>
      </c>
      <c r="E1496" s="2" t="str">
        <f>IF(B1496="","",IFERROR(VLOOKUP(B1496, PLANTA_BASE!A:W, 6, FALSE), "NO ENCONTRADO EN PLANTA"))</f>
        <v/>
      </c>
      <c r="F1496" s="4" t="str">
        <f>IF(B1496="","",IFERROR(VLOOKUP(B1496, PLANTA_BASE!A:W, 8, FALSE), "DOCENTE / FACILITADOR"))</f>
        <v/>
      </c>
      <c r="G1496" s="4" t="str">
        <f>IF(B1496="","",IFERROR(VLOOKUP(B1496, PLANTA_BASE!A:W, 9, FALSE), "GENERAL"))</f>
        <v/>
      </c>
      <c r="H1496" s="2" t="str">
        <f>IF(B1496="","",IFERROR(VLOOKUP(B1496, PLANTA_BASE!A:W, 17, FALSE), "GENERAL"))</f>
        <v/>
      </c>
    </row>
    <row r="1497" spans="1:8" ht="20.100000000000001" customHeight="1" x14ac:dyDescent="0.25">
      <c r="A1497" s="5" t="str">
        <f>IF(B1497="","",IFERROR(VLOOKUP(B1497, PLANTA_BASE!A:W, 2, FALSE), "NO ENCONTRADO EN PLANTA"))</f>
        <v/>
      </c>
      <c r="B1497" s="6"/>
      <c r="C1497" s="7" t="str">
        <f>IF(B1497="","",IFERROR(VLOOKUP(B1497, PLANTA_BASE!A:W, 3, FALSE), ""))</f>
        <v/>
      </c>
      <c r="D1497" s="5" t="str">
        <f>IF(B1497="","",IFERROR(VLOOKUP(B1497, PLANTA_BASE!A:W, 5, FALSE), "NO ENCONTRADO EN PLANTA"))</f>
        <v/>
      </c>
      <c r="E1497" s="5" t="str">
        <f>IF(B1497="","",IFERROR(VLOOKUP(B1497, PLANTA_BASE!A:W, 6, FALSE), "NO ENCONTRADO EN PLANTA"))</f>
        <v/>
      </c>
      <c r="F1497" s="7" t="str">
        <f>IF(B1497="","",IFERROR(VLOOKUP(B1497, PLANTA_BASE!A:W, 8, FALSE), "DOCENTE / FACILITADOR"))</f>
        <v/>
      </c>
      <c r="G1497" s="7" t="str">
        <f>IF(B1497="","",IFERROR(VLOOKUP(B1497, PLANTA_BASE!A:W, 9, FALSE), "GENERAL"))</f>
        <v/>
      </c>
      <c r="H1497" s="5" t="str">
        <f>IF(B1497="","",IFERROR(VLOOKUP(B1497, PLANTA_BASE!A:W, 17, FALSE), "GENERAL"))</f>
        <v/>
      </c>
    </row>
    <row r="1498" spans="1:8" ht="20.100000000000001" customHeight="1" x14ac:dyDescent="0.25">
      <c r="A1498" s="2" t="str">
        <f>IF(B1498="","",IFERROR(VLOOKUP(B1498, PLANTA_BASE!A:W, 2, FALSE), "NO ENCONTRADO EN PLANTA"))</f>
        <v/>
      </c>
      <c r="B1498" s="3"/>
      <c r="C1498" s="4" t="str">
        <f>IF(B1498="","",IFERROR(VLOOKUP(B1498, PLANTA_BASE!A:W, 3, FALSE), ""))</f>
        <v/>
      </c>
      <c r="D1498" s="2" t="str">
        <f>IF(B1498="","",IFERROR(VLOOKUP(B1498, PLANTA_BASE!A:W, 5, FALSE), "NO ENCONTRADO EN PLANTA"))</f>
        <v/>
      </c>
      <c r="E1498" s="2" t="str">
        <f>IF(B1498="","",IFERROR(VLOOKUP(B1498, PLANTA_BASE!A:W, 6, FALSE), "NO ENCONTRADO EN PLANTA"))</f>
        <v/>
      </c>
      <c r="F1498" s="4" t="str">
        <f>IF(B1498="","",IFERROR(VLOOKUP(B1498, PLANTA_BASE!A:W, 8, FALSE), "DOCENTE / FACILITADOR"))</f>
        <v/>
      </c>
      <c r="G1498" s="4" t="str">
        <f>IF(B1498="","",IFERROR(VLOOKUP(B1498, PLANTA_BASE!A:W, 9, FALSE), "GENERAL"))</f>
        <v/>
      </c>
      <c r="H1498" s="2" t="str">
        <f>IF(B1498="","",IFERROR(VLOOKUP(B1498, PLANTA_BASE!A:W, 17, FALSE), "GENERAL"))</f>
        <v/>
      </c>
    </row>
    <row r="1499" spans="1:8" ht="20.100000000000001" customHeight="1" x14ac:dyDescent="0.25">
      <c r="A1499" s="5" t="str">
        <f>IF(B1499="","",IFERROR(VLOOKUP(B1499, PLANTA_BASE!A:W, 2, FALSE), "NO ENCONTRADO EN PLANTA"))</f>
        <v/>
      </c>
      <c r="B1499" s="6"/>
      <c r="C1499" s="7" t="str">
        <f>IF(B1499="","",IFERROR(VLOOKUP(B1499, PLANTA_BASE!A:W, 3, FALSE), ""))</f>
        <v/>
      </c>
      <c r="D1499" s="5" t="str">
        <f>IF(B1499="","",IFERROR(VLOOKUP(B1499, PLANTA_BASE!A:W, 5, FALSE), "NO ENCONTRADO EN PLANTA"))</f>
        <v/>
      </c>
      <c r="E1499" s="5" t="str">
        <f>IF(B1499="","",IFERROR(VLOOKUP(B1499, PLANTA_BASE!A:W, 6, FALSE), "NO ENCONTRADO EN PLANTA"))</f>
        <v/>
      </c>
      <c r="F1499" s="7" t="str">
        <f>IF(B1499="","",IFERROR(VLOOKUP(B1499, PLANTA_BASE!A:W, 8, FALSE), "DOCENTE / FACILITADOR"))</f>
        <v/>
      </c>
      <c r="G1499" s="7" t="str">
        <f>IF(B1499="","",IFERROR(VLOOKUP(B1499, PLANTA_BASE!A:W, 9, FALSE), "GENERAL"))</f>
        <v/>
      </c>
      <c r="H1499" s="5" t="str">
        <f>IF(B1499="","",IFERROR(VLOOKUP(B1499, PLANTA_BASE!A:W, 17, FALSE), "GENERAL"))</f>
        <v/>
      </c>
    </row>
    <row r="1500" spans="1:8" ht="20.100000000000001" customHeight="1" x14ac:dyDescent="0.25">
      <c r="A1500" s="2" t="str">
        <f>IF(B1500="","",IFERROR(VLOOKUP(B1500, PLANTA_BASE!A:W, 2, FALSE), "NO ENCONTRADO EN PLANTA"))</f>
        <v/>
      </c>
      <c r="B1500" s="3"/>
      <c r="C1500" s="4" t="str">
        <f>IF(B1500="","",IFERROR(VLOOKUP(B1500, PLANTA_BASE!A:W, 3, FALSE), ""))</f>
        <v/>
      </c>
      <c r="D1500" s="2" t="str">
        <f>IF(B1500="","",IFERROR(VLOOKUP(B1500, PLANTA_BASE!A:W, 5, FALSE), "NO ENCONTRADO EN PLANTA"))</f>
        <v/>
      </c>
      <c r="E1500" s="2" t="str">
        <f>IF(B1500="","",IFERROR(VLOOKUP(B1500, PLANTA_BASE!A:W, 6, FALSE), "NO ENCONTRADO EN PLANTA"))</f>
        <v/>
      </c>
      <c r="F1500" s="4" t="str">
        <f>IF(B1500="","",IFERROR(VLOOKUP(B1500, PLANTA_BASE!A:W, 8, FALSE), "DOCENTE / FACILITADOR"))</f>
        <v/>
      </c>
      <c r="G1500" s="4" t="str">
        <f>IF(B1500="","",IFERROR(VLOOKUP(B1500, PLANTA_BASE!A:W, 9, FALSE), "GENERAL"))</f>
        <v/>
      </c>
      <c r="H1500" s="2" t="str">
        <f>IF(B1500="","",IFERROR(VLOOKUP(B1500, PLANTA_BASE!A:W, 17, FALSE), "GENERAL"))</f>
        <v/>
      </c>
    </row>
    <row r="1501" spans="1:8" ht="20.100000000000001" customHeight="1" x14ac:dyDescent="0.25">
      <c r="A1501" s="5" t="str">
        <f>IF(B1501="","",IFERROR(VLOOKUP(B1501, PLANTA_BASE!A:W, 2, FALSE), "NO ENCONTRADO EN PLANTA"))</f>
        <v/>
      </c>
      <c r="B1501" s="6"/>
      <c r="C1501" s="7" t="str">
        <f>IF(B1501="","",IFERROR(VLOOKUP(B1501, PLANTA_BASE!A:W, 3, FALSE), ""))</f>
        <v/>
      </c>
      <c r="D1501" s="5" t="str">
        <f>IF(B1501="","",IFERROR(VLOOKUP(B1501, PLANTA_BASE!A:W, 5, FALSE), "NO ENCONTRADO EN PLANTA"))</f>
        <v/>
      </c>
      <c r="E1501" s="5" t="str">
        <f>IF(B1501="","",IFERROR(VLOOKUP(B1501, PLANTA_BASE!A:W, 6, FALSE), "NO ENCONTRADO EN PLANTA"))</f>
        <v/>
      </c>
      <c r="F1501" s="7" t="str">
        <f>IF(B1501="","",IFERROR(VLOOKUP(B1501, PLANTA_BASE!A:W, 8, FALSE), "DOCENTE / FACILITADOR"))</f>
        <v/>
      </c>
      <c r="G1501" s="7" t="str">
        <f>IF(B1501="","",IFERROR(VLOOKUP(B1501, PLANTA_BASE!A:W, 9, FALSE), "GENERAL"))</f>
        <v/>
      </c>
      <c r="H1501" s="5" t="str">
        <f>IF(B1501="","",IFERROR(VLOOKUP(B1501, PLANTA_BASE!A:W,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7"/>
  <sheetViews>
    <sheetView tabSelected="1" topLeftCell="A9" workbookViewId="0">
      <selection activeCell="A9" sqref="A1:XFD1048576"/>
    </sheetView>
  </sheetViews>
  <sheetFormatPr baseColWidth="10" defaultColWidth="9.140625" defaultRowHeight="15" x14ac:dyDescent="0.25"/>
  <cols>
    <col min="1" max="11" width="24" customWidth="1"/>
  </cols>
  <sheetData>
    <row r="1" spans="1:11" ht="27.95" customHeight="1" x14ac:dyDescent="0.25">
      <c r="A1" s="1" t="s">
        <v>1923</v>
      </c>
      <c r="B1" s="1" t="s">
        <v>1924</v>
      </c>
      <c r="C1" s="1" t="s">
        <v>1925</v>
      </c>
      <c r="D1" s="1" t="s">
        <v>1926</v>
      </c>
      <c r="E1" s="1" t="s">
        <v>1927</v>
      </c>
      <c r="F1" s="1" t="s">
        <v>1928</v>
      </c>
      <c r="G1" s="1" t="s">
        <v>5</v>
      </c>
      <c r="H1" s="1" t="s">
        <v>6</v>
      </c>
      <c r="I1" s="1" t="s">
        <v>1929</v>
      </c>
      <c r="J1" s="1" t="s">
        <v>1930</v>
      </c>
      <c r="K1" s="1" t="s">
        <v>7</v>
      </c>
    </row>
    <row r="2" spans="1:11" ht="20.100000000000001" customHeight="1" x14ac:dyDescent="0.25">
      <c r="A2" s="3" t="s">
        <v>1812</v>
      </c>
      <c r="B2" s="4" t="s">
        <v>1813</v>
      </c>
      <c r="C2" s="2" t="s">
        <v>1931</v>
      </c>
      <c r="D2" s="4" t="s">
        <v>1932</v>
      </c>
      <c r="E2" s="2" t="s">
        <v>1931</v>
      </c>
      <c r="F2" s="2" t="s">
        <v>1933</v>
      </c>
      <c r="G2" s="4" t="s">
        <v>1934</v>
      </c>
      <c r="H2" s="4" t="s">
        <v>1934</v>
      </c>
      <c r="I2" s="2" t="s">
        <v>1934</v>
      </c>
      <c r="J2" s="2" t="s">
        <v>1934</v>
      </c>
      <c r="K2" s="2" t="s">
        <v>1934</v>
      </c>
    </row>
    <row r="3" spans="1:11" ht="20.100000000000001" customHeight="1" x14ac:dyDescent="0.25">
      <c r="A3" s="6" t="s">
        <v>1814</v>
      </c>
      <c r="B3" s="7" t="s">
        <v>45</v>
      </c>
      <c r="C3" s="6" t="s">
        <v>44</v>
      </c>
      <c r="D3" s="7" t="s">
        <v>1935</v>
      </c>
      <c r="E3" s="5" t="s">
        <v>1936</v>
      </c>
      <c r="F3" s="5" t="s">
        <v>1937</v>
      </c>
      <c r="G3" s="7" t="s">
        <v>1938</v>
      </c>
      <c r="H3" s="7" t="s">
        <v>1939</v>
      </c>
      <c r="I3" s="5" t="s">
        <v>1940</v>
      </c>
      <c r="J3" s="5" t="s">
        <v>1941</v>
      </c>
      <c r="K3" s="5" t="s">
        <v>1939</v>
      </c>
    </row>
    <row r="4" spans="1:11" ht="20.100000000000001" customHeight="1" x14ac:dyDescent="0.25">
      <c r="A4" s="3" t="s">
        <v>1815</v>
      </c>
      <c r="B4" s="4" t="s">
        <v>1816</v>
      </c>
      <c r="C4" s="2" t="s">
        <v>1931</v>
      </c>
      <c r="D4" s="4" t="s">
        <v>1932</v>
      </c>
      <c r="E4" s="2" t="s">
        <v>1931</v>
      </c>
      <c r="F4" s="2" t="s">
        <v>1933</v>
      </c>
      <c r="G4" s="4" t="s">
        <v>1934</v>
      </c>
      <c r="H4" s="4" t="s">
        <v>1934</v>
      </c>
      <c r="I4" s="2" t="s">
        <v>1934</v>
      </c>
      <c r="J4" s="2" t="s">
        <v>1934</v>
      </c>
      <c r="K4" s="2" t="s">
        <v>1934</v>
      </c>
    </row>
    <row r="5" spans="1:11" ht="20.100000000000001" customHeight="1" x14ac:dyDescent="0.25">
      <c r="A5" s="6" t="s">
        <v>1817</v>
      </c>
      <c r="B5" s="7" t="s">
        <v>1818</v>
      </c>
      <c r="C5" s="5" t="s">
        <v>1931</v>
      </c>
      <c r="D5" s="7" t="s">
        <v>1932</v>
      </c>
      <c r="E5" s="5" t="s">
        <v>1931</v>
      </c>
      <c r="F5" s="5" t="s">
        <v>1933</v>
      </c>
      <c r="G5" s="7" t="s">
        <v>1934</v>
      </c>
      <c r="H5" s="7" t="s">
        <v>1934</v>
      </c>
      <c r="I5" s="5" t="s">
        <v>1934</v>
      </c>
      <c r="J5" s="5" t="s">
        <v>1934</v>
      </c>
      <c r="K5" s="5" t="s">
        <v>1934</v>
      </c>
    </row>
    <row r="6" spans="1:11" ht="20.100000000000001" customHeight="1" x14ac:dyDescent="0.25">
      <c r="A6" s="3" t="s">
        <v>1819</v>
      </c>
      <c r="B6" s="4" t="s">
        <v>1820</v>
      </c>
      <c r="C6" s="2" t="s">
        <v>1931</v>
      </c>
      <c r="D6" s="4" t="s">
        <v>1932</v>
      </c>
      <c r="E6" s="2" t="s">
        <v>1931</v>
      </c>
      <c r="F6" s="2" t="s">
        <v>1933</v>
      </c>
      <c r="G6" s="4" t="s">
        <v>1934</v>
      </c>
      <c r="H6" s="4" t="s">
        <v>1934</v>
      </c>
      <c r="I6" s="2" t="s">
        <v>1934</v>
      </c>
      <c r="J6" s="2" t="s">
        <v>1934</v>
      </c>
      <c r="K6" s="2" t="s">
        <v>1934</v>
      </c>
    </row>
    <row r="7" spans="1:11" ht="20.100000000000001" customHeight="1" x14ac:dyDescent="0.25">
      <c r="A7" s="6" t="s">
        <v>1821</v>
      </c>
      <c r="B7" s="7" t="s">
        <v>1822</v>
      </c>
      <c r="C7" s="5" t="s">
        <v>1931</v>
      </c>
      <c r="D7" s="7" t="s">
        <v>1932</v>
      </c>
      <c r="E7" s="5" t="s">
        <v>1931</v>
      </c>
      <c r="F7" s="5" t="s">
        <v>1933</v>
      </c>
      <c r="G7" s="7" t="s">
        <v>1934</v>
      </c>
      <c r="H7" s="7" t="s">
        <v>1934</v>
      </c>
      <c r="I7" s="5" t="s">
        <v>1934</v>
      </c>
      <c r="J7" s="5" t="s">
        <v>1934</v>
      </c>
      <c r="K7" s="5" t="s">
        <v>1934</v>
      </c>
    </row>
    <row r="8" spans="1:11" ht="20.100000000000001" customHeight="1" x14ac:dyDescent="0.25">
      <c r="A8" s="3" t="s">
        <v>1823</v>
      </c>
      <c r="B8" s="4" t="s">
        <v>1824</v>
      </c>
      <c r="C8" s="2" t="s">
        <v>1931</v>
      </c>
      <c r="D8" s="4" t="s">
        <v>1932</v>
      </c>
      <c r="E8" s="2" t="s">
        <v>1931</v>
      </c>
      <c r="F8" s="2" t="s">
        <v>1933</v>
      </c>
      <c r="G8" s="4" t="s">
        <v>1934</v>
      </c>
      <c r="H8" s="4" t="s">
        <v>1934</v>
      </c>
      <c r="I8" s="2" t="s">
        <v>1934</v>
      </c>
      <c r="J8" s="2" t="s">
        <v>1934</v>
      </c>
      <c r="K8" s="2" t="s">
        <v>1934</v>
      </c>
    </row>
    <row r="9" spans="1:11" ht="20.100000000000001" customHeight="1" x14ac:dyDescent="0.25">
      <c r="A9" s="6" t="s">
        <v>1825</v>
      </c>
      <c r="B9" s="7" t="s">
        <v>1826</v>
      </c>
      <c r="C9" s="5" t="s">
        <v>1931</v>
      </c>
      <c r="D9" s="7" t="s">
        <v>1932</v>
      </c>
      <c r="E9" s="5" t="s">
        <v>1931</v>
      </c>
      <c r="F9" s="5" t="s">
        <v>1933</v>
      </c>
      <c r="G9" s="7" t="s">
        <v>1934</v>
      </c>
      <c r="H9" s="7" t="s">
        <v>1934</v>
      </c>
      <c r="I9" s="5" t="s">
        <v>1934</v>
      </c>
      <c r="J9" s="5" t="s">
        <v>1934</v>
      </c>
      <c r="K9" s="5" t="s">
        <v>1934</v>
      </c>
    </row>
    <row r="10" spans="1:11" ht="20.100000000000001" customHeight="1" x14ac:dyDescent="0.25">
      <c r="A10" s="3" t="s">
        <v>1827</v>
      </c>
      <c r="B10" s="4" t="s">
        <v>1828</v>
      </c>
      <c r="C10" s="2" t="s">
        <v>1931</v>
      </c>
      <c r="D10" s="4" t="s">
        <v>1932</v>
      </c>
      <c r="E10" s="2" t="s">
        <v>1931</v>
      </c>
      <c r="F10" s="2" t="s">
        <v>1933</v>
      </c>
      <c r="G10" s="4" t="s">
        <v>1934</v>
      </c>
      <c r="H10" s="4" t="s">
        <v>1934</v>
      </c>
      <c r="I10" s="2" t="s">
        <v>1934</v>
      </c>
      <c r="J10" s="2" t="s">
        <v>1934</v>
      </c>
      <c r="K10" s="2" t="s">
        <v>1934</v>
      </c>
    </row>
    <row r="11" spans="1:11" ht="20.100000000000001" customHeight="1" x14ac:dyDescent="0.25">
      <c r="A11" s="6" t="s">
        <v>1829</v>
      </c>
      <c r="B11" s="7" t="s">
        <v>1830</v>
      </c>
      <c r="C11" s="6" t="s">
        <v>1942</v>
      </c>
      <c r="D11" s="7" t="s">
        <v>1943</v>
      </c>
      <c r="E11" s="5" t="s">
        <v>1944</v>
      </c>
      <c r="F11" s="5" t="s">
        <v>1945</v>
      </c>
      <c r="G11" s="7" t="s">
        <v>1946</v>
      </c>
      <c r="H11" s="7" t="s">
        <v>1939</v>
      </c>
      <c r="I11" s="5" t="s">
        <v>1947</v>
      </c>
      <c r="J11" s="5" t="s">
        <v>1948</v>
      </c>
      <c r="K11" s="5" t="s">
        <v>1939</v>
      </c>
    </row>
    <row r="12" spans="1:11" ht="20.100000000000001" customHeight="1" x14ac:dyDescent="0.25">
      <c r="A12" s="3" t="s">
        <v>1831</v>
      </c>
      <c r="B12" s="4" t="s">
        <v>1832</v>
      </c>
      <c r="C12" s="2" t="s">
        <v>1931</v>
      </c>
      <c r="D12" s="4" t="s">
        <v>1932</v>
      </c>
      <c r="E12" s="2" t="s">
        <v>1931</v>
      </c>
      <c r="F12" s="2" t="s">
        <v>1933</v>
      </c>
      <c r="G12" s="4" t="s">
        <v>1934</v>
      </c>
      <c r="H12" s="4" t="s">
        <v>1934</v>
      </c>
      <c r="I12" s="2" t="s">
        <v>1934</v>
      </c>
      <c r="J12" s="2" t="s">
        <v>1934</v>
      </c>
      <c r="K12" s="2" t="s">
        <v>1934</v>
      </c>
    </row>
    <row r="13" spans="1:11" ht="20.100000000000001" customHeight="1" x14ac:dyDescent="0.25">
      <c r="A13" s="6" t="s">
        <v>1833</v>
      </c>
      <c r="B13" s="7" t="s">
        <v>1834</v>
      </c>
      <c r="C13" s="5" t="s">
        <v>1931</v>
      </c>
      <c r="D13" s="7" t="s">
        <v>1932</v>
      </c>
      <c r="E13" s="5" t="s">
        <v>1931</v>
      </c>
      <c r="F13" s="5" t="s">
        <v>1933</v>
      </c>
      <c r="G13" s="7" t="s">
        <v>1934</v>
      </c>
      <c r="H13" s="7" t="s">
        <v>1934</v>
      </c>
      <c r="I13" s="5" t="s">
        <v>1934</v>
      </c>
      <c r="J13" s="5" t="s">
        <v>1934</v>
      </c>
      <c r="K13" s="5" t="s">
        <v>1934</v>
      </c>
    </row>
    <row r="14" spans="1:11" ht="20.100000000000001" customHeight="1" x14ac:dyDescent="0.25">
      <c r="A14" s="3" t="s">
        <v>1835</v>
      </c>
      <c r="B14" s="4" t="s">
        <v>1836</v>
      </c>
      <c r="C14" s="2" t="s">
        <v>1931</v>
      </c>
      <c r="D14" s="4" t="s">
        <v>1932</v>
      </c>
      <c r="E14" s="2" t="s">
        <v>1931</v>
      </c>
      <c r="F14" s="2" t="s">
        <v>1933</v>
      </c>
      <c r="G14" s="4" t="s">
        <v>1934</v>
      </c>
      <c r="H14" s="4" t="s">
        <v>1934</v>
      </c>
      <c r="I14" s="2" t="s">
        <v>1934</v>
      </c>
      <c r="J14" s="2" t="s">
        <v>1934</v>
      </c>
      <c r="K14" s="2" t="s">
        <v>1934</v>
      </c>
    </row>
    <row r="15" spans="1:11" ht="20.100000000000001" customHeight="1" x14ac:dyDescent="0.25">
      <c r="A15" s="6" t="s">
        <v>1837</v>
      </c>
      <c r="B15" s="7" t="s">
        <v>285</v>
      </c>
      <c r="C15" s="6" t="s">
        <v>284</v>
      </c>
      <c r="D15" s="7" t="s">
        <v>1949</v>
      </c>
      <c r="E15" s="5" t="s">
        <v>1936</v>
      </c>
      <c r="F15" s="5" t="s">
        <v>1937</v>
      </c>
      <c r="G15" s="7" t="s">
        <v>1950</v>
      </c>
      <c r="H15" s="7" t="s">
        <v>1951</v>
      </c>
      <c r="I15" s="5" t="s">
        <v>1952</v>
      </c>
      <c r="J15" s="5" t="s">
        <v>1953</v>
      </c>
      <c r="K15" s="5" t="s">
        <v>1951</v>
      </c>
    </row>
    <row r="16" spans="1:11" ht="20.100000000000001" customHeight="1" x14ac:dyDescent="0.25">
      <c r="A16" s="3" t="s">
        <v>1839</v>
      </c>
      <c r="B16" s="4" t="s">
        <v>619</v>
      </c>
      <c r="C16" s="3" t="s">
        <v>1770</v>
      </c>
      <c r="D16" s="4" t="s">
        <v>1954</v>
      </c>
      <c r="E16" s="2" t="s">
        <v>1944</v>
      </c>
      <c r="F16" s="2" t="s">
        <v>1945</v>
      </c>
      <c r="G16" s="4" t="s">
        <v>1955</v>
      </c>
      <c r="H16" s="4" t="s">
        <v>1956</v>
      </c>
      <c r="I16" s="2" t="s">
        <v>1947</v>
      </c>
      <c r="J16" s="2" t="s">
        <v>1948</v>
      </c>
      <c r="K16" s="2" t="s">
        <v>1956</v>
      </c>
    </row>
    <row r="17" spans="1:11" ht="20.100000000000001" customHeight="1" x14ac:dyDescent="0.25">
      <c r="A17" s="6" t="s">
        <v>1840</v>
      </c>
      <c r="B17" s="7" t="s">
        <v>1841</v>
      </c>
      <c r="C17" s="5" t="s">
        <v>1931</v>
      </c>
      <c r="D17" s="7" t="s">
        <v>1932</v>
      </c>
      <c r="E17" s="5" t="s">
        <v>1931</v>
      </c>
      <c r="F17" s="5" t="s">
        <v>1933</v>
      </c>
      <c r="G17" s="7" t="s">
        <v>1934</v>
      </c>
      <c r="H17" s="7" t="s">
        <v>1934</v>
      </c>
      <c r="I17" s="5" t="s">
        <v>1934</v>
      </c>
      <c r="J17" s="5" t="s">
        <v>1934</v>
      </c>
      <c r="K17" s="5" t="s">
        <v>1934</v>
      </c>
    </row>
    <row r="18" spans="1:11" ht="20.100000000000001" customHeight="1" x14ac:dyDescent="0.25">
      <c r="A18" s="3" t="s">
        <v>1843</v>
      </c>
      <c r="B18" s="4" t="s">
        <v>1844</v>
      </c>
      <c r="C18" s="3" t="s">
        <v>126</v>
      </c>
      <c r="D18" s="4" t="s">
        <v>1957</v>
      </c>
      <c r="E18" s="2" t="s">
        <v>1958</v>
      </c>
      <c r="F18" s="2" t="s">
        <v>1959</v>
      </c>
      <c r="G18" s="4" t="s">
        <v>1960</v>
      </c>
      <c r="H18" s="4" t="s">
        <v>1961</v>
      </c>
      <c r="I18" s="2" t="s">
        <v>1952</v>
      </c>
      <c r="J18" s="2" t="s">
        <v>1953</v>
      </c>
      <c r="K18" s="2" t="s">
        <v>1961</v>
      </c>
    </row>
    <row r="19" spans="1:11" ht="20.100000000000001" customHeight="1" x14ac:dyDescent="0.25">
      <c r="A19" s="6" t="s">
        <v>1847</v>
      </c>
      <c r="B19" s="7" t="s">
        <v>1848</v>
      </c>
      <c r="C19" s="5" t="s">
        <v>1931</v>
      </c>
      <c r="D19" s="7" t="s">
        <v>1932</v>
      </c>
      <c r="E19" s="5" t="s">
        <v>1931</v>
      </c>
      <c r="F19" s="5" t="s">
        <v>1933</v>
      </c>
      <c r="G19" s="7" t="s">
        <v>1934</v>
      </c>
      <c r="H19" s="7" t="s">
        <v>1934</v>
      </c>
      <c r="I19" s="5" t="s">
        <v>1934</v>
      </c>
      <c r="J19" s="5" t="s">
        <v>1934</v>
      </c>
      <c r="K19" s="5" t="s">
        <v>1934</v>
      </c>
    </row>
    <row r="20" spans="1:11" ht="20.100000000000001" customHeight="1" x14ac:dyDescent="0.25">
      <c r="A20" s="3" t="s">
        <v>1851</v>
      </c>
      <c r="B20" s="4" t="s">
        <v>1852</v>
      </c>
      <c r="C20" s="3" t="s">
        <v>1962</v>
      </c>
      <c r="D20" s="4" t="s">
        <v>1963</v>
      </c>
      <c r="E20" s="2" t="s">
        <v>1944</v>
      </c>
      <c r="F20" s="2" t="s">
        <v>1945</v>
      </c>
      <c r="G20" s="4" t="s">
        <v>1964</v>
      </c>
      <c r="H20" s="4" t="s">
        <v>1939</v>
      </c>
      <c r="I20" s="2" t="s">
        <v>1965</v>
      </c>
      <c r="J20" s="2" t="s">
        <v>1966</v>
      </c>
      <c r="K20" s="2" t="s">
        <v>1939</v>
      </c>
    </row>
    <row r="21" spans="1:11" ht="20.100000000000001" customHeight="1" x14ac:dyDescent="0.25">
      <c r="A21" s="6" t="s">
        <v>1853</v>
      </c>
      <c r="B21" s="7" t="s">
        <v>1854</v>
      </c>
      <c r="C21" s="6" t="s">
        <v>1967</v>
      </c>
      <c r="D21" s="7" t="s">
        <v>1968</v>
      </c>
      <c r="E21" s="5" t="s">
        <v>1936</v>
      </c>
      <c r="F21" s="5" t="s">
        <v>1937</v>
      </c>
      <c r="G21" s="7" t="s">
        <v>1969</v>
      </c>
      <c r="H21" s="7" t="s">
        <v>1970</v>
      </c>
      <c r="I21" s="5" t="s">
        <v>1940</v>
      </c>
      <c r="J21" s="5" t="s">
        <v>1941</v>
      </c>
      <c r="K21" s="5" t="s">
        <v>1970</v>
      </c>
    </row>
    <row r="22" spans="1:11" ht="20.100000000000001" customHeight="1" x14ac:dyDescent="0.25">
      <c r="A22" s="3" t="s">
        <v>1855</v>
      </c>
      <c r="B22" s="4" t="s">
        <v>1856</v>
      </c>
      <c r="C22" s="3" t="s">
        <v>1971</v>
      </c>
      <c r="D22" s="4" t="s">
        <v>1972</v>
      </c>
      <c r="E22" s="2" t="s">
        <v>1958</v>
      </c>
      <c r="F22" s="2" t="s">
        <v>1959</v>
      </c>
      <c r="G22" s="4" t="s">
        <v>1973</v>
      </c>
      <c r="H22" s="4" t="s">
        <v>1974</v>
      </c>
      <c r="I22" s="2" t="s">
        <v>1940</v>
      </c>
      <c r="J22" s="2" t="s">
        <v>1941</v>
      </c>
      <c r="K22" s="2" t="s">
        <v>1974</v>
      </c>
    </row>
    <row r="23" spans="1:11" ht="20.100000000000001" customHeight="1" x14ac:dyDescent="0.25">
      <c r="A23" s="6" t="s">
        <v>1858</v>
      </c>
      <c r="B23" s="7" t="s">
        <v>1859</v>
      </c>
      <c r="C23" s="6" t="s">
        <v>1975</v>
      </c>
      <c r="D23" s="7" t="s">
        <v>1976</v>
      </c>
      <c r="E23" s="5" t="s">
        <v>1958</v>
      </c>
      <c r="F23" s="5" t="s">
        <v>1959</v>
      </c>
      <c r="G23" s="7" t="s">
        <v>1977</v>
      </c>
      <c r="H23" s="7" t="s">
        <v>1978</v>
      </c>
      <c r="I23" s="5" t="s">
        <v>1979</v>
      </c>
      <c r="J23" s="5" t="s">
        <v>1980</v>
      </c>
      <c r="K23" s="5" t="s">
        <v>1978</v>
      </c>
    </row>
    <row r="24" spans="1:11" ht="20.100000000000001" customHeight="1" x14ac:dyDescent="0.25">
      <c r="A24" s="3" t="s">
        <v>1863</v>
      </c>
      <c r="B24" s="4" t="s">
        <v>53</v>
      </c>
      <c r="C24" s="3" t="s">
        <v>52</v>
      </c>
      <c r="D24" s="4" t="s">
        <v>1981</v>
      </c>
      <c r="E24" s="2" t="s">
        <v>1936</v>
      </c>
      <c r="F24" s="2" t="s">
        <v>1937</v>
      </c>
      <c r="G24" s="4" t="s">
        <v>1982</v>
      </c>
      <c r="H24" s="4" t="s">
        <v>1939</v>
      </c>
      <c r="I24" s="2" t="s">
        <v>1983</v>
      </c>
      <c r="J24" s="2" t="s">
        <v>1984</v>
      </c>
      <c r="K24" s="2" t="s">
        <v>1939</v>
      </c>
    </row>
    <row r="25" spans="1:11" ht="20.100000000000001" customHeight="1" x14ac:dyDescent="0.25">
      <c r="A25" s="6" t="s">
        <v>1869</v>
      </c>
      <c r="B25" s="7" t="s">
        <v>1870</v>
      </c>
      <c r="C25" s="6" t="s">
        <v>1985</v>
      </c>
      <c r="D25" s="7" t="s">
        <v>1986</v>
      </c>
      <c r="E25" s="5" t="s">
        <v>1936</v>
      </c>
      <c r="F25" s="5" t="s">
        <v>1937</v>
      </c>
      <c r="G25" s="7" t="s">
        <v>1950</v>
      </c>
      <c r="H25" s="7" t="s">
        <v>1951</v>
      </c>
      <c r="I25" s="5" t="s">
        <v>1952</v>
      </c>
      <c r="J25" s="5" t="s">
        <v>1953</v>
      </c>
      <c r="K25" s="5" t="s">
        <v>1951</v>
      </c>
    </row>
    <row r="26" spans="1:11" ht="20.100000000000001" customHeight="1" x14ac:dyDescent="0.25">
      <c r="A26" s="3" t="s">
        <v>1874</v>
      </c>
      <c r="B26" s="4" t="s">
        <v>1875</v>
      </c>
      <c r="C26" s="3" t="s">
        <v>542</v>
      </c>
      <c r="D26" s="4" t="s">
        <v>1987</v>
      </c>
      <c r="E26" s="2" t="s">
        <v>1936</v>
      </c>
      <c r="F26" s="2" t="s">
        <v>1937</v>
      </c>
      <c r="G26" s="4" t="s">
        <v>1988</v>
      </c>
      <c r="H26" s="4" t="s">
        <v>1989</v>
      </c>
      <c r="I26" s="2" t="s">
        <v>1947</v>
      </c>
      <c r="J26" s="2" t="s">
        <v>1948</v>
      </c>
      <c r="K26" s="2" t="s">
        <v>1989</v>
      </c>
    </row>
    <row r="27" spans="1:11" ht="20.100000000000001" customHeight="1" x14ac:dyDescent="0.25">
      <c r="A27" s="6" t="s">
        <v>1877</v>
      </c>
      <c r="B27" s="7" t="s">
        <v>1878</v>
      </c>
      <c r="C27" s="5" t="s">
        <v>1931</v>
      </c>
      <c r="D27" s="7" t="s">
        <v>1932</v>
      </c>
      <c r="E27" s="5" t="s">
        <v>1931</v>
      </c>
      <c r="F27" s="5" t="s">
        <v>1933</v>
      </c>
      <c r="G27" s="7" t="s">
        <v>1934</v>
      </c>
      <c r="H27" s="7" t="s">
        <v>1934</v>
      </c>
      <c r="I27" s="5" t="s">
        <v>1934</v>
      </c>
      <c r="J27" s="5" t="s">
        <v>1934</v>
      </c>
      <c r="K27" s="5" t="s">
        <v>1934</v>
      </c>
    </row>
    <row r="28" spans="1:11" ht="20.100000000000001" customHeight="1" x14ac:dyDescent="0.25">
      <c r="A28" s="3" t="s">
        <v>1879</v>
      </c>
      <c r="B28" s="4" t="s">
        <v>1880</v>
      </c>
      <c r="C28" s="3" t="s">
        <v>1990</v>
      </c>
      <c r="D28" s="4" t="s">
        <v>1991</v>
      </c>
      <c r="E28" s="2" t="s">
        <v>1936</v>
      </c>
      <c r="F28" s="2" t="s">
        <v>1937</v>
      </c>
      <c r="G28" s="4" t="s">
        <v>1992</v>
      </c>
      <c r="H28" s="4" t="s">
        <v>1993</v>
      </c>
      <c r="I28" s="2" t="s">
        <v>1947</v>
      </c>
      <c r="J28" s="2" t="s">
        <v>1948</v>
      </c>
      <c r="K28" s="2" t="s">
        <v>1993</v>
      </c>
    </row>
    <row r="29" spans="1:11" ht="20.100000000000001" customHeight="1" x14ac:dyDescent="0.25">
      <c r="A29" s="6" t="s">
        <v>1881</v>
      </c>
      <c r="B29" s="7" t="s">
        <v>1882</v>
      </c>
      <c r="C29" s="6" t="s">
        <v>1994</v>
      </c>
      <c r="D29" s="7" t="s">
        <v>1995</v>
      </c>
      <c r="E29" s="5" t="s">
        <v>1936</v>
      </c>
      <c r="F29" s="5" t="s">
        <v>1937</v>
      </c>
      <c r="G29" s="7" t="s">
        <v>1996</v>
      </c>
      <c r="H29" s="7" t="s">
        <v>1961</v>
      </c>
      <c r="I29" s="5" t="s">
        <v>1947</v>
      </c>
      <c r="J29" s="5" t="s">
        <v>1948</v>
      </c>
      <c r="K29" s="5" t="s">
        <v>1961</v>
      </c>
    </row>
    <row r="30" spans="1:11" ht="20.100000000000001" customHeight="1" x14ac:dyDescent="0.25">
      <c r="A30" s="3" t="s">
        <v>1883</v>
      </c>
      <c r="B30" s="4" t="s">
        <v>1884</v>
      </c>
      <c r="C30" s="3" t="s">
        <v>1997</v>
      </c>
      <c r="D30" s="4" t="s">
        <v>1998</v>
      </c>
      <c r="E30" s="2" t="s">
        <v>1936</v>
      </c>
      <c r="F30" s="2" t="s">
        <v>1937</v>
      </c>
      <c r="G30" s="4" t="s">
        <v>1999</v>
      </c>
      <c r="H30" s="4" t="s">
        <v>2000</v>
      </c>
      <c r="I30" s="2" t="s">
        <v>1947</v>
      </c>
      <c r="J30" s="2" t="s">
        <v>1948</v>
      </c>
      <c r="K30" s="2" t="s">
        <v>2000</v>
      </c>
    </row>
    <row r="31" spans="1:11" ht="20.100000000000001" customHeight="1" x14ac:dyDescent="0.25">
      <c r="A31" s="6" t="s">
        <v>1886</v>
      </c>
      <c r="B31" s="7" t="s">
        <v>1887</v>
      </c>
      <c r="C31" s="6" t="s">
        <v>2001</v>
      </c>
      <c r="D31" s="7" t="s">
        <v>2002</v>
      </c>
      <c r="E31" s="5" t="s">
        <v>1936</v>
      </c>
      <c r="F31" s="5" t="s">
        <v>1937</v>
      </c>
      <c r="G31" s="7" t="s">
        <v>2003</v>
      </c>
      <c r="H31" s="7" t="s">
        <v>1978</v>
      </c>
      <c r="I31" s="5" t="s">
        <v>1947</v>
      </c>
      <c r="J31" s="5" t="s">
        <v>1948</v>
      </c>
      <c r="K31" s="5" t="s">
        <v>1978</v>
      </c>
    </row>
    <row r="32" spans="1:11" ht="20.100000000000001" customHeight="1" x14ac:dyDescent="0.25">
      <c r="A32" s="3" t="s">
        <v>1888</v>
      </c>
      <c r="B32" s="4" t="s">
        <v>1889</v>
      </c>
      <c r="C32" s="2" t="s">
        <v>1931</v>
      </c>
      <c r="D32" s="4" t="s">
        <v>1932</v>
      </c>
      <c r="E32" s="2" t="s">
        <v>1931</v>
      </c>
      <c r="F32" s="2" t="s">
        <v>1933</v>
      </c>
      <c r="G32" s="4" t="s">
        <v>1934</v>
      </c>
      <c r="H32" s="4" t="s">
        <v>1934</v>
      </c>
      <c r="I32" s="2" t="s">
        <v>1934</v>
      </c>
      <c r="J32" s="2" t="s">
        <v>1934</v>
      </c>
      <c r="K32" s="2" t="s">
        <v>1934</v>
      </c>
    </row>
    <row r="33" spans="1:11" ht="20.100000000000001" customHeight="1" x14ac:dyDescent="0.25">
      <c r="A33" s="6" t="s">
        <v>1890</v>
      </c>
      <c r="B33" s="7" t="s">
        <v>1891</v>
      </c>
      <c r="C33" s="6" t="s">
        <v>2004</v>
      </c>
      <c r="D33" s="7" t="s">
        <v>2005</v>
      </c>
      <c r="E33" s="5" t="s">
        <v>1936</v>
      </c>
      <c r="F33" s="5" t="s">
        <v>1937</v>
      </c>
      <c r="G33" s="7" t="s">
        <v>2006</v>
      </c>
      <c r="H33" s="7" t="s">
        <v>2007</v>
      </c>
      <c r="I33" s="5" t="s">
        <v>1947</v>
      </c>
      <c r="J33" s="5" t="s">
        <v>1948</v>
      </c>
      <c r="K33" s="5" t="s">
        <v>2007</v>
      </c>
    </row>
    <row r="34" spans="1:11" ht="20.100000000000001" customHeight="1" x14ac:dyDescent="0.25">
      <c r="A34" s="3" t="s">
        <v>1892</v>
      </c>
      <c r="B34" s="4" t="s">
        <v>1893</v>
      </c>
      <c r="C34" s="3" t="s">
        <v>1206</v>
      </c>
      <c r="D34" s="4" t="s">
        <v>2008</v>
      </c>
      <c r="E34" s="2" t="s">
        <v>2009</v>
      </c>
      <c r="F34" s="2" t="s">
        <v>2010</v>
      </c>
      <c r="G34" s="4" t="s">
        <v>2011</v>
      </c>
      <c r="H34" s="4" t="s">
        <v>2012</v>
      </c>
      <c r="I34" s="2" t="s">
        <v>1947</v>
      </c>
      <c r="J34" s="2" t="s">
        <v>1948</v>
      </c>
      <c r="K34" s="2" t="s">
        <v>2012</v>
      </c>
    </row>
    <row r="35" spans="1:11" ht="20.100000000000001" customHeight="1" x14ac:dyDescent="0.25">
      <c r="A35" s="6" t="s">
        <v>1894</v>
      </c>
      <c r="B35" s="7" t="s">
        <v>1895</v>
      </c>
      <c r="C35" s="6" t="s">
        <v>2013</v>
      </c>
      <c r="D35" s="7" t="s">
        <v>2014</v>
      </c>
      <c r="E35" s="5" t="s">
        <v>1936</v>
      </c>
      <c r="F35" s="5" t="s">
        <v>1937</v>
      </c>
      <c r="G35" s="7" t="s">
        <v>1996</v>
      </c>
      <c r="H35" s="7" t="s">
        <v>1961</v>
      </c>
      <c r="I35" s="5" t="s">
        <v>1947</v>
      </c>
      <c r="J35" s="5" t="s">
        <v>1948</v>
      </c>
      <c r="K35" s="5" t="s">
        <v>1961</v>
      </c>
    </row>
    <row r="36" spans="1:11" ht="20.100000000000001" customHeight="1" x14ac:dyDescent="0.25">
      <c r="A36" s="3" t="s">
        <v>1898</v>
      </c>
      <c r="B36" s="4" t="s">
        <v>1617</v>
      </c>
      <c r="C36" s="3" t="s">
        <v>1616</v>
      </c>
      <c r="D36" s="4" t="s">
        <v>2015</v>
      </c>
      <c r="E36" s="2" t="s">
        <v>1936</v>
      </c>
      <c r="F36" s="2" t="s">
        <v>1937</v>
      </c>
      <c r="G36" s="4" t="s">
        <v>2016</v>
      </c>
      <c r="H36" s="4" t="s">
        <v>2017</v>
      </c>
      <c r="I36" s="2" t="s">
        <v>1947</v>
      </c>
      <c r="J36" s="2" t="s">
        <v>1948</v>
      </c>
      <c r="K36" s="2" t="s">
        <v>2017</v>
      </c>
    </row>
    <row r="37" spans="1:11" ht="20.100000000000001" customHeight="1" x14ac:dyDescent="0.25">
      <c r="A37" s="6" t="s">
        <v>1901</v>
      </c>
      <c r="B37" s="7" t="s">
        <v>1902</v>
      </c>
      <c r="C37" s="6" t="s">
        <v>2018</v>
      </c>
      <c r="D37" s="7" t="s">
        <v>2019</v>
      </c>
      <c r="E37" s="5" t="s">
        <v>1944</v>
      </c>
      <c r="F37" s="5" t="s">
        <v>1945</v>
      </c>
      <c r="G37" s="7" t="s">
        <v>2020</v>
      </c>
      <c r="H37" s="7" t="s">
        <v>2021</v>
      </c>
      <c r="I37" s="5" t="s">
        <v>1947</v>
      </c>
      <c r="J37" s="5" t="s">
        <v>1948</v>
      </c>
      <c r="K37" s="5" t="s">
        <v>2021</v>
      </c>
    </row>
    <row r="38" spans="1:11" ht="20.100000000000001" customHeight="1" x14ac:dyDescent="0.25">
      <c r="A38" s="3" t="s">
        <v>1903</v>
      </c>
      <c r="B38" s="4" t="s">
        <v>1902</v>
      </c>
      <c r="C38" s="3" t="s">
        <v>2018</v>
      </c>
      <c r="D38" s="4" t="s">
        <v>2019</v>
      </c>
      <c r="E38" s="2" t="s">
        <v>1944</v>
      </c>
      <c r="F38" s="2" t="s">
        <v>1945</v>
      </c>
      <c r="G38" s="4" t="s">
        <v>2020</v>
      </c>
      <c r="H38" s="4" t="s">
        <v>2021</v>
      </c>
      <c r="I38" s="2" t="s">
        <v>1947</v>
      </c>
      <c r="J38" s="2" t="s">
        <v>1948</v>
      </c>
      <c r="K38" s="2" t="s">
        <v>2021</v>
      </c>
    </row>
    <row r="39" spans="1:11" ht="20.100000000000001" customHeight="1" x14ac:dyDescent="0.25">
      <c r="A39" s="6" t="s">
        <v>1904</v>
      </c>
      <c r="B39" s="7" t="s">
        <v>1905</v>
      </c>
      <c r="C39" s="5" t="s">
        <v>1931</v>
      </c>
      <c r="D39" s="7" t="s">
        <v>1932</v>
      </c>
      <c r="E39" s="5" t="s">
        <v>1931</v>
      </c>
      <c r="F39" s="5" t="s">
        <v>1933</v>
      </c>
      <c r="G39" s="7" t="s">
        <v>1934</v>
      </c>
      <c r="H39" s="7" t="s">
        <v>1934</v>
      </c>
      <c r="I39" s="5" t="s">
        <v>1934</v>
      </c>
      <c r="J39" s="5" t="s">
        <v>1934</v>
      </c>
      <c r="K39" s="5" t="s">
        <v>1934</v>
      </c>
    </row>
    <row r="40" spans="1:11" ht="20.100000000000001" customHeight="1" x14ac:dyDescent="0.25">
      <c r="A40" s="3" t="s">
        <v>1906</v>
      </c>
      <c r="B40" s="4" t="s">
        <v>1907</v>
      </c>
      <c r="C40" s="3" t="s">
        <v>2022</v>
      </c>
      <c r="D40" s="4" t="s">
        <v>2023</v>
      </c>
      <c r="E40" s="2" t="s">
        <v>1936</v>
      </c>
      <c r="F40" s="2" t="s">
        <v>1937</v>
      </c>
      <c r="G40" s="4" t="s">
        <v>2024</v>
      </c>
      <c r="H40" s="4" t="s">
        <v>2025</v>
      </c>
      <c r="I40" s="2" t="s">
        <v>1947</v>
      </c>
      <c r="J40" s="2" t="s">
        <v>1948</v>
      </c>
      <c r="K40" s="2" t="s">
        <v>2025</v>
      </c>
    </row>
    <row r="41" spans="1:11" ht="20.100000000000001" customHeight="1" x14ac:dyDescent="0.25">
      <c r="A41" s="6" t="s">
        <v>1911</v>
      </c>
      <c r="B41" s="7" t="s">
        <v>1912</v>
      </c>
      <c r="C41" s="6" t="s">
        <v>2026</v>
      </c>
      <c r="D41" s="7" t="s">
        <v>2027</v>
      </c>
      <c r="E41" s="5" t="s">
        <v>2028</v>
      </c>
      <c r="F41" s="5" t="s">
        <v>2029</v>
      </c>
      <c r="G41" s="7" t="s">
        <v>1950</v>
      </c>
      <c r="H41" s="7" t="s">
        <v>1951</v>
      </c>
      <c r="I41" s="5" t="s">
        <v>1947</v>
      </c>
      <c r="J41" s="5" t="s">
        <v>1948</v>
      </c>
      <c r="K41" s="5" t="s">
        <v>1951</v>
      </c>
    </row>
    <row r="42" spans="1:11" ht="20.100000000000001" customHeight="1" x14ac:dyDescent="0.25">
      <c r="A42" s="3" t="s">
        <v>1913</v>
      </c>
      <c r="B42" s="4" t="s">
        <v>1914</v>
      </c>
      <c r="C42" s="3" t="s">
        <v>1712</v>
      </c>
      <c r="D42" s="4" t="s">
        <v>2030</v>
      </c>
      <c r="E42" s="2" t="s">
        <v>1936</v>
      </c>
      <c r="F42" s="2" t="s">
        <v>1937</v>
      </c>
      <c r="G42" s="4" t="s">
        <v>2031</v>
      </c>
      <c r="H42" s="4" t="s">
        <v>2025</v>
      </c>
      <c r="I42" s="2" t="s">
        <v>1947</v>
      </c>
      <c r="J42" s="2" t="s">
        <v>1948</v>
      </c>
      <c r="K42" s="2" t="s">
        <v>2025</v>
      </c>
    </row>
    <row r="43" spans="1:11" ht="20.100000000000001" customHeight="1" x14ac:dyDescent="0.25">
      <c r="A43" s="6" t="s">
        <v>1915</v>
      </c>
      <c r="B43" s="7" t="s">
        <v>1916</v>
      </c>
      <c r="C43" s="6" t="s">
        <v>1728</v>
      </c>
      <c r="D43" s="7" t="s">
        <v>2032</v>
      </c>
      <c r="E43" s="5" t="s">
        <v>2033</v>
      </c>
      <c r="F43" s="5" t="s">
        <v>2034</v>
      </c>
      <c r="G43" s="7" t="s">
        <v>2035</v>
      </c>
      <c r="H43" s="7" t="s">
        <v>2036</v>
      </c>
      <c r="I43" s="5" t="s">
        <v>1947</v>
      </c>
      <c r="J43" s="5" t="s">
        <v>1948</v>
      </c>
      <c r="K43" s="5" t="s">
        <v>2036</v>
      </c>
    </row>
    <row r="44" spans="1:11" ht="20.100000000000001" customHeight="1" x14ac:dyDescent="0.25">
      <c r="A44" s="3" t="s">
        <v>1917</v>
      </c>
      <c r="B44" s="4" t="s">
        <v>1743</v>
      </c>
      <c r="C44" s="3" t="s">
        <v>1742</v>
      </c>
      <c r="D44" s="4" t="s">
        <v>2037</v>
      </c>
      <c r="E44" s="2" t="s">
        <v>1936</v>
      </c>
      <c r="F44" s="2" t="s">
        <v>1937</v>
      </c>
      <c r="G44" s="4" t="s">
        <v>2038</v>
      </c>
      <c r="H44" s="4" t="s">
        <v>1989</v>
      </c>
      <c r="I44" s="2" t="s">
        <v>1947</v>
      </c>
      <c r="J44" s="2" t="s">
        <v>1948</v>
      </c>
      <c r="K44" s="2" t="s">
        <v>1989</v>
      </c>
    </row>
    <row r="45" spans="1:11" ht="20.100000000000001" customHeight="1" x14ac:dyDescent="0.25">
      <c r="A45" s="6" t="s">
        <v>1918</v>
      </c>
      <c r="B45" s="7" t="s">
        <v>1919</v>
      </c>
      <c r="C45" s="6" t="s">
        <v>646</v>
      </c>
      <c r="D45" s="7" t="s">
        <v>2039</v>
      </c>
      <c r="E45" s="5" t="s">
        <v>1944</v>
      </c>
      <c r="F45" s="5" t="s">
        <v>1945</v>
      </c>
      <c r="G45" s="7" t="s">
        <v>2040</v>
      </c>
      <c r="H45" s="7" t="s">
        <v>1939</v>
      </c>
      <c r="I45" s="5" t="s">
        <v>1952</v>
      </c>
      <c r="J45" s="5" t="s">
        <v>1953</v>
      </c>
      <c r="K45" s="5" t="s">
        <v>1939</v>
      </c>
    </row>
    <row r="46" spans="1:11" ht="20.100000000000001" customHeight="1" x14ac:dyDescent="0.25">
      <c r="A46" s="3" t="s">
        <v>1920</v>
      </c>
      <c r="B46" s="4" t="s">
        <v>1921</v>
      </c>
      <c r="C46" s="2" t="s">
        <v>1931</v>
      </c>
      <c r="D46" s="4" t="s">
        <v>1932</v>
      </c>
      <c r="E46" s="2" t="s">
        <v>1931</v>
      </c>
      <c r="F46" s="2" t="s">
        <v>1933</v>
      </c>
      <c r="G46" s="4" t="s">
        <v>1934</v>
      </c>
      <c r="H46" s="4" t="s">
        <v>1934</v>
      </c>
      <c r="I46" s="2" t="s">
        <v>1934</v>
      </c>
      <c r="J46" s="2" t="s">
        <v>1934</v>
      </c>
      <c r="K46" s="2" t="s">
        <v>1934</v>
      </c>
    </row>
    <row r="47" spans="1:11" ht="20.100000000000001" customHeight="1" x14ac:dyDescent="0.25">
      <c r="A47" s="5" t="s">
        <v>1922</v>
      </c>
      <c r="B47" s="7" t="s">
        <v>1919</v>
      </c>
      <c r="C47" s="6" t="s">
        <v>646</v>
      </c>
      <c r="D47" s="7" t="s">
        <v>2039</v>
      </c>
      <c r="E47" s="5" t="s">
        <v>1944</v>
      </c>
      <c r="F47" s="5" t="s">
        <v>1945</v>
      </c>
      <c r="G47" s="7" t="s">
        <v>2040</v>
      </c>
      <c r="H47" s="7" t="s">
        <v>1939</v>
      </c>
      <c r="I47" s="5" t="s">
        <v>1952</v>
      </c>
      <c r="J47" s="5" t="s">
        <v>1953</v>
      </c>
      <c r="K47" s="5" t="s">
        <v>1939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242"/>
  <sheetViews>
    <sheetView workbookViewId="0"/>
  </sheetViews>
  <sheetFormatPr baseColWidth="10" defaultColWidth="9.140625" defaultRowHeight="15" x14ac:dyDescent="0.25"/>
  <cols>
    <col min="1" max="23" width="18" customWidth="1"/>
  </cols>
  <sheetData>
    <row r="1" spans="1:23" ht="27.95" customHeight="1" x14ac:dyDescent="0.25">
      <c r="A1" s="1" t="s">
        <v>1</v>
      </c>
      <c r="B1" s="1" t="s">
        <v>0</v>
      </c>
      <c r="C1" s="1" t="s">
        <v>2041</v>
      </c>
      <c r="D1" s="1" t="s">
        <v>2042</v>
      </c>
      <c r="E1" s="1" t="s">
        <v>3</v>
      </c>
      <c r="F1" s="1" t="s">
        <v>4</v>
      </c>
      <c r="G1" s="1" t="s">
        <v>2043</v>
      </c>
      <c r="H1" s="1" t="s">
        <v>5</v>
      </c>
      <c r="I1" s="1" t="s">
        <v>6</v>
      </c>
      <c r="J1" s="1" t="s">
        <v>2044</v>
      </c>
      <c r="K1" s="1" t="s">
        <v>2045</v>
      </c>
      <c r="L1" s="1" t="s">
        <v>2046</v>
      </c>
      <c r="M1" s="1" t="s">
        <v>2047</v>
      </c>
      <c r="N1" s="1" t="s">
        <v>2048</v>
      </c>
      <c r="O1" s="1" t="s">
        <v>2049</v>
      </c>
      <c r="P1" s="1" t="s">
        <v>2050</v>
      </c>
      <c r="Q1" s="1" t="s">
        <v>7</v>
      </c>
      <c r="R1" s="1" t="s">
        <v>2051</v>
      </c>
      <c r="S1" s="1" t="s">
        <v>2052</v>
      </c>
      <c r="T1" s="1" t="s">
        <v>2053</v>
      </c>
      <c r="U1" s="1" t="s">
        <v>2054</v>
      </c>
      <c r="V1" s="1" t="s">
        <v>2055</v>
      </c>
      <c r="W1" s="1" t="s">
        <v>2056</v>
      </c>
    </row>
    <row r="2" spans="1:23" ht="20.100000000000001" customHeight="1" x14ac:dyDescent="0.25">
      <c r="A2" s="3" t="s">
        <v>468</v>
      </c>
      <c r="B2" s="4" t="s">
        <v>2057</v>
      </c>
      <c r="C2" s="4" t="s">
        <v>2058</v>
      </c>
      <c r="D2" s="4" t="s">
        <v>2059</v>
      </c>
      <c r="E2" s="4" t="s">
        <v>1940</v>
      </c>
      <c r="F2" s="4" t="s">
        <v>1941</v>
      </c>
      <c r="G2" s="4" t="s">
        <v>2057</v>
      </c>
      <c r="H2" s="4" t="s">
        <v>2060</v>
      </c>
      <c r="I2" s="4" t="s">
        <v>2012</v>
      </c>
      <c r="J2" s="4" t="s">
        <v>2061</v>
      </c>
      <c r="K2" s="4" t="s">
        <v>2062</v>
      </c>
      <c r="L2" s="4" t="s">
        <v>2063</v>
      </c>
      <c r="M2" s="4" t="s">
        <v>2064</v>
      </c>
      <c r="N2" s="8">
        <v>39484</v>
      </c>
      <c r="O2" s="8"/>
      <c r="P2" s="4" t="s">
        <v>1941</v>
      </c>
      <c r="Q2" s="4" t="s">
        <v>2012</v>
      </c>
      <c r="R2" s="4" t="s">
        <v>2065</v>
      </c>
      <c r="S2" s="4" t="s">
        <v>2066</v>
      </c>
      <c r="T2" s="4" t="s">
        <v>2067</v>
      </c>
      <c r="U2" s="4" t="s">
        <v>2068</v>
      </c>
      <c r="V2" s="4" t="s">
        <v>2067</v>
      </c>
      <c r="W2" s="4" t="s">
        <v>2069</v>
      </c>
    </row>
    <row r="3" spans="1:23" ht="20.100000000000001" customHeight="1" x14ac:dyDescent="0.25">
      <c r="A3" s="6" t="s">
        <v>2070</v>
      </c>
      <c r="B3" s="7" t="s">
        <v>2057</v>
      </c>
      <c r="C3" s="7" t="s">
        <v>2071</v>
      </c>
      <c r="D3" s="7" t="s">
        <v>2059</v>
      </c>
      <c r="E3" s="7" t="s">
        <v>2072</v>
      </c>
      <c r="F3" s="7" t="s">
        <v>2073</v>
      </c>
      <c r="G3" s="7" t="s">
        <v>2057</v>
      </c>
      <c r="H3" s="7" t="s">
        <v>2074</v>
      </c>
      <c r="I3" s="7" t="s">
        <v>2012</v>
      </c>
      <c r="J3" s="7" t="s">
        <v>2075</v>
      </c>
      <c r="K3" s="7" t="s">
        <v>2076</v>
      </c>
      <c r="L3" s="7" t="s">
        <v>2077</v>
      </c>
      <c r="M3" s="7" t="s">
        <v>2078</v>
      </c>
      <c r="N3" s="9">
        <v>46234</v>
      </c>
      <c r="O3" s="9">
        <v>46356</v>
      </c>
      <c r="P3" s="7" t="s">
        <v>2073</v>
      </c>
      <c r="Q3" s="7" t="s">
        <v>2012</v>
      </c>
      <c r="R3" s="7" t="s">
        <v>2079</v>
      </c>
      <c r="S3" s="7" t="s">
        <v>2080</v>
      </c>
      <c r="T3" s="7" t="s">
        <v>2067</v>
      </c>
      <c r="U3" s="7" t="s">
        <v>2081</v>
      </c>
      <c r="V3" s="7" t="s">
        <v>2067</v>
      </c>
      <c r="W3" s="7" t="s">
        <v>2082</v>
      </c>
    </row>
    <row r="4" spans="1:23" ht="20.100000000000001" customHeight="1" x14ac:dyDescent="0.25">
      <c r="A4" s="3" t="s">
        <v>2083</v>
      </c>
      <c r="B4" s="4" t="s">
        <v>2084</v>
      </c>
      <c r="C4" s="4" t="s">
        <v>2085</v>
      </c>
      <c r="D4" s="4" t="s">
        <v>2059</v>
      </c>
      <c r="E4" s="4" t="s">
        <v>1947</v>
      </c>
      <c r="F4" s="4" t="s">
        <v>1948</v>
      </c>
      <c r="G4" s="4" t="s">
        <v>2084</v>
      </c>
      <c r="H4" s="4" t="s">
        <v>2086</v>
      </c>
      <c r="I4" s="4" t="s">
        <v>2012</v>
      </c>
      <c r="J4" s="4" t="s">
        <v>2087</v>
      </c>
      <c r="K4" s="4" t="s">
        <v>2088</v>
      </c>
      <c r="L4" s="4" t="s">
        <v>2089</v>
      </c>
      <c r="M4" s="4" t="s">
        <v>2078</v>
      </c>
      <c r="N4" s="8">
        <v>46234</v>
      </c>
      <c r="O4" s="8">
        <v>46356</v>
      </c>
      <c r="P4" s="4" t="s">
        <v>2090</v>
      </c>
      <c r="Q4" s="4" t="s">
        <v>2012</v>
      </c>
      <c r="R4" s="4" t="s">
        <v>2091</v>
      </c>
      <c r="S4" s="4" t="s">
        <v>2092</v>
      </c>
      <c r="T4" s="4" t="s">
        <v>2067</v>
      </c>
      <c r="U4" s="4" t="s">
        <v>2093</v>
      </c>
      <c r="V4" s="4" t="s">
        <v>2067</v>
      </c>
      <c r="W4" s="4" t="s">
        <v>2069</v>
      </c>
    </row>
    <row r="5" spans="1:23" ht="20.100000000000001" customHeight="1" x14ac:dyDescent="0.25">
      <c r="A5" s="6" t="s">
        <v>2094</v>
      </c>
      <c r="B5" s="7" t="s">
        <v>2057</v>
      </c>
      <c r="C5" s="7" t="s">
        <v>2095</v>
      </c>
      <c r="D5" s="7" t="s">
        <v>2059</v>
      </c>
      <c r="E5" s="7" t="s">
        <v>1940</v>
      </c>
      <c r="F5" s="7" t="s">
        <v>1941</v>
      </c>
      <c r="G5" s="7" t="s">
        <v>2057</v>
      </c>
      <c r="H5" s="7" t="s">
        <v>2011</v>
      </c>
      <c r="I5" s="7" t="s">
        <v>2012</v>
      </c>
      <c r="J5" s="7" t="s">
        <v>2096</v>
      </c>
      <c r="K5" s="7" t="s">
        <v>2097</v>
      </c>
      <c r="L5" s="7" t="s">
        <v>2098</v>
      </c>
      <c r="M5" s="7" t="s">
        <v>2078</v>
      </c>
      <c r="N5" s="9">
        <v>46234</v>
      </c>
      <c r="O5" s="9">
        <v>46356</v>
      </c>
      <c r="P5" s="7" t="s">
        <v>1941</v>
      </c>
      <c r="Q5" s="7" t="s">
        <v>2012</v>
      </c>
      <c r="R5" s="7" t="s">
        <v>2099</v>
      </c>
      <c r="S5" s="7" t="s">
        <v>2100</v>
      </c>
      <c r="T5" s="7" t="s">
        <v>2067</v>
      </c>
      <c r="U5" s="7" t="s">
        <v>2068</v>
      </c>
      <c r="V5" s="7" t="s">
        <v>2067</v>
      </c>
      <c r="W5" s="7" t="s">
        <v>2069</v>
      </c>
    </row>
    <row r="6" spans="1:23" ht="20.100000000000001" customHeight="1" x14ac:dyDescent="0.25">
      <c r="A6" s="3" t="s">
        <v>2101</v>
      </c>
      <c r="B6" s="4" t="s">
        <v>2057</v>
      </c>
      <c r="C6" s="4" t="s">
        <v>2102</v>
      </c>
      <c r="D6" s="4" t="s">
        <v>2059</v>
      </c>
      <c r="E6" s="4" t="s">
        <v>1947</v>
      </c>
      <c r="F6" s="4" t="s">
        <v>1948</v>
      </c>
      <c r="G6" s="4" t="s">
        <v>2057</v>
      </c>
      <c r="H6" s="4" t="s">
        <v>2103</v>
      </c>
      <c r="I6" s="4" t="s">
        <v>2012</v>
      </c>
      <c r="J6" s="4" t="s">
        <v>2104</v>
      </c>
      <c r="K6" s="4" t="s">
        <v>2105</v>
      </c>
      <c r="L6" s="4" t="s">
        <v>2106</v>
      </c>
      <c r="M6" s="4" t="s">
        <v>2064</v>
      </c>
      <c r="N6" s="8">
        <v>42387</v>
      </c>
      <c r="O6" s="8"/>
      <c r="P6" s="4" t="s">
        <v>2090</v>
      </c>
      <c r="Q6" s="4" t="s">
        <v>2012</v>
      </c>
      <c r="R6" s="4" t="s">
        <v>2107</v>
      </c>
      <c r="S6" s="4" t="s">
        <v>2108</v>
      </c>
      <c r="T6" s="4" t="s">
        <v>2067</v>
      </c>
      <c r="U6" s="4" t="s">
        <v>2109</v>
      </c>
      <c r="V6" s="4" t="s">
        <v>2067</v>
      </c>
      <c r="W6" s="4" t="s">
        <v>2069</v>
      </c>
    </row>
    <row r="7" spans="1:23" ht="20.100000000000001" customHeight="1" x14ac:dyDescent="0.25">
      <c r="A7" s="6" t="s">
        <v>1536</v>
      </c>
      <c r="B7" s="7" t="s">
        <v>2057</v>
      </c>
      <c r="C7" s="7" t="s">
        <v>2110</v>
      </c>
      <c r="D7" s="7" t="s">
        <v>2059</v>
      </c>
      <c r="E7" s="7" t="s">
        <v>2111</v>
      </c>
      <c r="F7" s="7" t="s">
        <v>2112</v>
      </c>
      <c r="G7" s="7" t="s">
        <v>2057</v>
      </c>
      <c r="H7" s="7" t="s">
        <v>2113</v>
      </c>
      <c r="I7" s="7" t="s">
        <v>2012</v>
      </c>
      <c r="J7" s="7" t="s">
        <v>2114</v>
      </c>
      <c r="K7" s="7" t="s">
        <v>2115</v>
      </c>
      <c r="L7" s="7" t="s">
        <v>2116</v>
      </c>
      <c r="M7" s="7" t="s">
        <v>2078</v>
      </c>
      <c r="N7" s="9">
        <v>46052</v>
      </c>
      <c r="O7" s="9">
        <v>46355</v>
      </c>
      <c r="P7" s="7" t="s">
        <v>2112</v>
      </c>
      <c r="Q7" s="7" t="s">
        <v>2012</v>
      </c>
      <c r="R7" s="7" t="s">
        <v>2117</v>
      </c>
      <c r="S7" s="7" t="s">
        <v>2118</v>
      </c>
      <c r="T7" s="7" t="s">
        <v>2067</v>
      </c>
      <c r="U7" s="7" t="s">
        <v>2119</v>
      </c>
      <c r="V7" s="7" t="s">
        <v>2067</v>
      </c>
      <c r="W7" s="7" t="s">
        <v>2082</v>
      </c>
    </row>
    <row r="8" spans="1:23" ht="20.100000000000001" customHeight="1" x14ac:dyDescent="0.25">
      <c r="A8" s="3" t="s">
        <v>1598</v>
      </c>
      <c r="B8" s="4" t="s">
        <v>2057</v>
      </c>
      <c r="C8" s="4" t="s">
        <v>2120</v>
      </c>
      <c r="D8" s="4" t="s">
        <v>2059</v>
      </c>
      <c r="E8" s="4" t="s">
        <v>1947</v>
      </c>
      <c r="F8" s="4" t="s">
        <v>2121</v>
      </c>
      <c r="G8" s="4" t="s">
        <v>2057</v>
      </c>
      <c r="H8" s="4" t="s">
        <v>2122</v>
      </c>
      <c r="I8" s="4" t="s">
        <v>2012</v>
      </c>
      <c r="J8" s="4" t="s">
        <v>2123</v>
      </c>
      <c r="K8" s="4" t="s">
        <v>2124</v>
      </c>
      <c r="L8" s="4" t="s">
        <v>2125</v>
      </c>
      <c r="M8" s="4" t="s">
        <v>2078</v>
      </c>
      <c r="N8" s="8">
        <v>46234</v>
      </c>
      <c r="O8" s="8">
        <v>46356</v>
      </c>
      <c r="P8" s="4" t="s">
        <v>2121</v>
      </c>
      <c r="Q8" s="4" t="s">
        <v>2012</v>
      </c>
      <c r="R8" s="4" t="s">
        <v>2126</v>
      </c>
      <c r="S8" s="4" t="s">
        <v>2127</v>
      </c>
      <c r="T8" s="4" t="s">
        <v>2067</v>
      </c>
      <c r="U8" s="4" t="s">
        <v>2128</v>
      </c>
      <c r="V8" s="4" t="s">
        <v>2067</v>
      </c>
      <c r="W8" s="4" t="s">
        <v>2069</v>
      </c>
    </row>
    <row r="9" spans="1:23" ht="20.100000000000001" customHeight="1" x14ac:dyDescent="0.25">
      <c r="A9" s="6" t="s">
        <v>2129</v>
      </c>
      <c r="B9" s="7" t="s">
        <v>2057</v>
      </c>
      <c r="C9" s="7" t="s">
        <v>2130</v>
      </c>
      <c r="D9" s="7" t="s">
        <v>2059</v>
      </c>
      <c r="E9" s="7" t="s">
        <v>2131</v>
      </c>
      <c r="F9" s="7" t="s">
        <v>2132</v>
      </c>
      <c r="G9" s="7" t="s">
        <v>2057</v>
      </c>
      <c r="H9" s="7" t="s">
        <v>2122</v>
      </c>
      <c r="I9" s="7" t="s">
        <v>2012</v>
      </c>
      <c r="J9" s="7" t="s">
        <v>2133</v>
      </c>
      <c r="K9" s="7" t="s">
        <v>2134</v>
      </c>
      <c r="L9" s="7" t="s">
        <v>2135</v>
      </c>
      <c r="M9" s="7" t="s">
        <v>2078</v>
      </c>
      <c r="N9" s="9">
        <v>46052</v>
      </c>
      <c r="O9" s="9">
        <v>46355</v>
      </c>
      <c r="P9" s="7" t="s">
        <v>2132</v>
      </c>
      <c r="Q9" s="7" t="s">
        <v>2012</v>
      </c>
      <c r="R9" s="7" t="s">
        <v>2136</v>
      </c>
      <c r="S9" s="7" t="s">
        <v>2137</v>
      </c>
      <c r="T9" s="7" t="s">
        <v>2067</v>
      </c>
      <c r="U9" s="7" t="s">
        <v>2138</v>
      </c>
      <c r="V9" s="7" t="s">
        <v>2067</v>
      </c>
      <c r="W9" s="7" t="s">
        <v>2069</v>
      </c>
    </row>
    <row r="10" spans="1:23" ht="20.100000000000001" customHeight="1" x14ac:dyDescent="0.25">
      <c r="A10" s="3" t="s">
        <v>540</v>
      </c>
      <c r="B10" s="4" t="s">
        <v>2084</v>
      </c>
      <c r="C10" s="4" t="s">
        <v>2139</v>
      </c>
      <c r="D10" s="4" t="s">
        <v>2059</v>
      </c>
      <c r="E10" s="4" t="s">
        <v>1947</v>
      </c>
      <c r="F10" s="4" t="s">
        <v>1948</v>
      </c>
      <c r="G10" s="4" t="s">
        <v>2084</v>
      </c>
      <c r="H10" s="4" t="s">
        <v>2140</v>
      </c>
      <c r="I10" s="4" t="s">
        <v>2012</v>
      </c>
      <c r="J10" s="4" t="s">
        <v>2141</v>
      </c>
      <c r="K10" s="4" t="s">
        <v>2142</v>
      </c>
      <c r="L10" s="4" t="s">
        <v>2143</v>
      </c>
      <c r="M10" s="4" t="s">
        <v>2064</v>
      </c>
      <c r="N10" s="8">
        <v>45691</v>
      </c>
      <c r="O10" s="8"/>
      <c r="P10" s="4" t="s">
        <v>2090</v>
      </c>
      <c r="Q10" s="4" t="s">
        <v>2012</v>
      </c>
      <c r="R10" s="4" t="s">
        <v>2144</v>
      </c>
      <c r="S10" s="4" t="s">
        <v>2145</v>
      </c>
      <c r="T10" s="4" t="s">
        <v>2067</v>
      </c>
      <c r="U10" s="4" t="s">
        <v>2146</v>
      </c>
      <c r="V10" s="4" t="s">
        <v>2067</v>
      </c>
      <c r="W10" s="4" t="s">
        <v>2069</v>
      </c>
    </row>
    <row r="11" spans="1:23" ht="20.100000000000001" customHeight="1" x14ac:dyDescent="0.25">
      <c r="A11" s="6" t="s">
        <v>894</v>
      </c>
      <c r="B11" s="7" t="s">
        <v>2084</v>
      </c>
      <c r="C11" s="7" t="s">
        <v>2147</v>
      </c>
      <c r="D11" s="7" t="s">
        <v>2059</v>
      </c>
      <c r="E11" s="7" t="s">
        <v>1947</v>
      </c>
      <c r="F11" s="7" t="s">
        <v>1948</v>
      </c>
      <c r="G11" s="7" t="s">
        <v>2084</v>
      </c>
      <c r="H11" s="7" t="s">
        <v>2086</v>
      </c>
      <c r="I11" s="7" t="s">
        <v>2012</v>
      </c>
      <c r="J11" s="7" t="s">
        <v>2148</v>
      </c>
      <c r="K11" s="7" t="s">
        <v>2149</v>
      </c>
      <c r="L11" s="7" t="s">
        <v>2150</v>
      </c>
      <c r="M11" s="7" t="s">
        <v>2078</v>
      </c>
      <c r="N11" s="9">
        <v>46052</v>
      </c>
      <c r="O11" s="9">
        <v>46296</v>
      </c>
      <c r="P11" s="7" t="s">
        <v>2090</v>
      </c>
      <c r="Q11" s="7" t="s">
        <v>2012</v>
      </c>
      <c r="R11" s="7" t="s">
        <v>2151</v>
      </c>
      <c r="S11" s="7" t="s">
        <v>2152</v>
      </c>
      <c r="T11" s="7" t="s">
        <v>2067</v>
      </c>
      <c r="U11" s="7" t="s">
        <v>2093</v>
      </c>
      <c r="V11" s="7" t="s">
        <v>2067</v>
      </c>
      <c r="W11" s="7" t="s">
        <v>2069</v>
      </c>
    </row>
    <row r="12" spans="1:23" ht="20.100000000000001" customHeight="1" x14ac:dyDescent="0.25">
      <c r="A12" s="3" t="s">
        <v>8</v>
      </c>
      <c r="B12" s="4" t="s">
        <v>2084</v>
      </c>
      <c r="C12" s="4" t="s">
        <v>2153</v>
      </c>
      <c r="D12" s="4" t="s">
        <v>2059</v>
      </c>
      <c r="E12" s="4" t="s">
        <v>1947</v>
      </c>
      <c r="F12" s="4" t="s">
        <v>1948</v>
      </c>
      <c r="G12" s="4" t="s">
        <v>2084</v>
      </c>
      <c r="H12" s="4" t="s">
        <v>2086</v>
      </c>
      <c r="I12" s="4" t="s">
        <v>2012</v>
      </c>
      <c r="J12" s="4" t="s">
        <v>2154</v>
      </c>
      <c r="K12" s="4" t="s">
        <v>2155</v>
      </c>
      <c r="L12" s="4" t="s">
        <v>2156</v>
      </c>
      <c r="M12" s="4" t="s">
        <v>2078</v>
      </c>
      <c r="N12" s="8">
        <v>46234</v>
      </c>
      <c r="O12" s="8">
        <v>46356</v>
      </c>
      <c r="P12" s="4" t="s">
        <v>2090</v>
      </c>
      <c r="Q12" s="4" t="s">
        <v>2012</v>
      </c>
      <c r="R12" s="4" t="s">
        <v>2157</v>
      </c>
      <c r="S12" s="4" t="s">
        <v>2158</v>
      </c>
      <c r="T12" s="4" t="s">
        <v>2067</v>
      </c>
      <c r="U12" s="4" t="s">
        <v>2146</v>
      </c>
      <c r="V12" s="4" t="s">
        <v>2067</v>
      </c>
      <c r="W12" s="4" t="s">
        <v>2069</v>
      </c>
    </row>
    <row r="13" spans="1:23" ht="20.100000000000001" customHeight="1" x14ac:dyDescent="0.25">
      <c r="A13" s="6" t="s">
        <v>2159</v>
      </c>
      <c r="B13" s="7" t="s">
        <v>2057</v>
      </c>
      <c r="C13" s="7" t="s">
        <v>2160</v>
      </c>
      <c r="D13" s="7" t="s">
        <v>2059</v>
      </c>
      <c r="E13" s="7" t="s">
        <v>1947</v>
      </c>
      <c r="F13" s="7" t="s">
        <v>1948</v>
      </c>
      <c r="G13" s="7" t="s">
        <v>2057</v>
      </c>
      <c r="H13" s="7" t="s">
        <v>2161</v>
      </c>
      <c r="I13" s="7" t="s">
        <v>2012</v>
      </c>
      <c r="J13" s="7" t="s">
        <v>2162</v>
      </c>
      <c r="K13" s="7" t="s">
        <v>2163</v>
      </c>
      <c r="L13" s="7" t="s">
        <v>2164</v>
      </c>
      <c r="M13" s="7" t="s">
        <v>2078</v>
      </c>
      <c r="N13" s="9">
        <v>46234</v>
      </c>
      <c r="O13" s="9">
        <v>46356</v>
      </c>
      <c r="P13" s="7" t="s">
        <v>2090</v>
      </c>
      <c r="Q13" s="7" t="s">
        <v>2012</v>
      </c>
      <c r="R13" s="7" t="s">
        <v>2165</v>
      </c>
      <c r="S13" s="7" t="s">
        <v>2166</v>
      </c>
      <c r="T13" s="7" t="s">
        <v>2067</v>
      </c>
      <c r="U13" s="7" t="s">
        <v>2109</v>
      </c>
      <c r="V13" s="7" t="s">
        <v>2067</v>
      </c>
      <c r="W13" s="7" t="s">
        <v>2069</v>
      </c>
    </row>
    <row r="14" spans="1:23" ht="20.100000000000001" customHeight="1" x14ac:dyDescent="0.25">
      <c r="A14" s="3" t="s">
        <v>2167</v>
      </c>
      <c r="B14" s="4" t="s">
        <v>2057</v>
      </c>
      <c r="C14" s="4" t="s">
        <v>2168</v>
      </c>
      <c r="D14" s="4" t="s">
        <v>2059</v>
      </c>
      <c r="E14" s="4" t="s">
        <v>1965</v>
      </c>
      <c r="F14" s="4" t="s">
        <v>1966</v>
      </c>
      <c r="G14" s="4" t="s">
        <v>2057</v>
      </c>
      <c r="H14" s="4" t="s">
        <v>2011</v>
      </c>
      <c r="I14" s="4" t="s">
        <v>2012</v>
      </c>
      <c r="J14" s="4" t="s">
        <v>2169</v>
      </c>
      <c r="K14" s="4" t="s">
        <v>2170</v>
      </c>
      <c r="L14" s="4" t="s">
        <v>2171</v>
      </c>
      <c r="M14" s="4" t="s">
        <v>2078</v>
      </c>
      <c r="N14" s="8">
        <v>46234</v>
      </c>
      <c r="O14" s="8">
        <v>46356</v>
      </c>
      <c r="P14" s="4" t="s">
        <v>1966</v>
      </c>
      <c r="Q14" s="4" t="s">
        <v>2012</v>
      </c>
      <c r="R14" s="4" t="s">
        <v>2172</v>
      </c>
      <c r="S14" s="4" t="s">
        <v>2173</v>
      </c>
      <c r="T14" s="4" t="s">
        <v>2067</v>
      </c>
      <c r="U14" s="4" t="s">
        <v>2174</v>
      </c>
      <c r="V14" s="4" t="s">
        <v>2067</v>
      </c>
      <c r="W14" s="4" t="s">
        <v>2069</v>
      </c>
    </row>
    <row r="15" spans="1:23" ht="20.100000000000001" customHeight="1" x14ac:dyDescent="0.25">
      <c r="A15" s="6" t="s">
        <v>2175</v>
      </c>
      <c r="B15" s="7" t="s">
        <v>2057</v>
      </c>
      <c r="C15" s="7" t="s">
        <v>2176</v>
      </c>
      <c r="D15" s="7" t="s">
        <v>2059</v>
      </c>
      <c r="E15" s="7" t="s">
        <v>2111</v>
      </c>
      <c r="F15" s="7" t="s">
        <v>2112</v>
      </c>
      <c r="G15" s="7" t="s">
        <v>2057</v>
      </c>
      <c r="H15" s="7" t="s">
        <v>2161</v>
      </c>
      <c r="I15" s="7" t="s">
        <v>2012</v>
      </c>
      <c r="J15" s="7" t="s">
        <v>2177</v>
      </c>
      <c r="K15" s="7" t="s">
        <v>2178</v>
      </c>
      <c r="L15" s="7" t="s">
        <v>2179</v>
      </c>
      <c r="M15" s="7" t="s">
        <v>2078</v>
      </c>
      <c r="N15" s="9">
        <v>46052</v>
      </c>
      <c r="O15" s="9">
        <v>46356</v>
      </c>
      <c r="P15" s="7" t="s">
        <v>2112</v>
      </c>
      <c r="Q15" s="7" t="s">
        <v>2012</v>
      </c>
      <c r="R15" s="7" t="s">
        <v>2180</v>
      </c>
      <c r="S15" s="7" t="s">
        <v>2181</v>
      </c>
      <c r="T15" s="7" t="s">
        <v>2067</v>
      </c>
      <c r="U15" s="7" t="s">
        <v>2119</v>
      </c>
      <c r="V15" s="7" t="s">
        <v>2067</v>
      </c>
      <c r="W15" s="7" t="s">
        <v>2069</v>
      </c>
    </row>
    <row r="16" spans="1:23" ht="20.100000000000001" customHeight="1" x14ac:dyDescent="0.25">
      <c r="A16" s="3" t="s">
        <v>128</v>
      </c>
      <c r="B16" s="4" t="s">
        <v>2084</v>
      </c>
      <c r="C16" s="4" t="s">
        <v>2182</v>
      </c>
      <c r="D16" s="4" t="s">
        <v>2059</v>
      </c>
      <c r="E16" s="4" t="s">
        <v>1947</v>
      </c>
      <c r="F16" s="4" t="s">
        <v>1948</v>
      </c>
      <c r="G16" s="4" t="s">
        <v>2084</v>
      </c>
      <c r="H16" s="4" t="s">
        <v>2086</v>
      </c>
      <c r="I16" s="4" t="s">
        <v>2012</v>
      </c>
      <c r="J16" s="4" t="s">
        <v>2183</v>
      </c>
      <c r="K16" s="4" t="s">
        <v>2184</v>
      </c>
      <c r="L16" s="4" t="s">
        <v>2185</v>
      </c>
      <c r="M16" s="4" t="s">
        <v>2064</v>
      </c>
      <c r="N16" s="8">
        <v>45873</v>
      </c>
      <c r="O16" s="8"/>
      <c r="P16" s="4" t="s">
        <v>2090</v>
      </c>
      <c r="Q16" s="4" t="s">
        <v>2012</v>
      </c>
      <c r="R16" s="4" t="s">
        <v>2186</v>
      </c>
      <c r="S16" s="4" t="s">
        <v>2187</v>
      </c>
      <c r="T16" s="4" t="s">
        <v>2067</v>
      </c>
      <c r="U16" s="4" t="s">
        <v>2146</v>
      </c>
      <c r="V16" s="4" t="s">
        <v>2067</v>
      </c>
      <c r="W16" s="4" t="s">
        <v>2069</v>
      </c>
    </row>
    <row r="17" spans="1:23" ht="20.100000000000001" customHeight="1" x14ac:dyDescent="0.25">
      <c r="A17" s="6" t="s">
        <v>432</v>
      </c>
      <c r="B17" s="7" t="s">
        <v>2057</v>
      </c>
      <c r="C17" s="7" t="s">
        <v>2188</v>
      </c>
      <c r="D17" s="7" t="s">
        <v>2059</v>
      </c>
      <c r="E17" s="7" t="s">
        <v>2189</v>
      </c>
      <c r="F17" s="7" t="s">
        <v>2190</v>
      </c>
      <c r="G17" s="7" t="s">
        <v>2057</v>
      </c>
      <c r="H17" s="7" t="s">
        <v>2191</v>
      </c>
      <c r="I17" s="7" t="s">
        <v>2012</v>
      </c>
      <c r="J17" s="7" t="s">
        <v>2192</v>
      </c>
      <c r="K17" s="7" t="s">
        <v>2193</v>
      </c>
      <c r="L17" s="7" t="s">
        <v>2194</v>
      </c>
      <c r="M17" s="7" t="s">
        <v>2078</v>
      </c>
      <c r="N17" s="9">
        <v>46234</v>
      </c>
      <c r="O17" s="9">
        <v>46356</v>
      </c>
      <c r="P17" s="7" t="s">
        <v>2195</v>
      </c>
      <c r="Q17" s="7" t="s">
        <v>2012</v>
      </c>
      <c r="R17" s="7" t="s">
        <v>2196</v>
      </c>
      <c r="S17" s="7" t="s">
        <v>2197</v>
      </c>
      <c r="T17" s="7" t="s">
        <v>2067</v>
      </c>
      <c r="U17" s="7" t="s">
        <v>2198</v>
      </c>
      <c r="V17" s="7" t="s">
        <v>2067</v>
      </c>
      <c r="W17" s="7" t="s">
        <v>2069</v>
      </c>
    </row>
    <row r="18" spans="1:23" ht="20.100000000000001" customHeight="1" x14ac:dyDescent="0.25">
      <c r="A18" s="3" t="s">
        <v>1344</v>
      </c>
      <c r="B18" s="4" t="s">
        <v>2057</v>
      </c>
      <c r="C18" s="4" t="s">
        <v>2199</v>
      </c>
      <c r="D18" s="4" t="s">
        <v>2059</v>
      </c>
      <c r="E18" s="4" t="s">
        <v>1947</v>
      </c>
      <c r="F18" s="4" t="s">
        <v>1948</v>
      </c>
      <c r="G18" s="4" t="s">
        <v>2057</v>
      </c>
      <c r="H18" s="4" t="s">
        <v>2074</v>
      </c>
      <c r="I18" s="4" t="s">
        <v>2012</v>
      </c>
      <c r="J18" s="4" t="s">
        <v>2200</v>
      </c>
      <c r="K18" s="4" t="s">
        <v>2201</v>
      </c>
      <c r="L18" s="4" t="s">
        <v>2202</v>
      </c>
      <c r="M18" s="4" t="s">
        <v>2078</v>
      </c>
      <c r="N18" s="8">
        <v>46234</v>
      </c>
      <c r="O18" s="8">
        <v>46356</v>
      </c>
      <c r="P18" s="4" t="s">
        <v>2090</v>
      </c>
      <c r="Q18" s="4" t="s">
        <v>2012</v>
      </c>
      <c r="R18" s="4" t="s">
        <v>2203</v>
      </c>
      <c r="S18" s="4" t="s">
        <v>2204</v>
      </c>
      <c r="T18" s="4" t="s">
        <v>2067</v>
      </c>
      <c r="U18" s="4" t="s">
        <v>2109</v>
      </c>
      <c r="V18" s="4" t="s">
        <v>2067</v>
      </c>
      <c r="W18" s="4" t="s">
        <v>2082</v>
      </c>
    </row>
    <row r="19" spans="1:23" ht="20.100000000000001" customHeight="1" x14ac:dyDescent="0.25">
      <c r="A19" s="6" t="s">
        <v>1436</v>
      </c>
      <c r="B19" s="7" t="s">
        <v>2057</v>
      </c>
      <c r="C19" s="7" t="s">
        <v>2205</v>
      </c>
      <c r="D19" s="7" t="s">
        <v>2059</v>
      </c>
      <c r="E19" s="7" t="s">
        <v>1947</v>
      </c>
      <c r="F19" s="7" t="s">
        <v>1948</v>
      </c>
      <c r="G19" s="7" t="s">
        <v>2057</v>
      </c>
      <c r="H19" s="7" t="s">
        <v>2011</v>
      </c>
      <c r="I19" s="7" t="s">
        <v>2012</v>
      </c>
      <c r="J19" s="7" t="s">
        <v>2206</v>
      </c>
      <c r="K19" s="7" t="s">
        <v>2207</v>
      </c>
      <c r="L19" s="7" t="s">
        <v>2208</v>
      </c>
      <c r="M19" s="7" t="s">
        <v>2064</v>
      </c>
      <c r="N19" s="9">
        <v>45873</v>
      </c>
      <c r="O19" s="9"/>
      <c r="P19" s="7" t="s">
        <v>2090</v>
      </c>
      <c r="Q19" s="7" t="s">
        <v>2012</v>
      </c>
      <c r="R19" s="7" t="s">
        <v>2209</v>
      </c>
      <c r="S19" s="7" t="s">
        <v>2210</v>
      </c>
      <c r="T19" s="7" t="s">
        <v>2067</v>
      </c>
      <c r="U19" s="7" t="s">
        <v>2109</v>
      </c>
      <c r="V19" s="7" t="s">
        <v>2067</v>
      </c>
      <c r="W19" s="7" t="s">
        <v>2069</v>
      </c>
    </row>
    <row r="20" spans="1:23" ht="20.100000000000001" customHeight="1" x14ac:dyDescent="0.25">
      <c r="A20" s="3" t="s">
        <v>476</v>
      </c>
      <c r="B20" s="4" t="s">
        <v>2057</v>
      </c>
      <c r="C20" s="4" t="s">
        <v>2211</v>
      </c>
      <c r="D20" s="4" t="s">
        <v>2059</v>
      </c>
      <c r="E20" s="4" t="s">
        <v>1940</v>
      </c>
      <c r="F20" s="4" t="s">
        <v>1941</v>
      </c>
      <c r="G20" s="4" t="s">
        <v>2057</v>
      </c>
      <c r="H20" s="4" t="s">
        <v>2161</v>
      </c>
      <c r="I20" s="4" t="s">
        <v>2012</v>
      </c>
      <c r="J20" s="4" t="s">
        <v>2212</v>
      </c>
      <c r="K20" s="4" t="s">
        <v>2213</v>
      </c>
      <c r="L20" s="4" t="s">
        <v>2214</v>
      </c>
      <c r="M20" s="4" t="s">
        <v>2078</v>
      </c>
      <c r="N20" s="8">
        <v>46052</v>
      </c>
      <c r="O20" s="8">
        <v>46355</v>
      </c>
      <c r="P20" s="4" t="s">
        <v>1941</v>
      </c>
      <c r="Q20" s="4" t="s">
        <v>2012</v>
      </c>
      <c r="R20" s="4" t="s">
        <v>2215</v>
      </c>
      <c r="S20" s="4" t="s">
        <v>2216</v>
      </c>
      <c r="T20" s="4" t="s">
        <v>2067</v>
      </c>
      <c r="U20" s="4" t="s">
        <v>2068</v>
      </c>
      <c r="V20" s="4" t="s">
        <v>2067</v>
      </c>
      <c r="W20" s="4" t="s">
        <v>2069</v>
      </c>
    </row>
    <row r="21" spans="1:23" ht="20.100000000000001" customHeight="1" x14ac:dyDescent="0.25">
      <c r="A21" s="6" t="s">
        <v>2217</v>
      </c>
      <c r="B21" s="7" t="s">
        <v>2057</v>
      </c>
      <c r="C21" s="7" t="s">
        <v>2218</v>
      </c>
      <c r="D21" s="7" t="s">
        <v>2059</v>
      </c>
      <c r="E21" s="7" t="s">
        <v>2189</v>
      </c>
      <c r="F21" s="7" t="s">
        <v>2190</v>
      </c>
      <c r="G21" s="7" t="s">
        <v>2057</v>
      </c>
      <c r="H21" s="7" t="s">
        <v>2161</v>
      </c>
      <c r="I21" s="7" t="s">
        <v>2012</v>
      </c>
      <c r="J21" s="7" t="s">
        <v>2219</v>
      </c>
      <c r="K21" s="7" t="s">
        <v>2220</v>
      </c>
      <c r="L21" s="7" t="s">
        <v>2221</v>
      </c>
      <c r="M21" s="7" t="s">
        <v>2078</v>
      </c>
      <c r="N21" s="9">
        <v>46052</v>
      </c>
      <c r="O21" s="9">
        <v>46355</v>
      </c>
      <c r="P21" s="7" t="s">
        <v>2195</v>
      </c>
      <c r="Q21" s="7" t="s">
        <v>2012</v>
      </c>
      <c r="R21" s="7" t="s">
        <v>2222</v>
      </c>
      <c r="S21" s="7" t="s">
        <v>2223</v>
      </c>
      <c r="T21" s="7" t="s">
        <v>2067</v>
      </c>
      <c r="U21" s="7" t="s">
        <v>2198</v>
      </c>
      <c r="V21" s="7" t="s">
        <v>2067</v>
      </c>
      <c r="W21" s="7" t="s">
        <v>2069</v>
      </c>
    </row>
    <row r="22" spans="1:23" ht="20.100000000000001" customHeight="1" x14ac:dyDescent="0.25">
      <c r="A22" s="3" t="s">
        <v>1366</v>
      </c>
      <c r="B22" s="4" t="s">
        <v>2057</v>
      </c>
      <c r="C22" s="4" t="s">
        <v>2224</v>
      </c>
      <c r="D22" s="4" t="s">
        <v>2059</v>
      </c>
      <c r="E22" s="4" t="s">
        <v>1947</v>
      </c>
      <c r="F22" s="4" t="s">
        <v>1948</v>
      </c>
      <c r="G22" s="4" t="s">
        <v>2057</v>
      </c>
      <c r="H22" s="4" t="s">
        <v>2161</v>
      </c>
      <c r="I22" s="4" t="s">
        <v>2012</v>
      </c>
      <c r="J22" s="4" t="s">
        <v>2225</v>
      </c>
      <c r="K22" s="4" t="s">
        <v>2226</v>
      </c>
      <c r="L22" s="4" t="s">
        <v>2227</v>
      </c>
      <c r="M22" s="4" t="s">
        <v>2064</v>
      </c>
      <c r="N22" s="8">
        <v>45873</v>
      </c>
      <c r="O22" s="8"/>
      <c r="P22" s="4" t="s">
        <v>2090</v>
      </c>
      <c r="Q22" s="4" t="s">
        <v>2012</v>
      </c>
      <c r="R22" s="4" t="s">
        <v>2228</v>
      </c>
      <c r="S22" s="4" t="s">
        <v>2229</v>
      </c>
      <c r="T22" s="4" t="s">
        <v>2067</v>
      </c>
      <c r="U22" s="4" t="s">
        <v>2109</v>
      </c>
      <c r="V22" s="4" t="s">
        <v>2067</v>
      </c>
      <c r="W22" s="4" t="s">
        <v>2069</v>
      </c>
    </row>
    <row r="23" spans="1:23" ht="20.100000000000001" customHeight="1" x14ac:dyDescent="0.25">
      <c r="A23" s="6" t="s">
        <v>2230</v>
      </c>
      <c r="B23" s="7" t="s">
        <v>2057</v>
      </c>
      <c r="C23" s="7" t="s">
        <v>2231</v>
      </c>
      <c r="D23" s="7" t="s">
        <v>2059</v>
      </c>
      <c r="E23" s="7" t="s">
        <v>1947</v>
      </c>
      <c r="F23" s="7" t="s">
        <v>1948</v>
      </c>
      <c r="G23" s="7" t="s">
        <v>2057</v>
      </c>
      <c r="H23" s="7" t="s">
        <v>2011</v>
      </c>
      <c r="I23" s="7" t="s">
        <v>2012</v>
      </c>
      <c r="J23" s="7" t="s">
        <v>2232</v>
      </c>
      <c r="K23" s="7" t="s">
        <v>2233</v>
      </c>
      <c r="L23" s="7" t="s">
        <v>2234</v>
      </c>
      <c r="M23" s="7" t="s">
        <v>2078</v>
      </c>
      <c r="N23" s="9">
        <v>46234</v>
      </c>
      <c r="O23" s="9">
        <v>46356</v>
      </c>
      <c r="P23" s="7" t="s">
        <v>2090</v>
      </c>
      <c r="Q23" s="7" t="s">
        <v>2012</v>
      </c>
      <c r="R23" s="7" t="s">
        <v>2235</v>
      </c>
      <c r="S23" s="7" t="s">
        <v>2236</v>
      </c>
      <c r="T23" s="7" t="s">
        <v>2067</v>
      </c>
      <c r="U23" s="7" t="s">
        <v>2146</v>
      </c>
      <c r="V23" s="7" t="s">
        <v>2067</v>
      </c>
      <c r="W23" s="7" t="s">
        <v>2069</v>
      </c>
    </row>
    <row r="24" spans="1:23" ht="20.100000000000001" customHeight="1" x14ac:dyDescent="0.25">
      <c r="A24" s="3" t="s">
        <v>410</v>
      </c>
      <c r="B24" s="4" t="s">
        <v>2057</v>
      </c>
      <c r="C24" s="4" t="s">
        <v>2237</v>
      </c>
      <c r="D24" s="4" t="s">
        <v>2059</v>
      </c>
      <c r="E24" s="4" t="s">
        <v>1947</v>
      </c>
      <c r="F24" s="4" t="s">
        <v>2238</v>
      </c>
      <c r="G24" s="4" t="s">
        <v>2057</v>
      </c>
      <c r="H24" s="4" t="s">
        <v>2239</v>
      </c>
      <c r="I24" s="4" t="s">
        <v>2012</v>
      </c>
      <c r="J24" s="4" t="s">
        <v>2240</v>
      </c>
      <c r="K24" s="4" t="s">
        <v>2241</v>
      </c>
      <c r="L24" s="4" t="s">
        <v>2242</v>
      </c>
      <c r="M24" s="4" t="s">
        <v>2078</v>
      </c>
      <c r="N24" s="8">
        <v>46234</v>
      </c>
      <c r="O24" s="8">
        <v>46356</v>
      </c>
      <c r="P24" s="4" t="s">
        <v>2238</v>
      </c>
      <c r="Q24" s="4" t="s">
        <v>2012</v>
      </c>
      <c r="R24" s="4" t="s">
        <v>2126</v>
      </c>
      <c r="S24" s="4" t="s">
        <v>2243</v>
      </c>
      <c r="T24" s="4" t="s">
        <v>2067</v>
      </c>
      <c r="U24" s="4" t="s">
        <v>2244</v>
      </c>
      <c r="V24" s="4" t="s">
        <v>2067</v>
      </c>
      <c r="W24" s="4" t="s">
        <v>2082</v>
      </c>
    </row>
    <row r="25" spans="1:23" ht="20.100000000000001" customHeight="1" x14ac:dyDescent="0.25">
      <c r="A25" s="6" t="s">
        <v>490</v>
      </c>
      <c r="B25" s="7" t="s">
        <v>2084</v>
      </c>
      <c r="C25" s="7" t="s">
        <v>2245</v>
      </c>
      <c r="D25" s="7" t="s">
        <v>2059</v>
      </c>
      <c r="E25" s="7" t="s">
        <v>1947</v>
      </c>
      <c r="F25" s="7" t="s">
        <v>1948</v>
      </c>
      <c r="G25" s="7" t="s">
        <v>2084</v>
      </c>
      <c r="H25" s="7" t="s">
        <v>2086</v>
      </c>
      <c r="I25" s="7" t="s">
        <v>2012</v>
      </c>
      <c r="J25" s="7" t="s">
        <v>2246</v>
      </c>
      <c r="K25" s="7" t="s">
        <v>2247</v>
      </c>
      <c r="L25" s="7" t="s">
        <v>2248</v>
      </c>
      <c r="M25" s="7" t="s">
        <v>2078</v>
      </c>
      <c r="N25" s="9">
        <v>46234</v>
      </c>
      <c r="O25" s="9">
        <v>46356</v>
      </c>
      <c r="P25" s="7" t="s">
        <v>2090</v>
      </c>
      <c r="Q25" s="7" t="s">
        <v>2012</v>
      </c>
      <c r="R25" s="7" t="s">
        <v>2249</v>
      </c>
      <c r="S25" s="7" t="s">
        <v>2250</v>
      </c>
      <c r="T25" s="7" t="s">
        <v>2067</v>
      </c>
      <c r="U25" s="7" t="s">
        <v>2146</v>
      </c>
      <c r="V25" s="7" t="s">
        <v>2067</v>
      </c>
      <c r="W25" s="7" t="s">
        <v>2069</v>
      </c>
    </row>
    <row r="26" spans="1:23" ht="20.100000000000001" customHeight="1" x14ac:dyDescent="0.25">
      <c r="A26" s="3" t="s">
        <v>388</v>
      </c>
      <c r="B26" s="4" t="s">
        <v>2057</v>
      </c>
      <c r="C26" s="4" t="s">
        <v>2251</v>
      </c>
      <c r="D26" s="4" t="s">
        <v>2059</v>
      </c>
      <c r="E26" s="4" t="s">
        <v>2072</v>
      </c>
      <c r="F26" s="4" t="s">
        <v>2073</v>
      </c>
      <c r="G26" s="4" t="s">
        <v>2057</v>
      </c>
      <c r="H26" s="4" t="s">
        <v>2074</v>
      </c>
      <c r="I26" s="4" t="s">
        <v>2012</v>
      </c>
      <c r="J26" s="4" t="s">
        <v>2252</v>
      </c>
      <c r="K26" s="4" t="s">
        <v>2253</v>
      </c>
      <c r="L26" s="4" t="s">
        <v>2254</v>
      </c>
      <c r="M26" s="4" t="s">
        <v>2078</v>
      </c>
      <c r="N26" s="8">
        <v>46052</v>
      </c>
      <c r="O26" s="8">
        <v>46296</v>
      </c>
      <c r="P26" s="4" t="s">
        <v>2073</v>
      </c>
      <c r="Q26" s="4" t="s">
        <v>2012</v>
      </c>
      <c r="R26" s="4" t="s">
        <v>2255</v>
      </c>
      <c r="S26" s="4" t="s">
        <v>2256</v>
      </c>
      <c r="T26" s="4" t="s">
        <v>2067</v>
      </c>
      <c r="U26" s="4" t="s">
        <v>2081</v>
      </c>
      <c r="V26" s="4" t="s">
        <v>2067</v>
      </c>
      <c r="W26" s="4" t="s">
        <v>2082</v>
      </c>
    </row>
    <row r="27" spans="1:23" ht="20.100000000000001" customHeight="1" x14ac:dyDescent="0.25">
      <c r="A27" s="6" t="s">
        <v>106</v>
      </c>
      <c r="B27" s="7" t="s">
        <v>2084</v>
      </c>
      <c r="C27" s="7" t="s">
        <v>2257</v>
      </c>
      <c r="D27" s="7" t="s">
        <v>2059</v>
      </c>
      <c r="E27" s="7" t="s">
        <v>1947</v>
      </c>
      <c r="F27" s="7" t="s">
        <v>1948</v>
      </c>
      <c r="G27" s="7" t="s">
        <v>2084</v>
      </c>
      <c r="H27" s="7" t="s">
        <v>2140</v>
      </c>
      <c r="I27" s="7" t="s">
        <v>2012</v>
      </c>
      <c r="J27" s="7" t="s">
        <v>2258</v>
      </c>
      <c r="K27" s="7" t="s">
        <v>2259</v>
      </c>
      <c r="L27" s="7" t="s">
        <v>2260</v>
      </c>
      <c r="M27" s="7" t="s">
        <v>2078</v>
      </c>
      <c r="N27" s="9">
        <v>46052</v>
      </c>
      <c r="O27" s="9">
        <v>46296</v>
      </c>
      <c r="P27" s="7" t="s">
        <v>2090</v>
      </c>
      <c r="Q27" s="7" t="s">
        <v>2012</v>
      </c>
      <c r="R27" s="7" t="s">
        <v>2261</v>
      </c>
      <c r="S27" s="7" t="s">
        <v>2262</v>
      </c>
      <c r="T27" s="7" t="s">
        <v>2067</v>
      </c>
      <c r="U27" s="7" t="s">
        <v>2146</v>
      </c>
      <c r="V27" s="7" t="s">
        <v>2067</v>
      </c>
      <c r="W27" s="7" t="s">
        <v>2069</v>
      </c>
    </row>
    <row r="28" spans="1:23" ht="20.100000000000001" customHeight="1" x14ac:dyDescent="0.25">
      <c r="A28" s="3" t="s">
        <v>904</v>
      </c>
      <c r="B28" s="4" t="s">
        <v>2084</v>
      </c>
      <c r="C28" s="4" t="s">
        <v>2263</v>
      </c>
      <c r="D28" s="4" t="s">
        <v>2059</v>
      </c>
      <c r="E28" s="4" t="s">
        <v>1947</v>
      </c>
      <c r="F28" s="4" t="s">
        <v>1948</v>
      </c>
      <c r="G28" s="4" t="s">
        <v>2084</v>
      </c>
      <c r="H28" s="4" t="s">
        <v>2264</v>
      </c>
      <c r="I28" s="4" t="s">
        <v>2012</v>
      </c>
      <c r="J28" s="4" t="s">
        <v>2265</v>
      </c>
      <c r="K28" s="4" t="s">
        <v>2266</v>
      </c>
      <c r="L28" s="4" t="s">
        <v>2267</v>
      </c>
      <c r="M28" s="4" t="s">
        <v>2064</v>
      </c>
      <c r="N28" s="8">
        <v>45505</v>
      </c>
      <c r="O28" s="8"/>
      <c r="P28" s="4" t="s">
        <v>2090</v>
      </c>
      <c r="Q28" s="4" t="s">
        <v>2012</v>
      </c>
      <c r="R28" s="4" t="s">
        <v>2268</v>
      </c>
      <c r="S28" s="4" t="s">
        <v>2269</v>
      </c>
      <c r="T28" s="4" t="s">
        <v>2067</v>
      </c>
      <c r="U28" s="4" t="s">
        <v>2146</v>
      </c>
      <c r="V28" s="4" t="s">
        <v>2067</v>
      </c>
      <c r="W28" s="4" t="s">
        <v>2069</v>
      </c>
    </row>
    <row r="29" spans="1:23" ht="20.100000000000001" customHeight="1" x14ac:dyDescent="0.25">
      <c r="A29" s="6" t="s">
        <v>1606</v>
      </c>
      <c r="B29" s="7" t="s">
        <v>2084</v>
      </c>
      <c r="C29" s="7" t="s">
        <v>2270</v>
      </c>
      <c r="D29" s="7" t="s">
        <v>2059</v>
      </c>
      <c r="E29" s="7" t="s">
        <v>1947</v>
      </c>
      <c r="F29" s="7" t="s">
        <v>1948</v>
      </c>
      <c r="G29" s="7" t="s">
        <v>2084</v>
      </c>
      <c r="H29" s="7" t="s">
        <v>2140</v>
      </c>
      <c r="I29" s="7" t="s">
        <v>2012</v>
      </c>
      <c r="J29" s="7" t="s">
        <v>2271</v>
      </c>
      <c r="K29" s="7" t="s">
        <v>2272</v>
      </c>
      <c r="L29" s="7" t="s">
        <v>2273</v>
      </c>
      <c r="M29" s="7" t="s">
        <v>2078</v>
      </c>
      <c r="N29" s="9">
        <v>46052</v>
      </c>
      <c r="O29" s="9">
        <v>46296</v>
      </c>
      <c r="P29" s="7" t="s">
        <v>2090</v>
      </c>
      <c r="Q29" s="7" t="s">
        <v>2012</v>
      </c>
      <c r="R29" s="7" t="s">
        <v>2274</v>
      </c>
      <c r="S29" s="7" t="s">
        <v>2275</v>
      </c>
      <c r="T29" s="7" t="s">
        <v>2067</v>
      </c>
      <c r="U29" s="7" t="s">
        <v>2146</v>
      </c>
      <c r="V29" s="7" t="s">
        <v>2067</v>
      </c>
      <c r="W29" s="7" t="s">
        <v>2069</v>
      </c>
    </row>
    <row r="30" spans="1:23" ht="20.100000000000001" customHeight="1" x14ac:dyDescent="0.25">
      <c r="A30" s="3" t="s">
        <v>1382</v>
      </c>
      <c r="B30" s="4" t="s">
        <v>2057</v>
      </c>
      <c r="C30" s="4" t="s">
        <v>2276</v>
      </c>
      <c r="D30" s="4" t="s">
        <v>2059</v>
      </c>
      <c r="E30" s="4" t="s">
        <v>1947</v>
      </c>
      <c r="F30" s="4" t="s">
        <v>2277</v>
      </c>
      <c r="G30" s="4" t="s">
        <v>2057</v>
      </c>
      <c r="H30" s="4" t="s">
        <v>2278</v>
      </c>
      <c r="I30" s="4" t="s">
        <v>2012</v>
      </c>
      <c r="J30" s="4" t="s">
        <v>2279</v>
      </c>
      <c r="K30" s="4" t="s">
        <v>2280</v>
      </c>
      <c r="L30" s="4" t="s">
        <v>2281</v>
      </c>
      <c r="M30" s="4" t="s">
        <v>2078</v>
      </c>
      <c r="N30" s="8">
        <v>46234</v>
      </c>
      <c r="O30" s="8">
        <v>46356</v>
      </c>
      <c r="P30" s="4" t="s">
        <v>2277</v>
      </c>
      <c r="Q30" s="4" t="s">
        <v>2012</v>
      </c>
      <c r="R30" s="4" t="s">
        <v>2282</v>
      </c>
      <c r="S30" s="4" t="s">
        <v>2283</v>
      </c>
      <c r="T30" s="4" t="s">
        <v>2067</v>
      </c>
      <c r="U30" s="4" t="s">
        <v>2284</v>
      </c>
      <c r="V30" s="4" t="s">
        <v>2067</v>
      </c>
      <c r="W30" s="4" t="s">
        <v>2069</v>
      </c>
    </row>
    <row r="31" spans="1:23" ht="20.100000000000001" customHeight="1" x14ac:dyDescent="0.25">
      <c r="A31" s="6" t="s">
        <v>1212</v>
      </c>
      <c r="B31" s="7" t="s">
        <v>2057</v>
      </c>
      <c r="C31" s="7" t="s">
        <v>2285</v>
      </c>
      <c r="D31" s="7" t="s">
        <v>2059</v>
      </c>
      <c r="E31" s="7" t="s">
        <v>1947</v>
      </c>
      <c r="F31" s="7" t="s">
        <v>1948</v>
      </c>
      <c r="G31" s="7" t="s">
        <v>2057</v>
      </c>
      <c r="H31" s="7" t="s">
        <v>2286</v>
      </c>
      <c r="I31" s="7" t="s">
        <v>2012</v>
      </c>
      <c r="J31" s="7" t="s">
        <v>2287</v>
      </c>
      <c r="K31" s="7" t="s">
        <v>2288</v>
      </c>
      <c r="L31" s="7" t="s">
        <v>2289</v>
      </c>
      <c r="M31" s="7" t="s">
        <v>2078</v>
      </c>
      <c r="N31" s="9">
        <v>46052</v>
      </c>
      <c r="O31" s="9">
        <v>46355</v>
      </c>
      <c r="P31" s="7" t="s">
        <v>2090</v>
      </c>
      <c r="Q31" s="7" t="s">
        <v>2012</v>
      </c>
      <c r="R31" s="7" t="s">
        <v>2290</v>
      </c>
      <c r="S31" s="7" t="s">
        <v>2291</v>
      </c>
      <c r="T31" s="7" t="s">
        <v>2067</v>
      </c>
      <c r="U31" s="7" t="s">
        <v>2109</v>
      </c>
      <c r="V31" s="7" t="s">
        <v>2067</v>
      </c>
      <c r="W31" s="7" t="s">
        <v>2069</v>
      </c>
    </row>
    <row r="32" spans="1:23" ht="20.100000000000001" customHeight="1" x14ac:dyDescent="0.25">
      <c r="A32" s="3" t="s">
        <v>140</v>
      </c>
      <c r="B32" s="4" t="s">
        <v>2084</v>
      </c>
      <c r="C32" s="4" t="s">
        <v>2292</v>
      </c>
      <c r="D32" s="4" t="s">
        <v>2059</v>
      </c>
      <c r="E32" s="4" t="s">
        <v>1979</v>
      </c>
      <c r="F32" s="4" t="s">
        <v>1980</v>
      </c>
      <c r="G32" s="4" t="s">
        <v>2084</v>
      </c>
      <c r="H32" s="4" t="s">
        <v>2293</v>
      </c>
      <c r="I32" s="4" t="s">
        <v>2012</v>
      </c>
      <c r="J32" s="4" t="s">
        <v>2294</v>
      </c>
      <c r="K32" s="4" t="s">
        <v>2295</v>
      </c>
      <c r="L32" s="4" t="s">
        <v>2296</v>
      </c>
      <c r="M32" s="4" t="s">
        <v>2078</v>
      </c>
      <c r="N32" s="8">
        <v>46234</v>
      </c>
      <c r="O32" s="8">
        <v>46356</v>
      </c>
      <c r="P32" s="4" t="s">
        <v>1980</v>
      </c>
      <c r="Q32" s="4" t="s">
        <v>2012</v>
      </c>
      <c r="R32" s="4" t="s">
        <v>2297</v>
      </c>
      <c r="S32" s="4" t="s">
        <v>2298</v>
      </c>
      <c r="T32" s="4" t="s">
        <v>2067</v>
      </c>
      <c r="U32" s="4" t="s">
        <v>2299</v>
      </c>
      <c r="V32" s="4" t="s">
        <v>2067</v>
      </c>
      <c r="W32" s="4" t="s">
        <v>2082</v>
      </c>
    </row>
    <row r="33" spans="1:23" ht="20.100000000000001" customHeight="1" x14ac:dyDescent="0.25">
      <c r="A33" s="6" t="s">
        <v>508</v>
      </c>
      <c r="B33" s="7" t="s">
        <v>2057</v>
      </c>
      <c r="C33" s="7" t="s">
        <v>2300</v>
      </c>
      <c r="D33" s="7" t="s">
        <v>2059</v>
      </c>
      <c r="E33" s="7" t="s">
        <v>1940</v>
      </c>
      <c r="F33" s="7" t="s">
        <v>1941</v>
      </c>
      <c r="G33" s="7" t="s">
        <v>2057</v>
      </c>
      <c r="H33" s="7" t="s">
        <v>2301</v>
      </c>
      <c r="I33" s="7" t="s">
        <v>2012</v>
      </c>
      <c r="J33" s="7" t="s">
        <v>2302</v>
      </c>
      <c r="K33" s="7" t="s">
        <v>2303</v>
      </c>
      <c r="L33" s="7" t="s">
        <v>2304</v>
      </c>
      <c r="M33" s="7" t="s">
        <v>2064</v>
      </c>
      <c r="N33" s="9">
        <v>42955</v>
      </c>
      <c r="O33" s="9"/>
      <c r="P33" s="7" t="s">
        <v>1941</v>
      </c>
      <c r="Q33" s="7" t="s">
        <v>2012</v>
      </c>
      <c r="R33" s="7" t="s">
        <v>2305</v>
      </c>
      <c r="S33" s="7" t="s">
        <v>2306</v>
      </c>
      <c r="T33" s="7" t="s">
        <v>2067</v>
      </c>
      <c r="U33" s="7" t="s">
        <v>2068</v>
      </c>
      <c r="V33" s="7" t="s">
        <v>2067</v>
      </c>
      <c r="W33" s="7" t="s">
        <v>2069</v>
      </c>
    </row>
    <row r="34" spans="1:23" ht="20.100000000000001" customHeight="1" x14ac:dyDescent="0.25">
      <c r="A34" s="3" t="s">
        <v>466</v>
      </c>
      <c r="B34" s="4" t="s">
        <v>2057</v>
      </c>
      <c r="C34" s="4" t="s">
        <v>2307</v>
      </c>
      <c r="D34" s="4" t="s">
        <v>2059</v>
      </c>
      <c r="E34" s="4" t="s">
        <v>1940</v>
      </c>
      <c r="F34" s="4" t="s">
        <v>1941</v>
      </c>
      <c r="G34" s="4" t="s">
        <v>2057</v>
      </c>
      <c r="H34" s="4" t="s">
        <v>2278</v>
      </c>
      <c r="I34" s="4" t="s">
        <v>2012</v>
      </c>
      <c r="J34" s="4" t="s">
        <v>2308</v>
      </c>
      <c r="K34" s="4" t="s">
        <v>2309</v>
      </c>
      <c r="L34" s="4" t="s">
        <v>2310</v>
      </c>
      <c r="M34" s="4" t="s">
        <v>2064</v>
      </c>
      <c r="N34" s="8">
        <v>36913</v>
      </c>
      <c r="O34" s="8"/>
      <c r="P34" s="4" t="s">
        <v>1941</v>
      </c>
      <c r="Q34" s="4" t="s">
        <v>2012</v>
      </c>
      <c r="R34" s="4" t="s">
        <v>2311</v>
      </c>
      <c r="S34" s="4" t="s">
        <v>2312</v>
      </c>
      <c r="T34" s="4" t="s">
        <v>2067</v>
      </c>
      <c r="U34" s="4" t="s">
        <v>2068</v>
      </c>
      <c r="V34" s="4" t="s">
        <v>2067</v>
      </c>
      <c r="W34" s="4" t="s">
        <v>2069</v>
      </c>
    </row>
    <row r="35" spans="1:23" ht="20.100000000000001" customHeight="1" x14ac:dyDescent="0.25">
      <c r="A35" s="6" t="s">
        <v>2313</v>
      </c>
      <c r="B35" s="7" t="s">
        <v>2084</v>
      </c>
      <c r="C35" s="7" t="s">
        <v>2314</v>
      </c>
      <c r="D35" s="7" t="s">
        <v>2059</v>
      </c>
      <c r="E35" s="7" t="s">
        <v>2189</v>
      </c>
      <c r="F35" s="7" t="s">
        <v>2190</v>
      </c>
      <c r="G35" s="7" t="s">
        <v>2084</v>
      </c>
      <c r="H35" s="7" t="s">
        <v>2315</v>
      </c>
      <c r="I35" s="7" t="s">
        <v>2012</v>
      </c>
      <c r="J35" s="7" t="s">
        <v>2316</v>
      </c>
      <c r="K35" s="7" t="s">
        <v>2317</v>
      </c>
      <c r="L35" s="7" t="s">
        <v>2318</v>
      </c>
      <c r="M35" s="7" t="s">
        <v>2078</v>
      </c>
      <c r="N35" s="9">
        <v>46234</v>
      </c>
      <c r="O35" s="9">
        <v>46356</v>
      </c>
      <c r="P35" s="7" t="s">
        <v>2195</v>
      </c>
      <c r="Q35" s="7" t="s">
        <v>2012</v>
      </c>
      <c r="R35" s="7" t="s">
        <v>2319</v>
      </c>
      <c r="S35" s="7" t="s">
        <v>2320</v>
      </c>
      <c r="T35" s="7" t="s">
        <v>2067</v>
      </c>
      <c r="U35" s="7" t="s">
        <v>2198</v>
      </c>
      <c r="V35" s="7" t="s">
        <v>2067</v>
      </c>
      <c r="W35" s="7" t="s">
        <v>2082</v>
      </c>
    </row>
    <row r="36" spans="1:23" ht="20.100000000000001" customHeight="1" x14ac:dyDescent="0.25">
      <c r="A36" s="3" t="s">
        <v>2321</v>
      </c>
      <c r="B36" s="4" t="s">
        <v>2057</v>
      </c>
      <c r="C36" s="4" t="s">
        <v>2322</v>
      </c>
      <c r="D36" s="4" t="s">
        <v>2059</v>
      </c>
      <c r="E36" s="4" t="s">
        <v>2131</v>
      </c>
      <c r="F36" s="4" t="s">
        <v>2132</v>
      </c>
      <c r="G36" s="4" t="s">
        <v>2057</v>
      </c>
      <c r="H36" s="4" t="s">
        <v>2286</v>
      </c>
      <c r="I36" s="4" t="s">
        <v>2012</v>
      </c>
      <c r="J36" s="4" t="s">
        <v>2323</v>
      </c>
      <c r="K36" s="4" t="s">
        <v>2324</v>
      </c>
      <c r="L36" s="4" t="s">
        <v>2325</v>
      </c>
      <c r="M36" s="4" t="s">
        <v>2078</v>
      </c>
      <c r="N36" s="8">
        <v>46234</v>
      </c>
      <c r="O36" s="8">
        <v>46356</v>
      </c>
      <c r="P36" s="4" t="s">
        <v>2132</v>
      </c>
      <c r="Q36" s="4" t="s">
        <v>2012</v>
      </c>
      <c r="R36" s="4" t="s">
        <v>2326</v>
      </c>
      <c r="S36" s="4" t="s">
        <v>2327</v>
      </c>
      <c r="T36" s="4" t="s">
        <v>2067</v>
      </c>
      <c r="U36" s="4" t="s">
        <v>2138</v>
      </c>
      <c r="V36" s="4" t="s">
        <v>2067</v>
      </c>
      <c r="W36" s="4" t="s">
        <v>2069</v>
      </c>
    </row>
    <row r="37" spans="1:23" ht="20.100000000000001" customHeight="1" x14ac:dyDescent="0.25">
      <c r="A37" s="6" t="s">
        <v>1716</v>
      </c>
      <c r="B37" s="7" t="s">
        <v>2057</v>
      </c>
      <c r="C37" s="7" t="s">
        <v>2328</v>
      </c>
      <c r="D37" s="7" t="s">
        <v>2059</v>
      </c>
      <c r="E37" s="7" t="s">
        <v>1947</v>
      </c>
      <c r="F37" s="7" t="s">
        <v>2329</v>
      </c>
      <c r="G37" s="7" t="s">
        <v>2057</v>
      </c>
      <c r="H37" s="7" t="s">
        <v>2011</v>
      </c>
      <c r="I37" s="7" t="s">
        <v>2012</v>
      </c>
      <c r="J37" s="7" t="s">
        <v>2330</v>
      </c>
      <c r="K37" s="7" t="s">
        <v>2331</v>
      </c>
      <c r="L37" s="7" t="s">
        <v>2332</v>
      </c>
      <c r="M37" s="7" t="s">
        <v>2078</v>
      </c>
      <c r="N37" s="9">
        <v>46234</v>
      </c>
      <c r="O37" s="9">
        <v>46356</v>
      </c>
      <c r="P37" s="7" t="s">
        <v>2333</v>
      </c>
      <c r="Q37" s="7" t="s">
        <v>2012</v>
      </c>
      <c r="R37" s="7" t="s">
        <v>2334</v>
      </c>
      <c r="S37" s="7" t="s">
        <v>2335</v>
      </c>
      <c r="T37" s="7" t="s">
        <v>2067</v>
      </c>
      <c r="U37" s="7" t="s">
        <v>2336</v>
      </c>
      <c r="V37" s="7" t="s">
        <v>2067</v>
      </c>
      <c r="W37" s="7" t="s">
        <v>2069</v>
      </c>
    </row>
    <row r="38" spans="1:23" ht="20.100000000000001" customHeight="1" x14ac:dyDescent="0.25">
      <c r="A38" s="3" t="s">
        <v>632</v>
      </c>
      <c r="B38" s="4" t="s">
        <v>2084</v>
      </c>
      <c r="C38" s="4" t="s">
        <v>2337</v>
      </c>
      <c r="D38" s="4" t="s">
        <v>2059</v>
      </c>
      <c r="E38" s="4" t="s">
        <v>2072</v>
      </c>
      <c r="F38" s="4" t="s">
        <v>2338</v>
      </c>
      <c r="G38" s="4" t="s">
        <v>2084</v>
      </c>
      <c r="H38" s="4" t="s">
        <v>2140</v>
      </c>
      <c r="I38" s="4" t="s">
        <v>2012</v>
      </c>
      <c r="J38" s="4" t="s">
        <v>2339</v>
      </c>
      <c r="K38" s="4" t="s">
        <v>2340</v>
      </c>
      <c r="L38" s="4" t="s">
        <v>2341</v>
      </c>
      <c r="M38" s="4" t="s">
        <v>2078</v>
      </c>
      <c r="N38" s="8">
        <v>46052</v>
      </c>
      <c r="O38" s="8">
        <v>46296</v>
      </c>
      <c r="P38" s="4" t="s">
        <v>2338</v>
      </c>
      <c r="Q38" s="4" t="s">
        <v>2012</v>
      </c>
      <c r="R38" s="4" t="s">
        <v>2342</v>
      </c>
      <c r="S38" s="4" t="s">
        <v>2343</v>
      </c>
      <c r="T38" s="4" t="s">
        <v>2067</v>
      </c>
      <c r="U38" s="4" t="s">
        <v>2344</v>
      </c>
      <c r="V38" s="4" t="s">
        <v>2067</v>
      </c>
      <c r="W38" s="4" t="s">
        <v>2069</v>
      </c>
    </row>
    <row r="39" spans="1:23" ht="20.100000000000001" customHeight="1" x14ac:dyDescent="0.25">
      <c r="A39" s="6" t="s">
        <v>2345</v>
      </c>
      <c r="B39" s="7" t="s">
        <v>2057</v>
      </c>
      <c r="C39" s="7" t="s">
        <v>2346</v>
      </c>
      <c r="D39" s="7" t="s">
        <v>2059</v>
      </c>
      <c r="E39" s="7" t="s">
        <v>1965</v>
      </c>
      <c r="F39" s="7" t="s">
        <v>1966</v>
      </c>
      <c r="G39" s="7" t="s">
        <v>2057</v>
      </c>
      <c r="H39" s="7" t="s">
        <v>2011</v>
      </c>
      <c r="I39" s="7" t="s">
        <v>2012</v>
      </c>
      <c r="J39" s="7" t="s">
        <v>2347</v>
      </c>
      <c r="K39" s="7" t="s">
        <v>2348</v>
      </c>
      <c r="L39" s="7" t="s">
        <v>2349</v>
      </c>
      <c r="M39" s="7" t="s">
        <v>2078</v>
      </c>
      <c r="N39" s="9">
        <v>46234</v>
      </c>
      <c r="O39" s="9">
        <v>46356</v>
      </c>
      <c r="P39" s="7" t="s">
        <v>1966</v>
      </c>
      <c r="Q39" s="7" t="s">
        <v>2012</v>
      </c>
      <c r="R39" s="7" t="s">
        <v>2126</v>
      </c>
      <c r="S39" s="7" t="s">
        <v>2350</v>
      </c>
      <c r="T39" s="7" t="s">
        <v>2351</v>
      </c>
      <c r="U39" s="7" t="s">
        <v>2174</v>
      </c>
      <c r="V39" s="7" t="s">
        <v>2351</v>
      </c>
      <c r="W39" s="7" t="s">
        <v>2069</v>
      </c>
    </row>
    <row r="40" spans="1:23" ht="20.100000000000001" customHeight="1" x14ac:dyDescent="0.25">
      <c r="A40" s="3" t="s">
        <v>570</v>
      </c>
      <c r="B40" s="4" t="s">
        <v>2057</v>
      </c>
      <c r="C40" s="4" t="s">
        <v>2352</v>
      </c>
      <c r="D40" s="4" t="s">
        <v>2059</v>
      </c>
      <c r="E40" s="4" t="s">
        <v>1952</v>
      </c>
      <c r="F40" s="4" t="s">
        <v>1953</v>
      </c>
      <c r="G40" s="4" t="s">
        <v>2057</v>
      </c>
      <c r="H40" s="4" t="s">
        <v>2011</v>
      </c>
      <c r="I40" s="4" t="s">
        <v>2012</v>
      </c>
      <c r="J40" s="4" t="s">
        <v>2353</v>
      </c>
      <c r="K40" s="4" t="s">
        <v>2354</v>
      </c>
      <c r="L40" s="4" t="s">
        <v>2355</v>
      </c>
      <c r="M40" s="4" t="s">
        <v>2078</v>
      </c>
      <c r="N40" s="8">
        <v>46234</v>
      </c>
      <c r="O40" s="8">
        <v>46356</v>
      </c>
      <c r="P40" s="4" t="s">
        <v>1953</v>
      </c>
      <c r="Q40" s="4" t="s">
        <v>2012</v>
      </c>
      <c r="R40" s="4" t="s">
        <v>2356</v>
      </c>
      <c r="S40" s="4" t="s">
        <v>2357</v>
      </c>
      <c r="T40" s="4" t="s">
        <v>2067</v>
      </c>
      <c r="U40" s="4" t="s">
        <v>2358</v>
      </c>
      <c r="V40" s="4" t="s">
        <v>2067</v>
      </c>
      <c r="W40" s="4" t="s">
        <v>2069</v>
      </c>
    </row>
    <row r="41" spans="1:23" ht="20.100000000000001" customHeight="1" x14ac:dyDescent="0.25">
      <c r="A41" s="6" t="s">
        <v>728</v>
      </c>
      <c r="B41" s="7" t="s">
        <v>2057</v>
      </c>
      <c r="C41" s="7" t="s">
        <v>2359</v>
      </c>
      <c r="D41" s="7" t="s">
        <v>2059</v>
      </c>
      <c r="E41" s="7" t="s">
        <v>1947</v>
      </c>
      <c r="F41" s="7" t="s">
        <v>2121</v>
      </c>
      <c r="G41" s="7" t="s">
        <v>2057</v>
      </c>
      <c r="H41" s="7" t="s">
        <v>2360</v>
      </c>
      <c r="I41" s="7" t="s">
        <v>2012</v>
      </c>
      <c r="J41" s="7" t="s">
        <v>2361</v>
      </c>
      <c r="K41" s="7" t="s">
        <v>2362</v>
      </c>
      <c r="L41" s="7" t="s">
        <v>2363</v>
      </c>
      <c r="M41" s="7" t="s">
        <v>2078</v>
      </c>
      <c r="N41" s="9">
        <v>46234</v>
      </c>
      <c r="O41" s="9">
        <v>46356</v>
      </c>
      <c r="P41" s="7" t="s">
        <v>2121</v>
      </c>
      <c r="Q41" s="7" t="s">
        <v>2012</v>
      </c>
      <c r="R41" s="7" t="s">
        <v>2364</v>
      </c>
      <c r="S41" s="7" t="s">
        <v>2365</v>
      </c>
      <c r="T41" s="7" t="s">
        <v>2067</v>
      </c>
      <c r="U41" s="7" t="s">
        <v>2109</v>
      </c>
      <c r="V41" s="7" t="s">
        <v>2067</v>
      </c>
      <c r="W41" s="7" t="s">
        <v>2082</v>
      </c>
    </row>
    <row r="42" spans="1:23" ht="20.100000000000001" customHeight="1" x14ac:dyDescent="0.25">
      <c r="A42" s="3" t="s">
        <v>532</v>
      </c>
      <c r="B42" s="4" t="s">
        <v>2084</v>
      </c>
      <c r="C42" s="4" t="s">
        <v>2366</v>
      </c>
      <c r="D42" s="4" t="s">
        <v>2059</v>
      </c>
      <c r="E42" s="4" t="s">
        <v>2367</v>
      </c>
      <c r="F42" s="4" t="s">
        <v>2368</v>
      </c>
      <c r="G42" s="4" t="s">
        <v>2084</v>
      </c>
      <c r="H42" s="4" t="s">
        <v>2140</v>
      </c>
      <c r="I42" s="4" t="s">
        <v>2012</v>
      </c>
      <c r="J42" s="4" t="s">
        <v>2369</v>
      </c>
      <c r="K42" s="4" t="s">
        <v>2370</v>
      </c>
      <c r="L42" s="4" t="s">
        <v>2371</v>
      </c>
      <c r="M42" s="4" t="s">
        <v>2078</v>
      </c>
      <c r="N42" s="8">
        <v>46234</v>
      </c>
      <c r="O42" s="8">
        <v>46356</v>
      </c>
      <c r="P42" s="4" t="s">
        <v>2368</v>
      </c>
      <c r="Q42" s="4" t="s">
        <v>2012</v>
      </c>
      <c r="R42" s="4" t="s">
        <v>2372</v>
      </c>
      <c r="S42" s="4" t="s">
        <v>2373</v>
      </c>
      <c r="T42" s="4" t="s">
        <v>2067</v>
      </c>
      <c r="U42" s="4" t="s">
        <v>2374</v>
      </c>
      <c r="V42" s="4" t="s">
        <v>2067</v>
      </c>
      <c r="W42" s="4" t="s">
        <v>2069</v>
      </c>
    </row>
    <row r="43" spans="1:23" ht="20.100000000000001" customHeight="1" x14ac:dyDescent="0.25">
      <c r="A43" s="6" t="s">
        <v>1638</v>
      </c>
      <c r="B43" s="7" t="s">
        <v>2057</v>
      </c>
      <c r="C43" s="7" t="s">
        <v>2375</v>
      </c>
      <c r="D43" s="7" t="s">
        <v>2059</v>
      </c>
      <c r="E43" s="7" t="s">
        <v>1947</v>
      </c>
      <c r="F43" s="7" t="s">
        <v>1948</v>
      </c>
      <c r="G43" s="7" t="s">
        <v>2057</v>
      </c>
      <c r="H43" s="7" t="s">
        <v>2103</v>
      </c>
      <c r="I43" s="7" t="s">
        <v>2012</v>
      </c>
      <c r="J43" s="7" t="s">
        <v>2376</v>
      </c>
      <c r="K43" s="7" t="s">
        <v>2377</v>
      </c>
      <c r="L43" s="7" t="s">
        <v>2378</v>
      </c>
      <c r="M43" s="7" t="s">
        <v>2064</v>
      </c>
      <c r="N43" s="9">
        <v>42387</v>
      </c>
      <c r="O43" s="9"/>
      <c r="P43" s="7" t="s">
        <v>2090</v>
      </c>
      <c r="Q43" s="7" t="s">
        <v>2012</v>
      </c>
      <c r="R43" s="7" t="s">
        <v>2379</v>
      </c>
      <c r="S43" s="7" t="s">
        <v>2380</v>
      </c>
      <c r="T43" s="7" t="s">
        <v>2067</v>
      </c>
      <c r="U43" s="7" t="s">
        <v>2109</v>
      </c>
      <c r="V43" s="7" t="s">
        <v>2067</v>
      </c>
      <c r="W43" s="7" t="s">
        <v>2069</v>
      </c>
    </row>
    <row r="44" spans="1:23" ht="20.100000000000001" customHeight="1" x14ac:dyDescent="0.25">
      <c r="A44" s="3" t="s">
        <v>398</v>
      </c>
      <c r="B44" s="4" t="s">
        <v>2057</v>
      </c>
      <c r="C44" s="4" t="s">
        <v>2381</v>
      </c>
      <c r="D44" s="4" t="s">
        <v>2059</v>
      </c>
      <c r="E44" s="4" t="s">
        <v>1947</v>
      </c>
      <c r="F44" s="4" t="s">
        <v>1948</v>
      </c>
      <c r="G44" s="4" t="s">
        <v>2057</v>
      </c>
      <c r="H44" s="4" t="s">
        <v>2360</v>
      </c>
      <c r="I44" s="4" t="s">
        <v>2012</v>
      </c>
      <c r="J44" s="4" t="s">
        <v>2382</v>
      </c>
      <c r="K44" s="4" t="s">
        <v>2383</v>
      </c>
      <c r="L44" s="4" t="s">
        <v>2384</v>
      </c>
      <c r="M44" s="4" t="s">
        <v>2078</v>
      </c>
      <c r="N44" s="8">
        <v>46234</v>
      </c>
      <c r="O44" s="8">
        <v>46356</v>
      </c>
      <c r="P44" s="4" t="s">
        <v>2090</v>
      </c>
      <c r="Q44" s="4" t="s">
        <v>2012</v>
      </c>
      <c r="R44" s="4" t="s">
        <v>2385</v>
      </c>
      <c r="S44" s="4" t="s">
        <v>2386</v>
      </c>
      <c r="T44" s="4" t="s">
        <v>2067</v>
      </c>
      <c r="U44" s="4" t="s">
        <v>2109</v>
      </c>
      <c r="V44" s="4" t="s">
        <v>2067</v>
      </c>
      <c r="W44" s="4" t="s">
        <v>2082</v>
      </c>
    </row>
    <row r="45" spans="1:23" ht="20.100000000000001" customHeight="1" x14ac:dyDescent="0.25">
      <c r="A45" s="6" t="s">
        <v>1782</v>
      </c>
      <c r="B45" s="7" t="s">
        <v>2057</v>
      </c>
      <c r="C45" s="7" t="s">
        <v>2387</v>
      </c>
      <c r="D45" s="7" t="s">
        <v>2059</v>
      </c>
      <c r="E45" s="7" t="s">
        <v>1947</v>
      </c>
      <c r="F45" s="7" t="s">
        <v>1948</v>
      </c>
      <c r="G45" s="7" t="s">
        <v>2057</v>
      </c>
      <c r="H45" s="7" t="s">
        <v>2011</v>
      </c>
      <c r="I45" s="7" t="s">
        <v>2012</v>
      </c>
      <c r="J45" s="7" t="s">
        <v>2388</v>
      </c>
      <c r="K45" s="7" t="s">
        <v>2389</v>
      </c>
      <c r="L45" s="7" t="s">
        <v>2390</v>
      </c>
      <c r="M45" s="7" t="s">
        <v>2064</v>
      </c>
      <c r="N45" s="9">
        <v>45873</v>
      </c>
      <c r="O45" s="9"/>
      <c r="P45" s="7" t="s">
        <v>2090</v>
      </c>
      <c r="Q45" s="7" t="s">
        <v>2012</v>
      </c>
      <c r="R45" s="7" t="s">
        <v>2391</v>
      </c>
      <c r="S45" s="7" t="s">
        <v>2392</v>
      </c>
      <c r="T45" s="7" t="s">
        <v>2067</v>
      </c>
      <c r="U45" s="7" t="s">
        <v>2109</v>
      </c>
      <c r="V45" s="7" t="s">
        <v>2067</v>
      </c>
      <c r="W45" s="7" t="s">
        <v>2069</v>
      </c>
    </row>
    <row r="46" spans="1:23" ht="20.100000000000001" customHeight="1" x14ac:dyDescent="0.25">
      <c r="A46" s="3" t="s">
        <v>696</v>
      </c>
      <c r="B46" s="4" t="s">
        <v>2084</v>
      </c>
      <c r="C46" s="4" t="s">
        <v>2393</v>
      </c>
      <c r="D46" s="4" t="s">
        <v>2059</v>
      </c>
      <c r="E46" s="4" t="s">
        <v>1947</v>
      </c>
      <c r="F46" s="4" t="s">
        <v>1948</v>
      </c>
      <c r="G46" s="4" t="s">
        <v>2084</v>
      </c>
      <c r="H46" s="4" t="s">
        <v>2140</v>
      </c>
      <c r="I46" s="4" t="s">
        <v>2012</v>
      </c>
      <c r="J46" s="4" t="s">
        <v>2394</v>
      </c>
      <c r="K46" s="4" t="s">
        <v>2395</v>
      </c>
      <c r="L46" s="4" t="s">
        <v>2396</v>
      </c>
      <c r="M46" s="4" t="s">
        <v>2078</v>
      </c>
      <c r="N46" s="8">
        <v>46234</v>
      </c>
      <c r="O46" s="8">
        <v>46356</v>
      </c>
      <c r="P46" s="4" t="s">
        <v>2090</v>
      </c>
      <c r="Q46" s="4" t="s">
        <v>2012</v>
      </c>
      <c r="R46" s="4" t="s">
        <v>2397</v>
      </c>
      <c r="S46" s="4" t="s">
        <v>2398</v>
      </c>
      <c r="T46" s="4" t="s">
        <v>2067</v>
      </c>
      <c r="U46" s="4" t="s">
        <v>2146</v>
      </c>
      <c r="V46" s="4" t="s">
        <v>2067</v>
      </c>
      <c r="W46" s="4" t="s">
        <v>2069</v>
      </c>
    </row>
    <row r="47" spans="1:23" ht="20.100000000000001" customHeight="1" x14ac:dyDescent="0.25">
      <c r="A47" s="6" t="s">
        <v>124</v>
      </c>
      <c r="B47" s="7" t="s">
        <v>2084</v>
      </c>
      <c r="C47" s="7" t="s">
        <v>2399</v>
      </c>
      <c r="D47" s="7" t="s">
        <v>2059</v>
      </c>
      <c r="E47" s="7" t="s">
        <v>2131</v>
      </c>
      <c r="F47" s="7" t="s">
        <v>2132</v>
      </c>
      <c r="G47" s="7" t="s">
        <v>2084</v>
      </c>
      <c r="H47" s="7" t="s">
        <v>2140</v>
      </c>
      <c r="I47" s="7" t="s">
        <v>2012</v>
      </c>
      <c r="J47" s="7" t="s">
        <v>2400</v>
      </c>
      <c r="K47" s="7" t="s">
        <v>2401</v>
      </c>
      <c r="L47" s="7" t="s">
        <v>2402</v>
      </c>
      <c r="M47" s="7" t="s">
        <v>2078</v>
      </c>
      <c r="N47" s="9">
        <v>45992</v>
      </c>
      <c r="O47" s="9">
        <v>46356</v>
      </c>
      <c r="P47" s="7" t="s">
        <v>2132</v>
      </c>
      <c r="Q47" s="7" t="s">
        <v>2012</v>
      </c>
      <c r="R47" s="7" t="s">
        <v>2403</v>
      </c>
      <c r="S47" s="7" t="s">
        <v>2404</v>
      </c>
      <c r="T47" s="7" t="s">
        <v>2067</v>
      </c>
      <c r="U47" s="7" t="s">
        <v>2138</v>
      </c>
      <c r="V47" s="7" t="s">
        <v>2067</v>
      </c>
      <c r="W47" s="7" t="s">
        <v>2069</v>
      </c>
    </row>
    <row r="48" spans="1:23" ht="20.100000000000001" customHeight="1" x14ac:dyDescent="0.25">
      <c r="A48" s="3" t="s">
        <v>576</v>
      </c>
      <c r="B48" s="4" t="s">
        <v>2084</v>
      </c>
      <c r="C48" s="4" t="s">
        <v>2405</v>
      </c>
      <c r="D48" s="4" t="s">
        <v>2059</v>
      </c>
      <c r="E48" s="4" t="s">
        <v>1947</v>
      </c>
      <c r="F48" s="4" t="s">
        <v>1948</v>
      </c>
      <c r="G48" s="4" t="s">
        <v>2084</v>
      </c>
      <c r="H48" s="4" t="s">
        <v>2406</v>
      </c>
      <c r="I48" s="4" t="s">
        <v>2012</v>
      </c>
      <c r="J48" s="4" t="s">
        <v>2407</v>
      </c>
      <c r="K48" s="4" t="s">
        <v>2408</v>
      </c>
      <c r="L48" s="4" t="s">
        <v>2409</v>
      </c>
      <c r="M48" s="4" t="s">
        <v>2078</v>
      </c>
      <c r="N48" s="8">
        <v>46234</v>
      </c>
      <c r="O48" s="8">
        <v>46356</v>
      </c>
      <c r="P48" s="4" t="s">
        <v>2090</v>
      </c>
      <c r="Q48" s="4" t="s">
        <v>2012</v>
      </c>
      <c r="R48" s="4" t="s">
        <v>2410</v>
      </c>
      <c r="S48" s="4" t="s">
        <v>2411</v>
      </c>
      <c r="T48" s="4" t="s">
        <v>2067</v>
      </c>
      <c r="U48" s="4" t="s">
        <v>2146</v>
      </c>
      <c r="V48" s="4" t="s">
        <v>2067</v>
      </c>
      <c r="W48" s="4" t="s">
        <v>2069</v>
      </c>
    </row>
    <row r="49" spans="1:23" ht="20.100000000000001" customHeight="1" x14ac:dyDescent="0.25">
      <c r="A49" s="6" t="s">
        <v>2412</v>
      </c>
      <c r="B49" s="7" t="s">
        <v>2084</v>
      </c>
      <c r="C49" s="7" t="s">
        <v>2413</v>
      </c>
      <c r="D49" s="7" t="s">
        <v>2059</v>
      </c>
      <c r="E49" s="7" t="s">
        <v>1947</v>
      </c>
      <c r="F49" s="7" t="s">
        <v>1948</v>
      </c>
      <c r="G49" s="7" t="s">
        <v>2084</v>
      </c>
      <c r="H49" s="7" t="s">
        <v>2086</v>
      </c>
      <c r="I49" s="7" t="s">
        <v>2012</v>
      </c>
      <c r="J49" s="7" t="s">
        <v>2414</v>
      </c>
      <c r="K49" s="7" t="s">
        <v>2415</v>
      </c>
      <c r="L49" s="7" t="s">
        <v>2416</v>
      </c>
      <c r="M49" s="7" t="s">
        <v>2078</v>
      </c>
      <c r="N49" s="9">
        <v>46234</v>
      </c>
      <c r="O49" s="9">
        <v>46356</v>
      </c>
      <c r="P49" s="7" t="s">
        <v>2090</v>
      </c>
      <c r="Q49" s="7" t="s">
        <v>2012</v>
      </c>
      <c r="R49" s="7" t="s">
        <v>2417</v>
      </c>
      <c r="S49" s="7" t="s">
        <v>2418</v>
      </c>
      <c r="T49" s="7" t="s">
        <v>2067</v>
      </c>
      <c r="U49" s="7" t="s">
        <v>2146</v>
      </c>
      <c r="V49" s="7" t="s">
        <v>2067</v>
      </c>
      <c r="W49" s="7" t="s">
        <v>2069</v>
      </c>
    </row>
    <row r="50" spans="1:23" ht="20.100000000000001" customHeight="1" x14ac:dyDescent="0.25">
      <c r="A50" s="3" t="s">
        <v>610</v>
      </c>
      <c r="B50" s="4" t="s">
        <v>2057</v>
      </c>
      <c r="C50" s="4" t="s">
        <v>2419</v>
      </c>
      <c r="D50" s="4" t="s">
        <v>2059</v>
      </c>
      <c r="E50" s="4" t="s">
        <v>1952</v>
      </c>
      <c r="F50" s="4" t="s">
        <v>1953</v>
      </c>
      <c r="G50" s="4" t="s">
        <v>2057</v>
      </c>
      <c r="H50" s="4" t="s">
        <v>2191</v>
      </c>
      <c r="I50" s="4" t="s">
        <v>2012</v>
      </c>
      <c r="J50" s="4" t="s">
        <v>2420</v>
      </c>
      <c r="K50" s="4" t="s">
        <v>2421</v>
      </c>
      <c r="L50" s="4" t="s">
        <v>2422</v>
      </c>
      <c r="M50" s="4" t="s">
        <v>2078</v>
      </c>
      <c r="N50" s="8">
        <v>46052</v>
      </c>
      <c r="O50" s="8">
        <v>46355</v>
      </c>
      <c r="P50" s="4" t="s">
        <v>1953</v>
      </c>
      <c r="Q50" s="4" t="s">
        <v>2012</v>
      </c>
      <c r="R50" s="4" t="s">
        <v>2423</v>
      </c>
      <c r="S50" s="4" t="s">
        <v>2424</v>
      </c>
      <c r="T50" s="4" t="s">
        <v>2067</v>
      </c>
      <c r="U50" s="4" t="s">
        <v>2358</v>
      </c>
      <c r="V50" s="4" t="s">
        <v>2067</v>
      </c>
      <c r="W50" s="4" t="s">
        <v>2069</v>
      </c>
    </row>
    <row r="51" spans="1:23" ht="20.100000000000001" customHeight="1" x14ac:dyDescent="0.25">
      <c r="A51" s="6" t="s">
        <v>2425</v>
      </c>
      <c r="B51" s="7" t="s">
        <v>2057</v>
      </c>
      <c r="C51" s="7" t="s">
        <v>2426</v>
      </c>
      <c r="D51" s="7" t="s">
        <v>2059</v>
      </c>
      <c r="E51" s="7" t="s">
        <v>1947</v>
      </c>
      <c r="F51" s="7" t="s">
        <v>2427</v>
      </c>
      <c r="G51" s="7" t="s">
        <v>2057</v>
      </c>
      <c r="H51" s="7" t="s">
        <v>2161</v>
      </c>
      <c r="I51" s="7" t="s">
        <v>2012</v>
      </c>
      <c r="J51" s="7" t="s">
        <v>2428</v>
      </c>
      <c r="K51" s="7" t="s">
        <v>2429</v>
      </c>
      <c r="L51" s="7" t="s">
        <v>2430</v>
      </c>
      <c r="M51" s="7" t="s">
        <v>2078</v>
      </c>
      <c r="N51" s="9">
        <v>46234</v>
      </c>
      <c r="O51" s="9">
        <v>46356</v>
      </c>
      <c r="P51" s="7" t="s">
        <v>2427</v>
      </c>
      <c r="Q51" s="7" t="s">
        <v>2012</v>
      </c>
      <c r="R51" s="7" t="s">
        <v>2431</v>
      </c>
      <c r="S51" s="7" t="s">
        <v>2432</v>
      </c>
      <c r="T51" s="7" t="s">
        <v>2067</v>
      </c>
      <c r="U51" s="7" t="s">
        <v>2244</v>
      </c>
      <c r="V51" s="7" t="s">
        <v>2067</v>
      </c>
      <c r="W51" s="7" t="s">
        <v>2069</v>
      </c>
    </row>
    <row r="52" spans="1:23" ht="20.100000000000001" customHeight="1" x14ac:dyDescent="0.25">
      <c r="A52" s="3" t="s">
        <v>930</v>
      </c>
      <c r="B52" s="4" t="s">
        <v>2084</v>
      </c>
      <c r="C52" s="4" t="s">
        <v>2433</v>
      </c>
      <c r="D52" s="4" t="s">
        <v>2059</v>
      </c>
      <c r="E52" s="4" t="s">
        <v>1947</v>
      </c>
      <c r="F52" s="4" t="s">
        <v>1948</v>
      </c>
      <c r="G52" s="4" t="s">
        <v>2084</v>
      </c>
      <c r="H52" s="4" t="s">
        <v>2086</v>
      </c>
      <c r="I52" s="4" t="s">
        <v>2012</v>
      </c>
      <c r="J52" s="4" t="s">
        <v>2434</v>
      </c>
      <c r="K52" s="4" t="s">
        <v>2435</v>
      </c>
      <c r="L52" s="4" t="s">
        <v>2436</v>
      </c>
      <c r="M52" s="4" t="s">
        <v>2078</v>
      </c>
      <c r="N52" s="8">
        <v>46234</v>
      </c>
      <c r="O52" s="8">
        <v>46356</v>
      </c>
      <c r="P52" s="4" t="s">
        <v>2090</v>
      </c>
      <c r="Q52" s="4" t="s">
        <v>2012</v>
      </c>
      <c r="R52" s="4" t="s">
        <v>2437</v>
      </c>
      <c r="S52" s="4" t="s">
        <v>2438</v>
      </c>
      <c r="T52" s="4" t="s">
        <v>2067</v>
      </c>
      <c r="U52" s="4" t="s">
        <v>2146</v>
      </c>
      <c r="V52" s="4" t="s">
        <v>2067</v>
      </c>
      <c r="W52" s="4" t="s">
        <v>2069</v>
      </c>
    </row>
    <row r="53" spans="1:23" ht="20.100000000000001" customHeight="1" x14ac:dyDescent="0.25">
      <c r="A53" s="6" t="s">
        <v>1528</v>
      </c>
      <c r="B53" s="7" t="s">
        <v>2057</v>
      </c>
      <c r="C53" s="7" t="s">
        <v>2439</v>
      </c>
      <c r="D53" s="7" t="s">
        <v>2059</v>
      </c>
      <c r="E53" s="7" t="s">
        <v>1947</v>
      </c>
      <c r="F53" s="7" t="s">
        <v>2329</v>
      </c>
      <c r="G53" s="7" t="s">
        <v>2057</v>
      </c>
      <c r="H53" s="7" t="s">
        <v>2011</v>
      </c>
      <c r="I53" s="7" t="s">
        <v>2012</v>
      </c>
      <c r="J53" s="7" t="s">
        <v>2440</v>
      </c>
      <c r="K53" s="7" t="s">
        <v>2441</v>
      </c>
      <c r="L53" s="7" t="s">
        <v>2442</v>
      </c>
      <c r="M53" s="7" t="s">
        <v>2064</v>
      </c>
      <c r="N53" s="9">
        <v>45870</v>
      </c>
      <c r="O53" s="9"/>
      <c r="P53" s="7" t="s">
        <v>2090</v>
      </c>
      <c r="Q53" s="7" t="s">
        <v>2012</v>
      </c>
      <c r="R53" s="7" t="s">
        <v>2443</v>
      </c>
      <c r="S53" s="7" t="s">
        <v>2444</v>
      </c>
      <c r="T53" s="7" t="s">
        <v>2067</v>
      </c>
      <c r="U53" s="7" t="s">
        <v>2336</v>
      </c>
      <c r="V53" s="7" t="s">
        <v>2067</v>
      </c>
      <c r="W53" s="7" t="s">
        <v>2069</v>
      </c>
    </row>
    <row r="54" spans="1:23" ht="20.100000000000001" customHeight="1" x14ac:dyDescent="0.25">
      <c r="A54" s="3" t="s">
        <v>580</v>
      </c>
      <c r="B54" s="4" t="s">
        <v>2057</v>
      </c>
      <c r="C54" s="4" t="s">
        <v>2445</v>
      </c>
      <c r="D54" s="4" t="s">
        <v>2059</v>
      </c>
      <c r="E54" s="4" t="s">
        <v>1952</v>
      </c>
      <c r="F54" s="4" t="s">
        <v>1953</v>
      </c>
      <c r="G54" s="4" t="s">
        <v>2057</v>
      </c>
      <c r="H54" s="4" t="s">
        <v>2161</v>
      </c>
      <c r="I54" s="4" t="s">
        <v>2012</v>
      </c>
      <c r="J54" s="4" t="s">
        <v>2446</v>
      </c>
      <c r="K54" s="4" t="s">
        <v>2447</v>
      </c>
      <c r="L54" s="4" t="s">
        <v>2448</v>
      </c>
      <c r="M54" s="4" t="s">
        <v>2078</v>
      </c>
      <c r="N54" s="8">
        <v>46234</v>
      </c>
      <c r="O54" s="8">
        <v>46356</v>
      </c>
      <c r="P54" s="4" t="s">
        <v>1953</v>
      </c>
      <c r="Q54" s="4" t="s">
        <v>2012</v>
      </c>
      <c r="R54" s="4" t="s">
        <v>2449</v>
      </c>
      <c r="S54" s="4" t="s">
        <v>2450</v>
      </c>
      <c r="T54" s="4" t="s">
        <v>2067</v>
      </c>
      <c r="U54" s="4" t="s">
        <v>2358</v>
      </c>
      <c r="V54" s="4" t="s">
        <v>2067</v>
      </c>
      <c r="W54" s="4" t="s">
        <v>2069</v>
      </c>
    </row>
    <row r="55" spans="1:23" ht="20.100000000000001" customHeight="1" x14ac:dyDescent="0.25">
      <c r="A55" s="6" t="s">
        <v>814</v>
      </c>
      <c r="B55" s="7" t="s">
        <v>2057</v>
      </c>
      <c r="C55" s="7" t="s">
        <v>2451</v>
      </c>
      <c r="D55" s="7" t="s">
        <v>2059</v>
      </c>
      <c r="E55" s="7" t="s">
        <v>1947</v>
      </c>
      <c r="F55" s="7" t="s">
        <v>1948</v>
      </c>
      <c r="G55" s="7" t="s">
        <v>2057</v>
      </c>
      <c r="H55" s="7" t="s">
        <v>2103</v>
      </c>
      <c r="I55" s="7" t="s">
        <v>2012</v>
      </c>
      <c r="J55" s="7" t="s">
        <v>2452</v>
      </c>
      <c r="K55" s="7" t="s">
        <v>2453</v>
      </c>
      <c r="L55" s="7" t="s">
        <v>2454</v>
      </c>
      <c r="M55" s="7" t="s">
        <v>2064</v>
      </c>
      <c r="N55" s="9">
        <v>42387</v>
      </c>
      <c r="O55" s="9"/>
      <c r="P55" s="7" t="s">
        <v>2090</v>
      </c>
      <c r="Q55" s="7" t="s">
        <v>2012</v>
      </c>
      <c r="R55" s="7" t="s">
        <v>2455</v>
      </c>
      <c r="S55" s="7" t="s">
        <v>2456</v>
      </c>
      <c r="T55" s="7" t="s">
        <v>2067</v>
      </c>
      <c r="U55" s="7" t="s">
        <v>2109</v>
      </c>
      <c r="V55" s="7" t="s">
        <v>2067</v>
      </c>
      <c r="W55" s="7" t="s">
        <v>2069</v>
      </c>
    </row>
    <row r="56" spans="1:23" ht="20.100000000000001" customHeight="1" x14ac:dyDescent="0.25">
      <c r="A56" s="3" t="s">
        <v>2457</v>
      </c>
      <c r="B56" s="4" t="s">
        <v>2057</v>
      </c>
      <c r="C56" s="4" t="s">
        <v>2458</v>
      </c>
      <c r="D56" s="4" t="s">
        <v>2059</v>
      </c>
      <c r="E56" s="4" t="s">
        <v>1965</v>
      </c>
      <c r="F56" s="4" t="s">
        <v>1966</v>
      </c>
      <c r="G56" s="4" t="s">
        <v>2057</v>
      </c>
      <c r="H56" s="4" t="s">
        <v>2161</v>
      </c>
      <c r="I56" s="4" t="s">
        <v>2012</v>
      </c>
      <c r="J56" s="4" t="s">
        <v>2459</v>
      </c>
      <c r="K56" s="4" t="s">
        <v>2460</v>
      </c>
      <c r="L56" s="4" t="s">
        <v>2461</v>
      </c>
      <c r="M56" s="4" t="s">
        <v>2078</v>
      </c>
      <c r="N56" s="8">
        <v>46234</v>
      </c>
      <c r="O56" s="8">
        <v>46356</v>
      </c>
      <c r="P56" s="4" t="s">
        <v>1966</v>
      </c>
      <c r="Q56" s="4" t="s">
        <v>2012</v>
      </c>
      <c r="R56" s="4" t="s">
        <v>2462</v>
      </c>
      <c r="S56" s="4" t="s">
        <v>2463</v>
      </c>
      <c r="T56" s="4" t="s">
        <v>2067</v>
      </c>
      <c r="U56" s="4" t="s">
        <v>2174</v>
      </c>
      <c r="V56" s="4" t="s">
        <v>2067</v>
      </c>
      <c r="W56" s="4" t="s">
        <v>2069</v>
      </c>
    </row>
    <row r="57" spans="1:23" ht="20.100000000000001" customHeight="1" x14ac:dyDescent="0.25">
      <c r="A57" s="6" t="s">
        <v>262</v>
      </c>
      <c r="B57" s="7" t="s">
        <v>2057</v>
      </c>
      <c r="C57" s="7" t="s">
        <v>2464</v>
      </c>
      <c r="D57" s="7" t="s">
        <v>2059</v>
      </c>
      <c r="E57" s="7" t="s">
        <v>1952</v>
      </c>
      <c r="F57" s="7" t="s">
        <v>1953</v>
      </c>
      <c r="G57" s="7" t="s">
        <v>2057</v>
      </c>
      <c r="H57" s="7" t="s">
        <v>2161</v>
      </c>
      <c r="I57" s="7" t="s">
        <v>2012</v>
      </c>
      <c r="J57" s="7" t="s">
        <v>2465</v>
      </c>
      <c r="K57" s="7" t="s">
        <v>2466</v>
      </c>
      <c r="L57" s="7" t="s">
        <v>2467</v>
      </c>
      <c r="M57" s="7" t="s">
        <v>2078</v>
      </c>
      <c r="N57" s="9">
        <v>46052</v>
      </c>
      <c r="O57" s="9">
        <v>46355</v>
      </c>
      <c r="P57" s="7" t="s">
        <v>1953</v>
      </c>
      <c r="Q57" s="7" t="s">
        <v>2012</v>
      </c>
      <c r="R57" s="7" t="s">
        <v>2468</v>
      </c>
      <c r="S57" s="7" t="s">
        <v>2469</v>
      </c>
      <c r="T57" s="7" t="s">
        <v>2067</v>
      </c>
      <c r="U57" s="7" t="s">
        <v>2358</v>
      </c>
      <c r="V57" s="7" t="s">
        <v>2067</v>
      </c>
      <c r="W57" s="7" t="s">
        <v>2069</v>
      </c>
    </row>
    <row r="58" spans="1:23" ht="20.100000000000001" customHeight="1" x14ac:dyDescent="0.25">
      <c r="A58" s="3" t="s">
        <v>1128</v>
      </c>
      <c r="B58" s="4" t="s">
        <v>2084</v>
      </c>
      <c r="C58" s="4" t="s">
        <v>2470</v>
      </c>
      <c r="D58" s="4" t="s">
        <v>2059</v>
      </c>
      <c r="E58" s="4" t="s">
        <v>1947</v>
      </c>
      <c r="F58" s="4" t="s">
        <v>1948</v>
      </c>
      <c r="G58" s="4" t="s">
        <v>2084</v>
      </c>
      <c r="H58" s="4" t="s">
        <v>2293</v>
      </c>
      <c r="I58" s="4" t="s">
        <v>2012</v>
      </c>
      <c r="J58" s="4" t="s">
        <v>2471</v>
      </c>
      <c r="K58" s="4" t="s">
        <v>2472</v>
      </c>
      <c r="L58" s="4" t="s">
        <v>2473</v>
      </c>
      <c r="M58" s="4" t="s">
        <v>2078</v>
      </c>
      <c r="N58" s="8">
        <v>46234</v>
      </c>
      <c r="O58" s="8">
        <v>46356</v>
      </c>
      <c r="P58" s="4" t="s">
        <v>2090</v>
      </c>
      <c r="Q58" s="4" t="s">
        <v>2012</v>
      </c>
      <c r="R58" s="4" t="s">
        <v>2474</v>
      </c>
      <c r="S58" s="4" t="s">
        <v>2475</v>
      </c>
      <c r="T58" s="4" t="s">
        <v>2067</v>
      </c>
      <c r="U58" s="4" t="s">
        <v>2146</v>
      </c>
      <c r="V58" s="4" t="s">
        <v>2067</v>
      </c>
      <c r="W58" s="4" t="s">
        <v>2082</v>
      </c>
    </row>
    <row r="59" spans="1:23" ht="20.100000000000001" customHeight="1" x14ac:dyDescent="0.25">
      <c r="A59" s="6" t="s">
        <v>2476</v>
      </c>
      <c r="B59" s="7" t="s">
        <v>2057</v>
      </c>
      <c r="C59" s="7" t="s">
        <v>2477</v>
      </c>
      <c r="D59" s="7" t="s">
        <v>2059</v>
      </c>
      <c r="E59" s="7" t="s">
        <v>2189</v>
      </c>
      <c r="F59" s="7" t="s">
        <v>2190</v>
      </c>
      <c r="G59" s="7" t="s">
        <v>2057</v>
      </c>
      <c r="H59" s="7" t="s">
        <v>2191</v>
      </c>
      <c r="I59" s="7" t="s">
        <v>2012</v>
      </c>
      <c r="J59" s="7" t="s">
        <v>2478</v>
      </c>
      <c r="K59" s="7" t="s">
        <v>2479</v>
      </c>
      <c r="L59" s="7" t="s">
        <v>2480</v>
      </c>
      <c r="M59" s="7" t="s">
        <v>2078</v>
      </c>
      <c r="N59" s="9">
        <v>46234</v>
      </c>
      <c r="O59" s="9">
        <v>46356</v>
      </c>
      <c r="P59" s="7" t="s">
        <v>2195</v>
      </c>
      <c r="Q59" s="7" t="s">
        <v>2012</v>
      </c>
      <c r="R59" s="7" t="s">
        <v>2481</v>
      </c>
      <c r="S59" s="7" t="s">
        <v>2482</v>
      </c>
      <c r="T59" s="7" t="s">
        <v>2067</v>
      </c>
      <c r="U59" s="7" t="s">
        <v>2198</v>
      </c>
      <c r="V59" s="7" t="s">
        <v>2067</v>
      </c>
      <c r="W59" s="7" t="s">
        <v>2069</v>
      </c>
    </row>
    <row r="60" spans="1:23" ht="20.100000000000001" customHeight="1" x14ac:dyDescent="0.25">
      <c r="A60" s="3" t="s">
        <v>1036</v>
      </c>
      <c r="B60" s="4" t="s">
        <v>2057</v>
      </c>
      <c r="C60" s="4" t="s">
        <v>2483</v>
      </c>
      <c r="D60" s="4" t="s">
        <v>2059</v>
      </c>
      <c r="E60" s="4" t="s">
        <v>1947</v>
      </c>
      <c r="F60" s="4" t="s">
        <v>1948</v>
      </c>
      <c r="G60" s="4" t="s">
        <v>2057</v>
      </c>
      <c r="H60" s="4" t="s">
        <v>2011</v>
      </c>
      <c r="I60" s="4" t="s">
        <v>2012</v>
      </c>
      <c r="J60" s="4" t="s">
        <v>2484</v>
      </c>
      <c r="K60" s="4" t="s">
        <v>2485</v>
      </c>
      <c r="L60" s="4" t="s">
        <v>2486</v>
      </c>
      <c r="M60" s="4" t="s">
        <v>2064</v>
      </c>
      <c r="N60" s="8">
        <v>45870</v>
      </c>
      <c r="O60" s="8"/>
      <c r="P60" s="4" t="s">
        <v>2090</v>
      </c>
      <c r="Q60" s="4" t="s">
        <v>2012</v>
      </c>
      <c r="R60" s="4" t="s">
        <v>2487</v>
      </c>
      <c r="S60" s="4" t="s">
        <v>2488</v>
      </c>
      <c r="T60" s="4" t="s">
        <v>2067</v>
      </c>
      <c r="U60" s="4" t="s">
        <v>2109</v>
      </c>
      <c r="V60" s="4" t="s">
        <v>2067</v>
      </c>
      <c r="W60" s="4" t="s">
        <v>2069</v>
      </c>
    </row>
    <row r="61" spans="1:23" ht="20.100000000000001" customHeight="1" x14ac:dyDescent="0.25">
      <c r="A61" s="6" t="s">
        <v>1016</v>
      </c>
      <c r="B61" s="7" t="s">
        <v>2084</v>
      </c>
      <c r="C61" s="7" t="s">
        <v>2489</v>
      </c>
      <c r="D61" s="7" t="s">
        <v>2059</v>
      </c>
      <c r="E61" s="7" t="s">
        <v>1983</v>
      </c>
      <c r="F61" s="7" t="s">
        <v>1984</v>
      </c>
      <c r="G61" s="7" t="s">
        <v>2084</v>
      </c>
      <c r="H61" s="7" t="s">
        <v>2140</v>
      </c>
      <c r="I61" s="7" t="s">
        <v>2012</v>
      </c>
      <c r="J61" s="7" t="s">
        <v>2490</v>
      </c>
      <c r="K61" s="7" t="s">
        <v>2491</v>
      </c>
      <c r="L61" s="7" t="s">
        <v>2492</v>
      </c>
      <c r="M61" s="7" t="s">
        <v>2078</v>
      </c>
      <c r="N61" s="9">
        <v>46052</v>
      </c>
      <c r="O61" s="9">
        <v>46296</v>
      </c>
      <c r="P61" s="7" t="s">
        <v>2493</v>
      </c>
      <c r="Q61" s="7" t="s">
        <v>2012</v>
      </c>
      <c r="R61" s="7" t="s">
        <v>2494</v>
      </c>
      <c r="S61" s="7" t="s">
        <v>2495</v>
      </c>
      <c r="T61" s="7" t="s">
        <v>2067</v>
      </c>
      <c r="U61" s="7" t="s">
        <v>2496</v>
      </c>
      <c r="V61" s="7" t="s">
        <v>2067</v>
      </c>
      <c r="W61" s="7" t="s">
        <v>2069</v>
      </c>
    </row>
    <row r="62" spans="1:23" ht="20.100000000000001" customHeight="1" x14ac:dyDescent="0.25">
      <c r="A62" s="3" t="s">
        <v>382</v>
      </c>
      <c r="B62" s="4" t="s">
        <v>2084</v>
      </c>
      <c r="C62" s="4" t="s">
        <v>2497</v>
      </c>
      <c r="D62" s="4" t="s">
        <v>2059</v>
      </c>
      <c r="E62" s="4" t="s">
        <v>1983</v>
      </c>
      <c r="F62" s="4" t="s">
        <v>1984</v>
      </c>
      <c r="G62" s="4" t="s">
        <v>2084</v>
      </c>
      <c r="H62" s="4" t="s">
        <v>2086</v>
      </c>
      <c r="I62" s="4" t="s">
        <v>2012</v>
      </c>
      <c r="J62" s="4" t="s">
        <v>2498</v>
      </c>
      <c r="K62" s="4" t="s">
        <v>2499</v>
      </c>
      <c r="L62" s="4" t="s">
        <v>2500</v>
      </c>
      <c r="M62" s="4" t="s">
        <v>2078</v>
      </c>
      <c r="N62" s="8">
        <v>46234</v>
      </c>
      <c r="O62" s="8">
        <v>46356</v>
      </c>
      <c r="P62" s="4" t="s">
        <v>2493</v>
      </c>
      <c r="Q62" s="4" t="s">
        <v>2012</v>
      </c>
      <c r="R62" s="4" t="s">
        <v>2501</v>
      </c>
      <c r="S62" s="4" t="s">
        <v>2502</v>
      </c>
      <c r="T62" s="4" t="s">
        <v>2067</v>
      </c>
      <c r="U62" s="4" t="s">
        <v>2496</v>
      </c>
      <c r="V62" s="4" t="s">
        <v>2067</v>
      </c>
      <c r="W62" s="4" t="s">
        <v>2069</v>
      </c>
    </row>
    <row r="63" spans="1:23" ht="20.100000000000001" customHeight="1" x14ac:dyDescent="0.25">
      <c r="A63" s="6" t="s">
        <v>746</v>
      </c>
      <c r="B63" s="7" t="s">
        <v>2084</v>
      </c>
      <c r="C63" s="7" t="s">
        <v>2503</v>
      </c>
      <c r="D63" s="7" t="s">
        <v>2059</v>
      </c>
      <c r="E63" s="7" t="s">
        <v>1947</v>
      </c>
      <c r="F63" s="7" t="s">
        <v>1948</v>
      </c>
      <c r="G63" s="7" t="s">
        <v>2084</v>
      </c>
      <c r="H63" s="7" t="s">
        <v>2140</v>
      </c>
      <c r="I63" s="7" t="s">
        <v>2012</v>
      </c>
      <c r="J63" s="7" t="s">
        <v>2504</v>
      </c>
      <c r="K63" s="7" t="s">
        <v>2505</v>
      </c>
      <c r="L63" s="7" t="s">
        <v>2506</v>
      </c>
      <c r="M63" s="7" t="s">
        <v>2064</v>
      </c>
      <c r="N63" s="9">
        <v>45870</v>
      </c>
      <c r="O63" s="9"/>
      <c r="P63" s="7" t="s">
        <v>2090</v>
      </c>
      <c r="Q63" s="7" t="s">
        <v>2012</v>
      </c>
      <c r="R63" s="7" t="s">
        <v>2507</v>
      </c>
      <c r="S63" s="7" t="s">
        <v>2508</v>
      </c>
      <c r="T63" s="7" t="s">
        <v>2067</v>
      </c>
      <c r="U63" s="7" t="s">
        <v>2146</v>
      </c>
      <c r="V63" s="7" t="s">
        <v>2067</v>
      </c>
      <c r="W63" s="7" t="s">
        <v>2069</v>
      </c>
    </row>
    <row r="64" spans="1:23" ht="20.100000000000001" customHeight="1" x14ac:dyDescent="0.25">
      <c r="A64" s="3" t="s">
        <v>258</v>
      </c>
      <c r="B64" s="4" t="s">
        <v>2084</v>
      </c>
      <c r="C64" s="4" t="s">
        <v>2509</v>
      </c>
      <c r="D64" s="4" t="s">
        <v>2059</v>
      </c>
      <c r="E64" s="4" t="s">
        <v>2189</v>
      </c>
      <c r="F64" s="4" t="s">
        <v>2190</v>
      </c>
      <c r="G64" s="4" t="s">
        <v>2084</v>
      </c>
      <c r="H64" s="4" t="s">
        <v>2086</v>
      </c>
      <c r="I64" s="4" t="s">
        <v>2012</v>
      </c>
      <c r="J64" s="4" t="s">
        <v>2510</v>
      </c>
      <c r="K64" s="4" t="s">
        <v>2511</v>
      </c>
      <c r="L64" s="4" t="s">
        <v>2512</v>
      </c>
      <c r="M64" s="4" t="s">
        <v>2078</v>
      </c>
      <c r="N64" s="8">
        <v>46234</v>
      </c>
      <c r="O64" s="8">
        <v>46356</v>
      </c>
      <c r="P64" s="4" t="s">
        <v>2195</v>
      </c>
      <c r="Q64" s="4" t="s">
        <v>2012</v>
      </c>
      <c r="R64" s="4" t="s">
        <v>2513</v>
      </c>
      <c r="S64" s="4" t="s">
        <v>2514</v>
      </c>
      <c r="T64" s="4" t="s">
        <v>2067</v>
      </c>
      <c r="U64" s="4" t="s">
        <v>2198</v>
      </c>
      <c r="V64" s="4" t="s">
        <v>2067</v>
      </c>
      <c r="W64" s="4" t="s">
        <v>2069</v>
      </c>
    </row>
    <row r="65" spans="1:23" ht="20.100000000000001" customHeight="1" x14ac:dyDescent="0.25">
      <c r="A65" s="6" t="s">
        <v>562</v>
      </c>
      <c r="B65" s="7" t="s">
        <v>2057</v>
      </c>
      <c r="C65" s="7" t="s">
        <v>2515</v>
      </c>
      <c r="D65" s="7" t="s">
        <v>2059</v>
      </c>
      <c r="E65" s="7" t="s">
        <v>1940</v>
      </c>
      <c r="F65" s="7" t="s">
        <v>1941</v>
      </c>
      <c r="G65" s="7" t="s">
        <v>2057</v>
      </c>
      <c r="H65" s="7" t="s">
        <v>2191</v>
      </c>
      <c r="I65" s="7" t="s">
        <v>2012</v>
      </c>
      <c r="J65" s="7" t="s">
        <v>2516</v>
      </c>
      <c r="K65" s="7" t="s">
        <v>2517</v>
      </c>
      <c r="L65" s="7" t="s">
        <v>2518</v>
      </c>
      <c r="M65" s="7" t="s">
        <v>2078</v>
      </c>
      <c r="N65" s="9">
        <v>46234</v>
      </c>
      <c r="O65" s="9">
        <v>46356</v>
      </c>
      <c r="P65" s="7" t="s">
        <v>1941</v>
      </c>
      <c r="Q65" s="7" t="s">
        <v>2012</v>
      </c>
      <c r="R65" s="7" t="s">
        <v>2519</v>
      </c>
      <c r="S65" s="7" t="s">
        <v>2520</v>
      </c>
      <c r="T65" s="7" t="s">
        <v>2067</v>
      </c>
      <c r="U65" s="7" t="s">
        <v>2068</v>
      </c>
      <c r="V65" s="7" t="s">
        <v>2067</v>
      </c>
      <c r="W65" s="7" t="s">
        <v>2069</v>
      </c>
    </row>
    <row r="66" spans="1:23" ht="20.100000000000001" customHeight="1" x14ac:dyDescent="0.25">
      <c r="A66" s="3" t="s">
        <v>1420</v>
      </c>
      <c r="B66" s="4" t="s">
        <v>2057</v>
      </c>
      <c r="C66" s="4" t="s">
        <v>2521</v>
      </c>
      <c r="D66" s="4" t="s">
        <v>2059</v>
      </c>
      <c r="E66" s="4" t="s">
        <v>1947</v>
      </c>
      <c r="F66" s="4" t="s">
        <v>1948</v>
      </c>
      <c r="G66" s="4" t="s">
        <v>2057</v>
      </c>
      <c r="H66" s="4" t="s">
        <v>2161</v>
      </c>
      <c r="I66" s="4" t="s">
        <v>2012</v>
      </c>
      <c r="J66" s="4" t="s">
        <v>2522</v>
      </c>
      <c r="K66" s="4" t="s">
        <v>2523</v>
      </c>
      <c r="L66" s="4" t="s">
        <v>2524</v>
      </c>
      <c r="M66" s="4" t="s">
        <v>2078</v>
      </c>
      <c r="N66" s="8">
        <v>46234</v>
      </c>
      <c r="O66" s="8">
        <v>46356</v>
      </c>
      <c r="P66" s="4" t="s">
        <v>2090</v>
      </c>
      <c r="Q66" s="4" t="s">
        <v>2012</v>
      </c>
      <c r="R66" s="4" t="s">
        <v>2525</v>
      </c>
      <c r="S66" s="4" t="s">
        <v>2526</v>
      </c>
      <c r="T66" s="4" t="s">
        <v>2067</v>
      </c>
      <c r="U66" s="4" t="s">
        <v>2109</v>
      </c>
      <c r="V66" s="4" t="s">
        <v>2067</v>
      </c>
      <c r="W66" s="4" t="s">
        <v>2069</v>
      </c>
    </row>
    <row r="67" spans="1:23" ht="20.100000000000001" customHeight="1" x14ac:dyDescent="0.25">
      <c r="A67" s="6" t="s">
        <v>1206</v>
      </c>
      <c r="B67" s="7" t="s">
        <v>2057</v>
      </c>
      <c r="C67" s="7" t="s">
        <v>2008</v>
      </c>
      <c r="D67" s="7" t="s">
        <v>2059</v>
      </c>
      <c r="E67" s="7" t="s">
        <v>1947</v>
      </c>
      <c r="F67" s="7" t="s">
        <v>1948</v>
      </c>
      <c r="G67" s="7" t="s">
        <v>2057</v>
      </c>
      <c r="H67" s="7" t="s">
        <v>2011</v>
      </c>
      <c r="I67" s="7" t="s">
        <v>2012</v>
      </c>
      <c r="J67" s="7" t="s">
        <v>2527</v>
      </c>
      <c r="K67" s="7" t="s">
        <v>2528</v>
      </c>
      <c r="L67" s="7" t="s">
        <v>2529</v>
      </c>
      <c r="M67" s="7" t="s">
        <v>2064</v>
      </c>
      <c r="N67" s="9">
        <v>45870</v>
      </c>
      <c r="O67" s="9"/>
      <c r="P67" s="7" t="s">
        <v>2090</v>
      </c>
      <c r="Q67" s="7" t="s">
        <v>2012</v>
      </c>
      <c r="R67" s="7" t="s">
        <v>2530</v>
      </c>
      <c r="S67" s="7" t="s">
        <v>2531</v>
      </c>
      <c r="T67" s="7" t="s">
        <v>2067</v>
      </c>
      <c r="U67" s="7" t="s">
        <v>2109</v>
      </c>
      <c r="V67" s="7" t="s">
        <v>2067</v>
      </c>
      <c r="W67" s="7" t="s">
        <v>2069</v>
      </c>
    </row>
    <row r="68" spans="1:23" ht="20.100000000000001" customHeight="1" x14ac:dyDescent="0.25">
      <c r="A68" s="3" t="s">
        <v>774</v>
      </c>
      <c r="B68" s="4" t="s">
        <v>2057</v>
      </c>
      <c r="C68" s="4" t="s">
        <v>2532</v>
      </c>
      <c r="D68" s="4" t="s">
        <v>2059</v>
      </c>
      <c r="E68" s="4" t="s">
        <v>1947</v>
      </c>
      <c r="F68" s="4" t="s">
        <v>1948</v>
      </c>
      <c r="G68" s="4" t="s">
        <v>2057</v>
      </c>
      <c r="H68" s="4" t="s">
        <v>2011</v>
      </c>
      <c r="I68" s="4" t="s">
        <v>2012</v>
      </c>
      <c r="J68" s="4" t="s">
        <v>2533</v>
      </c>
      <c r="K68" s="4" t="s">
        <v>2534</v>
      </c>
      <c r="L68" s="4" t="s">
        <v>2535</v>
      </c>
      <c r="M68" s="4" t="s">
        <v>2078</v>
      </c>
      <c r="N68" s="8">
        <v>46052</v>
      </c>
      <c r="O68" s="8">
        <v>46296</v>
      </c>
      <c r="P68" s="4" t="s">
        <v>2090</v>
      </c>
      <c r="Q68" s="4" t="s">
        <v>2012</v>
      </c>
      <c r="R68" s="4" t="s">
        <v>2536</v>
      </c>
      <c r="S68" s="4" t="s">
        <v>2537</v>
      </c>
      <c r="T68" s="4" t="s">
        <v>2067</v>
      </c>
      <c r="U68" s="4" t="s">
        <v>2146</v>
      </c>
      <c r="V68" s="4" t="s">
        <v>2067</v>
      </c>
      <c r="W68" s="4" t="s">
        <v>2069</v>
      </c>
    </row>
    <row r="69" spans="1:23" ht="20.100000000000001" customHeight="1" x14ac:dyDescent="0.25">
      <c r="A69" s="6" t="s">
        <v>2538</v>
      </c>
      <c r="B69" s="7" t="s">
        <v>2084</v>
      </c>
      <c r="C69" s="7" t="s">
        <v>2539</v>
      </c>
      <c r="D69" s="7" t="s">
        <v>2059</v>
      </c>
      <c r="E69" s="7" t="s">
        <v>1947</v>
      </c>
      <c r="F69" s="7" t="s">
        <v>1948</v>
      </c>
      <c r="G69" s="7" t="s">
        <v>2084</v>
      </c>
      <c r="H69" s="7" t="s">
        <v>2293</v>
      </c>
      <c r="I69" s="7" t="s">
        <v>2012</v>
      </c>
      <c r="J69" s="7" t="s">
        <v>2540</v>
      </c>
      <c r="K69" s="7" t="s">
        <v>2541</v>
      </c>
      <c r="L69" s="7" t="s">
        <v>2542</v>
      </c>
      <c r="M69" s="7" t="s">
        <v>2078</v>
      </c>
      <c r="N69" s="9">
        <v>46234</v>
      </c>
      <c r="O69" s="9">
        <v>46356</v>
      </c>
      <c r="P69" s="7" t="s">
        <v>2090</v>
      </c>
      <c r="Q69" s="7" t="s">
        <v>2012</v>
      </c>
      <c r="R69" s="7" t="s">
        <v>2543</v>
      </c>
      <c r="S69" s="7" t="s">
        <v>2544</v>
      </c>
      <c r="T69" s="7" t="s">
        <v>2067</v>
      </c>
      <c r="U69" s="7" t="s">
        <v>2146</v>
      </c>
      <c r="V69" s="7" t="s">
        <v>2067</v>
      </c>
      <c r="W69" s="7" t="s">
        <v>2082</v>
      </c>
    </row>
    <row r="70" spans="1:23" ht="20.100000000000001" customHeight="1" x14ac:dyDescent="0.25">
      <c r="A70" s="3" t="s">
        <v>1208</v>
      </c>
      <c r="B70" s="4" t="s">
        <v>2057</v>
      </c>
      <c r="C70" s="4" t="s">
        <v>2545</v>
      </c>
      <c r="D70" s="4" t="s">
        <v>2059</v>
      </c>
      <c r="E70" s="4" t="s">
        <v>1947</v>
      </c>
      <c r="F70" s="4" t="s">
        <v>2121</v>
      </c>
      <c r="G70" s="4" t="s">
        <v>2057</v>
      </c>
      <c r="H70" s="4" t="s">
        <v>2191</v>
      </c>
      <c r="I70" s="4" t="s">
        <v>2012</v>
      </c>
      <c r="J70" s="4" t="s">
        <v>2546</v>
      </c>
      <c r="K70" s="4" t="s">
        <v>2547</v>
      </c>
      <c r="L70" s="4" t="s">
        <v>2548</v>
      </c>
      <c r="M70" s="4" t="s">
        <v>2078</v>
      </c>
      <c r="N70" s="8">
        <v>46234</v>
      </c>
      <c r="O70" s="8">
        <v>46356</v>
      </c>
      <c r="P70" s="4" t="s">
        <v>2121</v>
      </c>
      <c r="Q70" s="4" t="s">
        <v>2012</v>
      </c>
      <c r="R70" s="4" t="s">
        <v>2549</v>
      </c>
      <c r="S70" s="4" t="s">
        <v>2550</v>
      </c>
      <c r="T70" s="4" t="s">
        <v>2067</v>
      </c>
      <c r="U70" s="4" t="s">
        <v>2128</v>
      </c>
      <c r="V70" s="4" t="s">
        <v>2067</v>
      </c>
      <c r="W70" s="4" t="s">
        <v>2069</v>
      </c>
    </row>
    <row r="71" spans="1:23" ht="20.100000000000001" customHeight="1" x14ac:dyDescent="0.25">
      <c r="A71" s="6" t="s">
        <v>1706</v>
      </c>
      <c r="B71" s="7" t="s">
        <v>2057</v>
      </c>
      <c r="C71" s="7" t="s">
        <v>2551</v>
      </c>
      <c r="D71" s="7" t="s">
        <v>2059</v>
      </c>
      <c r="E71" s="7" t="s">
        <v>1947</v>
      </c>
      <c r="F71" s="7" t="s">
        <v>1948</v>
      </c>
      <c r="G71" s="7" t="s">
        <v>2057</v>
      </c>
      <c r="H71" s="7" t="s">
        <v>2011</v>
      </c>
      <c r="I71" s="7" t="s">
        <v>2012</v>
      </c>
      <c r="J71" s="7" t="s">
        <v>2552</v>
      </c>
      <c r="K71" s="7" t="s">
        <v>2553</v>
      </c>
      <c r="L71" s="7" t="s">
        <v>2554</v>
      </c>
      <c r="M71" s="7" t="s">
        <v>2078</v>
      </c>
      <c r="N71" s="9">
        <v>46234</v>
      </c>
      <c r="O71" s="9">
        <v>46356</v>
      </c>
      <c r="P71" s="7" t="s">
        <v>2090</v>
      </c>
      <c r="Q71" s="7" t="s">
        <v>2012</v>
      </c>
      <c r="R71" s="7" t="s">
        <v>2555</v>
      </c>
      <c r="S71" s="7" t="s">
        <v>2556</v>
      </c>
      <c r="T71" s="7" t="s">
        <v>2067</v>
      </c>
      <c r="U71" s="7" t="s">
        <v>2336</v>
      </c>
      <c r="V71" s="7" t="s">
        <v>2067</v>
      </c>
      <c r="W71" s="7" t="s">
        <v>2069</v>
      </c>
    </row>
    <row r="72" spans="1:23" ht="20.100000000000001" customHeight="1" x14ac:dyDescent="0.25">
      <c r="A72" s="3" t="s">
        <v>658</v>
      </c>
      <c r="B72" s="4" t="s">
        <v>2084</v>
      </c>
      <c r="C72" s="4" t="s">
        <v>2557</v>
      </c>
      <c r="D72" s="4" t="s">
        <v>2059</v>
      </c>
      <c r="E72" s="4" t="s">
        <v>1979</v>
      </c>
      <c r="F72" s="4" t="s">
        <v>1980</v>
      </c>
      <c r="G72" s="4" t="s">
        <v>2084</v>
      </c>
      <c r="H72" s="4" t="s">
        <v>2140</v>
      </c>
      <c r="I72" s="4" t="s">
        <v>2012</v>
      </c>
      <c r="J72" s="4" t="s">
        <v>2558</v>
      </c>
      <c r="K72" s="4" t="s">
        <v>2559</v>
      </c>
      <c r="L72" s="4" t="s">
        <v>2560</v>
      </c>
      <c r="M72" s="4" t="s">
        <v>2078</v>
      </c>
      <c r="N72" s="8">
        <v>45992</v>
      </c>
      <c r="O72" s="8">
        <v>46356</v>
      </c>
      <c r="P72" s="4" t="s">
        <v>1980</v>
      </c>
      <c r="Q72" s="4" t="s">
        <v>2012</v>
      </c>
      <c r="R72" s="4" t="s">
        <v>2561</v>
      </c>
      <c r="S72" s="4" t="s">
        <v>2562</v>
      </c>
      <c r="T72" s="4" t="s">
        <v>2067</v>
      </c>
      <c r="U72" s="4" t="s">
        <v>2299</v>
      </c>
      <c r="V72" s="4" t="s">
        <v>2067</v>
      </c>
      <c r="W72" s="4" t="s">
        <v>2069</v>
      </c>
    </row>
    <row r="73" spans="1:23" ht="20.100000000000001" customHeight="1" x14ac:dyDescent="0.25">
      <c r="A73" s="6" t="s">
        <v>2563</v>
      </c>
      <c r="B73" s="7" t="s">
        <v>2057</v>
      </c>
      <c r="C73" s="7" t="s">
        <v>2564</v>
      </c>
      <c r="D73" s="7" t="s">
        <v>2059</v>
      </c>
      <c r="E73" s="7" t="s">
        <v>1947</v>
      </c>
      <c r="F73" s="7" t="s">
        <v>1948</v>
      </c>
      <c r="G73" s="7" t="s">
        <v>2057</v>
      </c>
      <c r="H73" s="7" t="s">
        <v>2161</v>
      </c>
      <c r="I73" s="7" t="s">
        <v>2012</v>
      </c>
      <c r="J73" s="7" t="s">
        <v>2565</v>
      </c>
      <c r="K73" s="7" t="s">
        <v>2566</v>
      </c>
      <c r="L73" s="7" t="s">
        <v>2567</v>
      </c>
      <c r="M73" s="7" t="s">
        <v>2064</v>
      </c>
      <c r="N73" s="9">
        <v>45870</v>
      </c>
      <c r="O73" s="9"/>
      <c r="P73" s="7" t="s">
        <v>2090</v>
      </c>
      <c r="Q73" s="7" t="s">
        <v>2012</v>
      </c>
      <c r="R73" s="7" t="s">
        <v>2568</v>
      </c>
      <c r="S73" s="7" t="s">
        <v>2569</v>
      </c>
      <c r="T73" s="7" t="s">
        <v>2067</v>
      </c>
      <c r="U73" s="7" t="s">
        <v>2336</v>
      </c>
      <c r="V73" s="7" t="s">
        <v>2067</v>
      </c>
      <c r="W73" s="7" t="s">
        <v>2069</v>
      </c>
    </row>
    <row r="74" spans="1:23" ht="20.100000000000001" customHeight="1" x14ac:dyDescent="0.25">
      <c r="A74" s="3" t="s">
        <v>1480</v>
      </c>
      <c r="B74" s="4" t="s">
        <v>2057</v>
      </c>
      <c r="C74" s="4" t="s">
        <v>2570</v>
      </c>
      <c r="D74" s="4" t="s">
        <v>2059</v>
      </c>
      <c r="E74" s="4" t="s">
        <v>1947</v>
      </c>
      <c r="F74" s="4" t="s">
        <v>1948</v>
      </c>
      <c r="G74" s="4" t="s">
        <v>2057</v>
      </c>
      <c r="H74" s="4" t="s">
        <v>2011</v>
      </c>
      <c r="I74" s="4" t="s">
        <v>2012</v>
      </c>
      <c r="J74" s="4" t="s">
        <v>2571</v>
      </c>
      <c r="K74" s="4" t="s">
        <v>2572</v>
      </c>
      <c r="L74" s="4" t="s">
        <v>2573</v>
      </c>
      <c r="M74" s="4" t="s">
        <v>2078</v>
      </c>
      <c r="N74" s="8">
        <v>46234</v>
      </c>
      <c r="O74" s="8">
        <v>46356</v>
      </c>
      <c r="P74" s="4" t="s">
        <v>2090</v>
      </c>
      <c r="Q74" s="4" t="s">
        <v>2012</v>
      </c>
      <c r="R74" s="4" t="s">
        <v>2574</v>
      </c>
      <c r="S74" s="4" t="s">
        <v>2575</v>
      </c>
      <c r="T74" s="4" t="s">
        <v>2067</v>
      </c>
      <c r="U74" s="4" t="s">
        <v>2109</v>
      </c>
      <c r="V74" s="4" t="s">
        <v>2067</v>
      </c>
      <c r="W74" s="4" t="s">
        <v>2069</v>
      </c>
    </row>
    <row r="75" spans="1:23" ht="20.100000000000001" customHeight="1" x14ac:dyDescent="0.25">
      <c r="A75" s="6" t="s">
        <v>1592</v>
      </c>
      <c r="B75" s="7" t="s">
        <v>2057</v>
      </c>
      <c r="C75" s="7" t="s">
        <v>2576</v>
      </c>
      <c r="D75" s="7" t="s">
        <v>2059</v>
      </c>
      <c r="E75" s="7" t="s">
        <v>1947</v>
      </c>
      <c r="F75" s="7" t="s">
        <v>1948</v>
      </c>
      <c r="G75" s="7" t="s">
        <v>2057</v>
      </c>
      <c r="H75" s="7" t="s">
        <v>2161</v>
      </c>
      <c r="I75" s="7" t="s">
        <v>2012</v>
      </c>
      <c r="J75" s="7" t="s">
        <v>2577</v>
      </c>
      <c r="K75" s="7" t="s">
        <v>2578</v>
      </c>
      <c r="L75" s="7" t="s">
        <v>2579</v>
      </c>
      <c r="M75" s="7" t="s">
        <v>2078</v>
      </c>
      <c r="N75" s="9">
        <v>46234</v>
      </c>
      <c r="O75" s="9">
        <v>46356</v>
      </c>
      <c r="P75" s="7" t="s">
        <v>2090</v>
      </c>
      <c r="Q75" s="7" t="s">
        <v>2012</v>
      </c>
      <c r="R75" s="7" t="s">
        <v>2580</v>
      </c>
      <c r="S75" s="7" t="s">
        <v>2581</v>
      </c>
      <c r="T75" s="7" t="s">
        <v>2067</v>
      </c>
      <c r="U75" s="7" t="s">
        <v>2146</v>
      </c>
      <c r="V75" s="7" t="s">
        <v>2067</v>
      </c>
      <c r="W75" s="7" t="s">
        <v>2069</v>
      </c>
    </row>
    <row r="76" spans="1:23" ht="20.100000000000001" customHeight="1" x14ac:dyDescent="0.25">
      <c r="A76" s="3" t="s">
        <v>1392</v>
      </c>
      <c r="B76" s="4" t="s">
        <v>2057</v>
      </c>
      <c r="C76" s="4" t="s">
        <v>2582</v>
      </c>
      <c r="D76" s="4" t="s">
        <v>2059</v>
      </c>
      <c r="E76" s="4" t="s">
        <v>1947</v>
      </c>
      <c r="F76" s="4" t="s">
        <v>2121</v>
      </c>
      <c r="G76" s="4" t="s">
        <v>2057</v>
      </c>
      <c r="H76" s="4" t="s">
        <v>2583</v>
      </c>
      <c r="I76" s="4" t="s">
        <v>2012</v>
      </c>
      <c r="J76" s="4" t="s">
        <v>2584</v>
      </c>
      <c r="K76" s="4" t="s">
        <v>2585</v>
      </c>
      <c r="L76" s="4" t="s">
        <v>2586</v>
      </c>
      <c r="M76" s="4" t="s">
        <v>2078</v>
      </c>
      <c r="N76" s="8">
        <v>46234</v>
      </c>
      <c r="O76" s="8">
        <v>46356</v>
      </c>
      <c r="P76" s="4" t="s">
        <v>2090</v>
      </c>
      <c r="Q76" s="4" t="s">
        <v>2012</v>
      </c>
      <c r="R76" s="4" t="s">
        <v>2587</v>
      </c>
      <c r="S76" s="4" t="s">
        <v>2588</v>
      </c>
      <c r="T76" s="4" t="s">
        <v>2067</v>
      </c>
      <c r="U76" s="4" t="s">
        <v>2128</v>
      </c>
      <c r="V76" s="4" t="s">
        <v>2067</v>
      </c>
      <c r="W76" s="4" t="s">
        <v>2082</v>
      </c>
    </row>
    <row r="77" spans="1:23" ht="20.100000000000001" customHeight="1" x14ac:dyDescent="0.25">
      <c r="A77" s="6" t="s">
        <v>916</v>
      </c>
      <c r="B77" s="7" t="s">
        <v>2057</v>
      </c>
      <c r="C77" s="7" t="s">
        <v>2589</v>
      </c>
      <c r="D77" s="7" t="s">
        <v>2059</v>
      </c>
      <c r="E77" s="7" t="s">
        <v>1947</v>
      </c>
      <c r="F77" s="7" t="s">
        <v>1948</v>
      </c>
      <c r="G77" s="7" t="s">
        <v>2057</v>
      </c>
      <c r="H77" s="7" t="s">
        <v>2011</v>
      </c>
      <c r="I77" s="7" t="s">
        <v>2012</v>
      </c>
      <c r="J77" s="7" t="s">
        <v>2590</v>
      </c>
      <c r="K77" s="7" t="s">
        <v>2591</v>
      </c>
      <c r="L77" s="7" t="s">
        <v>2592</v>
      </c>
      <c r="M77" s="7" t="s">
        <v>2078</v>
      </c>
      <c r="N77" s="9">
        <v>46234</v>
      </c>
      <c r="O77" s="9">
        <v>46356</v>
      </c>
      <c r="P77" s="7" t="s">
        <v>2090</v>
      </c>
      <c r="Q77" s="7" t="s">
        <v>2012</v>
      </c>
      <c r="R77" s="7" t="s">
        <v>2593</v>
      </c>
      <c r="S77" s="7" t="s">
        <v>2594</v>
      </c>
      <c r="T77" s="7" t="s">
        <v>2067</v>
      </c>
      <c r="U77" s="7" t="s">
        <v>2109</v>
      </c>
      <c r="V77" s="7" t="s">
        <v>2067</v>
      </c>
      <c r="W77" s="7" t="s">
        <v>2069</v>
      </c>
    </row>
    <row r="78" spans="1:23" ht="20.100000000000001" customHeight="1" x14ac:dyDescent="0.25">
      <c r="A78" s="3" t="s">
        <v>312</v>
      </c>
      <c r="B78" s="4" t="s">
        <v>2084</v>
      </c>
      <c r="C78" s="4" t="s">
        <v>2595</v>
      </c>
      <c r="D78" s="4" t="s">
        <v>2059</v>
      </c>
      <c r="E78" s="4" t="s">
        <v>1983</v>
      </c>
      <c r="F78" s="4" t="s">
        <v>1984</v>
      </c>
      <c r="G78" s="4" t="s">
        <v>2084</v>
      </c>
      <c r="H78" s="4" t="s">
        <v>2293</v>
      </c>
      <c r="I78" s="4" t="s">
        <v>2012</v>
      </c>
      <c r="J78" s="4" t="s">
        <v>2596</v>
      </c>
      <c r="K78" s="4" t="s">
        <v>2597</v>
      </c>
      <c r="L78" s="4" t="s">
        <v>2598</v>
      </c>
      <c r="M78" s="4" t="s">
        <v>2078</v>
      </c>
      <c r="N78" s="8">
        <v>46052</v>
      </c>
      <c r="O78" s="8">
        <v>46296</v>
      </c>
      <c r="P78" s="4" t="s">
        <v>2493</v>
      </c>
      <c r="Q78" s="4" t="s">
        <v>2012</v>
      </c>
      <c r="R78" s="4" t="s">
        <v>2599</v>
      </c>
      <c r="S78" s="4" t="s">
        <v>2600</v>
      </c>
      <c r="T78" s="4" t="s">
        <v>2067</v>
      </c>
      <c r="U78" s="4" t="s">
        <v>2496</v>
      </c>
      <c r="V78" s="4" t="s">
        <v>2067</v>
      </c>
      <c r="W78" s="4" t="s">
        <v>2082</v>
      </c>
    </row>
    <row r="79" spans="1:23" ht="20.100000000000001" customHeight="1" x14ac:dyDescent="0.25">
      <c r="A79" s="6" t="s">
        <v>1548</v>
      </c>
      <c r="B79" s="7" t="s">
        <v>2057</v>
      </c>
      <c r="C79" s="7" t="s">
        <v>2601</v>
      </c>
      <c r="D79" s="7" t="s">
        <v>2059</v>
      </c>
      <c r="E79" s="7" t="s">
        <v>1947</v>
      </c>
      <c r="F79" s="7" t="s">
        <v>1948</v>
      </c>
      <c r="G79" s="7" t="s">
        <v>2057</v>
      </c>
      <c r="H79" s="7" t="s">
        <v>2161</v>
      </c>
      <c r="I79" s="7" t="s">
        <v>2012</v>
      </c>
      <c r="J79" s="7" t="s">
        <v>2602</v>
      </c>
      <c r="K79" s="7" t="s">
        <v>2603</v>
      </c>
      <c r="L79" s="7" t="s">
        <v>2604</v>
      </c>
      <c r="M79" s="7" t="s">
        <v>2078</v>
      </c>
      <c r="N79" s="9">
        <v>46234</v>
      </c>
      <c r="O79" s="9">
        <v>46356</v>
      </c>
      <c r="P79" s="7" t="s">
        <v>2090</v>
      </c>
      <c r="Q79" s="7" t="s">
        <v>2012</v>
      </c>
      <c r="R79" s="7" t="s">
        <v>2605</v>
      </c>
      <c r="S79" s="7" t="s">
        <v>2606</v>
      </c>
      <c r="T79" s="7" t="s">
        <v>2067</v>
      </c>
      <c r="U79" s="7" t="s">
        <v>2146</v>
      </c>
      <c r="V79" s="7" t="s">
        <v>2067</v>
      </c>
      <c r="W79" s="7" t="s">
        <v>2069</v>
      </c>
    </row>
    <row r="80" spans="1:23" ht="20.100000000000001" customHeight="1" x14ac:dyDescent="0.25">
      <c r="A80" s="3" t="s">
        <v>378</v>
      </c>
      <c r="B80" s="4" t="s">
        <v>2084</v>
      </c>
      <c r="C80" s="4" t="s">
        <v>2607</v>
      </c>
      <c r="D80" s="4" t="s">
        <v>2059</v>
      </c>
      <c r="E80" s="4" t="s">
        <v>1983</v>
      </c>
      <c r="F80" s="4" t="s">
        <v>1984</v>
      </c>
      <c r="G80" s="4" t="s">
        <v>2084</v>
      </c>
      <c r="H80" s="4" t="s">
        <v>2293</v>
      </c>
      <c r="I80" s="4" t="s">
        <v>2012</v>
      </c>
      <c r="J80" s="4" t="s">
        <v>2608</v>
      </c>
      <c r="K80" s="4" t="s">
        <v>2609</v>
      </c>
      <c r="L80" s="4" t="s">
        <v>2610</v>
      </c>
      <c r="M80" s="4" t="s">
        <v>2078</v>
      </c>
      <c r="N80" s="8">
        <v>46234</v>
      </c>
      <c r="O80" s="8">
        <v>46356</v>
      </c>
      <c r="P80" s="4" t="s">
        <v>2493</v>
      </c>
      <c r="Q80" s="4" t="s">
        <v>2012</v>
      </c>
      <c r="R80" s="4" t="s">
        <v>2611</v>
      </c>
      <c r="S80" s="4" t="s">
        <v>2612</v>
      </c>
      <c r="T80" s="4" t="s">
        <v>2067</v>
      </c>
      <c r="U80" s="4" t="s">
        <v>2496</v>
      </c>
      <c r="V80" s="4" t="s">
        <v>2067</v>
      </c>
      <c r="W80" s="4" t="s">
        <v>2082</v>
      </c>
    </row>
    <row r="81" spans="1:23" ht="20.100000000000001" customHeight="1" x14ac:dyDescent="0.25">
      <c r="A81" s="6" t="s">
        <v>1802</v>
      </c>
      <c r="B81" s="7" t="s">
        <v>2084</v>
      </c>
      <c r="C81" s="7" t="s">
        <v>2613</v>
      </c>
      <c r="D81" s="7" t="s">
        <v>2059</v>
      </c>
      <c r="E81" s="7" t="s">
        <v>1947</v>
      </c>
      <c r="F81" s="7" t="s">
        <v>1948</v>
      </c>
      <c r="G81" s="7" t="s">
        <v>2084</v>
      </c>
      <c r="H81" s="7" t="s">
        <v>2140</v>
      </c>
      <c r="I81" s="7" t="s">
        <v>2012</v>
      </c>
      <c r="J81" s="7" t="s">
        <v>2614</v>
      </c>
      <c r="K81" s="7" t="s">
        <v>2615</v>
      </c>
      <c r="L81" s="7" t="s">
        <v>2616</v>
      </c>
      <c r="M81" s="7" t="s">
        <v>2078</v>
      </c>
      <c r="N81" s="9">
        <v>46234</v>
      </c>
      <c r="O81" s="9">
        <v>46356</v>
      </c>
      <c r="P81" s="7" t="s">
        <v>2090</v>
      </c>
      <c r="Q81" s="7" t="s">
        <v>2012</v>
      </c>
      <c r="R81" s="7" t="s">
        <v>2617</v>
      </c>
      <c r="S81" s="7" t="s">
        <v>2618</v>
      </c>
      <c r="T81" s="7" t="s">
        <v>2067</v>
      </c>
      <c r="U81" s="7" t="s">
        <v>2146</v>
      </c>
      <c r="V81" s="7" t="s">
        <v>2067</v>
      </c>
      <c r="W81" s="7" t="s">
        <v>2069</v>
      </c>
    </row>
    <row r="82" spans="1:23" ht="20.100000000000001" customHeight="1" x14ac:dyDescent="0.25">
      <c r="A82" s="3" t="s">
        <v>1470</v>
      </c>
      <c r="B82" s="4" t="s">
        <v>2057</v>
      </c>
      <c r="C82" s="4" t="s">
        <v>2619</v>
      </c>
      <c r="D82" s="4" t="s">
        <v>2059</v>
      </c>
      <c r="E82" s="4" t="s">
        <v>1947</v>
      </c>
      <c r="F82" s="4" t="s">
        <v>1948</v>
      </c>
      <c r="G82" s="4" t="s">
        <v>2057</v>
      </c>
      <c r="H82" s="4" t="s">
        <v>2011</v>
      </c>
      <c r="I82" s="4" t="s">
        <v>2012</v>
      </c>
      <c r="J82" s="4" t="s">
        <v>2620</v>
      </c>
      <c r="K82" s="4" t="s">
        <v>2621</v>
      </c>
      <c r="L82" s="4" t="s">
        <v>2622</v>
      </c>
      <c r="M82" s="4" t="s">
        <v>2078</v>
      </c>
      <c r="N82" s="8">
        <v>46234</v>
      </c>
      <c r="O82" s="8">
        <v>46356</v>
      </c>
      <c r="P82" s="4" t="s">
        <v>2090</v>
      </c>
      <c r="Q82" s="4" t="s">
        <v>2012</v>
      </c>
      <c r="R82" s="4" t="s">
        <v>2623</v>
      </c>
      <c r="S82" s="4" t="s">
        <v>2624</v>
      </c>
      <c r="T82" s="4" t="s">
        <v>2067</v>
      </c>
      <c r="U82" s="4" t="s">
        <v>2109</v>
      </c>
      <c r="V82" s="4" t="s">
        <v>2067</v>
      </c>
      <c r="W82" s="4" t="s">
        <v>2069</v>
      </c>
    </row>
    <row r="83" spans="1:23" ht="20.100000000000001" customHeight="1" x14ac:dyDescent="0.25">
      <c r="A83" s="6" t="s">
        <v>394</v>
      </c>
      <c r="B83" s="7" t="s">
        <v>2084</v>
      </c>
      <c r="C83" s="7" t="s">
        <v>2625</v>
      </c>
      <c r="D83" s="7" t="s">
        <v>2059</v>
      </c>
      <c r="E83" s="7" t="s">
        <v>1947</v>
      </c>
      <c r="F83" s="7" t="s">
        <v>1948</v>
      </c>
      <c r="G83" s="7" t="s">
        <v>2084</v>
      </c>
      <c r="H83" s="7" t="s">
        <v>2086</v>
      </c>
      <c r="I83" s="7" t="s">
        <v>2012</v>
      </c>
      <c r="J83" s="7" t="s">
        <v>2626</v>
      </c>
      <c r="K83" s="7" t="s">
        <v>2627</v>
      </c>
      <c r="L83" s="7" t="s">
        <v>2628</v>
      </c>
      <c r="M83" s="7" t="s">
        <v>2078</v>
      </c>
      <c r="N83" s="9">
        <v>46234</v>
      </c>
      <c r="O83" s="9">
        <v>46356</v>
      </c>
      <c r="P83" s="7" t="s">
        <v>2090</v>
      </c>
      <c r="Q83" s="7" t="s">
        <v>2012</v>
      </c>
      <c r="R83" s="7" t="s">
        <v>2629</v>
      </c>
      <c r="S83" s="7" t="s">
        <v>2630</v>
      </c>
      <c r="T83" s="7" t="s">
        <v>2067</v>
      </c>
      <c r="U83" s="7" t="s">
        <v>2146</v>
      </c>
      <c r="V83" s="7" t="s">
        <v>2067</v>
      </c>
      <c r="W83" s="7" t="s">
        <v>2069</v>
      </c>
    </row>
    <row r="84" spans="1:23" ht="20.100000000000001" customHeight="1" x14ac:dyDescent="0.25">
      <c r="A84" s="3" t="s">
        <v>1408</v>
      </c>
      <c r="B84" s="4" t="s">
        <v>2057</v>
      </c>
      <c r="C84" s="4" t="s">
        <v>2631</v>
      </c>
      <c r="D84" s="4" t="s">
        <v>2059</v>
      </c>
      <c r="E84" s="4" t="s">
        <v>1947</v>
      </c>
      <c r="F84" s="4" t="s">
        <v>1948</v>
      </c>
      <c r="G84" s="4" t="s">
        <v>2057</v>
      </c>
      <c r="H84" s="4" t="s">
        <v>2161</v>
      </c>
      <c r="I84" s="4" t="s">
        <v>2012</v>
      </c>
      <c r="J84" s="4" t="s">
        <v>2632</v>
      </c>
      <c r="K84" s="4" t="s">
        <v>2633</v>
      </c>
      <c r="L84" s="4" t="s">
        <v>2634</v>
      </c>
      <c r="M84" s="4" t="s">
        <v>2078</v>
      </c>
      <c r="N84" s="8">
        <v>46234</v>
      </c>
      <c r="O84" s="8">
        <v>46356</v>
      </c>
      <c r="P84" s="4" t="s">
        <v>2090</v>
      </c>
      <c r="Q84" s="4" t="s">
        <v>2012</v>
      </c>
      <c r="R84" s="4" t="s">
        <v>2635</v>
      </c>
      <c r="S84" s="4" t="s">
        <v>2636</v>
      </c>
      <c r="T84" s="4" t="s">
        <v>2067</v>
      </c>
      <c r="U84" s="4" t="s">
        <v>2109</v>
      </c>
      <c r="V84" s="4" t="s">
        <v>2067</v>
      </c>
      <c r="W84" s="4" t="s">
        <v>2069</v>
      </c>
    </row>
    <row r="85" spans="1:23" ht="20.100000000000001" customHeight="1" x14ac:dyDescent="0.25">
      <c r="A85" s="6" t="s">
        <v>252</v>
      </c>
      <c r="B85" s="7" t="s">
        <v>2057</v>
      </c>
      <c r="C85" s="7" t="s">
        <v>2637</v>
      </c>
      <c r="D85" s="7" t="s">
        <v>2059</v>
      </c>
      <c r="E85" s="7" t="s">
        <v>1952</v>
      </c>
      <c r="F85" s="7" t="s">
        <v>1953</v>
      </c>
      <c r="G85" s="7" t="s">
        <v>2057</v>
      </c>
      <c r="H85" s="7" t="s">
        <v>2360</v>
      </c>
      <c r="I85" s="7" t="s">
        <v>2012</v>
      </c>
      <c r="J85" s="7" t="s">
        <v>2638</v>
      </c>
      <c r="K85" s="7" t="s">
        <v>2639</v>
      </c>
      <c r="L85" s="7" t="s">
        <v>2640</v>
      </c>
      <c r="M85" s="7" t="s">
        <v>2078</v>
      </c>
      <c r="N85" s="9">
        <v>46234</v>
      </c>
      <c r="O85" s="9">
        <v>46356</v>
      </c>
      <c r="P85" s="7" t="s">
        <v>1953</v>
      </c>
      <c r="Q85" s="7" t="s">
        <v>2012</v>
      </c>
      <c r="R85" s="7" t="s">
        <v>2641</v>
      </c>
      <c r="S85" s="7" t="s">
        <v>2642</v>
      </c>
      <c r="T85" s="7" t="s">
        <v>2067</v>
      </c>
      <c r="U85" s="7" t="s">
        <v>2358</v>
      </c>
      <c r="V85" s="7" t="s">
        <v>2067</v>
      </c>
      <c r="W85" s="7" t="s">
        <v>2082</v>
      </c>
    </row>
    <row r="86" spans="1:23" ht="20.100000000000001" customHeight="1" x14ac:dyDescent="0.25">
      <c r="A86" s="3" t="s">
        <v>2643</v>
      </c>
      <c r="B86" s="4" t="s">
        <v>2057</v>
      </c>
      <c r="C86" s="4" t="s">
        <v>2644</v>
      </c>
      <c r="D86" s="4" t="s">
        <v>2059</v>
      </c>
      <c r="E86" s="4" t="s">
        <v>1947</v>
      </c>
      <c r="F86" s="4" t="s">
        <v>1948</v>
      </c>
      <c r="G86" s="4" t="s">
        <v>2057</v>
      </c>
      <c r="H86" s="4" t="s">
        <v>2161</v>
      </c>
      <c r="I86" s="4" t="s">
        <v>2012</v>
      </c>
      <c r="J86" s="4" t="s">
        <v>2645</v>
      </c>
      <c r="K86" s="4" t="s">
        <v>2646</v>
      </c>
      <c r="L86" s="4" t="s">
        <v>2647</v>
      </c>
      <c r="M86" s="4" t="s">
        <v>2078</v>
      </c>
      <c r="N86" s="8">
        <v>46234</v>
      </c>
      <c r="O86" s="8">
        <v>46356</v>
      </c>
      <c r="P86" s="4" t="s">
        <v>2090</v>
      </c>
      <c r="Q86" s="4" t="s">
        <v>2012</v>
      </c>
      <c r="R86" s="4" t="s">
        <v>2648</v>
      </c>
      <c r="S86" s="4" t="s">
        <v>2649</v>
      </c>
      <c r="T86" s="4" t="s">
        <v>2067</v>
      </c>
      <c r="U86" s="4" t="s">
        <v>2146</v>
      </c>
      <c r="V86" s="4" t="s">
        <v>2067</v>
      </c>
      <c r="W86" s="4" t="s">
        <v>2069</v>
      </c>
    </row>
    <row r="87" spans="1:23" ht="20.100000000000001" customHeight="1" x14ac:dyDescent="0.25">
      <c r="A87" s="6" t="s">
        <v>2650</v>
      </c>
      <c r="B87" s="7" t="s">
        <v>2084</v>
      </c>
      <c r="C87" s="7" t="s">
        <v>2651</v>
      </c>
      <c r="D87" s="7" t="s">
        <v>2059</v>
      </c>
      <c r="E87" s="7" t="s">
        <v>1947</v>
      </c>
      <c r="F87" s="7" t="s">
        <v>1948</v>
      </c>
      <c r="G87" s="7" t="s">
        <v>2084</v>
      </c>
      <c r="H87" s="7" t="s">
        <v>2652</v>
      </c>
      <c r="I87" s="7" t="s">
        <v>2012</v>
      </c>
      <c r="J87" s="7" t="s">
        <v>2653</v>
      </c>
      <c r="K87" s="7" t="s">
        <v>2654</v>
      </c>
      <c r="L87" s="7" t="s">
        <v>2655</v>
      </c>
      <c r="M87" s="7" t="s">
        <v>2078</v>
      </c>
      <c r="N87" s="9">
        <v>46112</v>
      </c>
      <c r="O87" s="9">
        <v>46356</v>
      </c>
      <c r="P87" s="7" t="s">
        <v>2090</v>
      </c>
      <c r="Q87" s="7" t="s">
        <v>2012</v>
      </c>
      <c r="R87" s="7" t="s">
        <v>2656</v>
      </c>
      <c r="S87" s="7" t="s">
        <v>2657</v>
      </c>
      <c r="T87" s="7" t="s">
        <v>2067</v>
      </c>
      <c r="U87" s="7" t="s">
        <v>2146</v>
      </c>
      <c r="V87" s="7" t="s">
        <v>2067</v>
      </c>
      <c r="W87" s="7" t="s">
        <v>2069</v>
      </c>
    </row>
    <row r="88" spans="1:23" ht="20.100000000000001" customHeight="1" x14ac:dyDescent="0.25">
      <c r="A88" s="3" t="s">
        <v>2658</v>
      </c>
      <c r="B88" s="4" t="s">
        <v>2057</v>
      </c>
      <c r="C88" s="4" t="s">
        <v>2659</v>
      </c>
      <c r="D88" s="4" t="s">
        <v>2059</v>
      </c>
      <c r="E88" s="4" t="s">
        <v>1947</v>
      </c>
      <c r="F88" s="4" t="s">
        <v>1948</v>
      </c>
      <c r="G88" s="4" t="s">
        <v>2057</v>
      </c>
      <c r="H88" s="4" t="s">
        <v>2161</v>
      </c>
      <c r="I88" s="4" t="s">
        <v>2012</v>
      </c>
      <c r="J88" s="4" t="s">
        <v>2660</v>
      </c>
      <c r="K88" s="4" t="s">
        <v>2661</v>
      </c>
      <c r="L88" s="4" t="s">
        <v>2662</v>
      </c>
      <c r="M88" s="4" t="s">
        <v>2078</v>
      </c>
      <c r="N88" s="8">
        <v>46234</v>
      </c>
      <c r="O88" s="8">
        <v>46356</v>
      </c>
      <c r="P88" s="4" t="s">
        <v>2090</v>
      </c>
      <c r="Q88" s="4" t="s">
        <v>2012</v>
      </c>
      <c r="R88" s="4" t="s">
        <v>2663</v>
      </c>
      <c r="S88" s="4" t="s">
        <v>2664</v>
      </c>
      <c r="T88" s="4" t="s">
        <v>2067</v>
      </c>
      <c r="U88" s="4" t="s">
        <v>2146</v>
      </c>
      <c r="V88" s="4" t="s">
        <v>2067</v>
      </c>
      <c r="W88" s="4" t="s">
        <v>2069</v>
      </c>
    </row>
    <row r="89" spans="1:23" ht="20.100000000000001" customHeight="1" x14ac:dyDescent="0.25">
      <c r="A89" s="6" t="s">
        <v>414</v>
      </c>
      <c r="B89" s="7" t="s">
        <v>2057</v>
      </c>
      <c r="C89" s="7" t="s">
        <v>2665</v>
      </c>
      <c r="D89" s="7" t="s">
        <v>2059</v>
      </c>
      <c r="E89" s="7" t="s">
        <v>1952</v>
      </c>
      <c r="F89" s="7" t="s">
        <v>1953</v>
      </c>
      <c r="G89" s="7" t="s">
        <v>2057</v>
      </c>
      <c r="H89" s="7" t="s">
        <v>2161</v>
      </c>
      <c r="I89" s="7" t="s">
        <v>2012</v>
      </c>
      <c r="J89" s="7" t="s">
        <v>2666</v>
      </c>
      <c r="K89" s="7" t="s">
        <v>2667</v>
      </c>
      <c r="L89" s="7" t="s">
        <v>2668</v>
      </c>
      <c r="M89" s="7" t="s">
        <v>2078</v>
      </c>
      <c r="N89" s="9">
        <v>46118</v>
      </c>
      <c r="O89" s="9">
        <v>46294</v>
      </c>
      <c r="P89" s="7" t="s">
        <v>1953</v>
      </c>
      <c r="Q89" s="7" t="s">
        <v>2012</v>
      </c>
      <c r="R89" s="7" t="s">
        <v>2669</v>
      </c>
      <c r="S89" s="7" t="s">
        <v>2670</v>
      </c>
      <c r="T89" s="7" t="s">
        <v>2067</v>
      </c>
      <c r="U89" s="7" t="s">
        <v>2358</v>
      </c>
      <c r="V89" s="7" t="s">
        <v>2067</v>
      </c>
      <c r="W89" s="7" t="s">
        <v>2069</v>
      </c>
    </row>
    <row r="90" spans="1:23" ht="20.100000000000001" customHeight="1" x14ac:dyDescent="0.25">
      <c r="A90" s="3" t="s">
        <v>2671</v>
      </c>
      <c r="B90" s="4" t="s">
        <v>2057</v>
      </c>
      <c r="C90" s="4" t="s">
        <v>2672</v>
      </c>
      <c r="D90" s="4" t="s">
        <v>2059</v>
      </c>
      <c r="E90" s="4" t="s">
        <v>2673</v>
      </c>
      <c r="F90" s="4" t="s">
        <v>2674</v>
      </c>
      <c r="G90" s="4" t="s">
        <v>2057</v>
      </c>
      <c r="H90" s="4" t="s">
        <v>2191</v>
      </c>
      <c r="I90" s="4" t="s">
        <v>2012</v>
      </c>
      <c r="J90" s="4" t="s">
        <v>2675</v>
      </c>
      <c r="K90" s="4" t="s">
        <v>2676</v>
      </c>
      <c r="L90" s="4" t="s">
        <v>2677</v>
      </c>
      <c r="M90" s="4" t="s">
        <v>2078</v>
      </c>
      <c r="N90" s="8">
        <v>46234</v>
      </c>
      <c r="O90" s="8">
        <v>46356</v>
      </c>
      <c r="P90" s="4" t="s">
        <v>2674</v>
      </c>
      <c r="Q90" s="4" t="s">
        <v>2012</v>
      </c>
      <c r="R90" s="4" t="s">
        <v>2678</v>
      </c>
      <c r="S90" s="4" t="s">
        <v>2679</v>
      </c>
      <c r="T90" s="4" t="s">
        <v>2067</v>
      </c>
      <c r="U90" s="4" t="s">
        <v>2680</v>
      </c>
      <c r="V90" s="4" t="s">
        <v>2067</v>
      </c>
      <c r="W90" s="4" t="s">
        <v>2069</v>
      </c>
    </row>
    <row r="91" spans="1:23" ht="20.100000000000001" customHeight="1" x14ac:dyDescent="0.25">
      <c r="A91" s="6" t="s">
        <v>2681</v>
      </c>
      <c r="B91" s="7" t="s">
        <v>2057</v>
      </c>
      <c r="C91" s="7" t="s">
        <v>2682</v>
      </c>
      <c r="D91" s="7" t="s">
        <v>2059</v>
      </c>
      <c r="E91" s="7" t="s">
        <v>1947</v>
      </c>
      <c r="F91" s="7" t="s">
        <v>2277</v>
      </c>
      <c r="G91" s="7" t="s">
        <v>2057</v>
      </c>
      <c r="H91" s="7" t="s">
        <v>2360</v>
      </c>
      <c r="I91" s="7" t="s">
        <v>2012</v>
      </c>
      <c r="J91" s="7" t="s">
        <v>2683</v>
      </c>
      <c r="K91" s="7" t="s">
        <v>2684</v>
      </c>
      <c r="L91" s="7" t="s">
        <v>2685</v>
      </c>
      <c r="M91" s="7" t="s">
        <v>2078</v>
      </c>
      <c r="N91" s="9">
        <v>46234</v>
      </c>
      <c r="O91" s="9">
        <v>46356</v>
      </c>
      <c r="P91" s="7" t="s">
        <v>2090</v>
      </c>
      <c r="Q91" s="7" t="s">
        <v>2012</v>
      </c>
      <c r="R91" s="7" t="s">
        <v>2686</v>
      </c>
      <c r="S91" s="7" t="s">
        <v>2687</v>
      </c>
      <c r="T91" s="7" t="s">
        <v>2067</v>
      </c>
      <c r="U91" s="7" t="s">
        <v>2109</v>
      </c>
      <c r="V91" s="7" t="s">
        <v>2067</v>
      </c>
      <c r="W91" s="7" t="s">
        <v>2082</v>
      </c>
    </row>
    <row r="92" spans="1:23" ht="20.100000000000001" customHeight="1" x14ac:dyDescent="0.25">
      <c r="A92" s="3" t="s">
        <v>1786</v>
      </c>
      <c r="B92" s="4" t="s">
        <v>2057</v>
      </c>
      <c r="C92" s="4" t="s">
        <v>2688</v>
      </c>
      <c r="D92" s="4" t="s">
        <v>2059</v>
      </c>
      <c r="E92" s="4" t="s">
        <v>1947</v>
      </c>
      <c r="F92" s="4" t="s">
        <v>1948</v>
      </c>
      <c r="G92" s="4" t="s">
        <v>2057</v>
      </c>
      <c r="H92" s="4" t="s">
        <v>2583</v>
      </c>
      <c r="I92" s="4" t="s">
        <v>2012</v>
      </c>
      <c r="J92" s="4" t="s">
        <v>2689</v>
      </c>
      <c r="K92" s="4" t="s">
        <v>2690</v>
      </c>
      <c r="L92" s="4" t="s">
        <v>2691</v>
      </c>
      <c r="M92" s="4" t="s">
        <v>2078</v>
      </c>
      <c r="N92" s="8">
        <v>46234</v>
      </c>
      <c r="O92" s="8">
        <v>46356</v>
      </c>
      <c r="P92" s="4" t="s">
        <v>2090</v>
      </c>
      <c r="Q92" s="4" t="s">
        <v>2012</v>
      </c>
      <c r="R92" s="4" t="s">
        <v>2692</v>
      </c>
      <c r="S92" s="4" t="s">
        <v>2693</v>
      </c>
      <c r="T92" s="4" t="s">
        <v>2067</v>
      </c>
      <c r="U92" s="4" t="s">
        <v>2146</v>
      </c>
      <c r="V92" s="4" t="s">
        <v>2067</v>
      </c>
      <c r="W92" s="4" t="s">
        <v>2082</v>
      </c>
    </row>
    <row r="93" spans="1:23" ht="20.100000000000001" customHeight="1" x14ac:dyDescent="0.25">
      <c r="A93" s="6" t="s">
        <v>1702</v>
      </c>
      <c r="B93" s="7" t="s">
        <v>2057</v>
      </c>
      <c r="C93" s="7" t="s">
        <v>2694</v>
      </c>
      <c r="D93" s="7" t="s">
        <v>2059</v>
      </c>
      <c r="E93" s="7" t="s">
        <v>1947</v>
      </c>
      <c r="F93" s="7" t="s">
        <v>1948</v>
      </c>
      <c r="G93" s="7" t="s">
        <v>2057</v>
      </c>
      <c r="H93" s="7" t="s">
        <v>2011</v>
      </c>
      <c r="I93" s="7" t="s">
        <v>2012</v>
      </c>
      <c r="J93" s="7" t="s">
        <v>2695</v>
      </c>
      <c r="K93" s="7" t="s">
        <v>2696</v>
      </c>
      <c r="L93" s="7" t="s">
        <v>2697</v>
      </c>
      <c r="M93" s="7" t="s">
        <v>2078</v>
      </c>
      <c r="N93" s="9">
        <v>46234</v>
      </c>
      <c r="O93" s="9">
        <v>46356</v>
      </c>
      <c r="P93" s="7" t="s">
        <v>2090</v>
      </c>
      <c r="Q93" s="7" t="s">
        <v>2012</v>
      </c>
      <c r="R93" s="7" t="s">
        <v>2698</v>
      </c>
      <c r="S93" s="7" t="s">
        <v>2699</v>
      </c>
      <c r="T93" s="7" t="s">
        <v>2067</v>
      </c>
      <c r="U93" s="7" t="s">
        <v>2146</v>
      </c>
      <c r="V93" s="7" t="s">
        <v>2067</v>
      </c>
      <c r="W93" s="7" t="s">
        <v>2069</v>
      </c>
    </row>
    <row r="94" spans="1:23" ht="20.100000000000001" customHeight="1" x14ac:dyDescent="0.25">
      <c r="A94" s="3" t="s">
        <v>1784</v>
      </c>
      <c r="B94" s="4" t="s">
        <v>2057</v>
      </c>
      <c r="C94" s="4" t="s">
        <v>2700</v>
      </c>
      <c r="D94" s="4" t="s">
        <v>2059</v>
      </c>
      <c r="E94" s="4" t="s">
        <v>1947</v>
      </c>
      <c r="F94" s="4" t="s">
        <v>1948</v>
      </c>
      <c r="G94" s="4" t="s">
        <v>2057</v>
      </c>
      <c r="H94" s="4" t="s">
        <v>2113</v>
      </c>
      <c r="I94" s="4" t="s">
        <v>2012</v>
      </c>
      <c r="J94" s="4" t="s">
        <v>2701</v>
      </c>
      <c r="K94" s="4" t="s">
        <v>2702</v>
      </c>
      <c r="L94" s="4" t="s">
        <v>2703</v>
      </c>
      <c r="M94" s="4" t="s">
        <v>2078</v>
      </c>
      <c r="N94" s="8">
        <v>46234</v>
      </c>
      <c r="O94" s="8">
        <v>46356</v>
      </c>
      <c r="P94" s="4" t="s">
        <v>2090</v>
      </c>
      <c r="Q94" s="4" t="s">
        <v>2012</v>
      </c>
      <c r="R94" s="4" t="s">
        <v>2704</v>
      </c>
      <c r="S94" s="4" t="s">
        <v>2705</v>
      </c>
      <c r="T94" s="4" t="s">
        <v>2067</v>
      </c>
      <c r="U94" s="4" t="s">
        <v>2146</v>
      </c>
      <c r="V94" s="4" t="s">
        <v>2067</v>
      </c>
      <c r="W94" s="4" t="s">
        <v>2082</v>
      </c>
    </row>
    <row r="95" spans="1:23" ht="20.100000000000001" customHeight="1" x14ac:dyDescent="0.25">
      <c r="A95" s="6" t="s">
        <v>2706</v>
      </c>
      <c r="B95" s="7" t="s">
        <v>2084</v>
      </c>
      <c r="C95" s="7" t="s">
        <v>2707</v>
      </c>
      <c r="D95" s="7" t="s">
        <v>2059</v>
      </c>
      <c r="E95" s="7" t="s">
        <v>1947</v>
      </c>
      <c r="F95" s="7" t="s">
        <v>1948</v>
      </c>
      <c r="G95" s="7" t="s">
        <v>2084</v>
      </c>
      <c r="H95" s="7" t="s">
        <v>2086</v>
      </c>
      <c r="I95" s="7" t="s">
        <v>2012</v>
      </c>
      <c r="J95" s="7" t="s">
        <v>2708</v>
      </c>
      <c r="K95" s="7" t="s">
        <v>2709</v>
      </c>
      <c r="L95" s="7" t="s">
        <v>2710</v>
      </c>
      <c r="M95" s="7" t="s">
        <v>2078</v>
      </c>
      <c r="N95" s="9">
        <v>46234</v>
      </c>
      <c r="O95" s="9">
        <v>46356</v>
      </c>
      <c r="P95" s="7" t="s">
        <v>2090</v>
      </c>
      <c r="Q95" s="7" t="s">
        <v>2012</v>
      </c>
      <c r="R95" s="7" t="s">
        <v>2711</v>
      </c>
      <c r="S95" s="7" t="s">
        <v>2712</v>
      </c>
      <c r="T95" s="7" t="s">
        <v>2067</v>
      </c>
      <c r="U95" s="7" t="s">
        <v>2146</v>
      </c>
      <c r="V95" s="7" t="s">
        <v>2067</v>
      </c>
      <c r="W95" s="7" t="s">
        <v>2069</v>
      </c>
    </row>
    <row r="96" spans="1:23" ht="20.100000000000001" customHeight="1" x14ac:dyDescent="0.25">
      <c r="A96" s="3" t="s">
        <v>2713</v>
      </c>
      <c r="B96" s="4" t="s">
        <v>2057</v>
      </c>
      <c r="C96" s="4" t="s">
        <v>2714</v>
      </c>
      <c r="D96" s="4" t="s">
        <v>2059</v>
      </c>
      <c r="E96" s="4" t="s">
        <v>2673</v>
      </c>
      <c r="F96" s="4" t="s">
        <v>2674</v>
      </c>
      <c r="G96" s="4" t="s">
        <v>2057</v>
      </c>
      <c r="H96" s="4" t="s">
        <v>2191</v>
      </c>
      <c r="I96" s="4" t="s">
        <v>2012</v>
      </c>
      <c r="J96" s="4" t="s">
        <v>2715</v>
      </c>
      <c r="K96" s="4" t="s">
        <v>2716</v>
      </c>
      <c r="L96" s="4" t="s">
        <v>2717</v>
      </c>
      <c r="M96" s="4" t="s">
        <v>2078</v>
      </c>
      <c r="N96" s="8">
        <v>46234</v>
      </c>
      <c r="O96" s="8">
        <v>46356</v>
      </c>
      <c r="P96" s="4" t="s">
        <v>2674</v>
      </c>
      <c r="Q96" s="4" t="s">
        <v>2012</v>
      </c>
      <c r="R96" s="4" t="s">
        <v>2718</v>
      </c>
      <c r="S96" s="4" t="s">
        <v>2719</v>
      </c>
      <c r="T96" s="4" t="s">
        <v>2067</v>
      </c>
      <c r="U96" s="4" t="s">
        <v>2680</v>
      </c>
      <c r="V96" s="4" t="s">
        <v>2067</v>
      </c>
      <c r="W96" s="4" t="s">
        <v>2069</v>
      </c>
    </row>
    <row r="97" spans="1:23" ht="20.100000000000001" customHeight="1" x14ac:dyDescent="0.25">
      <c r="A97" s="6" t="s">
        <v>2720</v>
      </c>
      <c r="B97" s="7" t="s">
        <v>2057</v>
      </c>
      <c r="C97" s="7" t="s">
        <v>2721</v>
      </c>
      <c r="D97" s="7" t="s">
        <v>2059</v>
      </c>
      <c r="E97" s="7" t="s">
        <v>2131</v>
      </c>
      <c r="F97" s="7" t="s">
        <v>2132</v>
      </c>
      <c r="G97" s="7" t="s">
        <v>2057</v>
      </c>
      <c r="H97" s="7" t="s">
        <v>2011</v>
      </c>
      <c r="I97" s="7" t="s">
        <v>2012</v>
      </c>
      <c r="J97" s="7" t="s">
        <v>2722</v>
      </c>
      <c r="K97" s="7" t="s">
        <v>2723</v>
      </c>
      <c r="L97" s="7" t="s">
        <v>2724</v>
      </c>
      <c r="M97" s="7" t="s">
        <v>2078</v>
      </c>
      <c r="N97" s="9">
        <v>46234</v>
      </c>
      <c r="O97" s="9">
        <v>46356</v>
      </c>
      <c r="P97" s="7" t="s">
        <v>2132</v>
      </c>
      <c r="Q97" s="7" t="s">
        <v>2012</v>
      </c>
      <c r="R97" s="7" t="s">
        <v>2725</v>
      </c>
      <c r="S97" s="7" t="s">
        <v>2726</v>
      </c>
      <c r="T97" s="7" t="s">
        <v>2067</v>
      </c>
      <c r="U97" s="7" t="s">
        <v>2138</v>
      </c>
      <c r="V97" s="7" t="s">
        <v>2067</v>
      </c>
      <c r="W97" s="7" t="s">
        <v>2069</v>
      </c>
    </row>
    <row r="98" spans="1:23" ht="20.100000000000001" customHeight="1" x14ac:dyDescent="0.25">
      <c r="A98" s="3" t="s">
        <v>664</v>
      </c>
      <c r="B98" s="4" t="s">
        <v>2084</v>
      </c>
      <c r="C98" s="4" t="s">
        <v>2727</v>
      </c>
      <c r="D98" s="4" t="s">
        <v>2059</v>
      </c>
      <c r="E98" s="4" t="s">
        <v>1979</v>
      </c>
      <c r="F98" s="4" t="s">
        <v>2728</v>
      </c>
      <c r="G98" s="4" t="s">
        <v>2084</v>
      </c>
      <c r="H98" s="4" t="s">
        <v>2086</v>
      </c>
      <c r="I98" s="4" t="s">
        <v>2012</v>
      </c>
      <c r="J98" s="4" t="s">
        <v>2729</v>
      </c>
      <c r="K98" s="4" t="s">
        <v>2730</v>
      </c>
      <c r="L98" s="4" t="s">
        <v>2731</v>
      </c>
      <c r="M98" s="4" t="s">
        <v>2078</v>
      </c>
      <c r="N98" s="8">
        <v>46112</v>
      </c>
      <c r="O98" s="8">
        <v>46356</v>
      </c>
      <c r="P98" s="4" t="s">
        <v>2728</v>
      </c>
      <c r="Q98" s="4" t="s">
        <v>2012</v>
      </c>
      <c r="R98" s="4" t="s">
        <v>2732</v>
      </c>
      <c r="S98" s="4" t="s">
        <v>2733</v>
      </c>
      <c r="T98" s="4" t="s">
        <v>2067</v>
      </c>
      <c r="U98" s="4" t="s">
        <v>2728</v>
      </c>
      <c r="V98" s="4" t="s">
        <v>2067</v>
      </c>
      <c r="W98" s="4" t="s">
        <v>2069</v>
      </c>
    </row>
    <row r="99" spans="1:23" ht="20.100000000000001" customHeight="1" x14ac:dyDescent="0.25">
      <c r="A99" s="6" t="s">
        <v>752</v>
      </c>
      <c r="B99" s="7" t="s">
        <v>2057</v>
      </c>
      <c r="C99" s="7" t="s">
        <v>2734</v>
      </c>
      <c r="D99" s="7" t="s">
        <v>2059</v>
      </c>
      <c r="E99" s="7" t="s">
        <v>1947</v>
      </c>
      <c r="F99" s="7" t="s">
        <v>1948</v>
      </c>
      <c r="G99" s="7" t="s">
        <v>2057</v>
      </c>
      <c r="H99" s="7" t="s">
        <v>2161</v>
      </c>
      <c r="I99" s="7" t="s">
        <v>2012</v>
      </c>
      <c r="J99" s="7" t="s">
        <v>2735</v>
      </c>
      <c r="K99" s="7" t="s">
        <v>2736</v>
      </c>
      <c r="L99" s="7" t="s">
        <v>2737</v>
      </c>
      <c r="M99" s="7" t="s">
        <v>2078</v>
      </c>
      <c r="N99" s="9">
        <v>46234</v>
      </c>
      <c r="O99" s="9">
        <v>46356</v>
      </c>
      <c r="P99" s="7" t="s">
        <v>2090</v>
      </c>
      <c r="Q99" s="7" t="s">
        <v>2012</v>
      </c>
      <c r="R99" s="7" t="s">
        <v>2738</v>
      </c>
      <c r="S99" s="7" t="s">
        <v>2739</v>
      </c>
      <c r="T99" s="7" t="s">
        <v>2067</v>
      </c>
      <c r="U99" s="7" t="s">
        <v>2109</v>
      </c>
      <c r="V99" s="7" t="s">
        <v>2067</v>
      </c>
      <c r="W99" s="7" t="s">
        <v>2069</v>
      </c>
    </row>
    <row r="100" spans="1:23" ht="20.100000000000001" customHeight="1" x14ac:dyDescent="0.25">
      <c r="A100" s="3" t="s">
        <v>148</v>
      </c>
      <c r="B100" s="4" t="s">
        <v>2084</v>
      </c>
      <c r="C100" s="4" t="s">
        <v>2740</v>
      </c>
      <c r="D100" s="4" t="s">
        <v>2059</v>
      </c>
      <c r="E100" s="4" t="s">
        <v>1947</v>
      </c>
      <c r="F100" s="4" t="s">
        <v>1948</v>
      </c>
      <c r="G100" s="4" t="s">
        <v>2084</v>
      </c>
      <c r="H100" s="4" t="s">
        <v>2140</v>
      </c>
      <c r="I100" s="4" t="s">
        <v>2012</v>
      </c>
      <c r="J100" s="4" t="s">
        <v>2741</v>
      </c>
      <c r="K100" s="4" t="s">
        <v>2742</v>
      </c>
      <c r="L100" s="4" t="s">
        <v>2743</v>
      </c>
      <c r="M100" s="4" t="s">
        <v>2078</v>
      </c>
      <c r="N100" s="8">
        <v>46234</v>
      </c>
      <c r="O100" s="8">
        <v>46356</v>
      </c>
      <c r="P100" s="4" t="s">
        <v>2090</v>
      </c>
      <c r="Q100" s="4" t="s">
        <v>2012</v>
      </c>
      <c r="R100" s="4" t="s">
        <v>2744</v>
      </c>
      <c r="S100" s="4" t="s">
        <v>2745</v>
      </c>
      <c r="T100" s="4" t="s">
        <v>2067</v>
      </c>
      <c r="U100" s="4" t="s">
        <v>2146</v>
      </c>
      <c r="V100" s="4" t="s">
        <v>2067</v>
      </c>
      <c r="W100" s="4" t="s">
        <v>2069</v>
      </c>
    </row>
    <row r="101" spans="1:23" ht="20.100000000000001" customHeight="1" x14ac:dyDescent="0.25">
      <c r="A101" s="6" t="s">
        <v>1196</v>
      </c>
      <c r="B101" s="7" t="s">
        <v>2084</v>
      </c>
      <c r="C101" s="7" t="s">
        <v>2746</v>
      </c>
      <c r="D101" s="7" t="s">
        <v>2059</v>
      </c>
      <c r="E101" s="7" t="s">
        <v>1947</v>
      </c>
      <c r="F101" s="7" t="s">
        <v>1948</v>
      </c>
      <c r="G101" s="7" t="s">
        <v>2084</v>
      </c>
      <c r="H101" s="7" t="s">
        <v>2747</v>
      </c>
      <c r="I101" s="7" t="s">
        <v>2012</v>
      </c>
      <c r="J101" s="7" t="s">
        <v>2748</v>
      </c>
      <c r="K101" s="7" t="s">
        <v>2749</v>
      </c>
      <c r="L101" s="7" t="s">
        <v>2750</v>
      </c>
      <c r="M101" s="7" t="s">
        <v>2078</v>
      </c>
      <c r="N101" s="9">
        <v>46108</v>
      </c>
      <c r="O101" s="9">
        <v>46356</v>
      </c>
      <c r="P101" s="7" t="s">
        <v>2090</v>
      </c>
      <c r="Q101" s="7" t="s">
        <v>2012</v>
      </c>
      <c r="R101" s="7" t="s">
        <v>2751</v>
      </c>
      <c r="S101" s="7" t="s">
        <v>2752</v>
      </c>
      <c r="T101" s="7" t="s">
        <v>2067</v>
      </c>
      <c r="U101" s="7" t="s">
        <v>2146</v>
      </c>
      <c r="V101" s="7" t="s">
        <v>2067</v>
      </c>
      <c r="W101" s="7" t="s">
        <v>2069</v>
      </c>
    </row>
    <row r="102" spans="1:23" ht="20.100000000000001" customHeight="1" x14ac:dyDescent="0.25">
      <c r="A102" s="3" t="s">
        <v>108</v>
      </c>
      <c r="B102" s="4" t="s">
        <v>2084</v>
      </c>
      <c r="C102" s="4" t="s">
        <v>2753</v>
      </c>
      <c r="D102" s="4" t="s">
        <v>2059</v>
      </c>
      <c r="E102" s="4" t="s">
        <v>1947</v>
      </c>
      <c r="F102" s="4" t="s">
        <v>1948</v>
      </c>
      <c r="G102" s="4" t="s">
        <v>2084</v>
      </c>
      <c r="H102" s="4" t="s">
        <v>2754</v>
      </c>
      <c r="I102" s="4" t="s">
        <v>2755</v>
      </c>
      <c r="J102" s="4" t="s">
        <v>2756</v>
      </c>
      <c r="K102" s="4" t="s">
        <v>2757</v>
      </c>
      <c r="L102" s="4" t="s">
        <v>2758</v>
      </c>
      <c r="M102" s="4" t="s">
        <v>2078</v>
      </c>
      <c r="N102" s="8">
        <v>45992</v>
      </c>
      <c r="O102" s="8">
        <v>46356</v>
      </c>
      <c r="P102" s="4" t="s">
        <v>2090</v>
      </c>
      <c r="Q102" s="4" t="s">
        <v>2755</v>
      </c>
      <c r="R102" s="4" t="s">
        <v>2759</v>
      </c>
      <c r="S102" s="4" t="s">
        <v>2760</v>
      </c>
      <c r="T102" s="4" t="s">
        <v>2067</v>
      </c>
      <c r="U102" s="4" t="s">
        <v>2146</v>
      </c>
      <c r="V102" s="4" t="s">
        <v>2067</v>
      </c>
      <c r="W102" s="4" t="s">
        <v>2069</v>
      </c>
    </row>
    <row r="103" spans="1:23" ht="20.100000000000001" customHeight="1" x14ac:dyDescent="0.25">
      <c r="A103" s="6" t="s">
        <v>288</v>
      </c>
      <c r="B103" s="7" t="s">
        <v>2057</v>
      </c>
      <c r="C103" s="7" t="s">
        <v>2761</v>
      </c>
      <c r="D103" s="7" t="s">
        <v>2059</v>
      </c>
      <c r="E103" s="7" t="s">
        <v>1947</v>
      </c>
      <c r="F103" s="7" t="s">
        <v>1948</v>
      </c>
      <c r="G103" s="7" t="s">
        <v>2057</v>
      </c>
      <c r="H103" s="7" t="s">
        <v>2762</v>
      </c>
      <c r="I103" s="7" t="s">
        <v>2755</v>
      </c>
      <c r="J103" s="7" t="s">
        <v>2763</v>
      </c>
      <c r="K103" s="7" t="s">
        <v>2764</v>
      </c>
      <c r="L103" s="7" t="s">
        <v>2765</v>
      </c>
      <c r="M103" s="7" t="s">
        <v>2064</v>
      </c>
      <c r="N103" s="9">
        <v>42387</v>
      </c>
      <c r="O103" s="9"/>
      <c r="P103" s="7" t="s">
        <v>2090</v>
      </c>
      <c r="Q103" s="7" t="s">
        <v>2755</v>
      </c>
      <c r="R103" s="7" t="s">
        <v>2766</v>
      </c>
      <c r="S103" s="7" t="s">
        <v>2767</v>
      </c>
      <c r="T103" s="7" t="s">
        <v>2067</v>
      </c>
      <c r="U103" s="7" t="s">
        <v>2768</v>
      </c>
      <c r="V103" s="7" t="s">
        <v>2067</v>
      </c>
      <c r="W103" s="7" t="s">
        <v>2069</v>
      </c>
    </row>
    <row r="104" spans="1:23" ht="20.100000000000001" customHeight="1" x14ac:dyDescent="0.25">
      <c r="A104" s="3" t="s">
        <v>384</v>
      </c>
      <c r="B104" s="4" t="s">
        <v>2084</v>
      </c>
      <c r="C104" s="4" t="s">
        <v>2769</v>
      </c>
      <c r="D104" s="4" t="s">
        <v>2059</v>
      </c>
      <c r="E104" s="4" t="s">
        <v>1947</v>
      </c>
      <c r="F104" s="4" t="s">
        <v>1948</v>
      </c>
      <c r="G104" s="4" t="s">
        <v>2084</v>
      </c>
      <c r="H104" s="4" t="s">
        <v>2770</v>
      </c>
      <c r="I104" s="4" t="s">
        <v>2755</v>
      </c>
      <c r="J104" s="4" t="s">
        <v>2771</v>
      </c>
      <c r="K104" s="4" t="s">
        <v>2772</v>
      </c>
      <c r="L104" s="4" t="s">
        <v>2773</v>
      </c>
      <c r="M104" s="4" t="s">
        <v>2078</v>
      </c>
      <c r="N104" s="8">
        <v>45992</v>
      </c>
      <c r="O104" s="8">
        <v>46356</v>
      </c>
      <c r="P104" s="4" t="s">
        <v>2090</v>
      </c>
      <c r="Q104" s="4" t="s">
        <v>2755</v>
      </c>
      <c r="R104" s="4" t="s">
        <v>2774</v>
      </c>
      <c r="S104" s="4" t="s">
        <v>2775</v>
      </c>
      <c r="T104" s="4" t="s">
        <v>2067</v>
      </c>
      <c r="U104" s="4" t="s">
        <v>2146</v>
      </c>
      <c r="V104" s="4" t="s">
        <v>2067</v>
      </c>
      <c r="W104" s="4" t="s">
        <v>2069</v>
      </c>
    </row>
    <row r="105" spans="1:23" ht="20.100000000000001" customHeight="1" x14ac:dyDescent="0.25">
      <c r="A105" s="6" t="s">
        <v>402</v>
      </c>
      <c r="B105" s="7" t="s">
        <v>2084</v>
      </c>
      <c r="C105" s="7" t="s">
        <v>2776</v>
      </c>
      <c r="D105" s="7" t="s">
        <v>2059</v>
      </c>
      <c r="E105" s="7" t="s">
        <v>1952</v>
      </c>
      <c r="F105" s="7" t="s">
        <v>1953</v>
      </c>
      <c r="G105" s="7" t="s">
        <v>2084</v>
      </c>
      <c r="H105" s="7" t="s">
        <v>2777</v>
      </c>
      <c r="I105" s="7" t="s">
        <v>2755</v>
      </c>
      <c r="J105" s="7" t="s">
        <v>2778</v>
      </c>
      <c r="K105" s="7" t="s">
        <v>2779</v>
      </c>
      <c r="L105" s="7" t="s">
        <v>2780</v>
      </c>
      <c r="M105" s="7" t="s">
        <v>2078</v>
      </c>
      <c r="N105" s="9">
        <v>45992</v>
      </c>
      <c r="O105" s="9">
        <v>46356</v>
      </c>
      <c r="P105" s="7" t="s">
        <v>1953</v>
      </c>
      <c r="Q105" s="7" t="s">
        <v>2755</v>
      </c>
      <c r="R105" s="7" t="s">
        <v>2781</v>
      </c>
      <c r="S105" s="7" t="s">
        <v>2782</v>
      </c>
      <c r="T105" s="7" t="s">
        <v>2067</v>
      </c>
      <c r="U105" s="7" t="s">
        <v>2358</v>
      </c>
      <c r="V105" s="7" t="s">
        <v>2067</v>
      </c>
      <c r="W105" s="7" t="s">
        <v>2082</v>
      </c>
    </row>
    <row r="106" spans="1:23" ht="20.100000000000001" customHeight="1" x14ac:dyDescent="0.25">
      <c r="A106" s="3" t="s">
        <v>66</v>
      </c>
      <c r="B106" s="4" t="s">
        <v>2084</v>
      </c>
      <c r="C106" s="4" t="s">
        <v>2783</v>
      </c>
      <c r="D106" s="4" t="s">
        <v>2059</v>
      </c>
      <c r="E106" s="4" t="s">
        <v>1947</v>
      </c>
      <c r="F106" s="4" t="s">
        <v>1948</v>
      </c>
      <c r="G106" s="4" t="s">
        <v>2084</v>
      </c>
      <c r="H106" s="4" t="s">
        <v>2784</v>
      </c>
      <c r="I106" s="4" t="s">
        <v>2755</v>
      </c>
      <c r="J106" s="4" t="s">
        <v>2785</v>
      </c>
      <c r="K106" s="4" t="s">
        <v>2786</v>
      </c>
      <c r="L106" s="4" t="s">
        <v>2787</v>
      </c>
      <c r="M106" s="4" t="s">
        <v>2078</v>
      </c>
      <c r="N106" s="8">
        <v>45992</v>
      </c>
      <c r="O106" s="8">
        <v>46356</v>
      </c>
      <c r="P106" s="4" t="s">
        <v>2090</v>
      </c>
      <c r="Q106" s="4" t="s">
        <v>2755</v>
      </c>
      <c r="R106" s="4" t="s">
        <v>2788</v>
      </c>
      <c r="S106" s="4" t="s">
        <v>2789</v>
      </c>
      <c r="T106" s="4" t="s">
        <v>2067</v>
      </c>
      <c r="U106" s="4" t="s">
        <v>2146</v>
      </c>
      <c r="V106" s="4" t="s">
        <v>2067</v>
      </c>
      <c r="W106" s="4" t="s">
        <v>2069</v>
      </c>
    </row>
    <row r="107" spans="1:23" ht="20.100000000000001" customHeight="1" x14ac:dyDescent="0.25">
      <c r="A107" s="6" t="s">
        <v>2790</v>
      </c>
      <c r="B107" s="7" t="s">
        <v>2084</v>
      </c>
      <c r="C107" s="7" t="s">
        <v>2791</v>
      </c>
      <c r="D107" s="7" t="s">
        <v>2059</v>
      </c>
      <c r="E107" s="7" t="s">
        <v>1947</v>
      </c>
      <c r="F107" s="7" t="s">
        <v>1948</v>
      </c>
      <c r="G107" s="7" t="s">
        <v>2084</v>
      </c>
      <c r="H107" s="7" t="s">
        <v>2784</v>
      </c>
      <c r="I107" s="7" t="s">
        <v>2755</v>
      </c>
      <c r="J107" s="7" t="s">
        <v>2792</v>
      </c>
      <c r="K107" s="7" t="s">
        <v>2793</v>
      </c>
      <c r="L107" s="7" t="s">
        <v>2794</v>
      </c>
      <c r="M107" s="7" t="s">
        <v>2078</v>
      </c>
      <c r="N107" s="9">
        <v>45992</v>
      </c>
      <c r="O107" s="9">
        <v>46356</v>
      </c>
      <c r="P107" s="7" t="s">
        <v>2090</v>
      </c>
      <c r="Q107" s="7" t="s">
        <v>2755</v>
      </c>
      <c r="R107" s="7" t="s">
        <v>2795</v>
      </c>
      <c r="S107" s="7" t="s">
        <v>2796</v>
      </c>
      <c r="T107" s="7" t="s">
        <v>2067</v>
      </c>
      <c r="U107" s="7" t="s">
        <v>2146</v>
      </c>
      <c r="V107" s="7" t="s">
        <v>2067</v>
      </c>
      <c r="W107" s="7" t="s">
        <v>2069</v>
      </c>
    </row>
    <row r="108" spans="1:23" ht="20.100000000000001" customHeight="1" x14ac:dyDescent="0.25">
      <c r="A108" s="3" t="s">
        <v>2797</v>
      </c>
      <c r="B108" s="4" t="s">
        <v>2084</v>
      </c>
      <c r="C108" s="4" t="s">
        <v>2798</v>
      </c>
      <c r="D108" s="4" t="s">
        <v>2059</v>
      </c>
      <c r="E108" s="4" t="s">
        <v>1947</v>
      </c>
      <c r="F108" s="4" t="s">
        <v>1948</v>
      </c>
      <c r="G108" s="4" t="s">
        <v>2084</v>
      </c>
      <c r="H108" s="4" t="s">
        <v>2799</v>
      </c>
      <c r="I108" s="4" t="s">
        <v>2755</v>
      </c>
      <c r="J108" s="4" t="s">
        <v>2800</v>
      </c>
      <c r="K108" s="4" t="s">
        <v>2801</v>
      </c>
      <c r="L108" s="4" t="s">
        <v>2802</v>
      </c>
      <c r="M108" s="4" t="s">
        <v>2078</v>
      </c>
      <c r="N108" s="8">
        <v>45992</v>
      </c>
      <c r="O108" s="8">
        <v>46356</v>
      </c>
      <c r="P108" s="4" t="s">
        <v>2090</v>
      </c>
      <c r="Q108" s="4" t="s">
        <v>2755</v>
      </c>
      <c r="R108" s="4" t="s">
        <v>2803</v>
      </c>
      <c r="S108" s="4" t="s">
        <v>2804</v>
      </c>
      <c r="T108" s="4" t="s">
        <v>2067</v>
      </c>
      <c r="U108" s="4" t="s">
        <v>2146</v>
      </c>
      <c r="V108" s="4" t="s">
        <v>2067</v>
      </c>
      <c r="W108" s="4" t="s">
        <v>2082</v>
      </c>
    </row>
    <row r="109" spans="1:23" ht="20.100000000000001" customHeight="1" x14ac:dyDescent="0.25">
      <c r="A109" s="6" t="s">
        <v>2805</v>
      </c>
      <c r="B109" s="7" t="s">
        <v>2057</v>
      </c>
      <c r="C109" s="7" t="s">
        <v>2806</v>
      </c>
      <c r="D109" s="7" t="s">
        <v>2059</v>
      </c>
      <c r="E109" s="7" t="s">
        <v>1965</v>
      </c>
      <c r="F109" s="7" t="s">
        <v>1966</v>
      </c>
      <c r="G109" s="7" t="s">
        <v>2057</v>
      </c>
      <c r="H109" s="7" t="s">
        <v>2807</v>
      </c>
      <c r="I109" s="7" t="s">
        <v>1974</v>
      </c>
      <c r="J109" s="7" t="s">
        <v>2808</v>
      </c>
      <c r="K109" s="7" t="s">
        <v>2809</v>
      </c>
      <c r="L109" s="7" t="s">
        <v>2810</v>
      </c>
      <c r="M109" s="7" t="s">
        <v>2078</v>
      </c>
      <c r="N109" s="9">
        <v>46052</v>
      </c>
      <c r="O109" s="9">
        <v>46355</v>
      </c>
      <c r="P109" s="7" t="s">
        <v>1966</v>
      </c>
      <c r="Q109" s="7" t="s">
        <v>1974</v>
      </c>
      <c r="R109" s="7" t="s">
        <v>2811</v>
      </c>
      <c r="S109" s="7" t="s">
        <v>2812</v>
      </c>
      <c r="T109" s="7" t="s">
        <v>2351</v>
      </c>
      <c r="U109" s="7" t="s">
        <v>2174</v>
      </c>
      <c r="V109" s="7" t="s">
        <v>2351</v>
      </c>
      <c r="W109" s="7" t="s">
        <v>2082</v>
      </c>
    </row>
    <row r="110" spans="1:23" ht="20.100000000000001" customHeight="1" x14ac:dyDescent="0.25">
      <c r="A110" s="3" t="s">
        <v>2813</v>
      </c>
      <c r="B110" s="4" t="s">
        <v>2057</v>
      </c>
      <c r="C110" s="4" t="s">
        <v>2814</v>
      </c>
      <c r="D110" s="4" t="s">
        <v>2059</v>
      </c>
      <c r="E110" s="4" t="s">
        <v>1965</v>
      </c>
      <c r="F110" s="4" t="s">
        <v>1966</v>
      </c>
      <c r="G110" s="4" t="s">
        <v>2057</v>
      </c>
      <c r="H110" s="4" t="s">
        <v>2035</v>
      </c>
      <c r="I110" s="4" t="s">
        <v>1974</v>
      </c>
      <c r="J110" s="4" t="s">
        <v>2815</v>
      </c>
      <c r="K110" s="4" t="s">
        <v>2816</v>
      </c>
      <c r="L110" s="4" t="s">
        <v>2817</v>
      </c>
      <c r="M110" s="4" t="s">
        <v>2078</v>
      </c>
      <c r="N110" s="8">
        <v>46234</v>
      </c>
      <c r="O110" s="8">
        <v>46356</v>
      </c>
      <c r="P110" s="4" t="s">
        <v>1966</v>
      </c>
      <c r="Q110" s="4" t="s">
        <v>1974</v>
      </c>
      <c r="R110" s="4" t="s">
        <v>2818</v>
      </c>
      <c r="S110" s="4" t="s">
        <v>2819</v>
      </c>
      <c r="T110" s="4" t="s">
        <v>2067</v>
      </c>
      <c r="U110" s="4" t="s">
        <v>2174</v>
      </c>
      <c r="V110" s="4" t="s">
        <v>2067</v>
      </c>
      <c r="W110" s="4" t="s">
        <v>2069</v>
      </c>
    </row>
    <row r="111" spans="1:23" ht="20.100000000000001" customHeight="1" x14ac:dyDescent="0.25">
      <c r="A111" s="6" t="s">
        <v>2820</v>
      </c>
      <c r="B111" s="7" t="s">
        <v>2057</v>
      </c>
      <c r="C111" s="7" t="s">
        <v>2821</v>
      </c>
      <c r="D111" s="7" t="s">
        <v>2059</v>
      </c>
      <c r="E111" s="7" t="s">
        <v>1965</v>
      </c>
      <c r="F111" s="7" t="s">
        <v>1966</v>
      </c>
      <c r="G111" s="7" t="s">
        <v>2057</v>
      </c>
      <c r="H111" s="7" t="s">
        <v>2035</v>
      </c>
      <c r="I111" s="7" t="s">
        <v>1974</v>
      </c>
      <c r="J111" s="7" t="s">
        <v>2822</v>
      </c>
      <c r="K111" s="7" t="s">
        <v>2823</v>
      </c>
      <c r="L111" s="7" t="s">
        <v>2824</v>
      </c>
      <c r="M111" s="7" t="s">
        <v>2078</v>
      </c>
      <c r="N111" s="9">
        <v>46052</v>
      </c>
      <c r="O111" s="9">
        <v>46355</v>
      </c>
      <c r="P111" s="7" t="s">
        <v>1966</v>
      </c>
      <c r="Q111" s="7" t="s">
        <v>1974</v>
      </c>
      <c r="R111" s="7" t="s">
        <v>2825</v>
      </c>
      <c r="S111" s="7" t="s">
        <v>2826</v>
      </c>
      <c r="T111" s="7" t="s">
        <v>2067</v>
      </c>
      <c r="U111" s="7" t="s">
        <v>2174</v>
      </c>
      <c r="V111" s="7" t="s">
        <v>2067</v>
      </c>
      <c r="W111" s="7" t="s">
        <v>2069</v>
      </c>
    </row>
    <row r="112" spans="1:23" ht="20.100000000000001" customHeight="1" x14ac:dyDescent="0.25">
      <c r="A112" s="3" t="s">
        <v>2827</v>
      </c>
      <c r="B112" s="4" t="s">
        <v>2057</v>
      </c>
      <c r="C112" s="4" t="s">
        <v>2828</v>
      </c>
      <c r="D112" s="4" t="s">
        <v>2059</v>
      </c>
      <c r="E112" s="4" t="s">
        <v>1965</v>
      </c>
      <c r="F112" s="4" t="s">
        <v>1966</v>
      </c>
      <c r="G112" s="4" t="s">
        <v>2057</v>
      </c>
      <c r="H112" s="4" t="s">
        <v>2122</v>
      </c>
      <c r="I112" s="4" t="s">
        <v>1974</v>
      </c>
      <c r="J112" s="4" t="s">
        <v>2829</v>
      </c>
      <c r="K112" s="4" t="s">
        <v>2830</v>
      </c>
      <c r="L112" s="4" t="s">
        <v>2831</v>
      </c>
      <c r="M112" s="4" t="s">
        <v>2078</v>
      </c>
      <c r="N112" s="8">
        <v>46234</v>
      </c>
      <c r="O112" s="8">
        <v>46356</v>
      </c>
      <c r="P112" s="4" t="s">
        <v>1966</v>
      </c>
      <c r="Q112" s="4" t="s">
        <v>1974</v>
      </c>
      <c r="R112" s="4" t="s">
        <v>2832</v>
      </c>
      <c r="S112" s="4" t="s">
        <v>2833</v>
      </c>
      <c r="T112" s="4" t="s">
        <v>2351</v>
      </c>
      <c r="U112" s="4" t="s">
        <v>2174</v>
      </c>
      <c r="V112" s="4" t="s">
        <v>2351</v>
      </c>
      <c r="W112" s="4" t="s">
        <v>2069</v>
      </c>
    </row>
    <row r="113" spans="1:23" ht="20.100000000000001" customHeight="1" x14ac:dyDescent="0.25">
      <c r="A113" s="6" t="s">
        <v>480</v>
      </c>
      <c r="B113" s="7" t="s">
        <v>2057</v>
      </c>
      <c r="C113" s="7" t="s">
        <v>2834</v>
      </c>
      <c r="D113" s="7" t="s">
        <v>2059</v>
      </c>
      <c r="E113" s="7" t="s">
        <v>1940</v>
      </c>
      <c r="F113" s="7" t="s">
        <v>1941</v>
      </c>
      <c r="G113" s="7" t="s">
        <v>2057</v>
      </c>
      <c r="H113" s="7" t="s">
        <v>2035</v>
      </c>
      <c r="I113" s="7" t="s">
        <v>1974</v>
      </c>
      <c r="J113" s="7" t="s">
        <v>2835</v>
      </c>
      <c r="K113" s="7" t="s">
        <v>2836</v>
      </c>
      <c r="L113" s="7" t="s">
        <v>2837</v>
      </c>
      <c r="M113" s="7" t="s">
        <v>2078</v>
      </c>
      <c r="N113" s="9">
        <v>46234</v>
      </c>
      <c r="O113" s="9">
        <v>46356</v>
      </c>
      <c r="P113" s="7" t="s">
        <v>1941</v>
      </c>
      <c r="Q113" s="7" t="s">
        <v>1974</v>
      </c>
      <c r="R113" s="7" t="s">
        <v>2838</v>
      </c>
      <c r="S113" s="7" t="s">
        <v>2839</v>
      </c>
      <c r="T113" s="7" t="s">
        <v>2067</v>
      </c>
      <c r="U113" s="7" t="s">
        <v>2068</v>
      </c>
      <c r="V113" s="7" t="s">
        <v>2067</v>
      </c>
      <c r="W113" s="7" t="s">
        <v>2069</v>
      </c>
    </row>
    <row r="114" spans="1:23" ht="20.100000000000001" customHeight="1" x14ac:dyDescent="0.25">
      <c r="A114" s="3" t="s">
        <v>450</v>
      </c>
      <c r="B114" s="4" t="s">
        <v>2057</v>
      </c>
      <c r="C114" s="4" t="s">
        <v>2840</v>
      </c>
      <c r="D114" s="4" t="s">
        <v>2059</v>
      </c>
      <c r="E114" s="4" t="s">
        <v>1940</v>
      </c>
      <c r="F114" s="4" t="s">
        <v>1941</v>
      </c>
      <c r="G114" s="4" t="s">
        <v>2057</v>
      </c>
      <c r="H114" s="4" t="s">
        <v>2807</v>
      </c>
      <c r="I114" s="4" t="s">
        <v>1974</v>
      </c>
      <c r="J114" s="4" t="s">
        <v>2841</v>
      </c>
      <c r="K114" s="4" t="s">
        <v>2842</v>
      </c>
      <c r="L114" s="4" t="s">
        <v>2843</v>
      </c>
      <c r="M114" s="4" t="s">
        <v>2078</v>
      </c>
      <c r="N114" s="8">
        <v>45992</v>
      </c>
      <c r="O114" s="8">
        <v>46356</v>
      </c>
      <c r="P114" s="4" t="s">
        <v>1941</v>
      </c>
      <c r="Q114" s="4" t="s">
        <v>1974</v>
      </c>
      <c r="R114" s="4" t="s">
        <v>2844</v>
      </c>
      <c r="S114" s="4" t="s">
        <v>2845</v>
      </c>
      <c r="T114" s="4" t="s">
        <v>2067</v>
      </c>
      <c r="U114" s="4" t="s">
        <v>2068</v>
      </c>
      <c r="V114" s="4" t="s">
        <v>2067</v>
      </c>
      <c r="W114" s="4" t="s">
        <v>2082</v>
      </c>
    </row>
    <row r="115" spans="1:23" ht="20.100000000000001" customHeight="1" x14ac:dyDescent="0.25">
      <c r="A115" s="6" t="s">
        <v>280</v>
      </c>
      <c r="B115" s="7" t="s">
        <v>2084</v>
      </c>
      <c r="C115" s="7" t="s">
        <v>2846</v>
      </c>
      <c r="D115" s="7" t="s">
        <v>2059</v>
      </c>
      <c r="E115" s="7" t="s">
        <v>1940</v>
      </c>
      <c r="F115" s="7" t="s">
        <v>1941</v>
      </c>
      <c r="G115" s="7" t="s">
        <v>2084</v>
      </c>
      <c r="H115" s="7" t="s">
        <v>2847</v>
      </c>
      <c r="I115" s="7" t="s">
        <v>1974</v>
      </c>
      <c r="J115" s="7" t="s">
        <v>2848</v>
      </c>
      <c r="K115" s="7" t="s">
        <v>2849</v>
      </c>
      <c r="L115" s="7" t="s">
        <v>2850</v>
      </c>
      <c r="M115" s="7" t="s">
        <v>2078</v>
      </c>
      <c r="N115" s="9">
        <v>45992</v>
      </c>
      <c r="O115" s="9">
        <v>46356</v>
      </c>
      <c r="P115" s="7" t="s">
        <v>1941</v>
      </c>
      <c r="Q115" s="7" t="s">
        <v>1974</v>
      </c>
      <c r="R115" s="7" t="s">
        <v>2851</v>
      </c>
      <c r="S115" s="7" t="s">
        <v>2852</v>
      </c>
      <c r="T115" s="7" t="s">
        <v>2067</v>
      </c>
      <c r="U115" s="7" t="s">
        <v>2068</v>
      </c>
      <c r="V115" s="7" t="s">
        <v>2067</v>
      </c>
      <c r="W115" s="7" t="s">
        <v>2082</v>
      </c>
    </row>
    <row r="116" spans="1:23" ht="20.100000000000001" customHeight="1" x14ac:dyDescent="0.25">
      <c r="A116" s="3" t="s">
        <v>2853</v>
      </c>
      <c r="B116" s="4" t="s">
        <v>2057</v>
      </c>
      <c r="C116" s="4" t="s">
        <v>2854</v>
      </c>
      <c r="D116" s="4" t="s">
        <v>2059</v>
      </c>
      <c r="E116" s="4" t="s">
        <v>1940</v>
      </c>
      <c r="F116" s="4" t="s">
        <v>1941</v>
      </c>
      <c r="G116" s="4" t="s">
        <v>2057</v>
      </c>
      <c r="H116" s="4" t="s">
        <v>1973</v>
      </c>
      <c r="I116" s="4" t="s">
        <v>1974</v>
      </c>
      <c r="J116" s="4" t="s">
        <v>2855</v>
      </c>
      <c r="K116" s="4" t="s">
        <v>2856</v>
      </c>
      <c r="L116" s="4" t="s">
        <v>2857</v>
      </c>
      <c r="M116" s="4" t="s">
        <v>2078</v>
      </c>
      <c r="N116" s="8">
        <v>46234</v>
      </c>
      <c r="O116" s="8">
        <v>46356</v>
      </c>
      <c r="P116" s="4" t="s">
        <v>1941</v>
      </c>
      <c r="Q116" s="4" t="s">
        <v>1974</v>
      </c>
      <c r="R116" s="4" t="s">
        <v>2858</v>
      </c>
      <c r="S116" s="4" t="s">
        <v>2859</v>
      </c>
      <c r="T116" s="4" t="s">
        <v>2067</v>
      </c>
      <c r="U116" s="4" t="s">
        <v>2068</v>
      </c>
      <c r="V116" s="4" t="s">
        <v>2067</v>
      </c>
      <c r="W116" s="4" t="s">
        <v>2069</v>
      </c>
    </row>
    <row r="117" spans="1:23" ht="20.100000000000001" customHeight="1" x14ac:dyDescent="0.25">
      <c r="A117" s="6" t="s">
        <v>2860</v>
      </c>
      <c r="B117" s="7" t="s">
        <v>2057</v>
      </c>
      <c r="C117" s="7" t="s">
        <v>2861</v>
      </c>
      <c r="D117" s="7" t="s">
        <v>2059</v>
      </c>
      <c r="E117" s="7" t="s">
        <v>1965</v>
      </c>
      <c r="F117" s="7" t="s">
        <v>1966</v>
      </c>
      <c r="G117" s="7" t="s">
        <v>2057</v>
      </c>
      <c r="H117" s="7" t="s">
        <v>1973</v>
      </c>
      <c r="I117" s="7" t="s">
        <v>1974</v>
      </c>
      <c r="J117" s="7" t="s">
        <v>2862</v>
      </c>
      <c r="K117" s="7" t="s">
        <v>2863</v>
      </c>
      <c r="L117" s="7" t="s">
        <v>2864</v>
      </c>
      <c r="M117" s="7" t="s">
        <v>2078</v>
      </c>
      <c r="N117" s="9">
        <v>46234</v>
      </c>
      <c r="O117" s="9">
        <v>46356</v>
      </c>
      <c r="P117" s="7" t="s">
        <v>1966</v>
      </c>
      <c r="Q117" s="7" t="s">
        <v>1974</v>
      </c>
      <c r="R117" s="7" t="s">
        <v>2865</v>
      </c>
      <c r="S117" s="7" t="s">
        <v>2866</v>
      </c>
      <c r="T117" s="7" t="s">
        <v>2067</v>
      </c>
      <c r="U117" s="7" t="s">
        <v>2174</v>
      </c>
      <c r="V117" s="7" t="s">
        <v>2067</v>
      </c>
      <c r="W117" s="7" t="s">
        <v>2069</v>
      </c>
    </row>
    <row r="118" spans="1:23" ht="20.100000000000001" customHeight="1" x14ac:dyDescent="0.25">
      <c r="A118" s="3" t="s">
        <v>496</v>
      </c>
      <c r="B118" s="4" t="s">
        <v>2057</v>
      </c>
      <c r="C118" s="4" t="s">
        <v>2867</v>
      </c>
      <c r="D118" s="4" t="s">
        <v>2059</v>
      </c>
      <c r="E118" s="4" t="s">
        <v>1940</v>
      </c>
      <c r="F118" s="4" t="s">
        <v>1941</v>
      </c>
      <c r="G118" s="4" t="s">
        <v>2057</v>
      </c>
      <c r="H118" s="4" t="s">
        <v>1973</v>
      </c>
      <c r="I118" s="4" t="s">
        <v>1974</v>
      </c>
      <c r="J118" s="4" t="s">
        <v>2868</v>
      </c>
      <c r="K118" s="4" t="s">
        <v>2869</v>
      </c>
      <c r="L118" s="4" t="s">
        <v>2870</v>
      </c>
      <c r="M118" s="4" t="s">
        <v>2078</v>
      </c>
      <c r="N118" s="8">
        <v>46234</v>
      </c>
      <c r="O118" s="8">
        <v>46356</v>
      </c>
      <c r="P118" s="4" t="s">
        <v>1941</v>
      </c>
      <c r="Q118" s="4" t="s">
        <v>1974</v>
      </c>
      <c r="R118" s="4" t="s">
        <v>2871</v>
      </c>
      <c r="S118" s="4" t="s">
        <v>2872</v>
      </c>
      <c r="T118" s="4" t="s">
        <v>2067</v>
      </c>
      <c r="U118" s="4" t="s">
        <v>2068</v>
      </c>
      <c r="V118" s="4" t="s">
        <v>2067</v>
      </c>
      <c r="W118" s="4" t="s">
        <v>2069</v>
      </c>
    </row>
    <row r="119" spans="1:23" ht="20.100000000000001" customHeight="1" x14ac:dyDescent="0.25">
      <c r="A119" s="6" t="s">
        <v>500</v>
      </c>
      <c r="B119" s="7" t="s">
        <v>2057</v>
      </c>
      <c r="C119" s="7" t="s">
        <v>2873</v>
      </c>
      <c r="D119" s="7" t="s">
        <v>2059</v>
      </c>
      <c r="E119" s="7" t="s">
        <v>1940</v>
      </c>
      <c r="F119" s="7" t="s">
        <v>1941</v>
      </c>
      <c r="G119" s="7" t="s">
        <v>2057</v>
      </c>
      <c r="H119" s="7" t="s">
        <v>2874</v>
      </c>
      <c r="I119" s="7" t="s">
        <v>1974</v>
      </c>
      <c r="J119" s="7" t="s">
        <v>2875</v>
      </c>
      <c r="K119" s="7" t="s">
        <v>2876</v>
      </c>
      <c r="L119" s="7" t="s">
        <v>2877</v>
      </c>
      <c r="M119" s="7" t="s">
        <v>2078</v>
      </c>
      <c r="N119" s="9">
        <v>46052</v>
      </c>
      <c r="O119" s="9">
        <v>46355</v>
      </c>
      <c r="P119" s="7" t="s">
        <v>1941</v>
      </c>
      <c r="Q119" s="7" t="s">
        <v>1974</v>
      </c>
      <c r="R119" s="7" t="s">
        <v>2878</v>
      </c>
      <c r="S119" s="7" t="s">
        <v>2879</v>
      </c>
      <c r="T119" s="7" t="s">
        <v>2067</v>
      </c>
      <c r="U119" s="7" t="s">
        <v>2068</v>
      </c>
      <c r="V119" s="7" t="s">
        <v>2067</v>
      </c>
      <c r="W119" s="7" t="s">
        <v>2082</v>
      </c>
    </row>
    <row r="120" spans="1:23" ht="20.100000000000001" customHeight="1" x14ac:dyDescent="0.25">
      <c r="A120" s="3" t="s">
        <v>2880</v>
      </c>
      <c r="B120" s="4" t="s">
        <v>2057</v>
      </c>
      <c r="C120" s="4" t="s">
        <v>2881</v>
      </c>
      <c r="D120" s="4" t="s">
        <v>2059</v>
      </c>
      <c r="E120" s="4" t="s">
        <v>1965</v>
      </c>
      <c r="F120" s="4" t="s">
        <v>1966</v>
      </c>
      <c r="G120" s="4" t="s">
        <v>2057</v>
      </c>
      <c r="H120" s="4" t="s">
        <v>2807</v>
      </c>
      <c r="I120" s="4" t="s">
        <v>1974</v>
      </c>
      <c r="J120" s="4" t="s">
        <v>2882</v>
      </c>
      <c r="K120" s="4" t="s">
        <v>2883</v>
      </c>
      <c r="L120" s="4" t="s">
        <v>2884</v>
      </c>
      <c r="M120" s="4" t="s">
        <v>2078</v>
      </c>
      <c r="N120" s="8">
        <v>46052</v>
      </c>
      <c r="O120" s="8">
        <v>46355</v>
      </c>
      <c r="P120" s="4" t="s">
        <v>1966</v>
      </c>
      <c r="Q120" s="4" t="s">
        <v>1974</v>
      </c>
      <c r="R120" s="4" t="s">
        <v>2885</v>
      </c>
      <c r="S120" s="4" t="s">
        <v>2886</v>
      </c>
      <c r="T120" s="4" t="s">
        <v>2067</v>
      </c>
      <c r="U120" s="4" t="s">
        <v>2174</v>
      </c>
      <c r="V120" s="4" t="s">
        <v>2067</v>
      </c>
      <c r="W120" s="4" t="s">
        <v>2082</v>
      </c>
    </row>
    <row r="121" spans="1:23" ht="20.100000000000001" customHeight="1" x14ac:dyDescent="0.25">
      <c r="A121" s="6" t="s">
        <v>554</v>
      </c>
      <c r="B121" s="7" t="s">
        <v>2057</v>
      </c>
      <c r="C121" s="7" t="s">
        <v>2887</v>
      </c>
      <c r="D121" s="7" t="s">
        <v>2059</v>
      </c>
      <c r="E121" s="7" t="s">
        <v>1940</v>
      </c>
      <c r="F121" s="7" t="s">
        <v>1941</v>
      </c>
      <c r="G121" s="7" t="s">
        <v>2057</v>
      </c>
      <c r="H121" s="7" t="s">
        <v>2888</v>
      </c>
      <c r="I121" s="7" t="s">
        <v>1974</v>
      </c>
      <c r="J121" s="7" t="s">
        <v>2889</v>
      </c>
      <c r="K121" s="7" t="s">
        <v>2890</v>
      </c>
      <c r="L121" s="7" t="s">
        <v>2891</v>
      </c>
      <c r="M121" s="7" t="s">
        <v>2078</v>
      </c>
      <c r="N121" s="9">
        <v>46052</v>
      </c>
      <c r="O121" s="9">
        <v>46355</v>
      </c>
      <c r="P121" s="7" t="s">
        <v>1941</v>
      </c>
      <c r="Q121" s="7" t="s">
        <v>1974</v>
      </c>
      <c r="R121" s="7" t="s">
        <v>2892</v>
      </c>
      <c r="S121" s="7" t="s">
        <v>2893</v>
      </c>
      <c r="T121" s="7" t="s">
        <v>2067</v>
      </c>
      <c r="U121" s="7" t="s">
        <v>2068</v>
      </c>
      <c r="V121" s="7" t="s">
        <v>2067</v>
      </c>
      <c r="W121" s="7" t="s">
        <v>2082</v>
      </c>
    </row>
    <row r="122" spans="1:23" ht="20.100000000000001" customHeight="1" x14ac:dyDescent="0.25">
      <c r="A122" s="3" t="s">
        <v>2894</v>
      </c>
      <c r="B122" s="4" t="s">
        <v>2057</v>
      </c>
      <c r="C122" s="4" t="s">
        <v>2895</v>
      </c>
      <c r="D122" s="4" t="s">
        <v>2059</v>
      </c>
      <c r="E122" s="4" t="s">
        <v>1940</v>
      </c>
      <c r="F122" s="4" t="s">
        <v>1941</v>
      </c>
      <c r="G122" s="4" t="s">
        <v>2057</v>
      </c>
      <c r="H122" s="4" t="s">
        <v>2896</v>
      </c>
      <c r="I122" s="4" t="s">
        <v>1974</v>
      </c>
      <c r="J122" s="4" t="s">
        <v>2897</v>
      </c>
      <c r="K122" s="4" t="s">
        <v>2898</v>
      </c>
      <c r="L122" s="4" t="s">
        <v>2899</v>
      </c>
      <c r="M122" s="4" t="s">
        <v>2078</v>
      </c>
      <c r="N122" s="8">
        <v>46234</v>
      </c>
      <c r="O122" s="8">
        <v>46356</v>
      </c>
      <c r="P122" s="4" t="s">
        <v>1941</v>
      </c>
      <c r="Q122" s="4" t="s">
        <v>1974</v>
      </c>
      <c r="R122" s="4" t="s">
        <v>2900</v>
      </c>
      <c r="S122" s="4" t="s">
        <v>2901</v>
      </c>
      <c r="T122" s="4" t="s">
        <v>2067</v>
      </c>
      <c r="U122" s="4" t="s">
        <v>2068</v>
      </c>
      <c r="V122" s="4" t="s">
        <v>2067</v>
      </c>
      <c r="W122" s="4" t="s">
        <v>2082</v>
      </c>
    </row>
    <row r="123" spans="1:23" ht="20.100000000000001" customHeight="1" x14ac:dyDescent="0.25">
      <c r="A123" s="6" t="s">
        <v>1971</v>
      </c>
      <c r="B123" s="7" t="s">
        <v>2057</v>
      </c>
      <c r="C123" s="7" t="s">
        <v>1972</v>
      </c>
      <c r="D123" s="7" t="s">
        <v>2059</v>
      </c>
      <c r="E123" s="7" t="s">
        <v>1940</v>
      </c>
      <c r="F123" s="7" t="s">
        <v>1941</v>
      </c>
      <c r="G123" s="7" t="s">
        <v>2057</v>
      </c>
      <c r="H123" s="7" t="s">
        <v>1973</v>
      </c>
      <c r="I123" s="7" t="s">
        <v>1974</v>
      </c>
      <c r="J123" s="7" t="s">
        <v>2902</v>
      </c>
      <c r="K123" s="7" t="s">
        <v>2903</v>
      </c>
      <c r="L123" s="7" t="s">
        <v>2904</v>
      </c>
      <c r="M123" s="7" t="s">
        <v>2078</v>
      </c>
      <c r="N123" s="9">
        <v>46234</v>
      </c>
      <c r="O123" s="9">
        <v>46356</v>
      </c>
      <c r="P123" s="7" t="s">
        <v>1941</v>
      </c>
      <c r="Q123" s="7" t="s">
        <v>1974</v>
      </c>
      <c r="R123" s="7" t="s">
        <v>2905</v>
      </c>
      <c r="S123" s="7" t="s">
        <v>2906</v>
      </c>
      <c r="T123" s="7" t="s">
        <v>2067</v>
      </c>
      <c r="U123" s="7" t="s">
        <v>2068</v>
      </c>
      <c r="V123" s="7" t="s">
        <v>2067</v>
      </c>
      <c r="W123" s="7" t="s">
        <v>2069</v>
      </c>
    </row>
    <row r="124" spans="1:23" ht="20.100000000000001" customHeight="1" x14ac:dyDescent="0.25">
      <c r="A124" s="3" t="s">
        <v>1056</v>
      </c>
      <c r="B124" s="4" t="s">
        <v>2057</v>
      </c>
      <c r="C124" s="4" t="s">
        <v>2907</v>
      </c>
      <c r="D124" s="4" t="s">
        <v>2059</v>
      </c>
      <c r="E124" s="4" t="s">
        <v>1947</v>
      </c>
      <c r="F124" s="4" t="s">
        <v>1948</v>
      </c>
      <c r="G124" s="4" t="s">
        <v>2057</v>
      </c>
      <c r="H124" s="4" t="s">
        <v>2908</v>
      </c>
      <c r="I124" s="4" t="s">
        <v>2007</v>
      </c>
      <c r="J124" s="4" t="s">
        <v>2909</v>
      </c>
      <c r="K124" s="4" t="s">
        <v>2910</v>
      </c>
      <c r="L124" s="4" t="s">
        <v>2911</v>
      </c>
      <c r="M124" s="4" t="s">
        <v>2078</v>
      </c>
      <c r="N124" s="8">
        <v>46234</v>
      </c>
      <c r="O124" s="8">
        <v>46356</v>
      </c>
      <c r="P124" s="4" t="s">
        <v>2090</v>
      </c>
      <c r="Q124" s="4" t="s">
        <v>2007</v>
      </c>
      <c r="R124" s="4" t="s">
        <v>2912</v>
      </c>
      <c r="S124" s="4" t="s">
        <v>2913</v>
      </c>
      <c r="T124" s="4" t="s">
        <v>2067</v>
      </c>
      <c r="U124" s="4" t="s">
        <v>2109</v>
      </c>
      <c r="V124" s="4" t="s">
        <v>2067</v>
      </c>
      <c r="W124" s="4" t="s">
        <v>2082</v>
      </c>
    </row>
    <row r="125" spans="1:23" ht="20.100000000000001" customHeight="1" x14ac:dyDescent="0.25">
      <c r="A125" s="6" t="s">
        <v>2004</v>
      </c>
      <c r="B125" s="7" t="s">
        <v>2057</v>
      </c>
      <c r="C125" s="7" t="s">
        <v>2005</v>
      </c>
      <c r="D125" s="7" t="s">
        <v>2059</v>
      </c>
      <c r="E125" s="7" t="s">
        <v>1947</v>
      </c>
      <c r="F125" s="7" t="s">
        <v>1948</v>
      </c>
      <c r="G125" s="7" t="s">
        <v>2057</v>
      </c>
      <c r="H125" s="7" t="s">
        <v>2006</v>
      </c>
      <c r="I125" s="7" t="s">
        <v>2007</v>
      </c>
      <c r="J125" s="7" t="s">
        <v>2914</v>
      </c>
      <c r="K125" s="7" t="s">
        <v>2915</v>
      </c>
      <c r="L125" s="7" t="s">
        <v>2916</v>
      </c>
      <c r="M125" s="7" t="s">
        <v>2078</v>
      </c>
      <c r="N125" s="9">
        <v>46052</v>
      </c>
      <c r="O125" s="9">
        <v>46355</v>
      </c>
      <c r="P125" s="7" t="s">
        <v>2090</v>
      </c>
      <c r="Q125" s="7" t="s">
        <v>2007</v>
      </c>
      <c r="R125" s="7" t="s">
        <v>2917</v>
      </c>
      <c r="S125" s="7" t="s">
        <v>2918</v>
      </c>
      <c r="T125" s="7" t="s">
        <v>2067</v>
      </c>
      <c r="U125" s="7" t="s">
        <v>2109</v>
      </c>
      <c r="V125" s="7" t="s">
        <v>2067</v>
      </c>
      <c r="W125" s="7" t="s">
        <v>2069</v>
      </c>
    </row>
    <row r="126" spans="1:23" ht="20.100000000000001" customHeight="1" x14ac:dyDescent="0.25">
      <c r="A126" s="3" t="s">
        <v>1152</v>
      </c>
      <c r="B126" s="4" t="s">
        <v>2057</v>
      </c>
      <c r="C126" s="4" t="s">
        <v>2919</v>
      </c>
      <c r="D126" s="4" t="s">
        <v>2059</v>
      </c>
      <c r="E126" s="4" t="s">
        <v>1947</v>
      </c>
      <c r="F126" s="4" t="s">
        <v>1948</v>
      </c>
      <c r="G126" s="4" t="s">
        <v>2057</v>
      </c>
      <c r="H126" s="4" t="s">
        <v>2006</v>
      </c>
      <c r="I126" s="4" t="s">
        <v>2007</v>
      </c>
      <c r="J126" s="4" t="s">
        <v>2920</v>
      </c>
      <c r="K126" s="4" t="s">
        <v>2921</v>
      </c>
      <c r="L126" s="4" t="s">
        <v>2922</v>
      </c>
      <c r="M126" s="4" t="s">
        <v>2078</v>
      </c>
      <c r="N126" s="8">
        <v>46234</v>
      </c>
      <c r="O126" s="8">
        <v>46356</v>
      </c>
      <c r="P126" s="4" t="s">
        <v>2090</v>
      </c>
      <c r="Q126" s="4" t="s">
        <v>2007</v>
      </c>
      <c r="R126" s="4" t="s">
        <v>2923</v>
      </c>
      <c r="S126" s="4" t="s">
        <v>2924</v>
      </c>
      <c r="T126" s="4" t="s">
        <v>2067</v>
      </c>
      <c r="U126" s="4" t="s">
        <v>2109</v>
      </c>
      <c r="V126" s="4" t="s">
        <v>2067</v>
      </c>
      <c r="W126" s="4" t="s">
        <v>2069</v>
      </c>
    </row>
    <row r="127" spans="1:23" ht="20.100000000000001" customHeight="1" x14ac:dyDescent="0.25">
      <c r="A127" s="6" t="s">
        <v>1596</v>
      </c>
      <c r="B127" s="7" t="s">
        <v>2057</v>
      </c>
      <c r="C127" s="7" t="s">
        <v>2925</v>
      </c>
      <c r="D127" s="7" t="s">
        <v>2059</v>
      </c>
      <c r="E127" s="7" t="s">
        <v>1947</v>
      </c>
      <c r="F127" s="7" t="s">
        <v>1948</v>
      </c>
      <c r="G127" s="7" t="s">
        <v>2057</v>
      </c>
      <c r="H127" s="7" t="s">
        <v>2926</v>
      </c>
      <c r="I127" s="7" t="s">
        <v>2007</v>
      </c>
      <c r="J127" s="7" t="s">
        <v>2927</v>
      </c>
      <c r="K127" s="7" t="s">
        <v>2928</v>
      </c>
      <c r="L127" s="7" t="s">
        <v>2929</v>
      </c>
      <c r="M127" s="7" t="s">
        <v>2078</v>
      </c>
      <c r="N127" s="9">
        <v>46234</v>
      </c>
      <c r="O127" s="9">
        <v>46356</v>
      </c>
      <c r="P127" s="7" t="s">
        <v>2090</v>
      </c>
      <c r="Q127" s="7" t="s">
        <v>2007</v>
      </c>
      <c r="R127" s="7" t="s">
        <v>2930</v>
      </c>
      <c r="S127" s="7" t="s">
        <v>2931</v>
      </c>
      <c r="T127" s="7" t="s">
        <v>2067</v>
      </c>
      <c r="U127" s="7" t="s">
        <v>2109</v>
      </c>
      <c r="V127" s="7" t="s">
        <v>2067</v>
      </c>
      <c r="W127" s="7" t="s">
        <v>2069</v>
      </c>
    </row>
    <row r="128" spans="1:23" ht="20.100000000000001" customHeight="1" x14ac:dyDescent="0.25">
      <c r="A128" s="3" t="s">
        <v>462</v>
      </c>
      <c r="B128" s="4" t="s">
        <v>2057</v>
      </c>
      <c r="C128" s="4" t="s">
        <v>2932</v>
      </c>
      <c r="D128" s="4" t="s">
        <v>2059</v>
      </c>
      <c r="E128" s="4" t="s">
        <v>1947</v>
      </c>
      <c r="F128" s="4" t="s">
        <v>2121</v>
      </c>
      <c r="G128" s="4" t="s">
        <v>2057</v>
      </c>
      <c r="H128" s="4" t="s">
        <v>2807</v>
      </c>
      <c r="I128" s="4" t="s">
        <v>2036</v>
      </c>
      <c r="J128" s="4" t="s">
        <v>2933</v>
      </c>
      <c r="K128" s="4" t="s">
        <v>2934</v>
      </c>
      <c r="L128" s="4" t="s">
        <v>2935</v>
      </c>
      <c r="M128" s="4" t="s">
        <v>2078</v>
      </c>
      <c r="N128" s="8">
        <v>46234</v>
      </c>
      <c r="O128" s="8">
        <v>46356</v>
      </c>
      <c r="P128" s="4" t="s">
        <v>2121</v>
      </c>
      <c r="Q128" s="4" t="s">
        <v>2036</v>
      </c>
      <c r="R128" s="4" t="s">
        <v>2936</v>
      </c>
      <c r="S128" s="4" t="s">
        <v>2937</v>
      </c>
      <c r="T128" s="4" t="s">
        <v>2067</v>
      </c>
      <c r="U128" s="4" t="s">
        <v>2128</v>
      </c>
      <c r="V128" s="4" t="s">
        <v>2067</v>
      </c>
      <c r="W128" s="4" t="s">
        <v>2082</v>
      </c>
    </row>
    <row r="129" spans="1:23" ht="20.100000000000001" customHeight="1" x14ac:dyDescent="0.25">
      <c r="A129" s="6" t="s">
        <v>886</v>
      </c>
      <c r="B129" s="7" t="s">
        <v>2057</v>
      </c>
      <c r="C129" s="7" t="s">
        <v>2938</v>
      </c>
      <c r="D129" s="7" t="s">
        <v>2059</v>
      </c>
      <c r="E129" s="7" t="s">
        <v>1947</v>
      </c>
      <c r="F129" s="7" t="s">
        <v>1948</v>
      </c>
      <c r="G129" s="7" t="s">
        <v>2057</v>
      </c>
      <c r="H129" s="7" t="s">
        <v>1973</v>
      </c>
      <c r="I129" s="7" t="s">
        <v>2036</v>
      </c>
      <c r="J129" s="7" t="s">
        <v>2939</v>
      </c>
      <c r="K129" s="7" t="s">
        <v>2940</v>
      </c>
      <c r="L129" s="7" t="s">
        <v>2941</v>
      </c>
      <c r="M129" s="7" t="s">
        <v>2078</v>
      </c>
      <c r="N129" s="9">
        <v>46234</v>
      </c>
      <c r="O129" s="9">
        <v>46356</v>
      </c>
      <c r="P129" s="7" t="s">
        <v>2090</v>
      </c>
      <c r="Q129" s="7" t="s">
        <v>2036</v>
      </c>
      <c r="R129" s="7" t="s">
        <v>2942</v>
      </c>
      <c r="S129" s="7" t="s">
        <v>2943</v>
      </c>
      <c r="T129" s="7" t="s">
        <v>2067</v>
      </c>
      <c r="U129" s="7" t="s">
        <v>2109</v>
      </c>
      <c r="V129" s="7" t="s">
        <v>2067</v>
      </c>
      <c r="W129" s="7" t="s">
        <v>2069</v>
      </c>
    </row>
    <row r="130" spans="1:23" ht="20.100000000000001" customHeight="1" x14ac:dyDescent="0.25">
      <c r="A130" s="3" t="s">
        <v>2944</v>
      </c>
      <c r="B130" s="4" t="s">
        <v>2057</v>
      </c>
      <c r="C130" s="4" t="s">
        <v>2945</v>
      </c>
      <c r="D130" s="4" t="s">
        <v>2059</v>
      </c>
      <c r="E130" s="4" t="s">
        <v>1947</v>
      </c>
      <c r="F130" s="4" t="s">
        <v>2121</v>
      </c>
      <c r="G130" s="4" t="s">
        <v>2057</v>
      </c>
      <c r="H130" s="4" t="s">
        <v>2888</v>
      </c>
      <c r="I130" s="4" t="s">
        <v>2036</v>
      </c>
      <c r="J130" s="4" t="s">
        <v>2946</v>
      </c>
      <c r="K130" s="4" t="s">
        <v>2947</v>
      </c>
      <c r="L130" s="4" t="s">
        <v>2948</v>
      </c>
      <c r="M130" s="4" t="s">
        <v>2078</v>
      </c>
      <c r="N130" s="8">
        <v>46234</v>
      </c>
      <c r="O130" s="8">
        <v>46356</v>
      </c>
      <c r="P130" s="4" t="s">
        <v>2333</v>
      </c>
      <c r="Q130" s="4" t="s">
        <v>2036</v>
      </c>
      <c r="R130" s="4" t="s">
        <v>2949</v>
      </c>
      <c r="S130" s="4" t="s">
        <v>2950</v>
      </c>
      <c r="T130" s="4" t="s">
        <v>2067</v>
      </c>
      <c r="U130" s="4" t="s">
        <v>2128</v>
      </c>
      <c r="V130" s="4" t="s">
        <v>2067</v>
      </c>
      <c r="W130" s="4" t="s">
        <v>2082</v>
      </c>
    </row>
    <row r="131" spans="1:23" ht="20.100000000000001" customHeight="1" x14ac:dyDescent="0.25">
      <c r="A131" s="6" t="s">
        <v>914</v>
      </c>
      <c r="B131" s="7" t="s">
        <v>2057</v>
      </c>
      <c r="C131" s="7" t="s">
        <v>2951</v>
      </c>
      <c r="D131" s="7" t="s">
        <v>2059</v>
      </c>
      <c r="E131" s="7" t="s">
        <v>1947</v>
      </c>
      <c r="F131" s="7" t="s">
        <v>2427</v>
      </c>
      <c r="G131" s="7" t="s">
        <v>2057</v>
      </c>
      <c r="H131" s="7" t="s">
        <v>2888</v>
      </c>
      <c r="I131" s="7" t="s">
        <v>2036</v>
      </c>
      <c r="J131" s="7" t="s">
        <v>2952</v>
      </c>
      <c r="K131" s="7" t="s">
        <v>2953</v>
      </c>
      <c r="L131" s="7" t="s">
        <v>2954</v>
      </c>
      <c r="M131" s="7" t="s">
        <v>2078</v>
      </c>
      <c r="N131" s="9">
        <v>46052</v>
      </c>
      <c r="O131" s="9">
        <v>46296</v>
      </c>
      <c r="P131" s="7" t="s">
        <v>2427</v>
      </c>
      <c r="Q131" s="7" t="s">
        <v>2036</v>
      </c>
      <c r="R131" s="7" t="s">
        <v>2955</v>
      </c>
      <c r="S131" s="7" t="s">
        <v>2956</v>
      </c>
      <c r="T131" s="7" t="s">
        <v>2067</v>
      </c>
      <c r="U131" s="7" t="s">
        <v>2109</v>
      </c>
      <c r="V131" s="7" t="s">
        <v>2067</v>
      </c>
      <c r="W131" s="7" t="s">
        <v>2082</v>
      </c>
    </row>
    <row r="132" spans="1:23" ht="20.100000000000001" customHeight="1" x14ac:dyDescent="0.25">
      <c r="A132" s="3" t="s">
        <v>1698</v>
      </c>
      <c r="B132" s="4" t="s">
        <v>2057</v>
      </c>
      <c r="C132" s="4" t="s">
        <v>2957</v>
      </c>
      <c r="D132" s="4" t="s">
        <v>2059</v>
      </c>
      <c r="E132" s="4" t="s">
        <v>1947</v>
      </c>
      <c r="F132" s="4" t="s">
        <v>1948</v>
      </c>
      <c r="G132" s="4" t="s">
        <v>2057</v>
      </c>
      <c r="H132" s="4" t="s">
        <v>2035</v>
      </c>
      <c r="I132" s="4" t="s">
        <v>2036</v>
      </c>
      <c r="J132" s="4" t="s">
        <v>2958</v>
      </c>
      <c r="K132" s="4" t="s">
        <v>2959</v>
      </c>
      <c r="L132" s="4" t="s">
        <v>2960</v>
      </c>
      <c r="M132" s="4" t="s">
        <v>2078</v>
      </c>
      <c r="N132" s="8">
        <v>46234</v>
      </c>
      <c r="O132" s="8">
        <v>46356</v>
      </c>
      <c r="P132" s="4" t="s">
        <v>2090</v>
      </c>
      <c r="Q132" s="4" t="s">
        <v>2036</v>
      </c>
      <c r="R132" s="4" t="s">
        <v>2961</v>
      </c>
      <c r="S132" s="4" t="s">
        <v>2962</v>
      </c>
      <c r="T132" s="4" t="s">
        <v>2067</v>
      </c>
      <c r="U132" s="4" t="s">
        <v>2109</v>
      </c>
      <c r="V132" s="4" t="s">
        <v>2067</v>
      </c>
      <c r="W132" s="4" t="s">
        <v>2069</v>
      </c>
    </row>
    <row r="133" spans="1:23" ht="20.100000000000001" customHeight="1" x14ac:dyDescent="0.25">
      <c r="A133" s="6" t="s">
        <v>2963</v>
      </c>
      <c r="B133" s="7" t="s">
        <v>2057</v>
      </c>
      <c r="C133" s="7" t="s">
        <v>2964</v>
      </c>
      <c r="D133" s="7" t="s">
        <v>2059</v>
      </c>
      <c r="E133" s="7" t="s">
        <v>1947</v>
      </c>
      <c r="F133" s="7" t="s">
        <v>1948</v>
      </c>
      <c r="G133" s="7" t="s">
        <v>2057</v>
      </c>
      <c r="H133" s="7" t="s">
        <v>2965</v>
      </c>
      <c r="I133" s="7" t="s">
        <v>2036</v>
      </c>
      <c r="J133" s="7" t="s">
        <v>2966</v>
      </c>
      <c r="K133" s="7" t="s">
        <v>2967</v>
      </c>
      <c r="L133" s="7" t="s">
        <v>2968</v>
      </c>
      <c r="M133" s="7" t="s">
        <v>2078</v>
      </c>
      <c r="N133" s="9">
        <v>46234</v>
      </c>
      <c r="O133" s="9">
        <v>46356</v>
      </c>
      <c r="P133" s="7" t="s">
        <v>2090</v>
      </c>
      <c r="Q133" s="7" t="s">
        <v>2036</v>
      </c>
      <c r="R133" s="7" t="s">
        <v>2969</v>
      </c>
      <c r="S133" s="7" t="s">
        <v>2970</v>
      </c>
      <c r="T133" s="7" t="s">
        <v>2067</v>
      </c>
      <c r="U133" s="7" t="s">
        <v>2768</v>
      </c>
      <c r="V133" s="7" t="s">
        <v>2067</v>
      </c>
      <c r="W133" s="7" t="s">
        <v>2082</v>
      </c>
    </row>
    <row r="134" spans="1:23" ht="20.100000000000001" customHeight="1" x14ac:dyDescent="0.25">
      <c r="A134" s="3" t="s">
        <v>1252</v>
      </c>
      <c r="B134" s="4" t="s">
        <v>2057</v>
      </c>
      <c r="C134" s="4" t="s">
        <v>2971</v>
      </c>
      <c r="D134" s="4" t="s">
        <v>2059</v>
      </c>
      <c r="E134" s="4" t="s">
        <v>1947</v>
      </c>
      <c r="F134" s="4" t="s">
        <v>1948</v>
      </c>
      <c r="G134" s="4" t="s">
        <v>2057</v>
      </c>
      <c r="H134" s="4" t="s">
        <v>2807</v>
      </c>
      <c r="I134" s="4" t="s">
        <v>2036</v>
      </c>
      <c r="J134" s="4" t="s">
        <v>2972</v>
      </c>
      <c r="K134" s="4" t="s">
        <v>2973</v>
      </c>
      <c r="L134" s="4" t="s">
        <v>2974</v>
      </c>
      <c r="M134" s="4" t="s">
        <v>2078</v>
      </c>
      <c r="N134" s="8">
        <v>46234</v>
      </c>
      <c r="O134" s="8">
        <v>46356</v>
      </c>
      <c r="P134" s="4" t="s">
        <v>2090</v>
      </c>
      <c r="Q134" s="4" t="s">
        <v>2036</v>
      </c>
      <c r="R134" s="4" t="s">
        <v>2975</v>
      </c>
      <c r="S134" s="4" t="s">
        <v>2976</v>
      </c>
      <c r="T134" s="4" t="s">
        <v>2067</v>
      </c>
      <c r="U134" s="4" t="s">
        <v>2336</v>
      </c>
      <c r="V134" s="4" t="s">
        <v>2067</v>
      </c>
      <c r="W134" s="4" t="s">
        <v>2082</v>
      </c>
    </row>
    <row r="135" spans="1:23" ht="20.100000000000001" customHeight="1" x14ac:dyDescent="0.25">
      <c r="A135" s="6" t="s">
        <v>2977</v>
      </c>
      <c r="B135" s="7" t="s">
        <v>2057</v>
      </c>
      <c r="C135" s="7" t="s">
        <v>2978</v>
      </c>
      <c r="D135" s="7" t="s">
        <v>2059</v>
      </c>
      <c r="E135" s="7" t="s">
        <v>1947</v>
      </c>
      <c r="F135" s="7" t="s">
        <v>2329</v>
      </c>
      <c r="G135" s="7" t="s">
        <v>2057</v>
      </c>
      <c r="H135" s="7" t="s">
        <v>2807</v>
      </c>
      <c r="I135" s="7" t="s">
        <v>2036</v>
      </c>
      <c r="J135" s="7" t="s">
        <v>2979</v>
      </c>
      <c r="K135" s="7" t="s">
        <v>2980</v>
      </c>
      <c r="L135" s="7" t="s">
        <v>2981</v>
      </c>
      <c r="M135" s="7" t="s">
        <v>2078</v>
      </c>
      <c r="N135" s="9">
        <v>46234</v>
      </c>
      <c r="O135" s="9">
        <v>46356</v>
      </c>
      <c r="P135" s="7" t="s">
        <v>2333</v>
      </c>
      <c r="Q135" s="7" t="s">
        <v>2036</v>
      </c>
      <c r="R135" s="7" t="s">
        <v>2982</v>
      </c>
      <c r="S135" s="7" t="s">
        <v>2983</v>
      </c>
      <c r="T135" s="7" t="s">
        <v>2067</v>
      </c>
      <c r="U135" s="7" t="s">
        <v>2109</v>
      </c>
      <c r="V135" s="7" t="s">
        <v>2067</v>
      </c>
      <c r="W135" s="7" t="s">
        <v>2082</v>
      </c>
    </row>
    <row r="136" spans="1:23" ht="20.100000000000001" customHeight="1" x14ac:dyDescent="0.25">
      <c r="A136" s="3" t="s">
        <v>2984</v>
      </c>
      <c r="B136" s="4" t="s">
        <v>2057</v>
      </c>
      <c r="C136" s="4" t="s">
        <v>2985</v>
      </c>
      <c r="D136" s="4" t="s">
        <v>2059</v>
      </c>
      <c r="E136" s="4" t="s">
        <v>1947</v>
      </c>
      <c r="F136" s="4" t="s">
        <v>1948</v>
      </c>
      <c r="G136" s="4" t="s">
        <v>2057</v>
      </c>
      <c r="H136" s="4" t="s">
        <v>2807</v>
      </c>
      <c r="I136" s="4" t="s">
        <v>2036</v>
      </c>
      <c r="J136" s="4" t="s">
        <v>2986</v>
      </c>
      <c r="K136" s="4" t="s">
        <v>2987</v>
      </c>
      <c r="L136" s="4" t="s">
        <v>2988</v>
      </c>
      <c r="M136" s="4" t="s">
        <v>2078</v>
      </c>
      <c r="N136" s="8">
        <v>46052</v>
      </c>
      <c r="O136" s="8">
        <v>46296</v>
      </c>
      <c r="P136" s="4" t="s">
        <v>2090</v>
      </c>
      <c r="Q136" s="4" t="s">
        <v>2036</v>
      </c>
      <c r="R136" s="4" t="s">
        <v>2403</v>
      </c>
      <c r="S136" s="4" t="s">
        <v>2989</v>
      </c>
      <c r="T136" s="4" t="s">
        <v>2067</v>
      </c>
      <c r="U136" s="4" t="s">
        <v>2109</v>
      </c>
      <c r="V136" s="4" t="s">
        <v>2067</v>
      </c>
      <c r="W136" s="4" t="s">
        <v>2082</v>
      </c>
    </row>
    <row r="137" spans="1:23" ht="20.100000000000001" customHeight="1" x14ac:dyDescent="0.25">
      <c r="A137" s="6" t="s">
        <v>1246</v>
      </c>
      <c r="B137" s="7" t="s">
        <v>2057</v>
      </c>
      <c r="C137" s="7" t="s">
        <v>2990</v>
      </c>
      <c r="D137" s="7" t="s">
        <v>2059</v>
      </c>
      <c r="E137" s="7" t="s">
        <v>1947</v>
      </c>
      <c r="F137" s="7" t="s">
        <v>1948</v>
      </c>
      <c r="G137" s="7" t="s">
        <v>2057</v>
      </c>
      <c r="H137" s="7" t="s">
        <v>2035</v>
      </c>
      <c r="I137" s="7" t="s">
        <v>2036</v>
      </c>
      <c r="J137" s="7" t="s">
        <v>2991</v>
      </c>
      <c r="K137" s="7" t="s">
        <v>2992</v>
      </c>
      <c r="L137" s="7" t="s">
        <v>2993</v>
      </c>
      <c r="M137" s="7" t="s">
        <v>2078</v>
      </c>
      <c r="N137" s="9">
        <v>46234</v>
      </c>
      <c r="O137" s="9">
        <v>46356</v>
      </c>
      <c r="P137" s="7" t="s">
        <v>2090</v>
      </c>
      <c r="Q137" s="7" t="s">
        <v>2036</v>
      </c>
      <c r="R137" s="7" t="s">
        <v>2994</v>
      </c>
      <c r="S137" s="7" t="s">
        <v>2995</v>
      </c>
      <c r="T137" s="7" t="s">
        <v>2067</v>
      </c>
      <c r="U137" s="7" t="s">
        <v>2109</v>
      </c>
      <c r="V137" s="7" t="s">
        <v>2067</v>
      </c>
      <c r="W137" s="7" t="s">
        <v>2069</v>
      </c>
    </row>
    <row r="138" spans="1:23" ht="20.100000000000001" customHeight="1" x14ac:dyDescent="0.25">
      <c r="A138" s="3" t="s">
        <v>386</v>
      </c>
      <c r="B138" s="4" t="s">
        <v>2057</v>
      </c>
      <c r="C138" s="4" t="s">
        <v>2996</v>
      </c>
      <c r="D138" s="4" t="s">
        <v>2059</v>
      </c>
      <c r="E138" s="4" t="s">
        <v>1947</v>
      </c>
      <c r="F138" s="4" t="s">
        <v>1948</v>
      </c>
      <c r="G138" s="4" t="s">
        <v>2057</v>
      </c>
      <c r="H138" s="4" t="s">
        <v>2807</v>
      </c>
      <c r="I138" s="4" t="s">
        <v>2036</v>
      </c>
      <c r="J138" s="4" t="s">
        <v>2997</v>
      </c>
      <c r="K138" s="4" t="s">
        <v>2998</v>
      </c>
      <c r="L138" s="4" t="s">
        <v>2999</v>
      </c>
      <c r="M138" s="4" t="s">
        <v>2078</v>
      </c>
      <c r="N138" s="8">
        <v>46234</v>
      </c>
      <c r="O138" s="8">
        <v>46356</v>
      </c>
      <c r="P138" s="4" t="s">
        <v>2090</v>
      </c>
      <c r="Q138" s="4" t="s">
        <v>2036</v>
      </c>
      <c r="R138" s="4" t="s">
        <v>3000</v>
      </c>
      <c r="S138" s="4" t="s">
        <v>3001</v>
      </c>
      <c r="T138" s="4" t="s">
        <v>2067</v>
      </c>
      <c r="U138" s="4" t="s">
        <v>2109</v>
      </c>
      <c r="V138" s="4" t="s">
        <v>2067</v>
      </c>
      <c r="W138" s="4" t="s">
        <v>2082</v>
      </c>
    </row>
    <row r="139" spans="1:23" ht="20.100000000000001" customHeight="1" x14ac:dyDescent="0.25">
      <c r="A139" s="6" t="s">
        <v>1750</v>
      </c>
      <c r="B139" s="7" t="s">
        <v>2057</v>
      </c>
      <c r="C139" s="7" t="s">
        <v>3002</v>
      </c>
      <c r="D139" s="7" t="s">
        <v>2059</v>
      </c>
      <c r="E139" s="7" t="s">
        <v>1947</v>
      </c>
      <c r="F139" s="7" t="s">
        <v>1948</v>
      </c>
      <c r="G139" s="7" t="s">
        <v>2057</v>
      </c>
      <c r="H139" s="7" t="s">
        <v>3003</v>
      </c>
      <c r="I139" s="7" t="s">
        <v>2036</v>
      </c>
      <c r="J139" s="7" t="s">
        <v>3004</v>
      </c>
      <c r="K139" s="7" t="s">
        <v>3005</v>
      </c>
      <c r="L139" s="7" t="s">
        <v>3006</v>
      </c>
      <c r="M139" s="7" t="s">
        <v>2078</v>
      </c>
      <c r="N139" s="9">
        <v>46234</v>
      </c>
      <c r="O139" s="9">
        <v>46356</v>
      </c>
      <c r="P139" s="7" t="s">
        <v>2090</v>
      </c>
      <c r="Q139" s="7" t="s">
        <v>2036</v>
      </c>
      <c r="R139" s="7" t="s">
        <v>3007</v>
      </c>
      <c r="S139" s="7" t="s">
        <v>3008</v>
      </c>
      <c r="T139" s="7" t="s">
        <v>2067</v>
      </c>
      <c r="U139" s="7" t="s">
        <v>2109</v>
      </c>
      <c r="V139" s="7" t="s">
        <v>2067</v>
      </c>
      <c r="W139" s="7" t="s">
        <v>2069</v>
      </c>
    </row>
    <row r="140" spans="1:23" ht="20.100000000000001" customHeight="1" x14ac:dyDescent="0.25">
      <c r="A140" s="3" t="s">
        <v>1728</v>
      </c>
      <c r="B140" s="4" t="s">
        <v>2057</v>
      </c>
      <c r="C140" s="4" t="s">
        <v>2032</v>
      </c>
      <c r="D140" s="4" t="s">
        <v>2059</v>
      </c>
      <c r="E140" s="4" t="s">
        <v>1947</v>
      </c>
      <c r="F140" s="4" t="s">
        <v>1948</v>
      </c>
      <c r="G140" s="4" t="s">
        <v>2057</v>
      </c>
      <c r="H140" s="4" t="s">
        <v>2035</v>
      </c>
      <c r="I140" s="4" t="s">
        <v>2036</v>
      </c>
      <c r="J140" s="4" t="s">
        <v>3009</v>
      </c>
      <c r="K140" s="4" t="s">
        <v>3010</v>
      </c>
      <c r="L140" s="4" t="s">
        <v>3011</v>
      </c>
      <c r="M140" s="4" t="s">
        <v>2078</v>
      </c>
      <c r="N140" s="8">
        <v>45992</v>
      </c>
      <c r="O140" s="8">
        <v>46356</v>
      </c>
      <c r="P140" s="4" t="s">
        <v>2090</v>
      </c>
      <c r="Q140" s="4" t="s">
        <v>2036</v>
      </c>
      <c r="R140" s="4" t="s">
        <v>3012</v>
      </c>
      <c r="S140" s="4" t="s">
        <v>3013</v>
      </c>
      <c r="T140" s="4" t="s">
        <v>2067</v>
      </c>
      <c r="U140" s="4" t="s">
        <v>2109</v>
      </c>
      <c r="V140" s="4" t="s">
        <v>2067</v>
      </c>
      <c r="W140" s="4" t="s">
        <v>2069</v>
      </c>
    </row>
    <row r="141" spans="1:23" ht="20.100000000000001" customHeight="1" x14ac:dyDescent="0.25">
      <c r="A141" s="6" t="s">
        <v>826</v>
      </c>
      <c r="B141" s="7" t="s">
        <v>2057</v>
      </c>
      <c r="C141" s="7" t="s">
        <v>3014</v>
      </c>
      <c r="D141" s="7" t="s">
        <v>2059</v>
      </c>
      <c r="E141" s="7" t="s">
        <v>1947</v>
      </c>
      <c r="F141" s="7" t="s">
        <v>1948</v>
      </c>
      <c r="G141" s="7" t="s">
        <v>2057</v>
      </c>
      <c r="H141" s="7" t="s">
        <v>2888</v>
      </c>
      <c r="I141" s="7" t="s">
        <v>2036</v>
      </c>
      <c r="J141" s="7" t="s">
        <v>3015</v>
      </c>
      <c r="K141" s="7" t="s">
        <v>3016</v>
      </c>
      <c r="L141" s="7" t="s">
        <v>3017</v>
      </c>
      <c r="M141" s="7" t="s">
        <v>2078</v>
      </c>
      <c r="N141" s="9">
        <v>46234</v>
      </c>
      <c r="O141" s="9">
        <v>46356</v>
      </c>
      <c r="P141" s="7" t="s">
        <v>2090</v>
      </c>
      <c r="Q141" s="7" t="s">
        <v>2036</v>
      </c>
      <c r="R141" s="7" t="s">
        <v>3018</v>
      </c>
      <c r="S141" s="7" t="s">
        <v>3019</v>
      </c>
      <c r="T141" s="7" t="s">
        <v>2067</v>
      </c>
      <c r="U141" s="7" t="s">
        <v>2109</v>
      </c>
      <c r="V141" s="7" t="s">
        <v>2067</v>
      </c>
      <c r="W141" s="7" t="s">
        <v>2082</v>
      </c>
    </row>
    <row r="142" spans="1:23" ht="20.100000000000001" customHeight="1" x14ac:dyDescent="0.25">
      <c r="A142" s="3" t="s">
        <v>1240</v>
      </c>
      <c r="B142" s="4" t="s">
        <v>2057</v>
      </c>
      <c r="C142" s="4" t="s">
        <v>3020</v>
      </c>
      <c r="D142" s="4" t="s">
        <v>2059</v>
      </c>
      <c r="E142" s="4" t="s">
        <v>1947</v>
      </c>
      <c r="F142" s="4" t="s">
        <v>1948</v>
      </c>
      <c r="G142" s="4" t="s">
        <v>2057</v>
      </c>
      <c r="H142" s="4" t="s">
        <v>2965</v>
      </c>
      <c r="I142" s="4" t="s">
        <v>2036</v>
      </c>
      <c r="J142" s="4" t="s">
        <v>3021</v>
      </c>
      <c r="K142" s="4" t="s">
        <v>3022</v>
      </c>
      <c r="L142" s="4" t="s">
        <v>3023</v>
      </c>
      <c r="M142" s="4" t="s">
        <v>2078</v>
      </c>
      <c r="N142" s="8">
        <v>46234</v>
      </c>
      <c r="O142" s="8">
        <v>46356</v>
      </c>
      <c r="P142" s="4" t="s">
        <v>2090</v>
      </c>
      <c r="Q142" s="4" t="s">
        <v>2036</v>
      </c>
      <c r="R142" s="4" t="s">
        <v>3024</v>
      </c>
      <c r="S142" s="4" t="s">
        <v>3025</v>
      </c>
      <c r="T142" s="4" t="s">
        <v>2067</v>
      </c>
      <c r="U142" s="4" t="s">
        <v>2146</v>
      </c>
      <c r="V142" s="4" t="s">
        <v>2067</v>
      </c>
      <c r="W142" s="4" t="s">
        <v>2082</v>
      </c>
    </row>
    <row r="143" spans="1:23" ht="20.100000000000001" customHeight="1" x14ac:dyDescent="0.25">
      <c r="A143" s="6" t="s">
        <v>1636</v>
      </c>
      <c r="B143" s="7" t="s">
        <v>2057</v>
      </c>
      <c r="C143" s="7" t="s">
        <v>3026</v>
      </c>
      <c r="D143" s="7" t="s">
        <v>2059</v>
      </c>
      <c r="E143" s="7" t="s">
        <v>1947</v>
      </c>
      <c r="F143" s="7" t="s">
        <v>1948</v>
      </c>
      <c r="G143" s="7" t="s">
        <v>2057</v>
      </c>
      <c r="H143" s="7" t="s">
        <v>3003</v>
      </c>
      <c r="I143" s="7" t="s">
        <v>2036</v>
      </c>
      <c r="J143" s="7" t="s">
        <v>3027</v>
      </c>
      <c r="K143" s="7" t="s">
        <v>3028</v>
      </c>
      <c r="L143" s="7" t="s">
        <v>3029</v>
      </c>
      <c r="M143" s="7" t="s">
        <v>2078</v>
      </c>
      <c r="N143" s="9">
        <v>46234</v>
      </c>
      <c r="O143" s="9">
        <v>46356</v>
      </c>
      <c r="P143" s="7" t="s">
        <v>2090</v>
      </c>
      <c r="Q143" s="7" t="s">
        <v>2036</v>
      </c>
      <c r="R143" s="7" t="s">
        <v>3030</v>
      </c>
      <c r="S143" s="7" t="s">
        <v>3031</v>
      </c>
      <c r="T143" s="7" t="s">
        <v>2067</v>
      </c>
      <c r="U143" s="7" t="s">
        <v>2146</v>
      </c>
      <c r="V143" s="7" t="s">
        <v>2067</v>
      </c>
      <c r="W143" s="7" t="s">
        <v>2069</v>
      </c>
    </row>
    <row r="144" spans="1:23" ht="20.100000000000001" customHeight="1" x14ac:dyDescent="0.25">
      <c r="A144" s="3" t="s">
        <v>1112</v>
      </c>
      <c r="B144" s="4" t="s">
        <v>2057</v>
      </c>
      <c r="C144" s="4" t="s">
        <v>3032</v>
      </c>
      <c r="D144" s="4" t="s">
        <v>2059</v>
      </c>
      <c r="E144" s="4" t="s">
        <v>1947</v>
      </c>
      <c r="F144" s="4" t="s">
        <v>1948</v>
      </c>
      <c r="G144" s="4" t="s">
        <v>2057</v>
      </c>
      <c r="H144" s="4" t="s">
        <v>2965</v>
      </c>
      <c r="I144" s="4" t="s">
        <v>2036</v>
      </c>
      <c r="J144" s="4" t="s">
        <v>3033</v>
      </c>
      <c r="K144" s="4" t="s">
        <v>3034</v>
      </c>
      <c r="L144" s="4" t="s">
        <v>3035</v>
      </c>
      <c r="M144" s="4" t="s">
        <v>2078</v>
      </c>
      <c r="N144" s="8">
        <v>46134</v>
      </c>
      <c r="O144" s="8">
        <v>46355</v>
      </c>
      <c r="P144" s="4" t="s">
        <v>2090</v>
      </c>
      <c r="Q144" s="4" t="s">
        <v>2036</v>
      </c>
      <c r="R144" s="4" t="s">
        <v>3036</v>
      </c>
      <c r="S144" s="4" t="s">
        <v>3037</v>
      </c>
      <c r="T144" s="4" t="s">
        <v>2067</v>
      </c>
      <c r="U144" s="4" t="s">
        <v>2146</v>
      </c>
      <c r="V144" s="4" t="s">
        <v>2067</v>
      </c>
      <c r="W144" s="4" t="s">
        <v>2082</v>
      </c>
    </row>
    <row r="145" spans="1:23" ht="20.100000000000001" customHeight="1" x14ac:dyDescent="0.25">
      <c r="A145" s="6" t="s">
        <v>18</v>
      </c>
      <c r="B145" s="7" t="s">
        <v>2057</v>
      </c>
      <c r="C145" s="7" t="s">
        <v>3038</v>
      </c>
      <c r="D145" s="7" t="s">
        <v>2059</v>
      </c>
      <c r="E145" s="7" t="s">
        <v>1947</v>
      </c>
      <c r="F145" s="7" t="s">
        <v>2329</v>
      </c>
      <c r="G145" s="7" t="s">
        <v>2057</v>
      </c>
      <c r="H145" s="7" t="s">
        <v>2888</v>
      </c>
      <c r="I145" s="7" t="s">
        <v>2036</v>
      </c>
      <c r="J145" s="7" t="s">
        <v>3039</v>
      </c>
      <c r="K145" s="7" t="s">
        <v>3040</v>
      </c>
      <c r="L145" s="7" t="s">
        <v>3041</v>
      </c>
      <c r="M145" s="7" t="s">
        <v>2078</v>
      </c>
      <c r="N145" s="9">
        <v>46234</v>
      </c>
      <c r="O145" s="9">
        <v>46356</v>
      </c>
      <c r="P145" s="7" t="s">
        <v>2090</v>
      </c>
      <c r="Q145" s="7" t="s">
        <v>2036</v>
      </c>
      <c r="R145" s="7" t="s">
        <v>3042</v>
      </c>
      <c r="S145" s="7" t="s">
        <v>3043</v>
      </c>
      <c r="T145" s="7" t="s">
        <v>2067</v>
      </c>
      <c r="U145" s="7" t="s">
        <v>2336</v>
      </c>
      <c r="V145" s="7" t="s">
        <v>2067</v>
      </c>
      <c r="W145" s="7" t="s">
        <v>2082</v>
      </c>
    </row>
    <row r="146" spans="1:23" ht="20.100000000000001" customHeight="1" x14ac:dyDescent="0.25">
      <c r="A146" s="3" t="s">
        <v>1460</v>
      </c>
      <c r="B146" s="4" t="s">
        <v>2057</v>
      </c>
      <c r="C146" s="4" t="s">
        <v>3044</v>
      </c>
      <c r="D146" s="4" t="s">
        <v>2059</v>
      </c>
      <c r="E146" s="4" t="s">
        <v>1947</v>
      </c>
      <c r="F146" s="4" t="s">
        <v>1948</v>
      </c>
      <c r="G146" s="4" t="s">
        <v>2057</v>
      </c>
      <c r="H146" s="4" t="s">
        <v>2874</v>
      </c>
      <c r="I146" s="4" t="s">
        <v>2036</v>
      </c>
      <c r="J146" s="4" t="s">
        <v>3045</v>
      </c>
      <c r="K146" s="4" t="s">
        <v>3046</v>
      </c>
      <c r="L146" s="4" t="s">
        <v>3047</v>
      </c>
      <c r="M146" s="4" t="s">
        <v>2078</v>
      </c>
      <c r="N146" s="8">
        <v>46234</v>
      </c>
      <c r="O146" s="8">
        <v>46356</v>
      </c>
      <c r="P146" s="4" t="s">
        <v>2090</v>
      </c>
      <c r="Q146" s="4" t="s">
        <v>2036</v>
      </c>
      <c r="R146" s="4" t="s">
        <v>3048</v>
      </c>
      <c r="S146" s="4" t="s">
        <v>3049</v>
      </c>
      <c r="T146" s="4" t="s">
        <v>2067</v>
      </c>
      <c r="U146" s="4" t="s">
        <v>2146</v>
      </c>
      <c r="V146" s="4" t="s">
        <v>2067</v>
      </c>
      <c r="W146" s="4" t="s">
        <v>2082</v>
      </c>
    </row>
    <row r="147" spans="1:23" ht="20.100000000000001" customHeight="1" x14ac:dyDescent="0.25">
      <c r="A147" s="6" t="s">
        <v>1714</v>
      </c>
      <c r="B147" s="7" t="s">
        <v>2057</v>
      </c>
      <c r="C147" s="7" t="s">
        <v>3050</v>
      </c>
      <c r="D147" s="7" t="s">
        <v>2059</v>
      </c>
      <c r="E147" s="7" t="s">
        <v>1947</v>
      </c>
      <c r="F147" s="7" t="s">
        <v>1948</v>
      </c>
      <c r="G147" s="7" t="s">
        <v>2057</v>
      </c>
      <c r="H147" s="7" t="s">
        <v>2874</v>
      </c>
      <c r="I147" s="7" t="s">
        <v>2036</v>
      </c>
      <c r="J147" s="7" t="s">
        <v>3051</v>
      </c>
      <c r="K147" s="7" t="s">
        <v>3052</v>
      </c>
      <c r="L147" s="7" t="s">
        <v>3053</v>
      </c>
      <c r="M147" s="7" t="s">
        <v>2078</v>
      </c>
      <c r="N147" s="9">
        <v>46234</v>
      </c>
      <c r="O147" s="9">
        <v>46356</v>
      </c>
      <c r="P147" s="7" t="s">
        <v>2090</v>
      </c>
      <c r="Q147" s="7" t="s">
        <v>2036</v>
      </c>
      <c r="R147" s="7" t="s">
        <v>3054</v>
      </c>
      <c r="S147" s="7" t="s">
        <v>3055</v>
      </c>
      <c r="T147" s="7" t="s">
        <v>2067</v>
      </c>
      <c r="U147" s="7" t="s">
        <v>2146</v>
      </c>
      <c r="V147" s="7" t="s">
        <v>2067</v>
      </c>
      <c r="W147" s="7" t="s">
        <v>2082</v>
      </c>
    </row>
    <row r="148" spans="1:23" ht="20.100000000000001" customHeight="1" x14ac:dyDescent="0.25">
      <c r="A148" s="3" t="s">
        <v>92</v>
      </c>
      <c r="B148" s="4" t="s">
        <v>2057</v>
      </c>
      <c r="C148" s="4" t="s">
        <v>3056</v>
      </c>
      <c r="D148" s="4" t="s">
        <v>2059</v>
      </c>
      <c r="E148" s="4" t="s">
        <v>1947</v>
      </c>
      <c r="F148" s="4" t="s">
        <v>1948</v>
      </c>
      <c r="G148" s="4" t="s">
        <v>2057</v>
      </c>
      <c r="H148" s="4" t="s">
        <v>2874</v>
      </c>
      <c r="I148" s="4" t="s">
        <v>2036</v>
      </c>
      <c r="J148" s="4" t="s">
        <v>3057</v>
      </c>
      <c r="K148" s="4" t="s">
        <v>3058</v>
      </c>
      <c r="L148" s="4" t="s">
        <v>3059</v>
      </c>
      <c r="M148" s="4" t="s">
        <v>2078</v>
      </c>
      <c r="N148" s="8">
        <v>46234</v>
      </c>
      <c r="O148" s="8">
        <v>46356</v>
      </c>
      <c r="P148" s="4" t="s">
        <v>3060</v>
      </c>
      <c r="Q148" s="4" t="s">
        <v>2036</v>
      </c>
      <c r="R148" s="4" t="s">
        <v>3061</v>
      </c>
      <c r="S148" s="4" t="s">
        <v>3062</v>
      </c>
      <c r="T148" s="4" t="s">
        <v>2067</v>
      </c>
      <c r="U148" s="4" t="s">
        <v>2146</v>
      </c>
      <c r="V148" s="4" t="s">
        <v>2067</v>
      </c>
      <c r="W148" s="4" t="s">
        <v>2082</v>
      </c>
    </row>
    <row r="149" spans="1:23" ht="20.100000000000001" customHeight="1" x14ac:dyDescent="0.25">
      <c r="A149" s="6" t="s">
        <v>724</v>
      </c>
      <c r="B149" s="7" t="s">
        <v>2084</v>
      </c>
      <c r="C149" s="7" t="s">
        <v>3063</v>
      </c>
      <c r="D149" s="7" t="s">
        <v>2059</v>
      </c>
      <c r="E149" s="7" t="s">
        <v>3064</v>
      </c>
      <c r="F149" s="7" t="s">
        <v>3065</v>
      </c>
      <c r="G149" s="7" t="s">
        <v>2084</v>
      </c>
      <c r="H149" s="7" t="s">
        <v>3066</v>
      </c>
      <c r="I149" s="7" t="s">
        <v>3067</v>
      </c>
      <c r="J149" s="7" t="s">
        <v>3068</v>
      </c>
      <c r="K149" s="7" t="s">
        <v>3069</v>
      </c>
      <c r="L149" s="7" t="s">
        <v>3070</v>
      </c>
      <c r="M149" s="7" t="s">
        <v>2078</v>
      </c>
      <c r="N149" s="9">
        <v>45992</v>
      </c>
      <c r="O149" s="9">
        <v>46356</v>
      </c>
      <c r="P149" s="7" t="s">
        <v>3065</v>
      </c>
      <c r="Q149" s="7" t="s">
        <v>3067</v>
      </c>
      <c r="R149" s="7" t="s">
        <v>3071</v>
      </c>
      <c r="S149" s="7" t="s">
        <v>3072</v>
      </c>
      <c r="T149" s="7" t="s">
        <v>2067</v>
      </c>
      <c r="U149" s="7" t="s">
        <v>3073</v>
      </c>
      <c r="V149" s="7" t="s">
        <v>2067</v>
      </c>
      <c r="W149" s="7" t="s">
        <v>2069</v>
      </c>
    </row>
    <row r="150" spans="1:23" ht="20.100000000000001" customHeight="1" x14ac:dyDescent="0.25">
      <c r="A150" s="3" t="s">
        <v>1614</v>
      </c>
      <c r="B150" s="4" t="s">
        <v>2084</v>
      </c>
      <c r="C150" s="4" t="s">
        <v>3074</v>
      </c>
      <c r="D150" s="4" t="s">
        <v>2059</v>
      </c>
      <c r="E150" s="4" t="s">
        <v>1947</v>
      </c>
      <c r="F150" s="4" t="s">
        <v>1948</v>
      </c>
      <c r="G150" s="4" t="s">
        <v>2084</v>
      </c>
      <c r="H150" s="4" t="s">
        <v>3075</v>
      </c>
      <c r="I150" s="4" t="s">
        <v>3067</v>
      </c>
      <c r="J150" s="4" t="s">
        <v>3076</v>
      </c>
      <c r="K150" s="4" t="s">
        <v>3077</v>
      </c>
      <c r="L150" s="4" t="s">
        <v>3078</v>
      </c>
      <c r="M150" s="4" t="s">
        <v>2078</v>
      </c>
      <c r="N150" s="8">
        <v>45992</v>
      </c>
      <c r="O150" s="8">
        <v>46356</v>
      </c>
      <c r="P150" s="4" t="s">
        <v>2090</v>
      </c>
      <c r="Q150" s="4" t="s">
        <v>3067</v>
      </c>
      <c r="R150" s="4" t="s">
        <v>3079</v>
      </c>
      <c r="S150" s="4" t="s">
        <v>3080</v>
      </c>
      <c r="T150" s="4" t="s">
        <v>2067</v>
      </c>
      <c r="U150" s="4" t="s">
        <v>2146</v>
      </c>
      <c r="V150" s="4" t="s">
        <v>2067</v>
      </c>
      <c r="W150" s="4" t="s">
        <v>2069</v>
      </c>
    </row>
    <row r="151" spans="1:23" ht="20.100000000000001" customHeight="1" x14ac:dyDescent="0.25">
      <c r="A151" s="6" t="s">
        <v>844</v>
      </c>
      <c r="B151" s="7" t="s">
        <v>2084</v>
      </c>
      <c r="C151" s="7" t="s">
        <v>3081</v>
      </c>
      <c r="D151" s="7" t="s">
        <v>2059</v>
      </c>
      <c r="E151" s="7" t="s">
        <v>1947</v>
      </c>
      <c r="F151" s="7" t="s">
        <v>1948</v>
      </c>
      <c r="G151" s="7" t="s">
        <v>2084</v>
      </c>
      <c r="H151" s="7" t="s">
        <v>3066</v>
      </c>
      <c r="I151" s="7" t="s">
        <v>3067</v>
      </c>
      <c r="J151" s="7" t="s">
        <v>3082</v>
      </c>
      <c r="K151" s="7" t="s">
        <v>3083</v>
      </c>
      <c r="L151" s="7" t="s">
        <v>3084</v>
      </c>
      <c r="M151" s="7" t="s">
        <v>2078</v>
      </c>
      <c r="N151" s="9">
        <v>45992</v>
      </c>
      <c r="O151" s="9">
        <v>46356</v>
      </c>
      <c r="P151" s="7" t="s">
        <v>2090</v>
      </c>
      <c r="Q151" s="7" t="s">
        <v>3067</v>
      </c>
      <c r="R151" s="7" t="s">
        <v>3085</v>
      </c>
      <c r="S151" s="7" t="s">
        <v>3086</v>
      </c>
      <c r="T151" s="7" t="s">
        <v>2067</v>
      </c>
      <c r="U151" s="7" t="s">
        <v>2146</v>
      </c>
      <c r="V151" s="7" t="s">
        <v>2067</v>
      </c>
      <c r="W151" s="7" t="s">
        <v>2069</v>
      </c>
    </row>
    <row r="152" spans="1:23" ht="20.100000000000001" customHeight="1" x14ac:dyDescent="0.25">
      <c r="A152" s="3" t="s">
        <v>114</v>
      </c>
      <c r="B152" s="4" t="s">
        <v>2084</v>
      </c>
      <c r="C152" s="4" t="s">
        <v>3087</v>
      </c>
      <c r="D152" s="4" t="s">
        <v>2059</v>
      </c>
      <c r="E152" s="4" t="s">
        <v>1947</v>
      </c>
      <c r="F152" s="4" t="s">
        <v>1948</v>
      </c>
      <c r="G152" s="4" t="s">
        <v>2084</v>
      </c>
      <c r="H152" s="4" t="s">
        <v>3088</v>
      </c>
      <c r="I152" s="4" t="s">
        <v>3067</v>
      </c>
      <c r="J152" s="4" t="s">
        <v>3089</v>
      </c>
      <c r="K152" s="4" t="s">
        <v>3090</v>
      </c>
      <c r="L152" s="4" t="s">
        <v>3091</v>
      </c>
      <c r="M152" s="4" t="s">
        <v>2078</v>
      </c>
      <c r="N152" s="8">
        <v>46052</v>
      </c>
      <c r="O152" s="8">
        <v>46296</v>
      </c>
      <c r="P152" s="4" t="s">
        <v>2090</v>
      </c>
      <c r="Q152" s="4" t="s">
        <v>3067</v>
      </c>
      <c r="R152" s="4" t="s">
        <v>3092</v>
      </c>
      <c r="S152" s="4" t="s">
        <v>3093</v>
      </c>
      <c r="T152" s="4" t="s">
        <v>2067</v>
      </c>
      <c r="U152" s="4" t="s">
        <v>2146</v>
      </c>
      <c r="V152" s="4" t="s">
        <v>2067</v>
      </c>
      <c r="W152" s="4" t="s">
        <v>2082</v>
      </c>
    </row>
    <row r="153" spans="1:23" ht="20.100000000000001" customHeight="1" x14ac:dyDescent="0.25">
      <c r="A153" s="6" t="s">
        <v>922</v>
      </c>
      <c r="B153" s="7" t="s">
        <v>2084</v>
      </c>
      <c r="C153" s="7" t="s">
        <v>3094</v>
      </c>
      <c r="D153" s="7" t="s">
        <v>2059</v>
      </c>
      <c r="E153" s="7" t="s">
        <v>1947</v>
      </c>
      <c r="F153" s="7" t="s">
        <v>1948</v>
      </c>
      <c r="G153" s="7" t="s">
        <v>2084</v>
      </c>
      <c r="H153" s="7" t="s">
        <v>3095</v>
      </c>
      <c r="I153" s="7" t="s">
        <v>3067</v>
      </c>
      <c r="J153" s="7" t="s">
        <v>3096</v>
      </c>
      <c r="K153" s="7" t="s">
        <v>3097</v>
      </c>
      <c r="L153" s="7" t="s">
        <v>3098</v>
      </c>
      <c r="M153" s="7" t="s">
        <v>2078</v>
      </c>
      <c r="N153" s="9">
        <v>45992</v>
      </c>
      <c r="O153" s="9">
        <v>46356</v>
      </c>
      <c r="P153" s="7" t="s">
        <v>2090</v>
      </c>
      <c r="Q153" s="7" t="s">
        <v>3067</v>
      </c>
      <c r="R153" s="7" t="s">
        <v>3099</v>
      </c>
      <c r="S153" s="7" t="s">
        <v>3100</v>
      </c>
      <c r="T153" s="7" t="s">
        <v>2067</v>
      </c>
      <c r="U153" s="7" t="s">
        <v>2146</v>
      </c>
      <c r="V153" s="7" t="s">
        <v>2067</v>
      </c>
      <c r="W153" s="7" t="s">
        <v>2069</v>
      </c>
    </row>
    <row r="154" spans="1:23" ht="20.100000000000001" customHeight="1" x14ac:dyDescent="0.25">
      <c r="A154" s="3" t="s">
        <v>898</v>
      </c>
      <c r="B154" s="4" t="s">
        <v>2084</v>
      </c>
      <c r="C154" s="4" t="s">
        <v>3101</v>
      </c>
      <c r="D154" s="4" t="s">
        <v>2059</v>
      </c>
      <c r="E154" s="4" t="s">
        <v>1947</v>
      </c>
      <c r="F154" s="4" t="s">
        <v>1948</v>
      </c>
      <c r="G154" s="4" t="s">
        <v>2084</v>
      </c>
      <c r="H154" s="4" t="s">
        <v>3102</v>
      </c>
      <c r="I154" s="4" t="s">
        <v>3067</v>
      </c>
      <c r="J154" s="4" t="s">
        <v>3103</v>
      </c>
      <c r="K154" s="4" t="s">
        <v>3104</v>
      </c>
      <c r="L154" s="4" t="s">
        <v>3105</v>
      </c>
      <c r="M154" s="4" t="s">
        <v>2078</v>
      </c>
      <c r="N154" s="8">
        <v>45992</v>
      </c>
      <c r="O154" s="8">
        <v>46356</v>
      </c>
      <c r="P154" s="4" t="s">
        <v>2090</v>
      </c>
      <c r="Q154" s="4" t="s">
        <v>3067</v>
      </c>
      <c r="R154" s="4" t="s">
        <v>3106</v>
      </c>
      <c r="S154" s="4" t="s">
        <v>3107</v>
      </c>
      <c r="T154" s="4" t="s">
        <v>2067</v>
      </c>
      <c r="U154" s="4" t="s">
        <v>2146</v>
      </c>
      <c r="V154" s="4" t="s">
        <v>2067</v>
      </c>
      <c r="W154" s="4" t="s">
        <v>2069</v>
      </c>
    </row>
    <row r="155" spans="1:23" ht="20.100000000000001" customHeight="1" x14ac:dyDescent="0.25">
      <c r="A155" s="6" t="s">
        <v>240</v>
      </c>
      <c r="B155" s="7" t="s">
        <v>2084</v>
      </c>
      <c r="C155" s="7" t="s">
        <v>3108</v>
      </c>
      <c r="D155" s="7" t="s">
        <v>2059</v>
      </c>
      <c r="E155" s="7" t="s">
        <v>1947</v>
      </c>
      <c r="F155" s="7" t="s">
        <v>1948</v>
      </c>
      <c r="G155" s="7" t="s">
        <v>2084</v>
      </c>
      <c r="H155" s="7" t="s">
        <v>3075</v>
      </c>
      <c r="I155" s="7" t="s">
        <v>3067</v>
      </c>
      <c r="J155" s="7" t="s">
        <v>3109</v>
      </c>
      <c r="K155" s="7" t="s">
        <v>3110</v>
      </c>
      <c r="L155" s="7" t="s">
        <v>3111</v>
      </c>
      <c r="M155" s="7" t="s">
        <v>2078</v>
      </c>
      <c r="N155" s="9">
        <v>45992</v>
      </c>
      <c r="O155" s="9">
        <v>46356</v>
      </c>
      <c r="P155" s="7" t="s">
        <v>2090</v>
      </c>
      <c r="Q155" s="7" t="s">
        <v>3067</v>
      </c>
      <c r="R155" s="7" t="s">
        <v>3112</v>
      </c>
      <c r="S155" s="7" t="s">
        <v>3113</v>
      </c>
      <c r="T155" s="7" t="s">
        <v>2067</v>
      </c>
      <c r="U155" s="7" t="s">
        <v>2146</v>
      </c>
      <c r="V155" s="7" t="s">
        <v>2067</v>
      </c>
      <c r="W155" s="7" t="s">
        <v>2069</v>
      </c>
    </row>
    <row r="156" spans="1:23" ht="20.100000000000001" customHeight="1" x14ac:dyDescent="0.25">
      <c r="A156" s="3" t="s">
        <v>896</v>
      </c>
      <c r="B156" s="4" t="s">
        <v>2084</v>
      </c>
      <c r="C156" s="4" t="s">
        <v>3114</v>
      </c>
      <c r="D156" s="4" t="s">
        <v>2059</v>
      </c>
      <c r="E156" s="4" t="s">
        <v>1947</v>
      </c>
      <c r="F156" s="4" t="s">
        <v>1948</v>
      </c>
      <c r="G156" s="4" t="s">
        <v>2084</v>
      </c>
      <c r="H156" s="4" t="s">
        <v>3066</v>
      </c>
      <c r="I156" s="4" t="s">
        <v>3067</v>
      </c>
      <c r="J156" s="4" t="s">
        <v>3115</v>
      </c>
      <c r="K156" s="4" t="s">
        <v>3116</v>
      </c>
      <c r="L156" s="4" t="s">
        <v>3117</v>
      </c>
      <c r="M156" s="4" t="s">
        <v>2078</v>
      </c>
      <c r="N156" s="8">
        <v>45992</v>
      </c>
      <c r="O156" s="8">
        <v>46356</v>
      </c>
      <c r="P156" s="4" t="s">
        <v>2090</v>
      </c>
      <c r="Q156" s="4" t="s">
        <v>3067</v>
      </c>
      <c r="R156" s="4" t="s">
        <v>3118</v>
      </c>
      <c r="S156" s="4" t="s">
        <v>3119</v>
      </c>
      <c r="T156" s="4" t="s">
        <v>2067</v>
      </c>
      <c r="U156" s="4" t="s">
        <v>2146</v>
      </c>
      <c r="V156" s="4" t="s">
        <v>2067</v>
      </c>
      <c r="W156" s="4" t="s">
        <v>2069</v>
      </c>
    </row>
    <row r="157" spans="1:23" ht="20.100000000000001" customHeight="1" x14ac:dyDescent="0.25">
      <c r="A157" s="6" t="s">
        <v>748</v>
      </c>
      <c r="B157" s="7" t="s">
        <v>2084</v>
      </c>
      <c r="C157" s="7" t="s">
        <v>3120</v>
      </c>
      <c r="D157" s="7" t="s">
        <v>2059</v>
      </c>
      <c r="E157" s="7" t="s">
        <v>1947</v>
      </c>
      <c r="F157" s="7" t="s">
        <v>1948</v>
      </c>
      <c r="G157" s="7" t="s">
        <v>2084</v>
      </c>
      <c r="H157" s="7" t="s">
        <v>3066</v>
      </c>
      <c r="I157" s="7" t="s">
        <v>3067</v>
      </c>
      <c r="J157" s="7" t="s">
        <v>3121</v>
      </c>
      <c r="K157" s="7" t="s">
        <v>3122</v>
      </c>
      <c r="L157" s="7" t="s">
        <v>3123</v>
      </c>
      <c r="M157" s="7" t="s">
        <v>2078</v>
      </c>
      <c r="N157" s="9">
        <v>45992</v>
      </c>
      <c r="O157" s="9">
        <v>46356</v>
      </c>
      <c r="P157" s="7" t="s">
        <v>2090</v>
      </c>
      <c r="Q157" s="7" t="s">
        <v>3067</v>
      </c>
      <c r="R157" s="7" t="s">
        <v>3124</v>
      </c>
      <c r="S157" s="7" t="s">
        <v>3125</v>
      </c>
      <c r="T157" s="7" t="s">
        <v>2067</v>
      </c>
      <c r="U157" s="7" t="s">
        <v>2146</v>
      </c>
      <c r="V157" s="7" t="s">
        <v>2067</v>
      </c>
      <c r="W157" s="7" t="s">
        <v>2069</v>
      </c>
    </row>
    <row r="158" spans="1:23" ht="20.100000000000001" customHeight="1" x14ac:dyDescent="0.25">
      <c r="A158" s="3" t="s">
        <v>670</v>
      </c>
      <c r="B158" s="4" t="s">
        <v>2084</v>
      </c>
      <c r="C158" s="4" t="s">
        <v>3126</v>
      </c>
      <c r="D158" s="4" t="s">
        <v>2059</v>
      </c>
      <c r="E158" s="4" t="s">
        <v>1947</v>
      </c>
      <c r="F158" s="4" t="s">
        <v>1948</v>
      </c>
      <c r="G158" s="4" t="s">
        <v>2084</v>
      </c>
      <c r="H158" s="4" t="s">
        <v>3127</v>
      </c>
      <c r="I158" s="4" t="s">
        <v>3067</v>
      </c>
      <c r="J158" s="4" t="s">
        <v>3128</v>
      </c>
      <c r="K158" s="4" t="s">
        <v>3129</v>
      </c>
      <c r="L158" s="4" t="s">
        <v>3130</v>
      </c>
      <c r="M158" s="4" t="s">
        <v>2078</v>
      </c>
      <c r="N158" s="8">
        <v>46052</v>
      </c>
      <c r="O158" s="8">
        <v>46296</v>
      </c>
      <c r="P158" s="4" t="s">
        <v>2090</v>
      </c>
      <c r="Q158" s="4" t="s">
        <v>3067</v>
      </c>
      <c r="R158" s="4" t="s">
        <v>3131</v>
      </c>
      <c r="S158" s="4" t="s">
        <v>3132</v>
      </c>
      <c r="T158" s="4" t="s">
        <v>2067</v>
      </c>
      <c r="U158" s="4" t="s">
        <v>2146</v>
      </c>
      <c r="V158" s="4" t="s">
        <v>2067</v>
      </c>
      <c r="W158" s="4" t="s">
        <v>2082</v>
      </c>
    </row>
    <row r="159" spans="1:23" ht="20.100000000000001" customHeight="1" x14ac:dyDescent="0.25">
      <c r="A159" s="6" t="s">
        <v>340</v>
      </c>
      <c r="B159" s="7" t="s">
        <v>2084</v>
      </c>
      <c r="C159" s="7" t="s">
        <v>3133</v>
      </c>
      <c r="D159" s="7" t="s">
        <v>2059</v>
      </c>
      <c r="E159" s="7" t="s">
        <v>1979</v>
      </c>
      <c r="F159" s="7" t="s">
        <v>1980</v>
      </c>
      <c r="G159" s="7" t="s">
        <v>2084</v>
      </c>
      <c r="H159" s="7" t="s">
        <v>3095</v>
      </c>
      <c r="I159" s="7" t="s">
        <v>3067</v>
      </c>
      <c r="J159" s="7" t="s">
        <v>3134</v>
      </c>
      <c r="K159" s="7" t="s">
        <v>3135</v>
      </c>
      <c r="L159" s="7" t="s">
        <v>3136</v>
      </c>
      <c r="M159" s="7" t="s">
        <v>2078</v>
      </c>
      <c r="N159" s="9">
        <v>45992</v>
      </c>
      <c r="O159" s="9">
        <v>46356</v>
      </c>
      <c r="P159" s="7" t="s">
        <v>1980</v>
      </c>
      <c r="Q159" s="7" t="s">
        <v>3067</v>
      </c>
      <c r="R159" s="7" t="s">
        <v>2605</v>
      </c>
      <c r="S159" s="7" t="s">
        <v>3137</v>
      </c>
      <c r="T159" s="7" t="s">
        <v>2067</v>
      </c>
      <c r="U159" s="7" t="s">
        <v>2299</v>
      </c>
      <c r="V159" s="7" t="s">
        <v>2067</v>
      </c>
      <c r="W159" s="7" t="s">
        <v>2069</v>
      </c>
    </row>
    <row r="160" spans="1:23" ht="20.100000000000001" customHeight="1" x14ac:dyDescent="0.25">
      <c r="A160" s="3" t="s">
        <v>372</v>
      </c>
      <c r="B160" s="4" t="s">
        <v>2084</v>
      </c>
      <c r="C160" s="4" t="s">
        <v>3138</v>
      </c>
      <c r="D160" s="4" t="s">
        <v>2059</v>
      </c>
      <c r="E160" s="4" t="s">
        <v>1979</v>
      </c>
      <c r="F160" s="4" t="s">
        <v>2728</v>
      </c>
      <c r="G160" s="4" t="s">
        <v>2084</v>
      </c>
      <c r="H160" s="4" t="s">
        <v>3139</v>
      </c>
      <c r="I160" s="4" t="s">
        <v>3067</v>
      </c>
      <c r="J160" s="4" t="s">
        <v>3140</v>
      </c>
      <c r="K160" s="4" t="s">
        <v>3141</v>
      </c>
      <c r="L160" s="4" t="s">
        <v>3142</v>
      </c>
      <c r="M160" s="4" t="s">
        <v>2078</v>
      </c>
      <c r="N160" s="8">
        <v>46167</v>
      </c>
      <c r="O160" s="8">
        <v>46294</v>
      </c>
      <c r="P160" s="4" t="s">
        <v>2728</v>
      </c>
      <c r="Q160" s="4" t="s">
        <v>3067</v>
      </c>
      <c r="R160" s="4" t="s">
        <v>3143</v>
      </c>
      <c r="S160" s="4" t="s">
        <v>3144</v>
      </c>
      <c r="T160" s="4" t="s">
        <v>2067</v>
      </c>
      <c r="U160" s="4" t="s">
        <v>2728</v>
      </c>
      <c r="V160" s="4" t="s">
        <v>2067</v>
      </c>
      <c r="W160" s="4" t="s">
        <v>2069</v>
      </c>
    </row>
    <row r="161" spans="1:23" ht="20.100000000000001" customHeight="1" x14ac:dyDescent="0.25">
      <c r="A161" s="6" t="s">
        <v>1466</v>
      </c>
      <c r="B161" s="7" t="s">
        <v>2057</v>
      </c>
      <c r="C161" s="7" t="s">
        <v>3145</v>
      </c>
      <c r="D161" s="7" t="s">
        <v>2059</v>
      </c>
      <c r="E161" s="7" t="s">
        <v>1947</v>
      </c>
      <c r="F161" s="7" t="s">
        <v>1948</v>
      </c>
      <c r="G161" s="7" t="s">
        <v>2057</v>
      </c>
      <c r="H161" s="7" t="s">
        <v>3146</v>
      </c>
      <c r="I161" s="7" t="s">
        <v>3147</v>
      </c>
      <c r="J161" s="7" t="s">
        <v>3148</v>
      </c>
      <c r="K161" s="7" t="s">
        <v>3149</v>
      </c>
      <c r="L161" s="7" t="s">
        <v>3150</v>
      </c>
      <c r="M161" s="7" t="s">
        <v>2078</v>
      </c>
      <c r="N161" s="9">
        <v>45992</v>
      </c>
      <c r="O161" s="9">
        <v>46356</v>
      </c>
      <c r="P161" s="7" t="s">
        <v>2090</v>
      </c>
      <c r="Q161" s="7" t="s">
        <v>3147</v>
      </c>
      <c r="R161" s="7" t="s">
        <v>3151</v>
      </c>
      <c r="S161" s="7" t="s">
        <v>3152</v>
      </c>
      <c r="T161" s="7" t="s">
        <v>2067</v>
      </c>
      <c r="U161" s="7" t="s">
        <v>3153</v>
      </c>
      <c r="V161" s="7" t="s">
        <v>2067</v>
      </c>
      <c r="W161" s="7" t="s">
        <v>2069</v>
      </c>
    </row>
    <row r="162" spans="1:23" ht="20.100000000000001" customHeight="1" x14ac:dyDescent="0.25">
      <c r="A162" s="3" t="s">
        <v>3154</v>
      </c>
      <c r="B162" s="4" t="s">
        <v>2057</v>
      </c>
      <c r="C162" s="4" t="s">
        <v>3155</v>
      </c>
      <c r="D162" s="4" t="s">
        <v>2059</v>
      </c>
      <c r="E162" s="4" t="s">
        <v>1947</v>
      </c>
      <c r="F162" s="4" t="s">
        <v>1948</v>
      </c>
      <c r="G162" s="4" t="s">
        <v>2057</v>
      </c>
      <c r="H162" s="4" t="s">
        <v>3146</v>
      </c>
      <c r="I162" s="4" t="s">
        <v>3147</v>
      </c>
      <c r="J162" s="4" t="s">
        <v>3156</v>
      </c>
      <c r="K162" s="4" t="s">
        <v>3157</v>
      </c>
      <c r="L162" s="4" t="s">
        <v>3158</v>
      </c>
      <c r="M162" s="4" t="s">
        <v>2078</v>
      </c>
      <c r="N162" s="8">
        <v>46234</v>
      </c>
      <c r="O162" s="8">
        <v>46356</v>
      </c>
      <c r="P162" s="4" t="s">
        <v>2090</v>
      </c>
      <c r="Q162" s="4" t="s">
        <v>3147</v>
      </c>
      <c r="R162" s="4" t="s">
        <v>3159</v>
      </c>
      <c r="S162" s="4" t="s">
        <v>3160</v>
      </c>
      <c r="T162" s="4" t="s">
        <v>2067</v>
      </c>
      <c r="U162" s="4" t="s">
        <v>2109</v>
      </c>
      <c r="V162" s="4" t="s">
        <v>2067</v>
      </c>
      <c r="W162" s="4" t="s">
        <v>2069</v>
      </c>
    </row>
    <row r="163" spans="1:23" ht="20.100000000000001" customHeight="1" x14ac:dyDescent="0.25">
      <c r="A163" s="6" t="s">
        <v>758</v>
      </c>
      <c r="B163" s="7" t="s">
        <v>2057</v>
      </c>
      <c r="C163" s="7" t="s">
        <v>3161</v>
      </c>
      <c r="D163" s="7" t="s">
        <v>2059</v>
      </c>
      <c r="E163" s="7" t="s">
        <v>1947</v>
      </c>
      <c r="F163" s="7" t="s">
        <v>1948</v>
      </c>
      <c r="G163" s="7" t="s">
        <v>2057</v>
      </c>
      <c r="H163" s="7" t="s">
        <v>3162</v>
      </c>
      <c r="I163" s="7" t="s">
        <v>3147</v>
      </c>
      <c r="J163" s="7" t="s">
        <v>3163</v>
      </c>
      <c r="K163" s="7" t="s">
        <v>3164</v>
      </c>
      <c r="L163" s="7" t="s">
        <v>3165</v>
      </c>
      <c r="M163" s="7" t="s">
        <v>2078</v>
      </c>
      <c r="N163" s="9">
        <v>46234</v>
      </c>
      <c r="O163" s="9">
        <v>46356</v>
      </c>
      <c r="P163" s="7" t="s">
        <v>2090</v>
      </c>
      <c r="Q163" s="7" t="s">
        <v>3147</v>
      </c>
      <c r="R163" s="7" t="s">
        <v>3166</v>
      </c>
      <c r="S163" s="7" t="s">
        <v>3167</v>
      </c>
      <c r="T163" s="7" t="s">
        <v>2067</v>
      </c>
      <c r="U163" s="7" t="s">
        <v>2109</v>
      </c>
      <c r="V163" s="7" t="s">
        <v>2067</v>
      </c>
      <c r="W163" s="7" t="s">
        <v>2082</v>
      </c>
    </row>
    <row r="164" spans="1:23" ht="20.100000000000001" customHeight="1" x14ac:dyDescent="0.25">
      <c r="A164" s="3" t="s">
        <v>3168</v>
      </c>
      <c r="B164" s="4" t="s">
        <v>2057</v>
      </c>
      <c r="C164" s="4" t="s">
        <v>3169</v>
      </c>
      <c r="D164" s="4" t="s">
        <v>2059</v>
      </c>
      <c r="E164" s="4" t="s">
        <v>1947</v>
      </c>
      <c r="F164" s="4" t="s">
        <v>1948</v>
      </c>
      <c r="G164" s="4" t="s">
        <v>2057</v>
      </c>
      <c r="H164" s="4" t="s">
        <v>3170</v>
      </c>
      <c r="I164" s="4" t="s">
        <v>3147</v>
      </c>
      <c r="J164" s="4" t="s">
        <v>3171</v>
      </c>
      <c r="K164" s="4" t="s">
        <v>3172</v>
      </c>
      <c r="L164" s="4" t="s">
        <v>3173</v>
      </c>
      <c r="M164" s="4" t="s">
        <v>2078</v>
      </c>
      <c r="N164" s="8">
        <v>46234</v>
      </c>
      <c r="O164" s="8">
        <v>46356</v>
      </c>
      <c r="P164" s="4" t="s">
        <v>2090</v>
      </c>
      <c r="Q164" s="4" t="s">
        <v>3147</v>
      </c>
      <c r="R164" s="4" t="s">
        <v>3174</v>
      </c>
      <c r="S164" s="4" t="s">
        <v>3175</v>
      </c>
      <c r="T164" s="4" t="s">
        <v>2067</v>
      </c>
      <c r="U164" s="4" t="s">
        <v>2146</v>
      </c>
      <c r="V164" s="4" t="s">
        <v>2067</v>
      </c>
      <c r="W164" s="4" t="s">
        <v>2082</v>
      </c>
    </row>
    <row r="165" spans="1:23" ht="20.100000000000001" customHeight="1" x14ac:dyDescent="0.25">
      <c r="A165" s="6" t="s">
        <v>704</v>
      </c>
      <c r="B165" s="7" t="s">
        <v>2057</v>
      </c>
      <c r="C165" s="7" t="s">
        <v>3176</v>
      </c>
      <c r="D165" s="7" t="s">
        <v>2059</v>
      </c>
      <c r="E165" s="7" t="s">
        <v>1952</v>
      </c>
      <c r="F165" s="7" t="s">
        <v>1953</v>
      </c>
      <c r="G165" s="7" t="s">
        <v>2057</v>
      </c>
      <c r="H165" s="7" t="s">
        <v>3177</v>
      </c>
      <c r="I165" s="7" t="s">
        <v>3178</v>
      </c>
      <c r="J165" s="7" t="s">
        <v>3179</v>
      </c>
      <c r="K165" s="7" t="s">
        <v>3180</v>
      </c>
      <c r="L165" s="7" t="s">
        <v>3181</v>
      </c>
      <c r="M165" s="7" t="s">
        <v>2078</v>
      </c>
      <c r="N165" s="9">
        <v>46234</v>
      </c>
      <c r="O165" s="9">
        <v>46356</v>
      </c>
      <c r="P165" s="7" t="s">
        <v>1953</v>
      </c>
      <c r="Q165" s="7" t="s">
        <v>3178</v>
      </c>
      <c r="R165" s="7" t="s">
        <v>3182</v>
      </c>
      <c r="S165" s="7" t="s">
        <v>3183</v>
      </c>
      <c r="T165" s="7" t="s">
        <v>2067</v>
      </c>
      <c r="U165" s="7" t="s">
        <v>2358</v>
      </c>
      <c r="V165" s="7" t="s">
        <v>2067</v>
      </c>
      <c r="W165" s="7" t="s">
        <v>2082</v>
      </c>
    </row>
    <row r="166" spans="1:23" ht="20.100000000000001" customHeight="1" x14ac:dyDescent="0.25">
      <c r="A166" s="3" t="s">
        <v>756</v>
      </c>
      <c r="B166" s="4" t="s">
        <v>2084</v>
      </c>
      <c r="C166" s="4" t="s">
        <v>3184</v>
      </c>
      <c r="D166" s="4" t="s">
        <v>2059</v>
      </c>
      <c r="E166" s="4" t="s">
        <v>1947</v>
      </c>
      <c r="F166" s="4" t="s">
        <v>1948</v>
      </c>
      <c r="G166" s="4" t="s">
        <v>2084</v>
      </c>
      <c r="H166" s="4" t="s">
        <v>3185</v>
      </c>
      <c r="I166" s="4" t="s">
        <v>1956</v>
      </c>
      <c r="J166" s="4" t="s">
        <v>3186</v>
      </c>
      <c r="K166" s="4" t="s">
        <v>3187</v>
      </c>
      <c r="L166" s="4" t="s">
        <v>3188</v>
      </c>
      <c r="M166" s="4" t="s">
        <v>2078</v>
      </c>
      <c r="N166" s="8">
        <v>46234</v>
      </c>
      <c r="O166" s="8">
        <v>46356</v>
      </c>
      <c r="P166" s="4" t="s">
        <v>2090</v>
      </c>
      <c r="Q166" s="4" t="s">
        <v>1956</v>
      </c>
      <c r="R166" s="4" t="s">
        <v>3189</v>
      </c>
      <c r="S166" s="4" t="s">
        <v>3190</v>
      </c>
      <c r="T166" s="4" t="s">
        <v>2067</v>
      </c>
      <c r="U166" s="4" t="s">
        <v>2768</v>
      </c>
      <c r="V166" s="4" t="s">
        <v>2067</v>
      </c>
      <c r="W166" s="4" t="s">
        <v>2082</v>
      </c>
    </row>
    <row r="167" spans="1:23" ht="20.100000000000001" customHeight="1" x14ac:dyDescent="0.25">
      <c r="A167" s="6" t="s">
        <v>1038</v>
      </c>
      <c r="B167" s="7" t="s">
        <v>2084</v>
      </c>
      <c r="C167" s="7" t="s">
        <v>3191</v>
      </c>
      <c r="D167" s="7" t="s">
        <v>2059</v>
      </c>
      <c r="E167" s="7" t="s">
        <v>1947</v>
      </c>
      <c r="F167" s="7" t="s">
        <v>1948</v>
      </c>
      <c r="G167" s="7" t="s">
        <v>2084</v>
      </c>
      <c r="H167" s="7" t="s">
        <v>3192</v>
      </c>
      <c r="I167" s="7" t="s">
        <v>1956</v>
      </c>
      <c r="J167" s="7" t="s">
        <v>3193</v>
      </c>
      <c r="K167" s="7" t="s">
        <v>3194</v>
      </c>
      <c r="L167" s="7" t="s">
        <v>3195</v>
      </c>
      <c r="M167" s="7" t="s">
        <v>2064</v>
      </c>
      <c r="N167" s="9">
        <v>39461</v>
      </c>
      <c r="O167" s="9"/>
      <c r="P167" s="7" t="s">
        <v>2090</v>
      </c>
      <c r="Q167" s="7" t="s">
        <v>1956</v>
      </c>
      <c r="R167" s="7" t="s">
        <v>3196</v>
      </c>
      <c r="S167" s="7" t="s">
        <v>3197</v>
      </c>
      <c r="T167" s="7" t="s">
        <v>2067</v>
      </c>
      <c r="U167" s="7" t="s">
        <v>2768</v>
      </c>
      <c r="V167" s="7" t="s">
        <v>2067</v>
      </c>
      <c r="W167" s="7" t="s">
        <v>2069</v>
      </c>
    </row>
    <row r="168" spans="1:23" ht="20.100000000000001" customHeight="1" x14ac:dyDescent="0.25">
      <c r="A168" s="3" t="s">
        <v>838</v>
      </c>
      <c r="B168" s="4" t="s">
        <v>2057</v>
      </c>
      <c r="C168" s="4" t="s">
        <v>3198</v>
      </c>
      <c r="D168" s="4" t="s">
        <v>2059</v>
      </c>
      <c r="E168" s="4" t="s">
        <v>1947</v>
      </c>
      <c r="F168" s="4" t="s">
        <v>1948</v>
      </c>
      <c r="G168" s="4" t="s">
        <v>2057</v>
      </c>
      <c r="H168" s="4" t="s">
        <v>3199</v>
      </c>
      <c r="I168" s="4" t="s">
        <v>1956</v>
      </c>
      <c r="J168" s="4" t="s">
        <v>3200</v>
      </c>
      <c r="K168" s="4" t="s">
        <v>3201</v>
      </c>
      <c r="L168" s="4" t="s">
        <v>3202</v>
      </c>
      <c r="M168" s="4" t="s">
        <v>2064</v>
      </c>
      <c r="N168" s="8">
        <v>42319</v>
      </c>
      <c r="O168" s="8"/>
      <c r="P168" s="4" t="s">
        <v>2090</v>
      </c>
      <c r="Q168" s="4" t="s">
        <v>1956</v>
      </c>
      <c r="R168" s="4" t="s">
        <v>3203</v>
      </c>
      <c r="S168" s="4" t="s">
        <v>3204</v>
      </c>
      <c r="T168" s="4" t="s">
        <v>2067</v>
      </c>
      <c r="U168" s="4" t="s">
        <v>2109</v>
      </c>
      <c r="V168" s="4" t="s">
        <v>2067</v>
      </c>
      <c r="W168" s="4" t="s">
        <v>2069</v>
      </c>
    </row>
    <row r="169" spans="1:23" ht="20.100000000000001" customHeight="1" x14ac:dyDescent="0.25">
      <c r="A169" s="6" t="s">
        <v>3205</v>
      </c>
      <c r="B169" s="7" t="s">
        <v>2084</v>
      </c>
      <c r="C169" s="7" t="s">
        <v>3206</v>
      </c>
      <c r="D169" s="7" t="s">
        <v>2059</v>
      </c>
      <c r="E169" s="7" t="s">
        <v>1947</v>
      </c>
      <c r="F169" s="7" t="s">
        <v>1948</v>
      </c>
      <c r="G169" s="7" t="s">
        <v>2084</v>
      </c>
      <c r="H169" s="7" t="s">
        <v>3185</v>
      </c>
      <c r="I169" s="7" t="s">
        <v>1956</v>
      </c>
      <c r="J169" s="7" t="s">
        <v>3207</v>
      </c>
      <c r="K169" s="7" t="s">
        <v>3208</v>
      </c>
      <c r="L169" s="7" t="s">
        <v>3209</v>
      </c>
      <c r="M169" s="7" t="s">
        <v>2078</v>
      </c>
      <c r="N169" s="9">
        <v>46234</v>
      </c>
      <c r="O169" s="9">
        <v>46356</v>
      </c>
      <c r="P169" s="7" t="s">
        <v>2090</v>
      </c>
      <c r="Q169" s="7" t="s">
        <v>1956</v>
      </c>
      <c r="R169" s="7" t="s">
        <v>3210</v>
      </c>
      <c r="S169" s="7" t="s">
        <v>3211</v>
      </c>
      <c r="T169" s="7" t="s">
        <v>2067</v>
      </c>
      <c r="U169" s="7" t="s">
        <v>2146</v>
      </c>
      <c r="V169" s="7" t="s">
        <v>2067</v>
      </c>
      <c r="W169" s="7" t="s">
        <v>2082</v>
      </c>
    </row>
    <row r="170" spans="1:23" ht="20.100000000000001" customHeight="1" x14ac:dyDescent="0.25">
      <c r="A170" s="3" t="s">
        <v>1336</v>
      </c>
      <c r="B170" s="4" t="s">
        <v>2084</v>
      </c>
      <c r="C170" s="4" t="s">
        <v>3212</v>
      </c>
      <c r="D170" s="4" t="s">
        <v>2059</v>
      </c>
      <c r="E170" s="4" t="s">
        <v>1947</v>
      </c>
      <c r="F170" s="4" t="s">
        <v>1948</v>
      </c>
      <c r="G170" s="4" t="s">
        <v>2084</v>
      </c>
      <c r="H170" s="4" t="s">
        <v>3213</v>
      </c>
      <c r="I170" s="4" t="s">
        <v>1956</v>
      </c>
      <c r="J170" s="4" t="s">
        <v>3214</v>
      </c>
      <c r="K170" s="4" t="s">
        <v>3215</v>
      </c>
      <c r="L170" s="4" t="s">
        <v>3216</v>
      </c>
      <c r="M170" s="4" t="s">
        <v>2064</v>
      </c>
      <c r="N170" s="8">
        <v>45992</v>
      </c>
      <c r="O170" s="8"/>
      <c r="P170" s="4" t="s">
        <v>2090</v>
      </c>
      <c r="Q170" s="4" t="s">
        <v>1956</v>
      </c>
      <c r="R170" s="4" t="s">
        <v>3217</v>
      </c>
      <c r="S170" s="4" t="s">
        <v>3218</v>
      </c>
      <c r="T170" s="4" t="s">
        <v>2067</v>
      </c>
      <c r="U170" s="4" t="s">
        <v>2146</v>
      </c>
      <c r="V170" s="4" t="s">
        <v>2067</v>
      </c>
      <c r="W170" s="4" t="s">
        <v>2069</v>
      </c>
    </row>
    <row r="171" spans="1:23" ht="20.100000000000001" customHeight="1" x14ac:dyDescent="0.25">
      <c r="A171" s="6" t="s">
        <v>778</v>
      </c>
      <c r="B171" s="7" t="s">
        <v>2057</v>
      </c>
      <c r="C171" s="7" t="s">
        <v>3219</v>
      </c>
      <c r="D171" s="7" t="s">
        <v>2059</v>
      </c>
      <c r="E171" s="7" t="s">
        <v>1947</v>
      </c>
      <c r="F171" s="7" t="s">
        <v>2121</v>
      </c>
      <c r="G171" s="7" t="s">
        <v>2057</v>
      </c>
      <c r="H171" s="7" t="s">
        <v>3220</v>
      </c>
      <c r="I171" s="7" t="s">
        <v>1956</v>
      </c>
      <c r="J171" s="7" t="s">
        <v>3221</v>
      </c>
      <c r="K171" s="7" t="s">
        <v>3222</v>
      </c>
      <c r="L171" s="7" t="s">
        <v>3223</v>
      </c>
      <c r="M171" s="7" t="s">
        <v>2078</v>
      </c>
      <c r="N171" s="9">
        <v>45994</v>
      </c>
      <c r="O171" s="9">
        <v>46355</v>
      </c>
      <c r="P171" s="7" t="s">
        <v>2090</v>
      </c>
      <c r="Q171" s="7" t="s">
        <v>1956</v>
      </c>
      <c r="R171" s="7" t="s">
        <v>3224</v>
      </c>
      <c r="S171" s="7" t="s">
        <v>3225</v>
      </c>
      <c r="T171" s="7" t="s">
        <v>2067</v>
      </c>
      <c r="U171" s="7" t="s">
        <v>2128</v>
      </c>
      <c r="V171" s="7" t="s">
        <v>2067</v>
      </c>
      <c r="W171" s="7" t="s">
        <v>2082</v>
      </c>
    </row>
    <row r="172" spans="1:23" ht="20.100000000000001" customHeight="1" x14ac:dyDescent="0.25">
      <c r="A172" s="3" t="s">
        <v>1498</v>
      </c>
      <c r="B172" s="4" t="s">
        <v>2057</v>
      </c>
      <c r="C172" s="4" t="s">
        <v>3226</v>
      </c>
      <c r="D172" s="4" t="s">
        <v>2059</v>
      </c>
      <c r="E172" s="4" t="s">
        <v>1947</v>
      </c>
      <c r="F172" s="4" t="s">
        <v>1948</v>
      </c>
      <c r="G172" s="4" t="s">
        <v>2057</v>
      </c>
      <c r="H172" s="4" t="s">
        <v>3220</v>
      </c>
      <c r="I172" s="4" t="s">
        <v>1956</v>
      </c>
      <c r="J172" s="4" t="s">
        <v>3227</v>
      </c>
      <c r="K172" s="4" t="s">
        <v>3228</v>
      </c>
      <c r="L172" s="4" t="s">
        <v>3229</v>
      </c>
      <c r="M172" s="4" t="s">
        <v>2078</v>
      </c>
      <c r="N172" s="8">
        <v>46234</v>
      </c>
      <c r="O172" s="8">
        <v>46356</v>
      </c>
      <c r="P172" s="4" t="s">
        <v>2090</v>
      </c>
      <c r="Q172" s="4" t="s">
        <v>1956</v>
      </c>
      <c r="R172" s="4" t="s">
        <v>3230</v>
      </c>
      <c r="S172" s="4" t="s">
        <v>3231</v>
      </c>
      <c r="T172" s="4" t="s">
        <v>2067</v>
      </c>
      <c r="U172" s="4" t="s">
        <v>2109</v>
      </c>
      <c r="V172" s="4" t="s">
        <v>2067</v>
      </c>
      <c r="W172" s="4" t="s">
        <v>2082</v>
      </c>
    </row>
    <row r="173" spans="1:23" ht="20.100000000000001" customHeight="1" x14ac:dyDescent="0.25">
      <c r="A173" s="6" t="s">
        <v>736</v>
      </c>
      <c r="B173" s="7" t="s">
        <v>2084</v>
      </c>
      <c r="C173" s="7" t="s">
        <v>3232</v>
      </c>
      <c r="D173" s="7" t="s">
        <v>2059</v>
      </c>
      <c r="E173" s="7" t="s">
        <v>1947</v>
      </c>
      <c r="F173" s="7" t="s">
        <v>1948</v>
      </c>
      <c r="G173" s="7" t="s">
        <v>2084</v>
      </c>
      <c r="H173" s="7" t="s">
        <v>3185</v>
      </c>
      <c r="I173" s="7" t="s">
        <v>1956</v>
      </c>
      <c r="J173" s="7" t="s">
        <v>3233</v>
      </c>
      <c r="K173" s="7" t="s">
        <v>3234</v>
      </c>
      <c r="L173" s="7" t="s">
        <v>3235</v>
      </c>
      <c r="M173" s="7" t="s">
        <v>2078</v>
      </c>
      <c r="N173" s="9">
        <v>46234</v>
      </c>
      <c r="O173" s="9">
        <v>46356</v>
      </c>
      <c r="P173" s="7" t="s">
        <v>2090</v>
      </c>
      <c r="Q173" s="7" t="s">
        <v>1956</v>
      </c>
      <c r="R173" s="7" t="s">
        <v>3236</v>
      </c>
      <c r="S173" s="7" t="s">
        <v>3237</v>
      </c>
      <c r="T173" s="7" t="s">
        <v>2067</v>
      </c>
      <c r="U173" s="7" t="s">
        <v>2146</v>
      </c>
      <c r="V173" s="7" t="s">
        <v>2067</v>
      </c>
      <c r="W173" s="7" t="s">
        <v>2082</v>
      </c>
    </row>
    <row r="174" spans="1:23" ht="20.100000000000001" customHeight="1" x14ac:dyDescent="0.25">
      <c r="A174" s="3" t="s">
        <v>3238</v>
      </c>
      <c r="B174" s="4" t="s">
        <v>2057</v>
      </c>
      <c r="C174" s="4" t="s">
        <v>3239</v>
      </c>
      <c r="D174" s="4" t="s">
        <v>2059</v>
      </c>
      <c r="E174" s="4" t="s">
        <v>2189</v>
      </c>
      <c r="F174" s="4" t="s">
        <v>2190</v>
      </c>
      <c r="G174" s="4" t="s">
        <v>2057</v>
      </c>
      <c r="H174" s="4" t="s">
        <v>3240</v>
      </c>
      <c r="I174" s="4" t="s">
        <v>1956</v>
      </c>
      <c r="J174" s="4" t="s">
        <v>3241</v>
      </c>
      <c r="K174" s="4" t="s">
        <v>3242</v>
      </c>
      <c r="L174" s="4" t="s">
        <v>3243</v>
      </c>
      <c r="M174" s="4" t="s">
        <v>2064</v>
      </c>
      <c r="N174" s="8">
        <v>46052</v>
      </c>
      <c r="O174" s="8"/>
      <c r="P174" s="4" t="s">
        <v>2195</v>
      </c>
      <c r="Q174" s="4" t="s">
        <v>1956</v>
      </c>
      <c r="R174" s="4" t="s">
        <v>3244</v>
      </c>
      <c r="S174" s="4" t="s">
        <v>3245</v>
      </c>
      <c r="T174" s="4" t="s">
        <v>2067</v>
      </c>
      <c r="U174" s="4" t="s">
        <v>2198</v>
      </c>
      <c r="V174" s="4" t="s">
        <v>2067</v>
      </c>
      <c r="W174" s="4" t="s">
        <v>2069</v>
      </c>
    </row>
    <row r="175" spans="1:23" ht="20.100000000000001" customHeight="1" x14ac:dyDescent="0.25">
      <c r="A175" s="6" t="s">
        <v>1218</v>
      </c>
      <c r="B175" s="7" t="s">
        <v>2084</v>
      </c>
      <c r="C175" s="7" t="s">
        <v>3246</v>
      </c>
      <c r="D175" s="7" t="s">
        <v>2059</v>
      </c>
      <c r="E175" s="7" t="s">
        <v>1947</v>
      </c>
      <c r="F175" s="7" t="s">
        <v>1948</v>
      </c>
      <c r="G175" s="7" t="s">
        <v>2084</v>
      </c>
      <c r="H175" s="7" t="s">
        <v>3185</v>
      </c>
      <c r="I175" s="7" t="s">
        <v>1956</v>
      </c>
      <c r="J175" s="7" t="s">
        <v>3247</v>
      </c>
      <c r="K175" s="7" t="s">
        <v>3248</v>
      </c>
      <c r="L175" s="7" t="s">
        <v>3249</v>
      </c>
      <c r="M175" s="7" t="s">
        <v>2078</v>
      </c>
      <c r="N175" s="9">
        <v>46234</v>
      </c>
      <c r="O175" s="9">
        <v>46356</v>
      </c>
      <c r="P175" s="7" t="s">
        <v>2090</v>
      </c>
      <c r="Q175" s="7" t="s">
        <v>1956</v>
      </c>
      <c r="R175" s="7" t="s">
        <v>3250</v>
      </c>
      <c r="S175" s="7" t="s">
        <v>3251</v>
      </c>
      <c r="T175" s="7" t="s">
        <v>2067</v>
      </c>
      <c r="U175" s="7" t="s">
        <v>2146</v>
      </c>
      <c r="V175" s="7" t="s">
        <v>2067</v>
      </c>
      <c r="W175" s="7" t="s">
        <v>2082</v>
      </c>
    </row>
    <row r="176" spans="1:23" ht="20.100000000000001" customHeight="1" x14ac:dyDescent="0.25">
      <c r="A176" s="3" t="s">
        <v>3252</v>
      </c>
      <c r="B176" s="4" t="s">
        <v>2057</v>
      </c>
      <c r="C176" s="4" t="s">
        <v>3253</v>
      </c>
      <c r="D176" s="4" t="s">
        <v>2059</v>
      </c>
      <c r="E176" s="4" t="s">
        <v>2189</v>
      </c>
      <c r="F176" s="4" t="s">
        <v>2190</v>
      </c>
      <c r="G176" s="4" t="s">
        <v>2057</v>
      </c>
      <c r="H176" s="4" t="s">
        <v>3254</v>
      </c>
      <c r="I176" s="4" t="s">
        <v>1956</v>
      </c>
      <c r="J176" s="4" t="s">
        <v>3255</v>
      </c>
      <c r="K176" s="4" t="s">
        <v>3256</v>
      </c>
      <c r="L176" s="4" t="s">
        <v>3257</v>
      </c>
      <c r="M176" s="4" t="s">
        <v>2078</v>
      </c>
      <c r="N176" s="8">
        <v>46052</v>
      </c>
      <c r="O176" s="8">
        <v>46355</v>
      </c>
      <c r="P176" s="4" t="s">
        <v>2195</v>
      </c>
      <c r="Q176" s="4" t="s">
        <v>1956</v>
      </c>
      <c r="R176" s="4" t="s">
        <v>2126</v>
      </c>
      <c r="S176" s="4" t="s">
        <v>3258</v>
      </c>
      <c r="T176" s="4" t="s">
        <v>2067</v>
      </c>
      <c r="U176" s="4" t="s">
        <v>2198</v>
      </c>
      <c r="V176" s="4" t="s">
        <v>2067</v>
      </c>
      <c r="W176" s="4" t="s">
        <v>2082</v>
      </c>
    </row>
    <row r="177" spans="1:23" ht="20.100000000000001" customHeight="1" x14ac:dyDescent="0.25">
      <c r="A177" s="6" t="s">
        <v>1340</v>
      </c>
      <c r="B177" s="7" t="s">
        <v>2057</v>
      </c>
      <c r="C177" s="7" t="s">
        <v>3259</v>
      </c>
      <c r="D177" s="7" t="s">
        <v>2059</v>
      </c>
      <c r="E177" s="7" t="s">
        <v>1947</v>
      </c>
      <c r="F177" s="7" t="s">
        <v>2121</v>
      </c>
      <c r="G177" s="7" t="s">
        <v>2057</v>
      </c>
      <c r="H177" s="7" t="s">
        <v>3254</v>
      </c>
      <c r="I177" s="7" t="s">
        <v>1956</v>
      </c>
      <c r="J177" s="7" t="s">
        <v>3260</v>
      </c>
      <c r="K177" s="7" t="s">
        <v>3261</v>
      </c>
      <c r="L177" s="7" t="s">
        <v>3262</v>
      </c>
      <c r="M177" s="7" t="s">
        <v>2078</v>
      </c>
      <c r="N177" s="9">
        <v>46052</v>
      </c>
      <c r="O177" s="9">
        <v>46355</v>
      </c>
      <c r="P177" s="7" t="s">
        <v>2090</v>
      </c>
      <c r="Q177" s="7" t="s">
        <v>1956</v>
      </c>
      <c r="R177" s="7" t="s">
        <v>3263</v>
      </c>
      <c r="S177" s="7" t="s">
        <v>3264</v>
      </c>
      <c r="T177" s="7" t="s">
        <v>2067</v>
      </c>
      <c r="U177" s="7" t="s">
        <v>2109</v>
      </c>
      <c r="V177" s="7" t="s">
        <v>2067</v>
      </c>
      <c r="W177" s="7" t="s">
        <v>2082</v>
      </c>
    </row>
    <row r="178" spans="1:23" ht="20.100000000000001" customHeight="1" x14ac:dyDescent="0.25">
      <c r="A178" s="3" t="s">
        <v>1496</v>
      </c>
      <c r="B178" s="4" t="s">
        <v>2057</v>
      </c>
      <c r="C178" s="4" t="s">
        <v>3265</v>
      </c>
      <c r="D178" s="4" t="s">
        <v>2059</v>
      </c>
      <c r="E178" s="4" t="s">
        <v>1947</v>
      </c>
      <c r="F178" s="4" t="s">
        <v>1948</v>
      </c>
      <c r="G178" s="4" t="s">
        <v>2057</v>
      </c>
      <c r="H178" s="4" t="s">
        <v>3266</v>
      </c>
      <c r="I178" s="4" t="s">
        <v>1956</v>
      </c>
      <c r="J178" s="4" t="s">
        <v>3267</v>
      </c>
      <c r="K178" s="4" t="s">
        <v>3268</v>
      </c>
      <c r="L178" s="4" t="s">
        <v>3269</v>
      </c>
      <c r="M178" s="4" t="s">
        <v>2078</v>
      </c>
      <c r="N178" s="8">
        <v>46052</v>
      </c>
      <c r="O178" s="8">
        <v>46355</v>
      </c>
      <c r="P178" s="4" t="s">
        <v>2090</v>
      </c>
      <c r="Q178" s="4" t="s">
        <v>1956</v>
      </c>
      <c r="R178" s="4" t="s">
        <v>3092</v>
      </c>
      <c r="S178" s="4" t="s">
        <v>3270</v>
      </c>
      <c r="T178" s="4" t="s">
        <v>2067</v>
      </c>
      <c r="U178" s="4" t="s">
        <v>2109</v>
      </c>
      <c r="V178" s="4" t="s">
        <v>2067</v>
      </c>
      <c r="W178" s="4" t="s">
        <v>2069</v>
      </c>
    </row>
    <row r="179" spans="1:23" ht="20.100000000000001" customHeight="1" x14ac:dyDescent="0.25">
      <c r="A179" s="6" t="s">
        <v>182</v>
      </c>
      <c r="B179" s="7" t="s">
        <v>2084</v>
      </c>
      <c r="C179" s="7" t="s">
        <v>3271</v>
      </c>
      <c r="D179" s="7" t="s">
        <v>2059</v>
      </c>
      <c r="E179" s="7" t="s">
        <v>1947</v>
      </c>
      <c r="F179" s="7" t="s">
        <v>1948</v>
      </c>
      <c r="G179" s="7" t="s">
        <v>2084</v>
      </c>
      <c r="H179" s="7" t="s">
        <v>3272</v>
      </c>
      <c r="I179" s="7" t="s">
        <v>1956</v>
      </c>
      <c r="J179" s="7" t="s">
        <v>3273</v>
      </c>
      <c r="K179" s="7" t="s">
        <v>3274</v>
      </c>
      <c r="L179" s="7" t="s">
        <v>3275</v>
      </c>
      <c r="M179" s="7" t="s">
        <v>2078</v>
      </c>
      <c r="N179" s="9">
        <v>46052</v>
      </c>
      <c r="O179" s="9">
        <v>46355</v>
      </c>
      <c r="P179" s="7" t="s">
        <v>2090</v>
      </c>
      <c r="Q179" s="7" t="s">
        <v>1956</v>
      </c>
      <c r="R179" s="7" t="s">
        <v>3276</v>
      </c>
      <c r="S179" s="7" t="s">
        <v>3277</v>
      </c>
      <c r="T179" s="7" t="s">
        <v>2067</v>
      </c>
      <c r="U179" s="7" t="s">
        <v>2093</v>
      </c>
      <c r="V179" s="7" t="s">
        <v>2067</v>
      </c>
      <c r="W179" s="7" t="s">
        <v>2069</v>
      </c>
    </row>
    <row r="180" spans="1:23" ht="20.100000000000001" customHeight="1" x14ac:dyDescent="0.25">
      <c r="A180" s="3" t="s">
        <v>902</v>
      </c>
      <c r="B180" s="4" t="s">
        <v>2084</v>
      </c>
      <c r="C180" s="4" t="s">
        <v>3278</v>
      </c>
      <c r="D180" s="4" t="s">
        <v>2059</v>
      </c>
      <c r="E180" s="4" t="s">
        <v>1947</v>
      </c>
      <c r="F180" s="4" t="s">
        <v>1948</v>
      </c>
      <c r="G180" s="4" t="s">
        <v>2084</v>
      </c>
      <c r="H180" s="4" t="s">
        <v>3185</v>
      </c>
      <c r="I180" s="4" t="s">
        <v>1956</v>
      </c>
      <c r="J180" s="4" t="s">
        <v>3279</v>
      </c>
      <c r="K180" s="4" t="s">
        <v>3280</v>
      </c>
      <c r="L180" s="4" t="s">
        <v>3281</v>
      </c>
      <c r="M180" s="4" t="s">
        <v>2078</v>
      </c>
      <c r="N180" s="8">
        <v>46234</v>
      </c>
      <c r="O180" s="8">
        <v>46356</v>
      </c>
      <c r="P180" s="4" t="s">
        <v>2090</v>
      </c>
      <c r="Q180" s="4" t="s">
        <v>1956</v>
      </c>
      <c r="R180" s="4" t="s">
        <v>3282</v>
      </c>
      <c r="S180" s="4" t="s">
        <v>3283</v>
      </c>
      <c r="T180" s="4" t="s">
        <v>2067</v>
      </c>
      <c r="U180" s="4" t="s">
        <v>2768</v>
      </c>
      <c r="V180" s="4" t="s">
        <v>2067</v>
      </c>
      <c r="W180" s="4" t="s">
        <v>2082</v>
      </c>
    </row>
    <row r="181" spans="1:23" ht="20.100000000000001" customHeight="1" x14ac:dyDescent="0.25">
      <c r="A181" s="6" t="s">
        <v>3284</v>
      </c>
      <c r="B181" s="7" t="s">
        <v>2084</v>
      </c>
      <c r="C181" s="7" t="s">
        <v>3285</v>
      </c>
      <c r="D181" s="7" t="s">
        <v>2059</v>
      </c>
      <c r="E181" s="7" t="s">
        <v>1947</v>
      </c>
      <c r="F181" s="7" t="s">
        <v>1948</v>
      </c>
      <c r="G181" s="7" t="s">
        <v>2084</v>
      </c>
      <c r="H181" s="7" t="s">
        <v>3213</v>
      </c>
      <c r="I181" s="7" t="s">
        <v>1956</v>
      </c>
      <c r="J181" s="7" t="s">
        <v>3286</v>
      </c>
      <c r="K181" s="7" t="s">
        <v>3287</v>
      </c>
      <c r="L181" s="7" t="s">
        <v>3288</v>
      </c>
      <c r="M181" s="7" t="s">
        <v>2064</v>
      </c>
      <c r="N181" s="9">
        <v>46052</v>
      </c>
      <c r="O181" s="9"/>
      <c r="P181" s="7" t="s">
        <v>2090</v>
      </c>
      <c r="Q181" s="7" t="s">
        <v>1956</v>
      </c>
      <c r="R181" s="7" t="s">
        <v>3289</v>
      </c>
      <c r="S181" s="7" t="s">
        <v>3290</v>
      </c>
      <c r="T181" s="7" t="s">
        <v>2067</v>
      </c>
      <c r="U181" s="7" t="s">
        <v>2146</v>
      </c>
      <c r="V181" s="7" t="s">
        <v>2067</v>
      </c>
      <c r="W181" s="7" t="s">
        <v>2069</v>
      </c>
    </row>
    <row r="182" spans="1:23" ht="20.100000000000001" customHeight="1" x14ac:dyDescent="0.25">
      <c r="A182" s="3" t="s">
        <v>3291</v>
      </c>
      <c r="B182" s="4" t="s">
        <v>2084</v>
      </c>
      <c r="C182" s="4" t="s">
        <v>3292</v>
      </c>
      <c r="D182" s="4" t="s">
        <v>2059</v>
      </c>
      <c r="E182" s="4" t="s">
        <v>1947</v>
      </c>
      <c r="F182" s="4" t="s">
        <v>1948</v>
      </c>
      <c r="G182" s="4" t="s">
        <v>2084</v>
      </c>
      <c r="H182" s="4" t="s">
        <v>3185</v>
      </c>
      <c r="I182" s="4" t="s">
        <v>1956</v>
      </c>
      <c r="J182" s="4" t="s">
        <v>3293</v>
      </c>
      <c r="K182" s="4" t="s">
        <v>3294</v>
      </c>
      <c r="L182" s="4" t="s">
        <v>3295</v>
      </c>
      <c r="M182" s="4" t="s">
        <v>2078</v>
      </c>
      <c r="N182" s="8">
        <v>46234</v>
      </c>
      <c r="O182" s="8">
        <v>46356</v>
      </c>
      <c r="P182" s="4" t="s">
        <v>2090</v>
      </c>
      <c r="Q182" s="4" t="s">
        <v>1956</v>
      </c>
      <c r="R182" s="4" t="s">
        <v>3296</v>
      </c>
      <c r="S182" s="4" t="s">
        <v>3297</v>
      </c>
      <c r="T182" s="4" t="s">
        <v>2067</v>
      </c>
      <c r="U182" s="4" t="s">
        <v>2146</v>
      </c>
      <c r="V182" s="4" t="s">
        <v>2067</v>
      </c>
      <c r="W182" s="4" t="s">
        <v>2082</v>
      </c>
    </row>
    <row r="183" spans="1:23" ht="20.100000000000001" customHeight="1" x14ac:dyDescent="0.25">
      <c r="A183" s="6" t="s">
        <v>1176</v>
      </c>
      <c r="B183" s="7" t="s">
        <v>2084</v>
      </c>
      <c r="C183" s="7" t="s">
        <v>3298</v>
      </c>
      <c r="D183" s="7" t="s">
        <v>2059</v>
      </c>
      <c r="E183" s="7" t="s">
        <v>1947</v>
      </c>
      <c r="F183" s="7" t="s">
        <v>1948</v>
      </c>
      <c r="G183" s="7" t="s">
        <v>2084</v>
      </c>
      <c r="H183" s="7" t="s">
        <v>3185</v>
      </c>
      <c r="I183" s="7" t="s">
        <v>1956</v>
      </c>
      <c r="J183" s="7" t="s">
        <v>3299</v>
      </c>
      <c r="K183" s="7" t="s">
        <v>3300</v>
      </c>
      <c r="L183" s="7" t="s">
        <v>3301</v>
      </c>
      <c r="M183" s="7" t="s">
        <v>2078</v>
      </c>
      <c r="N183" s="9">
        <v>46234</v>
      </c>
      <c r="O183" s="9">
        <v>46356</v>
      </c>
      <c r="P183" s="7" t="s">
        <v>2090</v>
      </c>
      <c r="Q183" s="7" t="s">
        <v>1956</v>
      </c>
      <c r="R183" s="7" t="s">
        <v>3302</v>
      </c>
      <c r="S183" s="7" t="s">
        <v>3303</v>
      </c>
      <c r="T183" s="7" t="s">
        <v>2067</v>
      </c>
      <c r="U183" s="7" t="s">
        <v>2768</v>
      </c>
      <c r="V183" s="7" t="s">
        <v>2067</v>
      </c>
      <c r="W183" s="7" t="s">
        <v>2082</v>
      </c>
    </row>
    <row r="184" spans="1:23" ht="20.100000000000001" customHeight="1" x14ac:dyDescent="0.25">
      <c r="A184" s="3" t="s">
        <v>3304</v>
      </c>
      <c r="B184" s="4" t="s">
        <v>2057</v>
      </c>
      <c r="C184" s="4" t="s">
        <v>3305</v>
      </c>
      <c r="D184" s="4" t="s">
        <v>2059</v>
      </c>
      <c r="E184" s="4" t="s">
        <v>2111</v>
      </c>
      <c r="F184" s="4" t="s">
        <v>2112</v>
      </c>
      <c r="G184" s="4" t="s">
        <v>2057</v>
      </c>
      <c r="H184" s="4" t="s">
        <v>3220</v>
      </c>
      <c r="I184" s="4" t="s">
        <v>1956</v>
      </c>
      <c r="J184" s="4" t="s">
        <v>3306</v>
      </c>
      <c r="K184" s="4" t="s">
        <v>3307</v>
      </c>
      <c r="L184" s="4" t="s">
        <v>3308</v>
      </c>
      <c r="M184" s="4" t="s">
        <v>2078</v>
      </c>
      <c r="N184" s="8">
        <v>46052</v>
      </c>
      <c r="O184" s="8">
        <v>46355</v>
      </c>
      <c r="P184" s="4" t="s">
        <v>2112</v>
      </c>
      <c r="Q184" s="4" t="s">
        <v>1956</v>
      </c>
      <c r="R184" s="4" t="s">
        <v>3309</v>
      </c>
      <c r="S184" s="4" t="s">
        <v>3310</v>
      </c>
      <c r="T184" s="4" t="s">
        <v>2067</v>
      </c>
      <c r="U184" s="4" t="s">
        <v>2119</v>
      </c>
      <c r="V184" s="4" t="s">
        <v>2067</v>
      </c>
      <c r="W184" s="4" t="s">
        <v>2082</v>
      </c>
    </row>
    <row r="185" spans="1:23" ht="20.100000000000001" customHeight="1" x14ac:dyDescent="0.25">
      <c r="A185" s="6" t="s">
        <v>3311</v>
      </c>
      <c r="B185" s="7" t="s">
        <v>2084</v>
      </c>
      <c r="C185" s="7" t="s">
        <v>3312</v>
      </c>
      <c r="D185" s="7" t="s">
        <v>2059</v>
      </c>
      <c r="E185" s="7" t="s">
        <v>1947</v>
      </c>
      <c r="F185" s="7" t="s">
        <v>1948</v>
      </c>
      <c r="G185" s="7" t="s">
        <v>2084</v>
      </c>
      <c r="H185" s="7" t="s">
        <v>3213</v>
      </c>
      <c r="I185" s="7" t="s">
        <v>1956</v>
      </c>
      <c r="J185" s="7" t="s">
        <v>3313</v>
      </c>
      <c r="K185" s="7" t="s">
        <v>3314</v>
      </c>
      <c r="L185" s="7" t="s">
        <v>3315</v>
      </c>
      <c r="M185" s="7" t="s">
        <v>3316</v>
      </c>
      <c r="N185" s="9">
        <v>45873</v>
      </c>
      <c r="O185" s="9">
        <v>46356</v>
      </c>
      <c r="P185" s="7" t="s">
        <v>2090</v>
      </c>
      <c r="Q185" s="7" t="s">
        <v>1956</v>
      </c>
      <c r="R185" s="7" t="s">
        <v>3317</v>
      </c>
      <c r="S185" s="7" t="s">
        <v>3318</v>
      </c>
      <c r="T185" s="7" t="s">
        <v>2067</v>
      </c>
      <c r="U185" s="7" t="s">
        <v>2146</v>
      </c>
      <c r="V185" s="7" t="s">
        <v>2067</v>
      </c>
      <c r="W185" s="7" t="s">
        <v>2069</v>
      </c>
    </row>
    <row r="186" spans="1:23" ht="20.100000000000001" customHeight="1" x14ac:dyDescent="0.25">
      <c r="A186" s="3" t="s">
        <v>558</v>
      </c>
      <c r="B186" s="4" t="s">
        <v>2057</v>
      </c>
      <c r="C186" s="4" t="s">
        <v>3319</v>
      </c>
      <c r="D186" s="4" t="s">
        <v>2059</v>
      </c>
      <c r="E186" s="4" t="s">
        <v>1940</v>
      </c>
      <c r="F186" s="4" t="s">
        <v>1941</v>
      </c>
      <c r="G186" s="4" t="s">
        <v>2057</v>
      </c>
      <c r="H186" s="4" t="s">
        <v>3240</v>
      </c>
      <c r="I186" s="4" t="s">
        <v>1956</v>
      </c>
      <c r="J186" s="4" t="s">
        <v>3320</v>
      </c>
      <c r="K186" s="4" t="s">
        <v>3321</v>
      </c>
      <c r="L186" s="4" t="s">
        <v>3322</v>
      </c>
      <c r="M186" s="4" t="s">
        <v>2078</v>
      </c>
      <c r="N186" s="8">
        <v>46052</v>
      </c>
      <c r="O186" s="8">
        <v>46355</v>
      </c>
      <c r="P186" s="4" t="s">
        <v>1941</v>
      </c>
      <c r="Q186" s="4" t="s">
        <v>1956</v>
      </c>
      <c r="R186" s="4" t="s">
        <v>3323</v>
      </c>
      <c r="S186" s="4" t="s">
        <v>3324</v>
      </c>
      <c r="T186" s="4" t="s">
        <v>2067</v>
      </c>
      <c r="U186" s="4" t="s">
        <v>2068</v>
      </c>
      <c r="V186" s="4" t="s">
        <v>2067</v>
      </c>
      <c r="W186" s="4" t="s">
        <v>2069</v>
      </c>
    </row>
    <row r="187" spans="1:23" ht="20.100000000000001" customHeight="1" x14ac:dyDescent="0.25">
      <c r="A187" s="6" t="s">
        <v>530</v>
      </c>
      <c r="B187" s="7" t="s">
        <v>2057</v>
      </c>
      <c r="C187" s="7" t="s">
        <v>3325</v>
      </c>
      <c r="D187" s="7" t="s">
        <v>2059</v>
      </c>
      <c r="E187" s="7" t="s">
        <v>1952</v>
      </c>
      <c r="F187" s="7" t="s">
        <v>1953</v>
      </c>
      <c r="G187" s="7" t="s">
        <v>2057</v>
      </c>
      <c r="H187" s="7" t="s">
        <v>3220</v>
      </c>
      <c r="I187" s="7" t="s">
        <v>1956</v>
      </c>
      <c r="J187" s="7" t="s">
        <v>3326</v>
      </c>
      <c r="K187" s="7" t="s">
        <v>3327</v>
      </c>
      <c r="L187" s="7" t="s">
        <v>3328</v>
      </c>
      <c r="M187" s="7" t="s">
        <v>2078</v>
      </c>
      <c r="N187" s="9">
        <v>46052</v>
      </c>
      <c r="O187" s="9">
        <v>46355</v>
      </c>
      <c r="P187" s="7" t="s">
        <v>1953</v>
      </c>
      <c r="Q187" s="7" t="s">
        <v>1956</v>
      </c>
      <c r="R187" s="7" t="s">
        <v>3329</v>
      </c>
      <c r="S187" s="7" t="s">
        <v>3330</v>
      </c>
      <c r="T187" s="7" t="s">
        <v>2067</v>
      </c>
      <c r="U187" s="7" t="s">
        <v>2358</v>
      </c>
      <c r="V187" s="7" t="s">
        <v>2067</v>
      </c>
      <c r="W187" s="7" t="s">
        <v>2082</v>
      </c>
    </row>
    <row r="188" spans="1:23" ht="20.100000000000001" customHeight="1" x14ac:dyDescent="0.25">
      <c r="A188" s="3" t="s">
        <v>184</v>
      </c>
      <c r="B188" s="4" t="s">
        <v>2057</v>
      </c>
      <c r="C188" s="4" t="s">
        <v>3331</v>
      </c>
      <c r="D188" s="4" t="s">
        <v>2059</v>
      </c>
      <c r="E188" s="4" t="s">
        <v>1947</v>
      </c>
      <c r="F188" s="4" t="s">
        <v>1948</v>
      </c>
      <c r="G188" s="4" t="s">
        <v>2057</v>
      </c>
      <c r="H188" s="4" t="s">
        <v>3220</v>
      </c>
      <c r="I188" s="4" t="s">
        <v>1956</v>
      </c>
      <c r="J188" s="4" t="s">
        <v>3332</v>
      </c>
      <c r="K188" s="4" t="s">
        <v>3333</v>
      </c>
      <c r="L188" s="4" t="s">
        <v>3334</v>
      </c>
      <c r="M188" s="4" t="s">
        <v>2078</v>
      </c>
      <c r="N188" s="8">
        <v>46052</v>
      </c>
      <c r="O188" s="8">
        <v>46355</v>
      </c>
      <c r="P188" s="4" t="s">
        <v>2090</v>
      </c>
      <c r="Q188" s="4" t="s">
        <v>1956</v>
      </c>
      <c r="R188" s="4" t="s">
        <v>3335</v>
      </c>
      <c r="S188" s="4" t="s">
        <v>3336</v>
      </c>
      <c r="T188" s="4" t="s">
        <v>2067</v>
      </c>
      <c r="U188" s="4" t="s">
        <v>3337</v>
      </c>
      <c r="V188" s="4" t="s">
        <v>2067</v>
      </c>
      <c r="W188" s="4" t="s">
        <v>2082</v>
      </c>
    </row>
    <row r="189" spans="1:23" ht="20.100000000000001" customHeight="1" x14ac:dyDescent="0.25">
      <c r="A189" s="6" t="s">
        <v>1134</v>
      </c>
      <c r="B189" s="7" t="s">
        <v>2084</v>
      </c>
      <c r="C189" s="7" t="s">
        <v>3338</v>
      </c>
      <c r="D189" s="7" t="s">
        <v>2059</v>
      </c>
      <c r="E189" s="7" t="s">
        <v>1947</v>
      </c>
      <c r="F189" s="7" t="s">
        <v>1948</v>
      </c>
      <c r="G189" s="7" t="s">
        <v>2084</v>
      </c>
      <c r="H189" s="7" t="s">
        <v>3339</v>
      </c>
      <c r="I189" s="7" t="s">
        <v>1956</v>
      </c>
      <c r="J189" s="7" t="s">
        <v>3340</v>
      </c>
      <c r="K189" s="7" t="s">
        <v>3341</v>
      </c>
      <c r="L189" s="7" t="s">
        <v>3342</v>
      </c>
      <c r="M189" s="7" t="s">
        <v>2078</v>
      </c>
      <c r="N189" s="9">
        <v>46234</v>
      </c>
      <c r="O189" s="9">
        <v>46356</v>
      </c>
      <c r="P189" s="7" t="s">
        <v>2090</v>
      </c>
      <c r="Q189" s="7" t="s">
        <v>1956</v>
      </c>
      <c r="R189" s="7" t="s">
        <v>2297</v>
      </c>
      <c r="S189" s="7" t="s">
        <v>3343</v>
      </c>
      <c r="T189" s="7" t="s">
        <v>2067</v>
      </c>
      <c r="U189" s="7" t="s">
        <v>2146</v>
      </c>
      <c r="V189" s="7" t="s">
        <v>2067</v>
      </c>
      <c r="W189" s="7" t="s">
        <v>2069</v>
      </c>
    </row>
    <row r="190" spans="1:23" ht="20.100000000000001" customHeight="1" x14ac:dyDescent="0.25">
      <c r="A190" s="3" t="s">
        <v>3344</v>
      </c>
      <c r="B190" s="4" t="s">
        <v>2057</v>
      </c>
      <c r="C190" s="4" t="s">
        <v>3345</v>
      </c>
      <c r="D190" s="4" t="s">
        <v>2059</v>
      </c>
      <c r="E190" s="4" t="s">
        <v>1947</v>
      </c>
      <c r="F190" s="4" t="s">
        <v>1948</v>
      </c>
      <c r="G190" s="4" t="s">
        <v>2057</v>
      </c>
      <c r="H190" s="4" t="s">
        <v>3240</v>
      </c>
      <c r="I190" s="4" t="s">
        <v>1956</v>
      </c>
      <c r="J190" s="4" t="s">
        <v>3346</v>
      </c>
      <c r="K190" s="4" t="s">
        <v>3347</v>
      </c>
      <c r="L190" s="4" t="s">
        <v>3348</v>
      </c>
      <c r="M190" s="4" t="s">
        <v>2078</v>
      </c>
      <c r="N190" s="8">
        <v>46234</v>
      </c>
      <c r="O190" s="8">
        <v>46356</v>
      </c>
      <c r="P190" s="4" t="s">
        <v>2090</v>
      </c>
      <c r="Q190" s="4" t="s">
        <v>1956</v>
      </c>
      <c r="R190" s="4" t="s">
        <v>3349</v>
      </c>
      <c r="S190" s="4" t="s">
        <v>3350</v>
      </c>
      <c r="T190" s="4" t="s">
        <v>2067</v>
      </c>
      <c r="U190" s="4" t="s">
        <v>2146</v>
      </c>
      <c r="V190" s="4" t="s">
        <v>2067</v>
      </c>
      <c r="W190" s="4" t="s">
        <v>2069</v>
      </c>
    </row>
    <row r="191" spans="1:23" ht="20.100000000000001" customHeight="1" x14ac:dyDescent="0.25">
      <c r="A191" s="6" t="s">
        <v>1448</v>
      </c>
      <c r="B191" s="7" t="s">
        <v>2084</v>
      </c>
      <c r="C191" s="7" t="s">
        <v>3351</v>
      </c>
      <c r="D191" s="7" t="s">
        <v>2059</v>
      </c>
      <c r="E191" s="7" t="s">
        <v>1947</v>
      </c>
      <c r="F191" s="7" t="s">
        <v>1948</v>
      </c>
      <c r="G191" s="7" t="s">
        <v>2084</v>
      </c>
      <c r="H191" s="7" t="s">
        <v>3352</v>
      </c>
      <c r="I191" s="7" t="s">
        <v>1956</v>
      </c>
      <c r="J191" s="7" t="s">
        <v>3353</v>
      </c>
      <c r="K191" s="7" t="s">
        <v>3354</v>
      </c>
      <c r="L191" s="7" t="s">
        <v>3355</v>
      </c>
      <c r="M191" s="7" t="s">
        <v>2078</v>
      </c>
      <c r="N191" s="9">
        <v>46234</v>
      </c>
      <c r="O191" s="9">
        <v>46356</v>
      </c>
      <c r="P191" s="7" t="s">
        <v>2090</v>
      </c>
      <c r="Q191" s="7" t="s">
        <v>1956</v>
      </c>
      <c r="R191" s="7" t="s">
        <v>2342</v>
      </c>
      <c r="S191" s="7" t="s">
        <v>3356</v>
      </c>
      <c r="T191" s="7" t="s">
        <v>2067</v>
      </c>
      <c r="U191" s="7" t="s">
        <v>2146</v>
      </c>
      <c r="V191" s="7" t="s">
        <v>2067</v>
      </c>
      <c r="W191" s="7" t="s">
        <v>2082</v>
      </c>
    </row>
    <row r="192" spans="1:23" ht="20.100000000000001" customHeight="1" x14ac:dyDescent="0.25">
      <c r="A192" s="3" t="s">
        <v>3357</v>
      </c>
      <c r="B192" s="4" t="s">
        <v>2057</v>
      </c>
      <c r="C192" s="4" t="s">
        <v>3358</v>
      </c>
      <c r="D192" s="4" t="s">
        <v>2059</v>
      </c>
      <c r="E192" s="4" t="s">
        <v>1965</v>
      </c>
      <c r="F192" s="4" t="s">
        <v>1966</v>
      </c>
      <c r="G192" s="4" t="s">
        <v>2057</v>
      </c>
      <c r="H192" s="4" t="s">
        <v>3220</v>
      </c>
      <c r="I192" s="4" t="s">
        <v>1956</v>
      </c>
      <c r="J192" s="4" t="s">
        <v>3359</v>
      </c>
      <c r="K192" s="4" t="s">
        <v>3360</v>
      </c>
      <c r="L192" s="4" t="s">
        <v>3361</v>
      </c>
      <c r="M192" s="4" t="s">
        <v>2078</v>
      </c>
      <c r="N192" s="8">
        <v>46234</v>
      </c>
      <c r="O192" s="8">
        <v>46356</v>
      </c>
      <c r="P192" s="4" t="s">
        <v>1966</v>
      </c>
      <c r="Q192" s="4" t="s">
        <v>1956</v>
      </c>
      <c r="R192" s="4" t="s">
        <v>3362</v>
      </c>
      <c r="S192" s="4" t="s">
        <v>3363</v>
      </c>
      <c r="T192" s="4" t="s">
        <v>2067</v>
      </c>
      <c r="U192" s="4" t="s">
        <v>2174</v>
      </c>
      <c r="V192" s="4" t="s">
        <v>2067</v>
      </c>
      <c r="W192" s="4" t="s">
        <v>2082</v>
      </c>
    </row>
    <row r="193" spans="1:23" ht="20.100000000000001" customHeight="1" x14ac:dyDescent="0.25">
      <c r="A193" s="6" t="s">
        <v>3364</v>
      </c>
      <c r="B193" s="7" t="s">
        <v>2084</v>
      </c>
      <c r="C193" s="7" t="s">
        <v>3365</v>
      </c>
      <c r="D193" s="7" t="s">
        <v>2059</v>
      </c>
      <c r="E193" s="7" t="s">
        <v>1947</v>
      </c>
      <c r="F193" s="7" t="s">
        <v>1948</v>
      </c>
      <c r="G193" s="7" t="s">
        <v>2084</v>
      </c>
      <c r="H193" s="7" t="s">
        <v>3185</v>
      </c>
      <c r="I193" s="7" t="s">
        <v>1956</v>
      </c>
      <c r="J193" s="7" t="s">
        <v>3366</v>
      </c>
      <c r="K193" s="7" t="s">
        <v>3367</v>
      </c>
      <c r="L193" s="7" t="s">
        <v>3368</v>
      </c>
      <c r="M193" s="7" t="s">
        <v>2078</v>
      </c>
      <c r="N193" s="9">
        <v>46234</v>
      </c>
      <c r="O193" s="9">
        <v>46356</v>
      </c>
      <c r="P193" s="7" t="s">
        <v>2090</v>
      </c>
      <c r="Q193" s="7" t="s">
        <v>1956</v>
      </c>
      <c r="R193" s="7" t="s">
        <v>3369</v>
      </c>
      <c r="S193" s="7" t="s">
        <v>3370</v>
      </c>
      <c r="T193" s="7" t="s">
        <v>2067</v>
      </c>
      <c r="U193" s="7" t="s">
        <v>2146</v>
      </c>
      <c r="V193" s="7" t="s">
        <v>2067</v>
      </c>
      <c r="W193" s="7" t="s">
        <v>2082</v>
      </c>
    </row>
    <row r="194" spans="1:23" ht="20.100000000000001" customHeight="1" x14ac:dyDescent="0.25">
      <c r="A194" s="3" t="s">
        <v>3371</v>
      </c>
      <c r="B194" s="4" t="s">
        <v>2057</v>
      </c>
      <c r="C194" s="4" t="s">
        <v>3372</v>
      </c>
      <c r="D194" s="4" t="s">
        <v>2059</v>
      </c>
      <c r="E194" s="4" t="s">
        <v>1940</v>
      </c>
      <c r="F194" s="4" t="s">
        <v>1941</v>
      </c>
      <c r="G194" s="4" t="s">
        <v>2057</v>
      </c>
      <c r="H194" s="4" t="s">
        <v>3240</v>
      </c>
      <c r="I194" s="4" t="s">
        <v>1956</v>
      </c>
      <c r="J194" s="4" t="s">
        <v>3373</v>
      </c>
      <c r="K194" s="4" t="s">
        <v>3374</v>
      </c>
      <c r="L194" s="4" t="s">
        <v>3375</v>
      </c>
      <c r="M194" s="4" t="s">
        <v>2078</v>
      </c>
      <c r="N194" s="8">
        <v>45992</v>
      </c>
      <c r="O194" s="8">
        <v>46356</v>
      </c>
      <c r="P194" s="4" t="s">
        <v>1941</v>
      </c>
      <c r="Q194" s="4" t="s">
        <v>1956</v>
      </c>
      <c r="R194" s="4" t="s">
        <v>3376</v>
      </c>
      <c r="S194" s="4" t="s">
        <v>3377</v>
      </c>
      <c r="T194" s="4" t="s">
        <v>2067</v>
      </c>
      <c r="U194" s="4" t="s">
        <v>2068</v>
      </c>
      <c r="V194" s="4" t="s">
        <v>2067</v>
      </c>
      <c r="W194" s="4" t="s">
        <v>2069</v>
      </c>
    </row>
    <row r="195" spans="1:23" ht="20.100000000000001" customHeight="1" x14ac:dyDescent="0.25">
      <c r="A195" s="6" t="s">
        <v>3378</v>
      </c>
      <c r="B195" s="7" t="s">
        <v>2084</v>
      </c>
      <c r="C195" s="7" t="s">
        <v>3379</v>
      </c>
      <c r="D195" s="7" t="s">
        <v>2059</v>
      </c>
      <c r="E195" s="7" t="s">
        <v>1947</v>
      </c>
      <c r="F195" s="7" t="s">
        <v>1948</v>
      </c>
      <c r="G195" s="7" t="s">
        <v>2084</v>
      </c>
      <c r="H195" s="7" t="s">
        <v>3339</v>
      </c>
      <c r="I195" s="7" t="s">
        <v>1956</v>
      </c>
      <c r="J195" s="7" t="s">
        <v>3380</v>
      </c>
      <c r="K195" s="7" t="s">
        <v>3381</v>
      </c>
      <c r="L195" s="7" t="s">
        <v>3382</v>
      </c>
      <c r="M195" s="7" t="s">
        <v>2078</v>
      </c>
      <c r="N195" s="9">
        <v>45992</v>
      </c>
      <c r="O195" s="9">
        <v>46356</v>
      </c>
      <c r="P195" s="7" t="s">
        <v>2090</v>
      </c>
      <c r="Q195" s="7" t="s">
        <v>1956</v>
      </c>
      <c r="R195" s="7" t="s">
        <v>3383</v>
      </c>
      <c r="S195" s="7" t="s">
        <v>3384</v>
      </c>
      <c r="T195" s="7" t="s">
        <v>2067</v>
      </c>
      <c r="U195" s="7" t="s">
        <v>2146</v>
      </c>
      <c r="V195" s="7" t="s">
        <v>2067</v>
      </c>
      <c r="W195" s="7" t="s">
        <v>2069</v>
      </c>
    </row>
    <row r="196" spans="1:23" ht="20.100000000000001" customHeight="1" x14ac:dyDescent="0.25">
      <c r="A196" s="3" t="s">
        <v>1744</v>
      </c>
      <c r="B196" s="4" t="s">
        <v>2084</v>
      </c>
      <c r="C196" s="4" t="s">
        <v>3385</v>
      </c>
      <c r="D196" s="4" t="s">
        <v>2059</v>
      </c>
      <c r="E196" s="4" t="s">
        <v>1947</v>
      </c>
      <c r="F196" s="4" t="s">
        <v>1948</v>
      </c>
      <c r="G196" s="4" t="s">
        <v>2084</v>
      </c>
      <c r="H196" s="4" t="s">
        <v>3213</v>
      </c>
      <c r="I196" s="4" t="s">
        <v>1956</v>
      </c>
      <c r="J196" s="4" t="s">
        <v>3386</v>
      </c>
      <c r="K196" s="4" t="s">
        <v>3387</v>
      </c>
      <c r="L196" s="4" t="s">
        <v>3388</v>
      </c>
      <c r="M196" s="4" t="s">
        <v>2078</v>
      </c>
      <c r="N196" s="8">
        <v>46234</v>
      </c>
      <c r="O196" s="8">
        <v>46356</v>
      </c>
      <c r="P196" s="4" t="s">
        <v>2090</v>
      </c>
      <c r="Q196" s="4" t="s">
        <v>1956</v>
      </c>
      <c r="R196" s="4" t="s">
        <v>3389</v>
      </c>
      <c r="S196" s="4" t="s">
        <v>3390</v>
      </c>
      <c r="T196" s="4" t="s">
        <v>2067</v>
      </c>
      <c r="U196" s="4" t="s">
        <v>2146</v>
      </c>
      <c r="V196" s="4" t="s">
        <v>2067</v>
      </c>
      <c r="W196" s="4" t="s">
        <v>2069</v>
      </c>
    </row>
    <row r="197" spans="1:23" ht="20.100000000000001" customHeight="1" x14ac:dyDescent="0.25">
      <c r="A197" s="6" t="s">
        <v>358</v>
      </c>
      <c r="B197" s="7" t="s">
        <v>2084</v>
      </c>
      <c r="C197" s="7" t="s">
        <v>3391</v>
      </c>
      <c r="D197" s="7" t="s">
        <v>2059</v>
      </c>
      <c r="E197" s="7" t="s">
        <v>2072</v>
      </c>
      <c r="F197" s="7" t="s">
        <v>2073</v>
      </c>
      <c r="G197" s="7" t="s">
        <v>2084</v>
      </c>
      <c r="H197" s="7" t="s">
        <v>3339</v>
      </c>
      <c r="I197" s="7" t="s">
        <v>1956</v>
      </c>
      <c r="J197" s="7" t="s">
        <v>3392</v>
      </c>
      <c r="K197" s="7" t="s">
        <v>3393</v>
      </c>
      <c r="L197" s="7" t="s">
        <v>3394</v>
      </c>
      <c r="M197" s="7" t="s">
        <v>2078</v>
      </c>
      <c r="N197" s="9">
        <v>46234</v>
      </c>
      <c r="O197" s="9">
        <v>46356</v>
      </c>
      <c r="P197" s="7" t="s">
        <v>2073</v>
      </c>
      <c r="Q197" s="7" t="s">
        <v>1956</v>
      </c>
      <c r="R197" s="7" t="s">
        <v>3395</v>
      </c>
      <c r="S197" s="7" t="s">
        <v>3396</v>
      </c>
      <c r="T197" s="7" t="s">
        <v>2067</v>
      </c>
      <c r="U197" s="7" t="s">
        <v>2081</v>
      </c>
      <c r="V197" s="7" t="s">
        <v>2067</v>
      </c>
      <c r="W197" s="7" t="s">
        <v>2069</v>
      </c>
    </row>
    <row r="198" spans="1:23" ht="20.100000000000001" customHeight="1" x14ac:dyDescent="0.25">
      <c r="A198" s="3" t="s">
        <v>1454</v>
      </c>
      <c r="B198" s="4" t="s">
        <v>2084</v>
      </c>
      <c r="C198" s="4" t="s">
        <v>3397</v>
      </c>
      <c r="D198" s="4" t="s">
        <v>2059</v>
      </c>
      <c r="E198" s="4" t="s">
        <v>1947</v>
      </c>
      <c r="F198" s="4" t="s">
        <v>1948</v>
      </c>
      <c r="G198" s="4" t="s">
        <v>2084</v>
      </c>
      <c r="H198" s="4" t="s">
        <v>3185</v>
      </c>
      <c r="I198" s="4" t="s">
        <v>1956</v>
      </c>
      <c r="J198" s="4" t="s">
        <v>3398</v>
      </c>
      <c r="K198" s="4" t="s">
        <v>3399</v>
      </c>
      <c r="L198" s="4" t="s">
        <v>3400</v>
      </c>
      <c r="M198" s="4" t="s">
        <v>2078</v>
      </c>
      <c r="N198" s="8">
        <v>46234</v>
      </c>
      <c r="O198" s="8">
        <v>46356</v>
      </c>
      <c r="P198" s="4" t="s">
        <v>2090</v>
      </c>
      <c r="Q198" s="4" t="s">
        <v>1956</v>
      </c>
      <c r="R198" s="4" t="s">
        <v>3401</v>
      </c>
      <c r="S198" s="4" t="s">
        <v>3402</v>
      </c>
      <c r="T198" s="4" t="s">
        <v>2067</v>
      </c>
      <c r="U198" s="4" t="s">
        <v>2146</v>
      </c>
      <c r="V198" s="4" t="s">
        <v>2067</v>
      </c>
      <c r="W198" s="4" t="s">
        <v>2082</v>
      </c>
    </row>
    <row r="199" spans="1:23" ht="20.100000000000001" customHeight="1" x14ac:dyDescent="0.25">
      <c r="A199" s="6" t="s">
        <v>3403</v>
      </c>
      <c r="B199" s="7" t="s">
        <v>2084</v>
      </c>
      <c r="C199" s="7" t="s">
        <v>3404</v>
      </c>
      <c r="D199" s="7" t="s">
        <v>2059</v>
      </c>
      <c r="E199" s="7" t="s">
        <v>1947</v>
      </c>
      <c r="F199" s="7" t="s">
        <v>1948</v>
      </c>
      <c r="G199" s="7" t="s">
        <v>2084</v>
      </c>
      <c r="H199" s="7" t="s">
        <v>3405</v>
      </c>
      <c r="I199" s="7" t="s">
        <v>1956</v>
      </c>
      <c r="J199" s="7" t="s">
        <v>3406</v>
      </c>
      <c r="K199" s="7" t="s">
        <v>3407</v>
      </c>
      <c r="L199" s="7" t="s">
        <v>3408</v>
      </c>
      <c r="M199" s="7" t="s">
        <v>2078</v>
      </c>
      <c r="N199" s="9">
        <v>46234</v>
      </c>
      <c r="O199" s="9">
        <v>46356</v>
      </c>
      <c r="P199" s="7" t="s">
        <v>2090</v>
      </c>
      <c r="Q199" s="7" t="s">
        <v>1956</v>
      </c>
      <c r="R199" s="7" t="s">
        <v>3409</v>
      </c>
      <c r="S199" s="7" t="s">
        <v>3410</v>
      </c>
      <c r="T199" s="7" t="s">
        <v>2067</v>
      </c>
      <c r="U199" s="7" t="s">
        <v>2146</v>
      </c>
      <c r="V199" s="7" t="s">
        <v>2067</v>
      </c>
      <c r="W199" s="7" t="s">
        <v>2082</v>
      </c>
    </row>
    <row r="200" spans="1:23" ht="20.100000000000001" customHeight="1" x14ac:dyDescent="0.25">
      <c r="A200" s="3" t="s">
        <v>1174</v>
      </c>
      <c r="B200" s="4" t="s">
        <v>2057</v>
      </c>
      <c r="C200" s="4" t="s">
        <v>3411</v>
      </c>
      <c r="D200" s="4" t="s">
        <v>2059</v>
      </c>
      <c r="E200" s="4" t="s">
        <v>1947</v>
      </c>
      <c r="F200" s="4" t="s">
        <v>1948</v>
      </c>
      <c r="G200" s="4" t="s">
        <v>2057</v>
      </c>
      <c r="H200" s="4" t="s">
        <v>3240</v>
      </c>
      <c r="I200" s="4" t="s">
        <v>1956</v>
      </c>
      <c r="J200" s="4" t="s">
        <v>3412</v>
      </c>
      <c r="K200" s="4" t="s">
        <v>3413</v>
      </c>
      <c r="L200" s="4" t="s">
        <v>3414</v>
      </c>
      <c r="M200" s="4" t="s">
        <v>2064</v>
      </c>
      <c r="N200" s="8">
        <v>46052</v>
      </c>
      <c r="O200" s="8"/>
      <c r="P200" s="4" t="s">
        <v>2090</v>
      </c>
      <c r="Q200" s="4" t="s">
        <v>1956</v>
      </c>
      <c r="R200" s="4" t="s">
        <v>3415</v>
      </c>
      <c r="S200" s="4" t="s">
        <v>3416</v>
      </c>
      <c r="T200" s="4" t="s">
        <v>2067</v>
      </c>
      <c r="U200" s="4" t="s">
        <v>2109</v>
      </c>
      <c r="V200" s="4" t="s">
        <v>2067</v>
      </c>
      <c r="W200" s="4" t="s">
        <v>2069</v>
      </c>
    </row>
    <row r="201" spans="1:23" ht="20.100000000000001" customHeight="1" x14ac:dyDescent="0.25">
      <c r="A201" s="6" t="s">
        <v>3417</v>
      </c>
      <c r="B201" s="7" t="s">
        <v>2084</v>
      </c>
      <c r="C201" s="7" t="s">
        <v>3418</v>
      </c>
      <c r="D201" s="7" t="s">
        <v>2059</v>
      </c>
      <c r="E201" s="7" t="s">
        <v>1947</v>
      </c>
      <c r="F201" s="7" t="s">
        <v>1948</v>
      </c>
      <c r="G201" s="7" t="s">
        <v>2084</v>
      </c>
      <c r="H201" s="7" t="s">
        <v>3185</v>
      </c>
      <c r="I201" s="7" t="s">
        <v>1956</v>
      </c>
      <c r="J201" s="7" t="s">
        <v>3419</v>
      </c>
      <c r="K201" s="7" t="s">
        <v>3420</v>
      </c>
      <c r="L201" s="7" t="s">
        <v>3421</v>
      </c>
      <c r="M201" s="7" t="s">
        <v>2078</v>
      </c>
      <c r="N201" s="9">
        <v>46234</v>
      </c>
      <c r="O201" s="9">
        <v>46356</v>
      </c>
      <c r="P201" s="7" t="s">
        <v>2090</v>
      </c>
      <c r="Q201" s="7" t="s">
        <v>1956</v>
      </c>
      <c r="R201" s="7" t="s">
        <v>3422</v>
      </c>
      <c r="S201" s="7" t="s">
        <v>3423</v>
      </c>
      <c r="T201" s="7" t="s">
        <v>2067</v>
      </c>
      <c r="U201" s="7" t="s">
        <v>2146</v>
      </c>
      <c r="V201" s="7" t="s">
        <v>2067</v>
      </c>
      <c r="W201" s="7" t="s">
        <v>2082</v>
      </c>
    </row>
    <row r="202" spans="1:23" ht="20.100000000000001" customHeight="1" x14ac:dyDescent="0.25">
      <c r="A202" s="3" t="s">
        <v>3424</v>
      </c>
      <c r="B202" s="4" t="s">
        <v>2057</v>
      </c>
      <c r="C202" s="4" t="s">
        <v>3425</v>
      </c>
      <c r="D202" s="4" t="s">
        <v>2059</v>
      </c>
      <c r="E202" s="4" t="s">
        <v>1965</v>
      </c>
      <c r="F202" s="4" t="s">
        <v>1966</v>
      </c>
      <c r="G202" s="4" t="s">
        <v>2057</v>
      </c>
      <c r="H202" s="4" t="s">
        <v>3266</v>
      </c>
      <c r="I202" s="4" t="s">
        <v>1956</v>
      </c>
      <c r="J202" s="4" t="s">
        <v>3426</v>
      </c>
      <c r="K202" s="4" t="s">
        <v>3427</v>
      </c>
      <c r="L202" s="4" t="s">
        <v>3428</v>
      </c>
      <c r="M202" s="4" t="s">
        <v>2078</v>
      </c>
      <c r="N202" s="8">
        <v>46234</v>
      </c>
      <c r="O202" s="8">
        <v>46356</v>
      </c>
      <c r="P202" s="4" t="s">
        <v>1966</v>
      </c>
      <c r="Q202" s="4" t="s">
        <v>1956</v>
      </c>
      <c r="R202" s="4" t="s">
        <v>3429</v>
      </c>
      <c r="S202" s="4" t="s">
        <v>3430</v>
      </c>
      <c r="T202" s="4" t="s">
        <v>2067</v>
      </c>
      <c r="U202" s="4" t="s">
        <v>2174</v>
      </c>
      <c r="V202" s="4" t="s">
        <v>2067</v>
      </c>
      <c r="W202" s="4" t="s">
        <v>2069</v>
      </c>
    </row>
    <row r="203" spans="1:23" ht="20.100000000000001" customHeight="1" x14ac:dyDescent="0.25">
      <c r="A203" s="6" t="s">
        <v>1676</v>
      </c>
      <c r="B203" s="7" t="s">
        <v>2057</v>
      </c>
      <c r="C203" s="7" t="s">
        <v>3431</v>
      </c>
      <c r="D203" s="7" t="s">
        <v>2059</v>
      </c>
      <c r="E203" s="7" t="s">
        <v>1947</v>
      </c>
      <c r="F203" s="7" t="s">
        <v>1948</v>
      </c>
      <c r="G203" s="7" t="s">
        <v>2057</v>
      </c>
      <c r="H203" s="7" t="s">
        <v>3240</v>
      </c>
      <c r="I203" s="7" t="s">
        <v>1956</v>
      </c>
      <c r="J203" s="7" t="s">
        <v>3432</v>
      </c>
      <c r="K203" s="7" t="s">
        <v>3433</v>
      </c>
      <c r="L203" s="7" t="s">
        <v>3434</v>
      </c>
      <c r="M203" s="7" t="s">
        <v>2078</v>
      </c>
      <c r="N203" s="9">
        <v>46234</v>
      </c>
      <c r="O203" s="9">
        <v>46356</v>
      </c>
      <c r="P203" s="7" t="s">
        <v>2090</v>
      </c>
      <c r="Q203" s="7" t="s">
        <v>1956</v>
      </c>
      <c r="R203" s="7" t="s">
        <v>3435</v>
      </c>
      <c r="S203" s="7" t="s">
        <v>3436</v>
      </c>
      <c r="T203" s="7" t="s">
        <v>2067</v>
      </c>
      <c r="U203" s="7" t="s">
        <v>3437</v>
      </c>
      <c r="V203" s="7" t="s">
        <v>2067</v>
      </c>
      <c r="W203" s="7" t="s">
        <v>2069</v>
      </c>
    </row>
    <row r="204" spans="1:23" ht="20.100000000000001" customHeight="1" x14ac:dyDescent="0.25">
      <c r="A204" s="3" t="s">
        <v>1270</v>
      </c>
      <c r="B204" s="4" t="s">
        <v>2057</v>
      </c>
      <c r="C204" s="4" t="s">
        <v>3438</v>
      </c>
      <c r="D204" s="4" t="s">
        <v>2059</v>
      </c>
      <c r="E204" s="4" t="s">
        <v>1947</v>
      </c>
      <c r="F204" s="4" t="s">
        <v>1948</v>
      </c>
      <c r="G204" s="4" t="s">
        <v>2057</v>
      </c>
      <c r="H204" s="4" t="s">
        <v>3240</v>
      </c>
      <c r="I204" s="4" t="s">
        <v>1956</v>
      </c>
      <c r="J204" s="4" t="s">
        <v>3439</v>
      </c>
      <c r="K204" s="4" t="s">
        <v>3440</v>
      </c>
      <c r="L204" s="4" t="s">
        <v>3441</v>
      </c>
      <c r="M204" s="4" t="s">
        <v>2078</v>
      </c>
      <c r="N204" s="8">
        <v>46234</v>
      </c>
      <c r="O204" s="8">
        <v>46356</v>
      </c>
      <c r="P204" s="4" t="s">
        <v>2090</v>
      </c>
      <c r="Q204" s="4" t="s">
        <v>1956</v>
      </c>
      <c r="R204" s="4" t="s">
        <v>3442</v>
      </c>
      <c r="S204" s="4" t="s">
        <v>3443</v>
      </c>
      <c r="T204" s="4" t="s">
        <v>2067</v>
      </c>
      <c r="U204" s="4" t="s">
        <v>3437</v>
      </c>
      <c r="V204" s="4" t="s">
        <v>2067</v>
      </c>
      <c r="W204" s="4" t="s">
        <v>2069</v>
      </c>
    </row>
    <row r="205" spans="1:23" ht="20.100000000000001" customHeight="1" x14ac:dyDescent="0.25">
      <c r="A205" s="6" t="s">
        <v>842</v>
      </c>
      <c r="B205" s="7" t="s">
        <v>2057</v>
      </c>
      <c r="C205" s="7" t="s">
        <v>3444</v>
      </c>
      <c r="D205" s="7" t="s">
        <v>2059</v>
      </c>
      <c r="E205" s="7" t="s">
        <v>1947</v>
      </c>
      <c r="F205" s="7" t="s">
        <v>1948</v>
      </c>
      <c r="G205" s="7" t="s">
        <v>2057</v>
      </c>
      <c r="H205" s="7" t="s">
        <v>3240</v>
      </c>
      <c r="I205" s="7" t="s">
        <v>1956</v>
      </c>
      <c r="J205" s="7" t="s">
        <v>3445</v>
      </c>
      <c r="K205" s="7" t="s">
        <v>3446</v>
      </c>
      <c r="L205" s="7" t="s">
        <v>3447</v>
      </c>
      <c r="M205" s="7" t="s">
        <v>2078</v>
      </c>
      <c r="N205" s="9">
        <v>46052</v>
      </c>
      <c r="O205" s="9">
        <v>46355</v>
      </c>
      <c r="P205" s="7" t="s">
        <v>2090</v>
      </c>
      <c r="Q205" s="7" t="s">
        <v>1956</v>
      </c>
      <c r="R205" s="7" t="s">
        <v>3448</v>
      </c>
      <c r="S205" s="7" t="s">
        <v>3449</v>
      </c>
      <c r="T205" s="7" t="s">
        <v>2067</v>
      </c>
      <c r="U205" s="7" t="s">
        <v>2109</v>
      </c>
      <c r="V205" s="7" t="s">
        <v>2067</v>
      </c>
      <c r="W205" s="7" t="s">
        <v>2069</v>
      </c>
    </row>
    <row r="206" spans="1:23" ht="20.100000000000001" customHeight="1" x14ac:dyDescent="0.25">
      <c r="A206" s="3" t="s">
        <v>1424</v>
      </c>
      <c r="B206" s="4" t="s">
        <v>2057</v>
      </c>
      <c r="C206" s="4" t="s">
        <v>3450</v>
      </c>
      <c r="D206" s="4" t="s">
        <v>2059</v>
      </c>
      <c r="E206" s="4" t="s">
        <v>1947</v>
      </c>
      <c r="F206" s="4" t="s">
        <v>1948</v>
      </c>
      <c r="G206" s="4" t="s">
        <v>2057</v>
      </c>
      <c r="H206" s="4" t="s">
        <v>1955</v>
      </c>
      <c r="I206" s="4" t="s">
        <v>1956</v>
      </c>
      <c r="J206" s="4" t="s">
        <v>3451</v>
      </c>
      <c r="K206" s="4" t="s">
        <v>3452</v>
      </c>
      <c r="L206" s="4" t="s">
        <v>3453</v>
      </c>
      <c r="M206" s="4" t="s">
        <v>2078</v>
      </c>
      <c r="N206" s="8">
        <v>46234</v>
      </c>
      <c r="O206" s="8">
        <v>46356</v>
      </c>
      <c r="P206" s="4" t="s">
        <v>2090</v>
      </c>
      <c r="Q206" s="4" t="s">
        <v>1956</v>
      </c>
      <c r="R206" s="4" t="s">
        <v>3454</v>
      </c>
      <c r="S206" s="4" t="s">
        <v>3455</v>
      </c>
      <c r="T206" s="4" t="s">
        <v>2067</v>
      </c>
      <c r="U206" s="4" t="s">
        <v>3437</v>
      </c>
      <c r="V206" s="4" t="s">
        <v>2067</v>
      </c>
      <c r="W206" s="4" t="s">
        <v>2082</v>
      </c>
    </row>
    <row r="207" spans="1:23" ht="20.100000000000001" customHeight="1" x14ac:dyDescent="0.25">
      <c r="A207" s="6" t="s">
        <v>3456</v>
      </c>
      <c r="B207" s="7" t="s">
        <v>2084</v>
      </c>
      <c r="C207" s="7" t="s">
        <v>3457</v>
      </c>
      <c r="D207" s="7" t="s">
        <v>2059</v>
      </c>
      <c r="E207" s="7" t="s">
        <v>1947</v>
      </c>
      <c r="F207" s="7" t="s">
        <v>1948</v>
      </c>
      <c r="G207" s="7" t="s">
        <v>2084</v>
      </c>
      <c r="H207" s="7" t="s">
        <v>3339</v>
      </c>
      <c r="I207" s="7" t="s">
        <v>1956</v>
      </c>
      <c r="J207" s="7" t="s">
        <v>3458</v>
      </c>
      <c r="K207" s="7" t="s">
        <v>3459</v>
      </c>
      <c r="L207" s="7" t="s">
        <v>3460</v>
      </c>
      <c r="M207" s="7" t="s">
        <v>2078</v>
      </c>
      <c r="N207" s="9">
        <v>45992</v>
      </c>
      <c r="O207" s="9">
        <v>46356</v>
      </c>
      <c r="P207" s="7" t="s">
        <v>2090</v>
      </c>
      <c r="Q207" s="7" t="s">
        <v>1956</v>
      </c>
      <c r="R207" s="7" t="s">
        <v>3461</v>
      </c>
      <c r="S207" s="7" t="s">
        <v>3462</v>
      </c>
      <c r="T207" s="7" t="s">
        <v>2067</v>
      </c>
      <c r="U207" s="7" t="s">
        <v>2146</v>
      </c>
      <c r="V207" s="7" t="s">
        <v>2067</v>
      </c>
      <c r="W207" s="7" t="s">
        <v>2069</v>
      </c>
    </row>
    <row r="208" spans="1:23" ht="20.100000000000001" customHeight="1" x14ac:dyDescent="0.25">
      <c r="A208" s="3" t="s">
        <v>3463</v>
      </c>
      <c r="B208" s="4" t="s">
        <v>2084</v>
      </c>
      <c r="C208" s="4" t="s">
        <v>3464</v>
      </c>
      <c r="D208" s="4" t="s">
        <v>2059</v>
      </c>
      <c r="E208" s="4" t="s">
        <v>2189</v>
      </c>
      <c r="F208" s="4" t="s">
        <v>2190</v>
      </c>
      <c r="G208" s="4" t="s">
        <v>2084</v>
      </c>
      <c r="H208" s="4" t="s">
        <v>3465</v>
      </c>
      <c r="I208" s="4" t="s">
        <v>1956</v>
      </c>
      <c r="J208" s="4" t="s">
        <v>3466</v>
      </c>
      <c r="K208" s="4" t="s">
        <v>3467</v>
      </c>
      <c r="L208" s="4" t="s">
        <v>3468</v>
      </c>
      <c r="M208" s="4" t="s">
        <v>2078</v>
      </c>
      <c r="N208" s="8">
        <v>46234</v>
      </c>
      <c r="O208" s="8">
        <v>46356</v>
      </c>
      <c r="P208" s="4" t="s">
        <v>2195</v>
      </c>
      <c r="Q208" s="4" t="s">
        <v>1956</v>
      </c>
      <c r="R208" s="4" t="s">
        <v>3469</v>
      </c>
      <c r="S208" s="4" t="s">
        <v>3470</v>
      </c>
      <c r="T208" s="4" t="s">
        <v>2067</v>
      </c>
      <c r="U208" s="4" t="s">
        <v>2198</v>
      </c>
      <c r="V208" s="4" t="s">
        <v>2067</v>
      </c>
      <c r="W208" s="4" t="s">
        <v>2082</v>
      </c>
    </row>
    <row r="209" spans="1:23" ht="20.100000000000001" customHeight="1" x14ac:dyDescent="0.25">
      <c r="A209" s="6" t="s">
        <v>784</v>
      </c>
      <c r="B209" s="7" t="s">
        <v>2057</v>
      </c>
      <c r="C209" s="7" t="s">
        <v>3471</v>
      </c>
      <c r="D209" s="7" t="s">
        <v>2059</v>
      </c>
      <c r="E209" s="7" t="s">
        <v>1947</v>
      </c>
      <c r="F209" s="7" t="s">
        <v>1948</v>
      </c>
      <c r="G209" s="7" t="s">
        <v>2057</v>
      </c>
      <c r="H209" s="7" t="s">
        <v>3220</v>
      </c>
      <c r="I209" s="7" t="s">
        <v>1956</v>
      </c>
      <c r="J209" s="7" t="s">
        <v>3472</v>
      </c>
      <c r="K209" s="7" t="s">
        <v>3473</v>
      </c>
      <c r="L209" s="7" t="s">
        <v>3474</v>
      </c>
      <c r="M209" s="7" t="s">
        <v>2078</v>
      </c>
      <c r="N209" s="9">
        <v>46129</v>
      </c>
      <c r="O209" s="9">
        <v>46356</v>
      </c>
      <c r="P209" s="7" t="s">
        <v>2090</v>
      </c>
      <c r="Q209" s="7" t="s">
        <v>1956</v>
      </c>
      <c r="R209" s="7" t="s">
        <v>3475</v>
      </c>
      <c r="S209" s="7" t="s">
        <v>3476</v>
      </c>
      <c r="T209" s="7" t="s">
        <v>2067</v>
      </c>
      <c r="U209" s="7" t="s">
        <v>2146</v>
      </c>
      <c r="V209" s="7" t="s">
        <v>2067</v>
      </c>
      <c r="W209" s="7" t="s">
        <v>2082</v>
      </c>
    </row>
    <row r="210" spans="1:23" ht="20.100000000000001" customHeight="1" x14ac:dyDescent="0.25">
      <c r="A210" s="3" t="s">
        <v>1040</v>
      </c>
      <c r="B210" s="4" t="s">
        <v>2057</v>
      </c>
      <c r="C210" s="4" t="s">
        <v>3477</v>
      </c>
      <c r="D210" s="4" t="s">
        <v>2059</v>
      </c>
      <c r="E210" s="4" t="s">
        <v>1947</v>
      </c>
      <c r="F210" s="4" t="s">
        <v>1948</v>
      </c>
      <c r="G210" s="4" t="s">
        <v>2057</v>
      </c>
      <c r="H210" s="4" t="s">
        <v>1955</v>
      </c>
      <c r="I210" s="4" t="s">
        <v>1956</v>
      </c>
      <c r="J210" s="4" t="s">
        <v>3478</v>
      </c>
      <c r="K210" s="4" t="s">
        <v>3479</v>
      </c>
      <c r="L210" s="4" t="s">
        <v>3480</v>
      </c>
      <c r="M210" s="4" t="s">
        <v>2078</v>
      </c>
      <c r="N210" s="8">
        <v>46234</v>
      </c>
      <c r="O210" s="8">
        <v>46356</v>
      </c>
      <c r="P210" s="4" t="s">
        <v>2090</v>
      </c>
      <c r="Q210" s="4" t="s">
        <v>1956</v>
      </c>
      <c r="R210" s="4" t="s">
        <v>3481</v>
      </c>
      <c r="S210" s="4" t="s">
        <v>3482</v>
      </c>
      <c r="T210" s="4" t="s">
        <v>2067</v>
      </c>
      <c r="U210" s="4" t="s">
        <v>3437</v>
      </c>
      <c r="V210" s="4" t="s">
        <v>2067</v>
      </c>
      <c r="W210" s="4" t="s">
        <v>2082</v>
      </c>
    </row>
    <row r="211" spans="1:23" ht="20.100000000000001" customHeight="1" x14ac:dyDescent="0.25">
      <c r="A211" s="6" t="s">
        <v>1234</v>
      </c>
      <c r="B211" s="7" t="s">
        <v>2057</v>
      </c>
      <c r="C211" s="7" t="s">
        <v>3483</v>
      </c>
      <c r="D211" s="7" t="s">
        <v>2059</v>
      </c>
      <c r="E211" s="7" t="s">
        <v>1947</v>
      </c>
      <c r="F211" s="7" t="s">
        <v>1948</v>
      </c>
      <c r="G211" s="7" t="s">
        <v>2057</v>
      </c>
      <c r="H211" s="7" t="s">
        <v>3240</v>
      </c>
      <c r="I211" s="7" t="s">
        <v>1956</v>
      </c>
      <c r="J211" s="7" t="s">
        <v>3484</v>
      </c>
      <c r="K211" s="7" t="s">
        <v>3485</v>
      </c>
      <c r="L211" s="7" t="s">
        <v>3486</v>
      </c>
      <c r="M211" s="7" t="s">
        <v>2078</v>
      </c>
      <c r="N211" s="9">
        <v>46087</v>
      </c>
      <c r="O211" s="9">
        <v>46294</v>
      </c>
      <c r="P211" s="7" t="s">
        <v>2090</v>
      </c>
      <c r="Q211" s="7" t="s">
        <v>1956</v>
      </c>
      <c r="R211" s="7" t="s">
        <v>3487</v>
      </c>
      <c r="S211" s="7" t="s">
        <v>3488</v>
      </c>
      <c r="T211" s="7" t="s">
        <v>2067</v>
      </c>
      <c r="U211" s="7" t="s">
        <v>2768</v>
      </c>
      <c r="V211" s="7" t="s">
        <v>2067</v>
      </c>
      <c r="W211" s="7" t="s">
        <v>2069</v>
      </c>
    </row>
    <row r="212" spans="1:23" ht="20.100000000000001" customHeight="1" x14ac:dyDescent="0.25">
      <c r="A212" s="3" t="s">
        <v>1102</v>
      </c>
      <c r="B212" s="4" t="s">
        <v>2057</v>
      </c>
      <c r="C212" s="4" t="s">
        <v>3489</v>
      </c>
      <c r="D212" s="4" t="s">
        <v>2059</v>
      </c>
      <c r="E212" s="4" t="s">
        <v>1947</v>
      </c>
      <c r="F212" s="4" t="s">
        <v>1948</v>
      </c>
      <c r="G212" s="4" t="s">
        <v>2057</v>
      </c>
      <c r="H212" s="4" t="s">
        <v>1955</v>
      </c>
      <c r="I212" s="4" t="s">
        <v>1956</v>
      </c>
      <c r="J212" s="4" t="s">
        <v>3490</v>
      </c>
      <c r="K212" s="4" t="s">
        <v>3491</v>
      </c>
      <c r="L212" s="4" t="s">
        <v>3492</v>
      </c>
      <c r="M212" s="4" t="s">
        <v>2078</v>
      </c>
      <c r="N212" s="8">
        <v>46234</v>
      </c>
      <c r="O212" s="8">
        <v>46356</v>
      </c>
      <c r="P212" s="4" t="s">
        <v>2090</v>
      </c>
      <c r="Q212" s="4" t="s">
        <v>1956</v>
      </c>
      <c r="R212" s="4" t="s">
        <v>3493</v>
      </c>
      <c r="S212" s="4" t="s">
        <v>3494</v>
      </c>
      <c r="T212" s="4" t="s">
        <v>2067</v>
      </c>
      <c r="U212" s="4" t="s">
        <v>2146</v>
      </c>
      <c r="V212" s="4" t="s">
        <v>2067</v>
      </c>
      <c r="W212" s="4" t="s">
        <v>2082</v>
      </c>
    </row>
    <row r="213" spans="1:23" ht="20.100000000000001" customHeight="1" x14ac:dyDescent="0.25">
      <c r="A213" s="6" t="s">
        <v>1792</v>
      </c>
      <c r="B213" s="7" t="s">
        <v>2057</v>
      </c>
      <c r="C213" s="7" t="s">
        <v>3495</v>
      </c>
      <c r="D213" s="7" t="s">
        <v>2059</v>
      </c>
      <c r="E213" s="7" t="s">
        <v>1947</v>
      </c>
      <c r="F213" s="7" t="s">
        <v>1948</v>
      </c>
      <c r="G213" s="7" t="s">
        <v>2057</v>
      </c>
      <c r="H213" s="7" t="s">
        <v>3254</v>
      </c>
      <c r="I213" s="7" t="s">
        <v>1956</v>
      </c>
      <c r="J213" s="7" t="s">
        <v>3496</v>
      </c>
      <c r="K213" s="7" t="s">
        <v>3497</v>
      </c>
      <c r="L213" s="7" t="s">
        <v>3498</v>
      </c>
      <c r="M213" s="7" t="s">
        <v>2078</v>
      </c>
      <c r="N213" s="9">
        <v>46234</v>
      </c>
      <c r="O213" s="9">
        <v>46356</v>
      </c>
      <c r="P213" s="7" t="s">
        <v>2090</v>
      </c>
      <c r="Q213" s="7" t="s">
        <v>1956</v>
      </c>
      <c r="R213" s="7" t="s">
        <v>3499</v>
      </c>
      <c r="S213" s="7" t="s">
        <v>3500</v>
      </c>
      <c r="T213" s="7" t="s">
        <v>2067</v>
      </c>
      <c r="U213" s="7" t="s">
        <v>2146</v>
      </c>
      <c r="V213" s="7" t="s">
        <v>2067</v>
      </c>
      <c r="W213" s="7" t="s">
        <v>2082</v>
      </c>
    </row>
    <row r="214" spans="1:23" ht="20.100000000000001" customHeight="1" x14ac:dyDescent="0.25">
      <c r="A214" s="3" t="s">
        <v>928</v>
      </c>
      <c r="B214" s="4" t="s">
        <v>2057</v>
      </c>
      <c r="C214" s="4" t="s">
        <v>3501</v>
      </c>
      <c r="D214" s="4" t="s">
        <v>2059</v>
      </c>
      <c r="E214" s="4" t="s">
        <v>1947</v>
      </c>
      <c r="F214" s="4" t="s">
        <v>1948</v>
      </c>
      <c r="G214" s="4" t="s">
        <v>2057</v>
      </c>
      <c r="H214" s="4" t="s">
        <v>3240</v>
      </c>
      <c r="I214" s="4" t="s">
        <v>1956</v>
      </c>
      <c r="J214" s="4" t="s">
        <v>3502</v>
      </c>
      <c r="K214" s="4" t="s">
        <v>3503</v>
      </c>
      <c r="L214" s="4" t="s">
        <v>3504</v>
      </c>
      <c r="M214" s="4" t="s">
        <v>2078</v>
      </c>
      <c r="N214" s="8">
        <v>46234</v>
      </c>
      <c r="O214" s="8">
        <v>46356</v>
      </c>
      <c r="P214" s="4" t="s">
        <v>2090</v>
      </c>
      <c r="Q214" s="4" t="s">
        <v>1956</v>
      </c>
      <c r="R214" s="4" t="s">
        <v>3505</v>
      </c>
      <c r="S214" s="4" t="s">
        <v>3506</v>
      </c>
      <c r="T214" s="4" t="s">
        <v>2067</v>
      </c>
      <c r="U214" s="4" t="s">
        <v>3437</v>
      </c>
      <c r="V214" s="4" t="s">
        <v>2067</v>
      </c>
      <c r="W214" s="4" t="s">
        <v>2069</v>
      </c>
    </row>
    <row r="215" spans="1:23" ht="20.100000000000001" customHeight="1" x14ac:dyDescent="0.25">
      <c r="A215" s="6" t="s">
        <v>1770</v>
      </c>
      <c r="B215" s="7" t="s">
        <v>2057</v>
      </c>
      <c r="C215" s="7" t="s">
        <v>1954</v>
      </c>
      <c r="D215" s="7" t="s">
        <v>2059</v>
      </c>
      <c r="E215" s="7" t="s">
        <v>1947</v>
      </c>
      <c r="F215" s="7" t="s">
        <v>1948</v>
      </c>
      <c r="G215" s="7" t="s">
        <v>2057</v>
      </c>
      <c r="H215" s="7" t="s">
        <v>1955</v>
      </c>
      <c r="I215" s="7" t="s">
        <v>1956</v>
      </c>
      <c r="J215" s="7" t="s">
        <v>3507</v>
      </c>
      <c r="K215" s="7" t="s">
        <v>3508</v>
      </c>
      <c r="L215" s="7" t="s">
        <v>3509</v>
      </c>
      <c r="M215" s="7" t="s">
        <v>2078</v>
      </c>
      <c r="N215" s="9">
        <v>46128</v>
      </c>
      <c r="O215" s="9">
        <v>46356</v>
      </c>
      <c r="P215" s="7" t="s">
        <v>2090</v>
      </c>
      <c r="Q215" s="7" t="s">
        <v>1956</v>
      </c>
      <c r="R215" s="7" t="s">
        <v>3510</v>
      </c>
      <c r="S215" s="7" t="s">
        <v>3511</v>
      </c>
      <c r="T215" s="7" t="s">
        <v>2067</v>
      </c>
      <c r="U215" s="7" t="s">
        <v>2146</v>
      </c>
      <c r="V215" s="7" t="s">
        <v>2067</v>
      </c>
      <c r="W215" s="7" t="s">
        <v>2082</v>
      </c>
    </row>
    <row r="216" spans="1:23" ht="20.100000000000001" customHeight="1" x14ac:dyDescent="0.25">
      <c r="A216" s="3" t="s">
        <v>3512</v>
      </c>
      <c r="B216" s="4" t="s">
        <v>2084</v>
      </c>
      <c r="C216" s="4" t="s">
        <v>3513</v>
      </c>
      <c r="D216" s="4" t="s">
        <v>2059</v>
      </c>
      <c r="E216" s="4" t="s">
        <v>1947</v>
      </c>
      <c r="F216" s="4" t="s">
        <v>1948</v>
      </c>
      <c r="G216" s="4" t="s">
        <v>2084</v>
      </c>
      <c r="H216" s="4" t="s">
        <v>3213</v>
      </c>
      <c r="I216" s="4" t="s">
        <v>1956</v>
      </c>
      <c r="J216" s="4" t="s">
        <v>3514</v>
      </c>
      <c r="K216" s="4" t="s">
        <v>3515</v>
      </c>
      <c r="L216" s="4" t="s">
        <v>3516</v>
      </c>
      <c r="M216" s="4" t="s">
        <v>2078</v>
      </c>
      <c r="N216" s="8">
        <v>46234</v>
      </c>
      <c r="O216" s="8">
        <v>46356</v>
      </c>
      <c r="P216" s="4" t="s">
        <v>2090</v>
      </c>
      <c r="Q216" s="4" t="s">
        <v>1956</v>
      </c>
      <c r="R216" s="4" t="s">
        <v>3517</v>
      </c>
      <c r="S216" s="4" t="s">
        <v>3518</v>
      </c>
      <c r="T216" s="4" t="s">
        <v>2067</v>
      </c>
      <c r="U216" s="4" t="s">
        <v>2146</v>
      </c>
      <c r="V216" s="4" t="s">
        <v>2067</v>
      </c>
      <c r="W216" s="4" t="s">
        <v>2069</v>
      </c>
    </row>
    <row r="217" spans="1:23" ht="20.100000000000001" customHeight="1" x14ac:dyDescent="0.25">
      <c r="A217" s="6" t="s">
        <v>296</v>
      </c>
      <c r="B217" s="7" t="s">
        <v>2084</v>
      </c>
      <c r="C217" s="7" t="s">
        <v>3519</v>
      </c>
      <c r="D217" s="7" t="s">
        <v>2059</v>
      </c>
      <c r="E217" s="7" t="s">
        <v>3520</v>
      </c>
      <c r="F217" s="7" t="s">
        <v>3521</v>
      </c>
      <c r="G217" s="7" t="s">
        <v>2084</v>
      </c>
      <c r="H217" s="7" t="s">
        <v>3213</v>
      </c>
      <c r="I217" s="7" t="s">
        <v>1956</v>
      </c>
      <c r="J217" s="7" t="s">
        <v>3522</v>
      </c>
      <c r="K217" s="7" t="s">
        <v>3523</v>
      </c>
      <c r="L217" s="7" t="s">
        <v>3524</v>
      </c>
      <c r="M217" s="7" t="s">
        <v>2064</v>
      </c>
      <c r="N217" s="9">
        <v>46052</v>
      </c>
      <c r="O217" s="9"/>
      <c r="P217" s="7" t="s">
        <v>3521</v>
      </c>
      <c r="Q217" s="7" t="s">
        <v>1956</v>
      </c>
      <c r="R217" s="7" t="s">
        <v>3525</v>
      </c>
      <c r="S217" s="7" t="s">
        <v>3526</v>
      </c>
      <c r="T217" s="7" t="s">
        <v>2067</v>
      </c>
      <c r="U217" s="7" t="s">
        <v>3527</v>
      </c>
      <c r="V217" s="7" t="s">
        <v>2067</v>
      </c>
      <c r="W217" s="7" t="s">
        <v>2069</v>
      </c>
    </row>
    <row r="218" spans="1:23" ht="20.100000000000001" customHeight="1" x14ac:dyDescent="0.25">
      <c r="A218" s="3" t="s">
        <v>1772</v>
      </c>
      <c r="B218" s="4" t="s">
        <v>2057</v>
      </c>
      <c r="C218" s="4" t="s">
        <v>3528</v>
      </c>
      <c r="D218" s="4" t="s">
        <v>2059</v>
      </c>
      <c r="E218" s="4" t="s">
        <v>1947</v>
      </c>
      <c r="F218" s="4" t="s">
        <v>1948</v>
      </c>
      <c r="G218" s="4" t="s">
        <v>2057</v>
      </c>
      <c r="H218" s="4" t="s">
        <v>1955</v>
      </c>
      <c r="I218" s="4" t="s">
        <v>1956</v>
      </c>
      <c r="J218" s="4" t="s">
        <v>3529</v>
      </c>
      <c r="K218" s="4" t="s">
        <v>3530</v>
      </c>
      <c r="L218" s="4" t="s">
        <v>3531</v>
      </c>
      <c r="M218" s="4" t="s">
        <v>2078</v>
      </c>
      <c r="N218" s="8">
        <v>46234</v>
      </c>
      <c r="O218" s="8">
        <v>46356</v>
      </c>
      <c r="P218" s="4" t="s">
        <v>2090</v>
      </c>
      <c r="Q218" s="4" t="s">
        <v>1956</v>
      </c>
      <c r="R218" s="4" t="s">
        <v>3532</v>
      </c>
      <c r="S218" s="4" t="s">
        <v>3533</v>
      </c>
      <c r="T218" s="4" t="s">
        <v>2067</v>
      </c>
      <c r="U218" s="4" t="s">
        <v>2146</v>
      </c>
      <c r="V218" s="4" t="s">
        <v>2067</v>
      </c>
      <c r="W218" s="4" t="s">
        <v>2082</v>
      </c>
    </row>
    <row r="219" spans="1:23" ht="20.100000000000001" customHeight="1" x14ac:dyDescent="0.25">
      <c r="A219" s="6" t="s">
        <v>3534</v>
      </c>
      <c r="B219" s="7" t="s">
        <v>2057</v>
      </c>
      <c r="C219" s="7" t="s">
        <v>3535</v>
      </c>
      <c r="D219" s="7" t="s">
        <v>2059</v>
      </c>
      <c r="E219" s="7" t="s">
        <v>2131</v>
      </c>
      <c r="F219" s="7" t="s">
        <v>2132</v>
      </c>
      <c r="G219" s="7" t="s">
        <v>2057</v>
      </c>
      <c r="H219" s="7" t="s">
        <v>3220</v>
      </c>
      <c r="I219" s="7" t="s">
        <v>1956</v>
      </c>
      <c r="J219" s="7" t="s">
        <v>3536</v>
      </c>
      <c r="K219" s="7" t="s">
        <v>3537</v>
      </c>
      <c r="L219" s="7" t="s">
        <v>3538</v>
      </c>
      <c r="M219" s="7" t="s">
        <v>2078</v>
      </c>
      <c r="N219" s="9">
        <v>46120</v>
      </c>
      <c r="O219" s="9">
        <v>46356</v>
      </c>
      <c r="P219" s="7" t="s">
        <v>2132</v>
      </c>
      <c r="Q219" s="7" t="s">
        <v>1956</v>
      </c>
      <c r="R219" s="7" t="s">
        <v>3539</v>
      </c>
      <c r="S219" s="7" t="s">
        <v>3540</v>
      </c>
      <c r="T219" s="7" t="s">
        <v>2067</v>
      </c>
      <c r="U219" s="7" t="s">
        <v>2138</v>
      </c>
      <c r="V219" s="7" t="s">
        <v>2067</v>
      </c>
      <c r="W219" s="7" t="s">
        <v>2082</v>
      </c>
    </row>
    <row r="220" spans="1:23" ht="20.100000000000001" customHeight="1" x14ac:dyDescent="0.25">
      <c r="A220" s="3" t="s">
        <v>472</v>
      </c>
      <c r="B220" s="4" t="s">
        <v>2057</v>
      </c>
      <c r="C220" s="4" t="s">
        <v>3541</v>
      </c>
      <c r="D220" s="4" t="s">
        <v>2059</v>
      </c>
      <c r="E220" s="4" t="s">
        <v>1940</v>
      </c>
      <c r="F220" s="4" t="s">
        <v>1941</v>
      </c>
      <c r="G220" s="4" t="s">
        <v>2057</v>
      </c>
      <c r="H220" s="4" t="s">
        <v>3254</v>
      </c>
      <c r="I220" s="4" t="s">
        <v>1956</v>
      </c>
      <c r="J220" s="4" t="s">
        <v>3542</v>
      </c>
      <c r="K220" s="4" t="s">
        <v>3543</v>
      </c>
      <c r="L220" s="4" t="s">
        <v>3544</v>
      </c>
      <c r="M220" s="4" t="s">
        <v>2078</v>
      </c>
      <c r="N220" s="8">
        <v>46234</v>
      </c>
      <c r="O220" s="8">
        <v>46356</v>
      </c>
      <c r="P220" s="4" t="s">
        <v>1941</v>
      </c>
      <c r="Q220" s="4" t="s">
        <v>1956</v>
      </c>
      <c r="R220" s="4" t="s">
        <v>3545</v>
      </c>
      <c r="S220" s="4" t="s">
        <v>3546</v>
      </c>
      <c r="T220" s="4" t="s">
        <v>2067</v>
      </c>
      <c r="U220" s="4" t="s">
        <v>2068</v>
      </c>
      <c r="V220" s="4" t="s">
        <v>2067</v>
      </c>
      <c r="W220" s="4" t="s">
        <v>2082</v>
      </c>
    </row>
    <row r="221" spans="1:23" ht="20.100000000000001" customHeight="1" x14ac:dyDescent="0.25">
      <c r="A221" s="6" t="s">
        <v>180</v>
      </c>
      <c r="B221" s="7" t="s">
        <v>2057</v>
      </c>
      <c r="C221" s="7" t="s">
        <v>3547</v>
      </c>
      <c r="D221" s="7" t="s">
        <v>2059</v>
      </c>
      <c r="E221" s="7" t="s">
        <v>1947</v>
      </c>
      <c r="F221" s="7" t="s">
        <v>1948</v>
      </c>
      <c r="G221" s="7" t="s">
        <v>2057</v>
      </c>
      <c r="H221" s="7" t="s">
        <v>1955</v>
      </c>
      <c r="I221" s="7" t="s">
        <v>1956</v>
      </c>
      <c r="J221" s="7" t="s">
        <v>3548</v>
      </c>
      <c r="K221" s="7" t="s">
        <v>3549</v>
      </c>
      <c r="L221" s="7" t="s">
        <v>3550</v>
      </c>
      <c r="M221" s="7" t="s">
        <v>2078</v>
      </c>
      <c r="N221" s="9">
        <v>46234</v>
      </c>
      <c r="O221" s="9">
        <v>46356</v>
      </c>
      <c r="P221" s="7" t="s">
        <v>2090</v>
      </c>
      <c r="Q221" s="7" t="s">
        <v>1956</v>
      </c>
      <c r="R221" s="7" t="s">
        <v>3551</v>
      </c>
      <c r="S221" s="7" t="s">
        <v>3552</v>
      </c>
      <c r="T221" s="7" t="s">
        <v>2067</v>
      </c>
      <c r="U221" s="7" t="s">
        <v>2146</v>
      </c>
      <c r="V221" s="7" t="s">
        <v>2067</v>
      </c>
      <c r="W221" s="7" t="s">
        <v>2082</v>
      </c>
    </row>
    <row r="222" spans="1:23" ht="20.100000000000001" customHeight="1" x14ac:dyDescent="0.25">
      <c r="A222" s="3" t="s">
        <v>1492</v>
      </c>
      <c r="B222" s="4" t="s">
        <v>2057</v>
      </c>
      <c r="C222" s="4" t="s">
        <v>3553</v>
      </c>
      <c r="D222" s="4" t="s">
        <v>2059</v>
      </c>
      <c r="E222" s="4" t="s">
        <v>1947</v>
      </c>
      <c r="F222" s="4" t="s">
        <v>1948</v>
      </c>
      <c r="G222" s="4" t="s">
        <v>2057</v>
      </c>
      <c r="H222" s="4" t="s">
        <v>3240</v>
      </c>
      <c r="I222" s="4" t="s">
        <v>1956</v>
      </c>
      <c r="J222" s="4" t="s">
        <v>3554</v>
      </c>
      <c r="K222" s="4" t="s">
        <v>3555</v>
      </c>
      <c r="L222" s="4" t="s">
        <v>3556</v>
      </c>
      <c r="M222" s="4" t="s">
        <v>2078</v>
      </c>
      <c r="N222" s="8">
        <v>46125</v>
      </c>
      <c r="O222" s="8">
        <v>46294</v>
      </c>
      <c r="P222" s="4" t="s">
        <v>2090</v>
      </c>
      <c r="Q222" s="4" t="s">
        <v>1956</v>
      </c>
      <c r="R222" s="4" t="s">
        <v>2605</v>
      </c>
      <c r="S222" s="4" t="s">
        <v>3557</v>
      </c>
      <c r="T222" s="4" t="s">
        <v>2067</v>
      </c>
      <c r="U222" s="4" t="s">
        <v>2146</v>
      </c>
      <c r="V222" s="4" t="s">
        <v>2067</v>
      </c>
      <c r="W222" s="4" t="s">
        <v>2069</v>
      </c>
    </row>
    <row r="223" spans="1:23" ht="20.100000000000001" customHeight="1" x14ac:dyDescent="0.25">
      <c r="A223" s="6" t="s">
        <v>3558</v>
      </c>
      <c r="B223" s="7" t="s">
        <v>2057</v>
      </c>
      <c r="C223" s="7" t="s">
        <v>3559</v>
      </c>
      <c r="D223" s="7" t="s">
        <v>2059</v>
      </c>
      <c r="E223" s="7" t="s">
        <v>1947</v>
      </c>
      <c r="F223" s="7" t="s">
        <v>1948</v>
      </c>
      <c r="G223" s="7" t="s">
        <v>2057</v>
      </c>
      <c r="H223" s="7" t="s">
        <v>3220</v>
      </c>
      <c r="I223" s="7" t="s">
        <v>1956</v>
      </c>
      <c r="J223" s="7" t="s">
        <v>3560</v>
      </c>
      <c r="K223" s="7" t="s">
        <v>3561</v>
      </c>
      <c r="L223" s="7" t="s">
        <v>3562</v>
      </c>
      <c r="M223" s="7" t="s">
        <v>2078</v>
      </c>
      <c r="N223" s="9">
        <v>46129</v>
      </c>
      <c r="O223" s="9">
        <v>46356</v>
      </c>
      <c r="P223" s="7" t="s">
        <v>2090</v>
      </c>
      <c r="Q223" s="7" t="s">
        <v>1956</v>
      </c>
      <c r="R223" s="7" t="s">
        <v>3563</v>
      </c>
      <c r="S223" s="7" t="s">
        <v>3564</v>
      </c>
      <c r="T223" s="7" t="s">
        <v>2067</v>
      </c>
      <c r="U223" s="7" t="s">
        <v>2146</v>
      </c>
      <c r="V223" s="7" t="s">
        <v>2067</v>
      </c>
      <c r="W223" s="7" t="s">
        <v>2082</v>
      </c>
    </row>
    <row r="224" spans="1:23" ht="20.100000000000001" customHeight="1" x14ac:dyDescent="0.25">
      <c r="A224" s="3" t="s">
        <v>1428</v>
      </c>
      <c r="B224" s="4" t="s">
        <v>2057</v>
      </c>
      <c r="C224" s="4" t="s">
        <v>3565</v>
      </c>
      <c r="D224" s="4" t="s">
        <v>2059</v>
      </c>
      <c r="E224" s="4" t="s">
        <v>1947</v>
      </c>
      <c r="F224" s="4" t="s">
        <v>1948</v>
      </c>
      <c r="G224" s="4" t="s">
        <v>2057</v>
      </c>
      <c r="H224" s="4" t="s">
        <v>3220</v>
      </c>
      <c r="I224" s="4" t="s">
        <v>1956</v>
      </c>
      <c r="J224" s="4" t="s">
        <v>3566</v>
      </c>
      <c r="K224" s="4" t="s">
        <v>3567</v>
      </c>
      <c r="L224" s="4" t="s">
        <v>3568</v>
      </c>
      <c r="M224" s="4" t="s">
        <v>2078</v>
      </c>
      <c r="N224" s="8">
        <v>46234</v>
      </c>
      <c r="O224" s="8">
        <v>46356</v>
      </c>
      <c r="P224" s="4" t="s">
        <v>2090</v>
      </c>
      <c r="Q224" s="4" t="s">
        <v>1956</v>
      </c>
      <c r="R224" s="4" t="s">
        <v>3569</v>
      </c>
      <c r="S224" s="4" t="s">
        <v>3570</v>
      </c>
      <c r="T224" s="4" t="s">
        <v>2067</v>
      </c>
      <c r="U224" s="4" t="s">
        <v>2146</v>
      </c>
      <c r="V224" s="4" t="s">
        <v>2067</v>
      </c>
      <c r="W224" s="4" t="s">
        <v>2082</v>
      </c>
    </row>
    <row r="225" spans="1:23" ht="20.100000000000001" customHeight="1" x14ac:dyDescent="0.25">
      <c r="A225" s="6" t="s">
        <v>3571</v>
      </c>
      <c r="B225" s="7" t="s">
        <v>2057</v>
      </c>
      <c r="C225" s="7" t="s">
        <v>3572</v>
      </c>
      <c r="D225" s="7" t="s">
        <v>2059</v>
      </c>
      <c r="E225" s="7" t="s">
        <v>2189</v>
      </c>
      <c r="F225" s="7" t="s">
        <v>2190</v>
      </c>
      <c r="G225" s="7" t="s">
        <v>2057</v>
      </c>
      <c r="H225" s="7" t="s">
        <v>3573</v>
      </c>
      <c r="I225" s="7" t="s">
        <v>1961</v>
      </c>
      <c r="J225" s="7" t="s">
        <v>3574</v>
      </c>
      <c r="K225" s="7" t="s">
        <v>3575</v>
      </c>
      <c r="L225" s="7" t="s">
        <v>3576</v>
      </c>
      <c r="M225" s="7" t="s">
        <v>2064</v>
      </c>
      <c r="N225" s="9">
        <v>39828</v>
      </c>
      <c r="O225" s="9"/>
      <c r="P225" s="7" t="s">
        <v>2195</v>
      </c>
      <c r="Q225" s="7" t="s">
        <v>1961</v>
      </c>
      <c r="R225" s="7" t="s">
        <v>3577</v>
      </c>
      <c r="S225" s="7" t="s">
        <v>3578</v>
      </c>
      <c r="T225" s="7" t="s">
        <v>2351</v>
      </c>
      <c r="U225" s="7" t="s">
        <v>2198</v>
      </c>
      <c r="V225" s="7" t="s">
        <v>2351</v>
      </c>
      <c r="W225" s="7" t="s">
        <v>2069</v>
      </c>
    </row>
    <row r="226" spans="1:23" ht="20.100000000000001" customHeight="1" x14ac:dyDescent="0.25">
      <c r="A226" s="3" t="s">
        <v>672</v>
      </c>
      <c r="B226" s="4" t="s">
        <v>2084</v>
      </c>
      <c r="C226" s="4" t="s">
        <v>3579</v>
      </c>
      <c r="D226" s="4" t="s">
        <v>2059</v>
      </c>
      <c r="E226" s="4" t="s">
        <v>1947</v>
      </c>
      <c r="F226" s="4" t="s">
        <v>1948</v>
      </c>
      <c r="G226" s="4" t="s">
        <v>2084</v>
      </c>
      <c r="H226" s="4" t="s">
        <v>3580</v>
      </c>
      <c r="I226" s="4" t="s">
        <v>1961</v>
      </c>
      <c r="J226" s="4" t="s">
        <v>3581</v>
      </c>
      <c r="K226" s="4" t="s">
        <v>3582</v>
      </c>
      <c r="L226" s="4" t="s">
        <v>3583</v>
      </c>
      <c r="M226" s="4" t="s">
        <v>2078</v>
      </c>
      <c r="N226" s="8">
        <v>46234</v>
      </c>
      <c r="O226" s="8">
        <v>46356</v>
      </c>
      <c r="P226" s="4" t="s">
        <v>2090</v>
      </c>
      <c r="Q226" s="4" t="s">
        <v>1961</v>
      </c>
      <c r="R226" s="4" t="s">
        <v>3584</v>
      </c>
      <c r="S226" s="4" t="s">
        <v>3585</v>
      </c>
      <c r="T226" s="4" t="s">
        <v>2067</v>
      </c>
      <c r="U226" s="4" t="s">
        <v>2146</v>
      </c>
      <c r="V226" s="4" t="s">
        <v>2067</v>
      </c>
      <c r="W226" s="4" t="s">
        <v>2069</v>
      </c>
    </row>
    <row r="227" spans="1:23" ht="20.100000000000001" customHeight="1" x14ac:dyDescent="0.25">
      <c r="A227" s="6" t="s">
        <v>1092</v>
      </c>
      <c r="B227" s="7" t="s">
        <v>2057</v>
      </c>
      <c r="C227" s="7" t="s">
        <v>3586</v>
      </c>
      <c r="D227" s="7" t="s">
        <v>2059</v>
      </c>
      <c r="E227" s="7" t="s">
        <v>1947</v>
      </c>
      <c r="F227" s="7" t="s">
        <v>1948</v>
      </c>
      <c r="G227" s="7" t="s">
        <v>2057</v>
      </c>
      <c r="H227" s="7" t="s">
        <v>1996</v>
      </c>
      <c r="I227" s="7" t="s">
        <v>1961</v>
      </c>
      <c r="J227" s="7" t="s">
        <v>3587</v>
      </c>
      <c r="K227" s="7" t="s">
        <v>3588</v>
      </c>
      <c r="L227" s="7" t="s">
        <v>3589</v>
      </c>
      <c r="M227" s="7" t="s">
        <v>2064</v>
      </c>
      <c r="N227" s="9">
        <v>42387</v>
      </c>
      <c r="O227" s="9"/>
      <c r="P227" s="7" t="s">
        <v>2090</v>
      </c>
      <c r="Q227" s="7" t="s">
        <v>1961</v>
      </c>
      <c r="R227" s="7" t="s">
        <v>3590</v>
      </c>
      <c r="S227" s="7" t="s">
        <v>3591</v>
      </c>
      <c r="T227" s="7" t="s">
        <v>2067</v>
      </c>
      <c r="U227" s="7" t="s">
        <v>2768</v>
      </c>
      <c r="V227" s="7" t="s">
        <v>2067</v>
      </c>
      <c r="W227" s="7" t="s">
        <v>2069</v>
      </c>
    </row>
    <row r="228" spans="1:23" ht="20.100000000000001" customHeight="1" x14ac:dyDescent="0.25">
      <c r="A228" s="3" t="s">
        <v>3592</v>
      </c>
      <c r="B228" s="4" t="s">
        <v>2057</v>
      </c>
      <c r="C228" s="4" t="s">
        <v>3593</v>
      </c>
      <c r="D228" s="4" t="s">
        <v>2059</v>
      </c>
      <c r="E228" s="4" t="s">
        <v>1947</v>
      </c>
      <c r="F228" s="4" t="s">
        <v>1948</v>
      </c>
      <c r="G228" s="4" t="s">
        <v>2057</v>
      </c>
      <c r="H228" s="4" t="s">
        <v>3594</v>
      </c>
      <c r="I228" s="4" t="s">
        <v>1961</v>
      </c>
      <c r="J228" s="4" t="s">
        <v>3595</v>
      </c>
      <c r="K228" s="4" t="s">
        <v>3596</v>
      </c>
      <c r="L228" s="4" t="s">
        <v>3597</v>
      </c>
      <c r="M228" s="4" t="s">
        <v>2064</v>
      </c>
      <c r="N228" s="8">
        <v>42387</v>
      </c>
      <c r="O228" s="8"/>
      <c r="P228" s="4" t="s">
        <v>2090</v>
      </c>
      <c r="Q228" s="4" t="s">
        <v>1961</v>
      </c>
      <c r="R228" s="4" t="s">
        <v>2079</v>
      </c>
      <c r="S228" s="4" t="s">
        <v>3598</v>
      </c>
      <c r="T228" s="4" t="s">
        <v>2067</v>
      </c>
      <c r="U228" s="4" t="s">
        <v>2768</v>
      </c>
      <c r="V228" s="4" t="s">
        <v>2067</v>
      </c>
      <c r="W228" s="4" t="s">
        <v>2069</v>
      </c>
    </row>
    <row r="229" spans="1:23" ht="20.100000000000001" customHeight="1" x14ac:dyDescent="0.25">
      <c r="A229" s="6" t="s">
        <v>3599</v>
      </c>
      <c r="B229" s="7" t="s">
        <v>2057</v>
      </c>
      <c r="C229" s="7" t="s">
        <v>3600</v>
      </c>
      <c r="D229" s="7" t="s">
        <v>2059</v>
      </c>
      <c r="E229" s="7" t="s">
        <v>2189</v>
      </c>
      <c r="F229" s="7" t="s">
        <v>2190</v>
      </c>
      <c r="G229" s="7" t="s">
        <v>2057</v>
      </c>
      <c r="H229" s="7" t="s">
        <v>3601</v>
      </c>
      <c r="I229" s="7" t="s">
        <v>1961</v>
      </c>
      <c r="J229" s="7" t="s">
        <v>3602</v>
      </c>
      <c r="K229" s="7" t="s">
        <v>3603</v>
      </c>
      <c r="L229" s="7" t="s">
        <v>3604</v>
      </c>
      <c r="M229" s="7" t="s">
        <v>2064</v>
      </c>
      <c r="N229" s="9">
        <v>43102</v>
      </c>
      <c r="O229" s="9"/>
      <c r="P229" s="7" t="s">
        <v>2195</v>
      </c>
      <c r="Q229" s="7" t="s">
        <v>1961</v>
      </c>
      <c r="R229" s="7" t="s">
        <v>3605</v>
      </c>
      <c r="S229" s="7" t="s">
        <v>3606</v>
      </c>
      <c r="T229" s="7" t="s">
        <v>2067</v>
      </c>
      <c r="U229" s="7" t="s">
        <v>2198</v>
      </c>
      <c r="V229" s="7" t="s">
        <v>2067</v>
      </c>
      <c r="W229" s="7" t="s">
        <v>2069</v>
      </c>
    </row>
    <row r="230" spans="1:23" ht="20.100000000000001" customHeight="1" x14ac:dyDescent="0.25">
      <c r="A230" s="3" t="s">
        <v>3607</v>
      </c>
      <c r="B230" s="4" t="s">
        <v>2057</v>
      </c>
      <c r="C230" s="4" t="s">
        <v>3608</v>
      </c>
      <c r="D230" s="4" t="s">
        <v>2059</v>
      </c>
      <c r="E230" s="4" t="s">
        <v>2189</v>
      </c>
      <c r="F230" s="4" t="s">
        <v>2190</v>
      </c>
      <c r="G230" s="4" t="s">
        <v>2057</v>
      </c>
      <c r="H230" s="4" t="s">
        <v>3609</v>
      </c>
      <c r="I230" s="4" t="s">
        <v>1961</v>
      </c>
      <c r="J230" s="4" t="s">
        <v>3610</v>
      </c>
      <c r="K230" s="4" t="s">
        <v>3611</v>
      </c>
      <c r="L230" s="4" t="s">
        <v>3612</v>
      </c>
      <c r="M230" s="4" t="s">
        <v>2078</v>
      </c>
      <c r="N230" s="8">
        <v>46052</v>
      </c>
      <c r="O230" s="8">
        <v>46296</v>
      </c>
      <c r="P230" s="4" t="s">
        <v>2195</v>
      </c>
      <c r="Q230" s="4" t="s">
        <v>1961</v>
      </c>
      <c r="R230" s="4" t="s">
        <v>3613</v>
      </c>
      <c r="S230" s="4" t="s">
        <v>3614</v>
      </c>
      <c r="T230" s="4" t="s">
        <v>2067</v>
      </c>
      <c r="U230" s="4" t="s">
        <v>2198</v>
      </c>
      <c r="V230" s="4" t="s">
        <v>2067</v>
      </c>
      <c r="W230" s="4" t="s">
        <v>2069</v>
      </c>
    </row>
    <row r="231" spans="1:23" ht="20.100000000000001" customHeight="1" x14ac:dyDescent="0.25">
      <c r="A231" s="6" t="s">
        <v>534</v>
      </c>
      <c r="B231" s="7" t="s">
        <v>2057</v>
      </c>
      <c r="C231" s="7" t="s">
        <v>3615</v>
      </c>
      <c r="D231" s="7" t="s">
        <v>2059</v>
      </c>
      <c r="E231" s="7" t="s">
        <v>1952</v>
      </c>
      <c r="F231" s="7" t="s">
        <v>1953</v>
      </c>
      <c r="G231" s="7" t="s">
        <v>2057</v>
      </c>
      <c r="H231" s="7" t="s">
        <v>1960</v>
      </c>
      <c r="I231" s="7" t="s">
        <v>1961</v>
      </c>
      <c r="J231" s="7" t="s">
        <v>3616</v>
      </c>
      <c r="K231" s="7" t="s">
        <v>3617</v>
      </c>
      <c r="L231" s="7" t="s">
        <v>3618</v>
      </c>
      <c r="M231" s="7" t="s">
        <v>2078</v>
      </c>
      <c r="N231" s="9">
        <v>46234</v>
      </c>
      <c r="O231" s="9">
        <v>46356</v>
      </c>
      <c r="P231" s="7" t="s">
        <v>1953</v>
      </c>
      <c r="Q231" s="7" t="s">
        <v>1961</v>
      </c>
      <c r="R231" s="7" t="s">
        <v>3619</v>
      </c>
      <c r="S231" s="7" t="s">
        <v>3620</v>
      </c>
      <c r="T231" s="7" t="s">
        <v>2067</v>
      </c>
      <c r="U231" s="7" t="s">
        <v>2358</v>
      </c>
      <c r="V231" s="7" t="s">
        <v>2067</v>
      </c>
      <c r="W231" s="7" t="s">
        <v>2069</v>
      </c>
    </row>
    <row r="232" spans="1:23" ht="20.100000000000001" customHeight="1" x14ac:dyDescent="0.25">
      <c r="A232" s="3" t="s">
        <v>1994</v>
      </c>
      <c r="B232" s="4" t="s">
        <v>2057</v>
      </c>
      <c r="C232" s="4" t="s">
        <v>1995</v>
      </c>
      <c r="D232" s="4" t="s">
        <v>2059</v>
      </c>
      <c r="E232" s="4" t="s">
        <v>1947</v>
      </c>
      <c r="F232" s="4" t="s">
        <v>1948</v>
      </c>
      <c r="G232" s="4" t="s">
        <v>2057</v>
      </c>
      <c r="H232" s="4" t="s">
        <v>1996</v>
      </c>
      <c r="I232" s="4" t="s">
        <v>1961</v>
      </c>
      <c r="J232" s="4" t="s">
        <v>3621</v>
      </c>
      <c r="K232" s="4" t="s">
        <v>3622</v>
      </c>
      <c r="L232" s="4" t="s">
        <v>3623</v>
      </c>
      <c r="M232" s="4" t="s">
        <v>2078</v>
      </c>
      <c r="N232" s="8">
        <v>45992</v>
      </c>
      <c r="O232" s="8">
        <v>46356</v>
      </c>
      <c r="P232" s="4" t="s">
        <v>2090</v>
      </c>
      <c r="Q232" s="4" t="s">
        <v>1961</v>
      </c>
      <c r="R232" s="4" t="s">
        <v>3624</v>
      </c>
      <c r="S232" s="4" t="s">
        <v>3625</v>
      </c>
      <c r="T232" s="4" t="s">
        <v>2067</v>
      </c>
      <c r="U232" s="4" t="s">
        <v>2768</v>
      </c>
      <c r="V232" s="4" t="s">
        <v>2067</v>
      </c>
      <c r="W232" s="4" t="s">
        <v>2069</v>
      </c>
    </row>
    <row r="233" spans="1:23" ht="20.100000000000001" customHeight="1" x14ac:dyDescent="0.25">
      <c r="A233" s="6" t="s">
        <v>2013</v>
      </c>
      <c r="B233" s="7" t="s">
        <v>2057</v>
      </c>
      <c r="C233" s="7" t="s">
        <v>2014</v>
      </c>
      <c r="D233" s="7" t="s">
        <v>2059</v>
      </c>
      <c r="E233" s="7" t="s">
        <v>1947</v>
      </c>
      <c r="F233" s="7" t="s">
        <v>1948</v>
      </c>
      <c r="G233" s="7" t="s">
        <v>2057</v>
      </c>
      <c r="H233" s="7" t="s">
        <v>1996</v>
      </c>
      <c r="I233" s="7" t="s">
        <v>1961</v>
      </c>
      <c r="J233" s="7" t="s">
        <v>3626</v>
      </c>
      <c r="K233" s="7" t="s">
        <v>3627</v>
      </c>
      <c r="L233" s="7" t="s">
        <v>3628</v>
      </c>
      <c r="M233" s="7" t="s">
        <v>2078</v>
      </c>
      <c r="N233" s="9">
        <v>45992</v>
      </c>
      <c r="O233" s="9">
        <v>46356</v>
      </c>
      <c r="P233" s="7" t="s">
        <v>2090</v>
      </c>
      <c r="Q233" s="7" t="s">
        <v>1961</v>
      </c>
      <c r="R233" s="7" t="s">
        <v>3629</v>
      </c>
      <c r="S233" s="7" t="s">
        <v>3630</v>
      </c>
      <c r="T233" s="7" t="s">
        <v>2067</v>
      </c>
      <c r="U233" s="7" t="s">
        <v>2768</v>
      </c>
      <c r="V233" s="7" t="s">
        <v>2067</v>
      </c>
      <c r="W233" s="7" t="s">
        <v>2069</v>
      </c>
    </row>
    <row r="234" spans="1:23" ht="20.100000000000001" customHeight="1" x14ac:dyDescent="0.25">
      <c r="A234" s="3" t="s">
        <v>1096</v>
      </c>
      <c r="B234" s="4" t="s">
        <v>2057</v>
      </c>
      <c r="C234" s="4" t="s">
        <v>3631</v>
      </c>
      <c r="D234" s="4" t="s">
        <v>2059</v>
      </c>
      <c r="E234" s="4" t="s">
        <v>1947</v>
      </c>
      <c r="F234" s="4" t="s">
        <v>1948</v>
      </c>
      <c r="G234" s="4" t="s">
        <v>2057</v>
      </c>
      <c r="H234" s="4" t="s">
        <v>3632</v>
      </c>
      <c r="I234" s="4" t="s">
        <v>1961</v>
      </c>
      <c r="J234" s="4" t="s">
        <v>3633</v>
      </c>
      <c r="K234" s="4" t="s">
        <v>3634</v>
      </c>
      <c r="L234" s="4" t="s">
        <v>3635</v>
      </c>
      <c r="M234" s="4" t="s">
        <v>2064</v>
      </c>
      <c r="N234" s="8">
        <v>42390</v>
      </c>
      <c r="O234" s="8"/>
      <c r="P234" s="4" t="s">
        <v>2090</v>
      </c>
      <c r="Q234" s="4" t="s">
        <v>1961</v>
      </c>
      <c r="R234" s="4" t="s">
        <v>3636</v>
      </c>
      <c r="S234" s="4" t="s">
        <v>3637</v>
      </c>
      <c r="T234" s="4" t="s">
        <v>2067</v>
      </c>
      <c r="U234" s="4" t="s">
        <v>2768</v>
      </c>
      <c r="V234" s="4" t="s">
        <v>2067</v>
      </c>
      <c r="W234" s="4" t="s">
        <v>2069</v>
      </c>
    </row>
    <row r="235" spans="1:23" ht="20.100000000000001" customHeight="1" x14ac:dyDescent="0.25">
      <c r="A235" s="6" t="s">
        <v>84</v>
      </c>
      <c r="B235" s="7" t="s">
        <v>2084</v>
      </c>
      <c r="C235" s="7" t="s">
        <v>3638</v>
      </c>
      <c r="D235" s="7" t="s">
        <v>2059</v>
      </c>
      <c r="E235" s="7" t="s">
        <v>3639</v>
      </c>
      <c r="F235" s="7" t="s">
        <v>3640</v>
      </c>
      <c r="G235" s="7" t="s">
        <v>2084</v>
      </c>
      <c r="H235" s="7" t="s">
        <v>3641</v>
      </c>
      <c r="I235" s="7" t="s">
        <v>1961</v>
      </c>
      <c r="J235" s="7" t="s">
        <v>3642</v>
      </c>
      <c r="K235" s="7" t="s">
        <v>3643</v>
      </c>
      <c r="L235" s="7" t="s">
        <v>3644</v>
      </c>
      <c r="M235" s="7" t="s">
        <v>2078</v>
      </c>
      <c r="N235" s="9">
        <v>45992</v>
      </c>
      <c r="O235" s="9">
        <v>46356</v>
      </c>
      <c r="P235" s="7" t="s">
        <v>3640</v>
      </c>
      <c r="Q235" s="7" t="s">
        <v>1961</v>
      </c>
      <c r="R235" s="7" t="s">
        <v>3645</v>
      </c>
      <c r="S235" s="7" t="s">
        <v>3646</v>
      </c>
      <c r="T235" s="7" t="s">
        <v>2067</v>
      </c>
      <c r="U235" s="7" t="s">
        <v>3647</v>
      </c>
      <c r="V235" s="7" t="s">
        <v>2067</v>
      </c>
      <c r="W235" s="7" t="s">
        <v>2069</v>
      </c>
    </row>
    <row r="236" spans="1:23" ht="20.100000000000001" customHeight="1" x14ac:dyDescent="0.25">
      <c r="A236" s="3" t="s">
        <v>1100</v>
      </c>
      <c r="B236" s="4" t="s">
        <v>2057</v>
      </c>
      <c r="C236" s="4" t="s">
        <v>3648</v>
      </c>
      <c r="D236" s="4" t="s">
        <v>2059</v>
      </c>
      <c r="E236" s="4" t="s">
        <v>1947</v>
      </c>
      <c r="F236" s="4" t="s">
        <v>1948</v>
      </c>
      <c r="G236" s="4" t="s">
        <v>2057</v>
      </c>
      <c r="H236" s="4" t="s">
        <v>1960</v>
      </c>
      <c r="I236" s="4" t="s">
        <v>1961</v>
      </c>
      <c r="J236" s="4" t="s">
        <v>3649</v>
      </c>
      <c r="K236" s="4" t="s">
        <v>3650</v>
      </c>
      <c r="L236" s="4" t="s">
        <v>3651</v>
      </c>
      <c r="M236" s="4" t="s">
        <v>2078</v>
      </c>
      <c r="N236" s="8">
        <v>45992</v>
      </c>
      <c r="O236" s="8">
        <v>46356</v>
      </c>
      <c r="P236" s="4" t="s">
        <v>2090</v>
      </c>
      <c r="Q236" s="4" t="s">
        <v>1961</v>
      </c>
      <c r="R236" s="4" t="s">
        <v>3652</v>
      </c>
      <c r="S236" s="4" t="s">
        <v>3653</v>
      </c>
      <c r="T236" s="4" t="s">
        <v>2067</v>
      </c>
      <c r="U236" s="4" t="s">
        <v>2768</v>
      </c>
      <c r="V236" s="4" t="s">
        <v>2067</v>
      </c>
      <c r="W236" s="4" t="s">
        <v>2069</v>
      </c>
    </row>
    <row r="237" spans="1:23" ht="20.100000000000001" customHeight="1" x14ac:dyDescent="0.25">
      <c r="A237" s="6" t="s">
        <v>3654</v>
      </c>
      <c r="B237" s="7" t="s">
        <v>2084</v>
      </c>
      <c r="C237" s="7" t="s">
        <v>3655</v>
      </c>
      <c r="D237" s="7" t="s">
        <v>2059</v>
      </c>
      <c r="E237" s="7" t="s">
        <v>2189</v>
      </c>
      <c r="F237" s="7" t="s">
        <v>2190</v>
      </c>
      <c r="G237" s="7" t="s">
        <v>2084</v>
      </c>
      <c r="H237" s="7" t="s">
        <v>3641</v>
      </c>
      <c r="I237" s="7" t="s">
        <v>1961</v>
      </c>
      <c r="J237" s="7" t="s">
        <v>3656</v>
      </c>
      <c r="K237" s="7" t="s">
        <v>3657</v>
      </c>
      <c r="L237" s="7" t="s">
        <v>3658</v>
      </c>
      <c r="M237" s="7" t="s">
        <v>2078</v>
      </c>
      <c r="N237" s="9">
        <v>45992</v>
      </c>
      <c r="O237" s="9">
        <v>46356</v>
      </c>
      <c r="P237" s="7" t="s">
        <v>2195</v>
      </c>
      <c r="Q237" s="7" t="s">
        <v>1961</v>
      </c>
      <c r="R237" s="7" t="s">
        <v>3659</v>
      </c>
      <c r="S237" s="7" t="s">
        <v>3660</v>
      </c>
      <c r="T237" s="7" t="s">
        <v>2067</v>
      </c>
      <c r="U237" s="7" t="s">
        <v>2198</v>
      </c>
      <c r="V237" s="7" t="s">
        <v>2067</v>
      </c>
      <c r="W237" s="7" t="s">
        <v>2069</v>
      </c>
    </row>
    <row r="238" spans="1:23" ht="20.100000000000001" customHeight="1" x14ac:dyDescent="0.25">
      <c r="A238" s="3" t="s">
        <v>3661</v>
      </c>
      <c r="B238" s="4" t="s">
        <v>2057</v>
      </c>
      <c r="C238" s="4" t="s">
        <v>3662</v>
      </c>
      <c r="D238" s="4" t="s">
        <v>2059</v>
      </c>
      <c r="E238" s="4" t="s">
        <v>2111</v>
      </c>
      <c r="F238" s="4" t="s">
        <v>2112</v>
      </c>
      <c r="G238" s="4" t="s">
        <v>2057</v>
      </c>
      <c r="H238" s="4" t="s">
        <v>3609</v>
      </c>
      <c r="I238" s="4" t="s">
        <v>1961</v>
      </c>
      <c r="J238" s="4" t="s">
        <v>3663</v>
      </c>
      <c r="K238" s="4" t="s">
        <v>3664</v>
      </c>
      <c r="L238" s="4" t="s">
        <v>3665</v>
      </c>
      <c r="M238" s="4" t="s">
        <v>2078</v>
      </c>
      <c r="N238" s="8">
        <v>46052</v>
      </c>
      <c r="O238" s="8">
        <v>46296</v>
      </c>
      <c r="P238" s="4" t="s">
        <v>2112</v>
      </c>
      <c r="Q238" s="4" t="s">
        <v>1961</v>
      </c>
      <c r="R238" s="4" t="s">
        <v>3666</v>
      </c>
      <c r="S238" s="4" t="s">
        <v>3667</v>
      </c>
      <c r="T238" s="4" t="s">
        <v>2067</v>
      </c>
      <c r="U238" s="4" t="s">
        <v>2119</v>
      </c>
      <c r="V238" s="4" t="s">
        <v>2067</v>
      </c>
      <c r="W238" s="4" t="s">
        <v>2069</v>
      </c>
    </row>
    <row r="239" spans="1:23" ht="20.100000000000001" customHeight="1" x14ac:dyDescent="0.25">
      <c r="A239" s="6" t="s">
        <v>790</v>
      </c>
      <c r="B239" s="7" t="s">
        <v>2084</v>
      </c>
      <c r="C239" s="7" t="s">
        <v>3668</v>
      </c>
      <c r="D239" s="7" t="s">
        <v>2059</v>
      </c>
      <c r="E239" s="7" t="s">
        <v>1947</v>
      </c>
      <c r="F239" s="7" t="s">
        <v>1948</v>
      </c>
      <c r="G239" s="7" t="s">
        <v>2084</v>
      </c>
      <c r="H239" s="7" t="s">
        <v>3641</v>
      </c>
      <c r="I239" s="7" t="s">
        <v>1961</v>
      </c>
      <c r="J239" s="7" t="s">
        <v>3669</v>
      </c>
      <c r="K239" s="7" t="s">
        <v>3670</v>
      </c>
      <c r="L239" s="7" t="s">
        <v>3671</v>
      </c>
      <c r="M239" s="7" t="s">
        <v>2078</v>
      </c>
      <c r="N239" s="9">
        <v>45992</v>
      </c>
      <c r="O239" s="9">
        <v>46356</v>
      </c>
      <c r="P239" s="7" t="s">
        <v>2090</v>
      </c>
      <c r="Q239" s="7" t="s">
        <v>1961</v>
      </c>
      <c r="R239" s="7" t="s">
        <v>3672</v>
      </c>
      <c r="S239" s="7" t="s">
        <v>3673</v>
      </c>
      <c r="T239" s="7" t="s">
        <v>2067</v>
      </c>
      <c r="U239" s="7" t="s">
        <v>2146</v>
      </c>
      <c r="V239" s="7" t="s">
        <v>2067</v>
      </c>
      <c r="W239" s="7" t="s">
        <v>2069</v>
      </c>
    </row>
    <row r="240" spans="1:23" ht="20.100000000000001" customHeight="1" x14ac:dyDescent="0.25">
      <c r="A240" s="3" t="s">
        <v>832</v>
      </c>
      <c r="B240" s="4" t="s">
        <v>2057</v>
      </c>
      <c r="C240" s="4" t="s">
        <v>3674</v>
      </c>
      <c r="D240" s="4" t="s">
        <v>2059</v>
      </c>
      <c r="E240" s="4" t="s">
        <v>1947</v>
      </c>
      <c r="F240" s="4" t="s">
        <v>1948</v>
      </c>
      <c r="G240" s="4" t="s">
        <v>2057</v>
      </c>
      <c r="H240" s="4" t="s">
        <v>1996</v>
      </c>
      <c r="I240" s="4" t="s">
        <v>1961</v>
      </c>
      <c r="J240" s="4" t="s">
        <v>3675</v>
      </c>
      <c r="K240" s="4" t="s">
        <v>3676</v>
      </c>
      <c r="L240" s="4" t="s">
        <v>3677</v>
      </c>
      <c r="M240" s="4" t="s">
        <v>2078</v>
      </c>
      <c r="N240" s="8">
        <v>46052</v>
      </c>
      <c r="O240" s="8">
        <v>46296</v>
      </c>
      <c r="P240" s="4" t="s">
        <v>2090</v>
      </c>
      <c r="Q240" s="4" t="s">
        <v>1961</v>
      </c>
      <c r="R240" s="4" t="s">
        <v>3678</v>
      </c>
      <c r="S240" s="4" t="s">
        <v>3679</v>
      </c>
      <c r="T240" s="4" t="s">
        <v>2067</v>
      </c>
      <c r="U240" s="4" t="s">
        <v>2768</v>
      </c>
      <c r="V240" s="4" t="s">
        <v>2067</v>
      </c>
      <c r="W240" s="4" t="s">
        <v>2069</v>
      </c>
    </row>
    <row r="241" spans="1:23" ht="20.100000000000001" customHeight="1" x14ac:dyDescent="0.25">
      <c r="A241" s="6" t="s">
        <v>3680</v>
      </c>
      <c r="B241" s="7" t="s">
        <v>2057</v>
      </c>
      <c r="C241" s="7" t="s">
        <v>3681</v>
      </c>
      <c r="D241" s="7" t="s">
        <v>2059</v>
      </c>
      <c r="E241" s="7" t="s">
        <v>2111</v>
      </c>
      <c r="F241" s="7" t="s">
        <v>2112</v>
      </c>
      <c r="G241" s="7" t="s">
        <v>2057</v>
      </c>
      <c r="H241" s="7" t="s">
        <v>3609</v>
      </c>
      <c r="I241" s="7" t="s">
        <v>1961</v>
      </c>
      <c r="J241" s="7" t="s">
        <v>3682</v>
      </c>
      <c r="K241" s="7" t="s">
        <v>3683</v>
      </c>
      <c r="L241" s="7" t="s">
        <v>3684</v>
      </c>
      <c r="M241" s="7" t="s">
        <v>2078</v>
      </c>
      <c r="N241" s="9">
        <v>45992</v>
      </c>
      <c r="O241" s="9">
        <v>46356</v>
      </c>
      <c r="P241" s="7" t="s">
        <v>2112</v>
      </c>
      <c r="Q241" s="7" t="s">
        <v>1961</v>
      </c>
      <c r="R241" s="7" t="s">
        <v>3685</v>
      </c>
      <c r="S241" s="7" t="s">
        <v>3686</v>
      </c>
      <c r="T241" s="7" t="s">
        <v>2067</v>
      </c>
      <c r="U241" s="7" t="s">
        <v>2119</v>
      </c>
      <c r="V241" s="7" t="s">
        <v>2067</v>
      </c>
      <c r="W241" s="7" t="s">
        <v>2069</v>
      </c>
    </row>
    <row r="242" spans="1:23" ht="20.100000000000001" customHeight="1" x14ac:dyDescent="0.25">
      <c r="A242" s="3" t="s">
        <v>3687</v>
      </c>
      <c r="B242" s="4" t="s">
        <v>2057</v>
      </c>
      <c r="C242" s="4" t="s">
        <v>3688</v>
      </c>
      <c r="D242" s="4" t="s">
        <v>2059</v>
      </c>
      <c r="E242" s="4" t="s">
        <v>1952</v>
      </c>
      <c r="F242" s="4" t="s">
        <v>1953</v>
      </c>
      <c r="G242" s="4" t="s">
        <v>2057</v>
      </c>
      <c r="H242" s="4" t="s">
        <v>1960</v>
      </c>
      <c r="I242" s="4" t="s">
        <v>1961</v>
      </c>
      <c r="J242" s="4" t="s">
        <v>3689</v>
      </c>
      <c r="K242" s="4" t="s">
        <v>3690</v>
      </c>
      <c r="L242" s="4" t="s">
        <v>3691</v>
      </c>
      <c r="M242" s="4" t="s">
        <v>2078</v>
      </c>
      <c r="N242" s="8">
        <v>46234</v>
      </c>
      <c r="O242" s="8">
        <v>46356</v>
      </c>
      <c r="P242" s="4" t="s">
        <v>1953</v>
      </c>
      <c r="Q242" s="4" t="s">
        <v>1961</v>
      </c>
      <c r="R242" s="4" t="s">
        <v>3692</v>
      </c>
      <c r="S242" s="4" t="s">
        <v>3693</v>
      </c>
      <c r="T242" s="4" t="s">
        <v>2067</v>
      </c>
      <c r="U242" s="4" t="s">
        <v>2358</v>
      </c>
      <c r="V242" s="4" t="s">
        <v>2067</v>
      </c>
      <c r="W242" s="4" t="s">
        <v>2069</v>
      </c>
    </row>
    <row r="243" spans="1:23" ht="20.100000000000001" customHeight="1" x14ac:dyDescent="0.25">
      <c r="A243" s="6" t="s">
        <v>3694</v>
      </c>
      <c r="B243" s="7" t="s">
        <v>2057</v>
      </c>
      <c r="C243" s="7" t="s">
        <v>3695</v>
      </c>
      <c r="D243" s="7" t="s">
        <v>2059</v>
      </c>
      <c r="E243" s="7" t="s">
        <v>2189</v>
      </c>
      <c r="F243" s="7" t="s">
        <v>2190</v>
      </c>
      <c r="G243" s="7" t="s">
        <v>2057</v>
      </c>
      <c r="H243" s="7" t="s">
        <v>3609</v>
      </c>
      <c r="I243" s="7" t="s">
        <v>1961</v>
      </c>
      <c r="J243" s="7" t="s">
        <v>3696</v>
      </c>
      <c r="K243" s="7" t="s">
        <v>3697</v>
      </c>
      <c r="L243" s="7" t="s">
        <v>3698</v>
      </c>
      <c r="M243" s="7" t="s">
        <v>2078</v>
      </c>
      <c r="N243" s="9">
        <v>46052</v>
      </c>
      <c r="O243" s="9">
        <v>46296</v>
      </c>
      <c r="P243" s="7" t="s">
        <v>2195</v>
      </c>
      <c r="Q243" s="7" t="s">
        <v>1961</v>
      </c>
      <c r="R243" s="7" t="s">
        <v>3699</v>
      </c>
      <c r="S243" s="7" t="s">
        <v>3700</v>
      </c>
      <c r="T243" s="7" t="s">
        <v>2067</v>
      </c>
      <c r="U243" s="7" t="s">
        <v>2198</v>
      </c>
      <c r="V243" s="7" t="s">
        <v>2067</v>
      </c>
      <c r="W243" s="7" t="s">
        <v>2069</v>
      </c>
    </row>
    <row r="244" spans="1:23" ht="20.100000000000001" customHeight="1" x14ac:dyDescent="0.25">
      <c r="A244" s="3" t="s">
        <v>810</v>
      </c>
      <c r="B244" s="4" t="s">
        <v>2057</v>
      </c>
      <c r="C244" s="4" t="s">
        <v>3701</v>
      </c>
      <c r="D244" s="4" t="s">
        <v>2059</v>
      </c>
      <c r="E244" s="4" t="s">
        <v>1947</v>
      </c>
      <c r="F244" s="4" t="s">
        <v>1948</v>
      </c>
      <c r="G244" s="4" t="s">
        <v>2057</v>
      </c>
      <c r="H244" s="4" t="s">
        <v>1960</v>
      </c>
      <c r="I244" s="4" t="s">
        <v>1961</v>
      </c>
      <c r="J244" s="4" t="s">
        <v>3702</v>
      </c>
      <c r="K244" s="4" t="s">
        <v>3703</v>
      </c>
      <c r="L244" s="4" t="s">
        <v>3704</v>
      </c>
      <c r="M244" s="4" t="s">
        <v>2078</v>
      </c>
      <c r="N244" s="8">
        <v>46052</v>
      </c>
      <c r="O244" s="8">
        <v>46296</v>
      </c>
      <c r="P244" s="4" t="s">
        <v>2090</v>
      </c>
      <c r="Q244" s="4" t="s">
        <v>1961</v>
      </c>
      <c r="R244" s="4" t="s">
        <v>3705</v>
      </c>
      <c r="S244" s="4" t="s">
        <v>3706</v>
      </c>
      <c r="T244" s="4" t="s">
        <v>2067</v>
      </c>
      <c r="U244" s="4" t="s">
        <v>2768</v>
      </c>
      <c r="V244" s="4" t="s">
        <v>2067</v>
      </c>
      <c r="W244" s="4" t="s">
        <v>2069</v>
      </c>
    </row>
    <row r="245" spans="1:23" ht="20.100000000000001" customHeight="1" x14ac:dyDescent="0.25">
      <c r="A245" s="6" t="s">
        <v>1398</v>
      </c>
      <c r="B245" s="7" t="s">
        <v>2057</v>
      </c>
      <c r="C245" s="7" t="s">
        <v>3707</v>
      </c>
      <c r="D245" s="7" t="s">
        <v>2059</v>
      </c>
      <c r="E245" s="7" t="s">
        <v>1947</v>
      </c>
      <c r="F245" s="7" t="s">
        <v>1948</v>
      </c>
      <c r="G245" s="7" t="s">
        <v>2057</v>
      </c>
      <c r="H245" s="7" t="s">
        <v>1960</v>
      </c>
      <c r="I245" s="7" t="s">
        <v>1961</v>
      </c>
      <c r="J245" s="7" t="s">
        <v>3708</v>
      </c>
      <c r="K245" s="7" t="s">
        <v>3709</v>
      </c>
      <c r="L245" s="7" t="s">
        <v>3710</v>
      </c>
      <c r="M245" s="7" t="s">
        <v>2078</v>
      </c>
      <c r="N245" s="9">
        <v>46234</v>
      </c>
      <c r="O245" s="9">
        <v>46356</v>
      </c>
      <c r="P245" s="7" t="s">
        <v>2090</v>
      </c>
      <c r="Q245" s="7" t="s">
        <v>1961</v>
      </c>
      <c r="R245" s="7" t="s">
        <v>3711</v>
      </c>
      <c r="S245" s="7" t="s">
        <v>3712</v>
      </c>
      <c r="T245" s="7" t="s">
        <v>2067</v>
      </c>
      <c r="U245" s="7" t="s">
        <v>2146</v>
      </c>
      <c r="V245" s="7" t="s">
        <v>2067</v>
      </c>
      <c r="W245" s="7" t="s">
        <v>2069</v>
      </c>
    </row>
    <row r="246" spans="1:23" ht="20.100000000000001" customHeight="1" x14ac:dyDescent="0.25">
      <c r="A246" s="3" t="s">
        <v>698</v>
      </c>
      <c r="B246" s="4" t="s">
        <v>2057</v>
      </c>
      <c r="C246" s="4" t="s">
        <v>3713</v>
      </c>
      <c r="D246" s="4" t="s">
        <v>2059</v>
      </c>
      <c r="E246" s="4" t="s">
        <v>1952</v>
      </c>
      <c r="F246" s="4" t="s">
        <v>1953</v>
      </c>
      <c r="G246" s="4" t="s">
        <v>2057</v>
      </c>
      <c r="H246" s="4" t="s">
        <v>3609</v>
      </c>
      <c r="I246" s="4" t="s">
        <v>1961</v>
      </c>
      <c r="J246" s="4" t="s">
        <v>3714</v>
      </c>
      <c r="K246" s="4" t="s">
        <v>3715</v>
      </c>
      <c r="L246" s="4" t="s">
        <v>3716</v>
      </c>
      <c r="M246" s="4" t="s">
        <v>2078</v>
      </c>
      <c r="N246" s="8">
        <v>46234</v>
      </c>
      <c r="O246" s="8">
        <v>46356</v>
      </c>
      <c r="P246" s="4" t="s">
        <v>1953</v>
      </c>
      <c r="Q246" s="4" t="s">
        <v>1961</v>
      </c>
      <c r="R246" s="4" t="s">
        <v>3717</v>
      </c>
      <c r="S246" s="4" t="s">
        <v>3718</v>
      </c>
      <c r="T246" s="4" t="s">
        <v>2067</v>
      </c>
      <c r="U246" s="4" t="s">
        <v>2358</v>
      </c>
      <c r="V246" s="4" t="s">
        <v>2067</v>
      </c>
      <c r="W246" s="4" t="s">
        <v>2069</v>
      </c>
    </row>
    <row r="247" spans="1:23" ht="20.100000000000001" customHeight="1" x14ac:dyDescent="0.25">
      <c r="A247" s="6" t="s">
        <v>3719</v>
      </c>
      <c r="B247" s="7" t="s">
        <v>2057</v>
      </c>
      <c r="C247" s="7" t="s">
        <v>3720</v>
      </c>
      <c r="D247" s="7" t="s">
        <v>2059</v>
      </c>
      <c r="E247" s="7" t="s">
        <v>2189</v>
      </c>
      <c r="F247" s="7" t="s">
        <v>2190</v>
      </c>
      <c r="G247" s="7" t="s">
        <v>2057</v>
      </c>
      <c r="H247" s="7" t="s">
        <v>3609</v>
      </c>
      <c r="I247" s="7" t="s">
        <v>1961</v>
      </c>
      <c r="J247" s="7" t="s">
        <v>3721</v>
      </c>
      <c r="K247" s="7" t="s">
        <v>3722</v>
      </c>
      <c r="L247" s="7" t="s">
        <v>3723</v>
      </c>
      <c r="M247" s="7" t="s">
        <v>2078</v>
      </c>
      <c r="N247" s="9">
        <v>46234</v>
      </c>
      <c r="O247" s="9">
        <v>46356</v>
      </c>
      <c r="P247" s="7" t="s">
        <v>2195</v>
      </c>
      <c r="Q247" s="7" t="s">
        <v>1961</v>
      </c>
      <c r="R247" s="7" t="s">
        <v>3724</v>
      </c>
      <c r="S247" s="7" t="s">
        <v>3725</v>
      </c>
      <c r="T247" s="7" t="s">
        <v>2067</v>
      </c>
      <c r="U247" s="7" t="s">
        <v>2198</v>
      </c>
      <c r="V247" s="7" t="s">
        <v>2067</v>
      </c>
      <c r="W247" s="7" t="s">
        <v>2069</v>
      </c>
    </row>
    <row r="248" spans="1:23" ht="20.100000000000001" customHeight="1" x14ac:dyDescent="0.25">
      <c r="A248" s="3" t="s">
        <v>1434</v>
      </c>
      <c r="B248" s="4" t="s">
        <v>2057</v>
      </c>
      <c r="C248" s="4" t="s">
        <v>3726</v>
      </c>
      <c r="D248" s="4" t="s">
        <v>2059</v>
      </c>
      <c r="E248" s="4" t="s">
        <v>1947</v>
      </c>
      <c r="F248" s="4" t="s">
        <v>1948</v>
      </c>
      <c r="G248" s="4" t="s">
        <v>2057</v>
      </c>
      <c r="H248" s="4" t="s">
        <v>3609</v>
      </c>
      <c r="I248" s="4" t="s">
        <v>1961</v>
      </c>
      <c r="J248" s="4" t="s">
        <v>3727</v>
      </c>
      <c r="K248" s="4" t="s">
        <v>3728</v>
      </c>
      <c r="L248" s="4" t="s">
        <v>3729</v>
      </c>
      <c r="M248" s="4" t="s">
        <v>2078</v>
      </c>
      <c r="N248" s="8">
        <v>46052</v>
      </c>
      <c r="O248" s="8">
        <v>46296</v>
      </c>
      <c r="P248" s="4" t="s">
        <v>2090</v>
      </c>
      <c r="Q248" s="4" t="s">
        <v>1961</v>
      </c>
      <c r="R248" s="4" t="s">
        <v>3730</v>
      </c>
      <c r="S248" s="4" t="s">
        <v>3731</v>
      </c>
      <c r="T248" s="4" t="s">
        <v>2067</v>
      </c>
      <c r="U248" s="4" t="s">
        <v>2768</v>
      </c>
      <c r="V248" s="4" t="s">
        <v>2067</v>
      </c>
      <c r="W248" s="4" t="s">
        <v>2069</v>
      </c>
    </row>
    <row r="249" spans="1:23" ht="20.100000000000001" customHeight="1" x14ac:dyDescent="0.25">
      <c r="A249" s="6" t="s">
        <v>816</v>
      </c>
      <c r="B249" s="7" t="s">
        <v>2084</v>
      </c>
      <c r="C249" s="7" t="s">
        <v>3732</v>
      </c>
      <c r="D249" s="7" t="s">
        <v>2059</v>
      </c>
      <c r="E249" s="7" t="s">
        <v>1947</v>
      </c>
      <c r="F249" s="7" t="s">
        <v>1948</v>
      </c>
      <c r="G249" s="7" t="s">
        <v>2084</v>
      </c>
      <c r="H249" s="7" t="s">
        <v>3580</v>
      </c>
      <c r="I249" s="7" t="s">
        <v>1961</v>
      </c>
      <c r="J249" s="7" t="s">
        <v>3733</v>
      </c>
      <c r="K249" s="7" t="s">
        <v>3734</v>
      </c>
      <c r="L249" s="7" t="s">
        <v>3735</v>
      </c>
      <c r="M249" s="7" t="s">
        <v>2078</v>
      </c>
      <c r="N249" s="9">
        <v>45992</v>
      </c>
      <c r="O249" s="9">
        <v>46356</v>
      </c>
      <c r="P249" s="7" t="s">
        <v>2090</v>
      </c>
      <c r="Q249" s="7" t="s">
        <v>1961</v>
      </c>
      <c r="R249" s="7" t="s">
        <v>3736</v>
      </c>
      <c r="S249" s="7" t="s">
        <v>3737</v>
      </c>
      <c r="T249" s="7" t="s">
        <v>2067</v>
      </c>
      <c r="U249" s="7" t="s">
        <v>2768</v>
      </c>
      <c r="V249" s="7" t="s">
        <v>2067</v>
      </c>
      <c r="W249" s="7" t="s">
        <v>2069</v>
      </c>
    </row>
    <row r="250" spans="1:23" ht="20.100000000000001" customHeight="1" x14ac:dyDescent="0.25">
      <c r="A250" s="3" t="s">
        <v>1062</v>
      </c>
      <c r="B250" s="4" t="s">
        <v>2057</v>
      </c>
      <c r="C250" s="4" t="s">
        <v>3738</v>
      </c>
      <c r="D250" s="4" t="s">
        <v>2059</v>
      </c>
      <c r="E250" s="4" t="s">
        <v>1947</v>
      </c>
      <c r="F250" s="4" t="s">
        <v>1948</v>
      </c>
      <c r="G250" s="4" t="s">
        <v>2057</v>
      </c>
      <c r="H250" s="4" t="s">
        <v>1996</v>
      </c>
      <c r="I250" s="4" t="s">
        <v>1961</v>
      </c>
      <c r="J250" s="4" t="s">
        <v>3739</v>
      </c>
      <c r="K250" s="4" t="s">
        <v>3740</v>
      </c>
      <c r="L250" s="4" t="s">
        <v>3741</v>
      </c>
      <c r="M250" s="4" t="s">
        <v>2078</v>
      </c>
      <c r="N250" s="8">
        <v>46052</v>
      </c>
      <c r="O250" s="8">
        <v>46296</v>
      </c>
      <c r="P250" s="4" t="s">
        <v>2090</v>
      </c>
      <c r="Q250" s="4" t="s">
        <v>1961</v>
      </c>
      <c r="R250" s="4" t="s">
        <v>3742</v>
      </c>
      <c r="S250" s="4" t="s">
        <v>3743</v>
      </c>
      <c r="T250" s="4" t="s">
        <v>2067</v>
      </c>
      <c r="U250" s="4" t="s">
        <v>2768</v>
      </c>
      <c r="V250" s="4" t="s">
        <v>2067</v>
      </c>
      <c r="W250" s="4" t="s">
        <v>2069</v>
      </c>
    </row>
    <row r="251" spans="1:23" ht="20.100000000000001" customHeight="1" x14ac:dyDescent="0.25">
      <c r="A251" s="6" t="s">
        <v>376</v>
      </c>
      <c r="B251" s="7" t="s">
        <v>2057</v>
      </c>
      <c r="C251" s="7" t="s">
        <v>3744</v>
      </c>
      <c r="D251" s="7" t="s">
        <v>2059</v>
      </c>
      <c r="E251" s="7" t="s">
        <v>1952</v>
      </c>
      <c r="F251" s="7" t="s">
        <v>1953</v>
      </c>
      <c r="G251" s="7" t="s">
        <v>2057</v>
      </c>
      <c r="H251" s="7" t="s">
        <v>1960</v>
      </c>
      <c r="I251" s="7" t="s">
        <v>1961</v>
      </c>
      <c r="J251" s="7" t="s">
        <v>3745</v>
      </c>
      <c r="K251" s="7" t="s">
        <v>3746</v>
      </c>
      <c r="L251" s="7" t="s">
        <v>3747</v>
      </c>
      <c r="M251" s="7" t="s">
        <v>2078</v>
      </c>
      <c r="N251" s="9">
        <v>46234</v>
      </c>
      <c r="O251" s="9">
        <v>46356</v>
      </c>
      <c r="P251" s="7" t="s">
        <v>1953</v>
      </c>
      <c r="Q251" s="7" t="s">
        <v>1961</v>
      </c>
      <c r="R251" s="7" t="s">
        <v>3748</v>
      </c>
      <c r="S251" s="7" t="s">
        <v>3749</v>
      </c>
      <c r="T251" s="7" t="s">
        <v>2067</v>
      </c>
      <c r="U251" s="7" t="s">
        <v>2358</v>
      </c>
      <c r="V251" s="7" t="s">
        <v>2067</v>
      </c>
      <c r="W251" s="7" t="s">
        <v>2069</v>
      </c>
    </row>
    <row r="252" spans="1:23" ht="20.100000000000001" customHeight="1" x14ac:dyDescent="0.25">
      <c r="A252" s="3" t="s">
        <v>1066</v>
      </c>
      <c r="B252" s="4" t="s">
        <v>2057</v>
      </c>
      <c r="C252" s="4" t="s">
        <v>3750</v>
      </c>
      <c r="D252" s="4" t="s">
        <v>2059</v>
      </c>
      <c r="E252" s="4" t="s">
        <v>1947</v>
      </c>
      <c r="F252" s="4" t="s">
        <v>1948</v>
      </c>
      <c r="G252" s="4" t="s">
        <v>2057</v>
      </c>
      <c r="H252" s="4" t="s">
        <v>3609</v>
      </c>
      <c r="I252" s="4" t="s">
        <v>1961</v>
      </c>
      <c r="J252" s="4" t="s">
        <v>3751</v>
      </c>
      <c r="K252" s="4" t="s">
        <v>3752</v>
      </c>
      <c r="L252" s="4" t="s">
        <v>3753</v>
      </c>
      <c r="M252" s="4" t="s">
        <v>2078</v>
      </c>
      <c r="N252" s="8">
        <v>46052</v>
      </c>
      <c r="O252" s="8">
        <v>46296</v>
      </c>
      <c r="P252" s="4" t="s">
        <v>2090</v>
      </c>
      <c r="Q252" s="4" t="s">
        <v>1961</v>
      </c>
      <c r="R252" s="4" t="s">
        <v>3754</v>
      </c>
      <c r="S252" s="4" t="s">
        <v>3755</v>
      </c>
      <c r="T252" s="4" t="s">
        <v>2067</v>
      </c>
      <c r="U252" s="4" t="s">
        <v>2768</v>
      </c>
      <c r="V252" s="4" t="s">
        <v>2067</v>
      </c>
      <c r="W252" s="4" t="s">
        <v>2069</v>
      </c>
    </row>
    <row r="253" spans="1:23" ht="20.100000000000001" customHeight="1" x14ac:dyDescent="0.25">
      <c r="A253" s="6" t="s">
        <v>1664</v>
      </c>
      <c r="B253" s="7" t="s">
        <v>2057</v>
      </c>
      <c r="C253" s="7" t="s">
        <v>3756</v>
      </c>
      <c r="D253" s="7" t="s">
        <v>2059</v>
      </c>
      <c r="E253" s="7" t="s">
        <v>2111</v>
      </c>
      <c r="F253" s="7" t="s">
        <v>2112</v>
      </c>
      <c r="G253" s="7" t="s">
        <v>2057</v>
      </c>
      <c r="H253" s="7" t="s">
        <v>3757</v>
      </c>
      <c r="I253" s="7" t="s">
        <v>1961</v>
      </c>
      <c r="J253" s="7" t="s">
        <v>3758</v>
      </c>
      <c r="K253" s="7" t="s">
        <v>3759</v>
      </c>
      <c r="L253" s="7" t="s">
        <v>3760</v>
      </c>
      <c r="M253" s="7" t="s">
        <v>2078</v>
      </c>
      <c r="N253" s="9">
        <v>45992</v>
      </c>
      <c r="O253" s="9">
        <v>46356</v>
      </c>
      <c r="P253" s="7" t="s">
        <v>2112</v>
      </c>
      <c r="Q253" s="7" t="s">
        <v>1961</v>
      </c>
      <c r="R253" s="7" t="s">
        <v>3761</v>
      </c>
      <c r="S253" s="7" t="s">
        <v>3762</v>
      </c>
      <c r="T253" s="7" t="s">
        <v>2067</v>
      </c>
      <c r="U253" s="7" t="s">
        <v>2119</v>
      </c>
      <c r="V253" s="7" t="s">
        <v>2067</v>
      </c>
      <c r="W253" s="7" t="s">
        <v>2069</v>
      </c>
    </row>
    <row r="254" spans="1:23" ht="20.100000000000001" customHeight="1" x14ac:dyDescent="0.25">
      <c r="A254" s="3" t="s">
        <v>1758</v>
      </c>
      <c r="B254" s="4" t="s">
        <v>2057</v>
      </c>
      <c r="C254" s="4" t="s">
        <v>3763</v>
      </c>
      <c r="D254" s="4" t="s">
        <v>2059</v>
      </c>
      <c r="E254" s="4" t="s">
        <v>1947</v>
      </c>
      <c r="F254" s="4" t="s">
        <v>1948</v>
      </c>
      <c r="G254" s="4" t="s">
        <v>2057</v>
      </c>
      <c r="H254" s="4" t="s">
        <v>1996</v>
      </c>
      <c r="I254" s="4" t="s">
        <v>1961</v>
      </c>
      <c r="J254" s="4" t="s">
        <v>3764</v>
      </c>
      <c r="K254" s="4" t="s">
        <v>3765</v>
      </c>
      <c r="L254" s="4" t="s">
        <v>3766</v>
      </c>
      <c r="M254" s="4" t="s">
        <v>2078</v>
      </c>
      <c r="N254" s="8">
        <v>46052</v>
      </c>
      <c r="O254" s="8">
        <v>46296</v>
      </c>
      <c r="P254" s="4" t="s">
        <v>2090</v>
      </c>
      <c r="Q254" s="4" t="s">
        <v>1961</v>
      </c>
      <c r="R254" s="4" t="s">
        <v>3767</v>
      </c>
      <c r="S254" s="4" t="s">
        <v>3768</v>
      </c>
      <c r="T254" s="4" t="s">
        <v>2067</v>
      </c>
      <c r="U254" s="4" t="s">
        <v>2768</v>
      </c>
      <c r="V254" s="4" t="s">
        <v>2067</v>
      </c>
      <c r="W254" s="4" t="s">
        <v>2069</v>
      </c>
    </row>
    <row r="255" spans="1:23" ht="20.100000000000001" customHeight="1" x14ac:dyDescent="0.25">
      <c r="A255" s="6" t="s">
        <v>3769</v>
      </c>
      <c r="B255" s="7" t="s">
        <v>2084</v>
      </c>
      <c r="C255" s="7" t="s">
        <v>3770</v>
      </c>
      <c r="D255" s="7" t="s">
        <v>2059</v>
      </c>
      <c r="E255" s="7" t="s">
        <v>1947</v>
      </c>
      <c r="F255" s="7" t="s">
        <v>1948</v>
      </c>
      <c r="G255" s="7" t="s">
        <v>2084</v>
      </c>
      <c r="H255" s="7" t="s">
        <v>3580</v>
      </c>
      <c r="I255" s="7" t="s">
        <v>1961</v>
      </c>
      <c r="J255" s="7" t="s">
        <v>3771</v>
      </c>
      <c r="K255" s="7" t="s">
        <v>3772</v>
      </c>
      <c r="L255" s="7" t="s">
        <v>3773</v>
      </c>
      <c r="M255" s="7" t="s">
        <v>2078</v>
      </c>
      <c r="N255" s="9">
        <v>46234</v>
      </c>
      <c r="O255" s="9">
        <v>46356</v>
      </c>
      <c r="P255" s="7" t="s">
        <v>2090</v>
      </c>
      <c r="Q255" s="7" t="s">
        <v>1961</v>
      </c>
      <c r="R255" s="7" t="s">
        <v>3774</v>
      </c>
      <c r="S255" s="7" t="s">
        <v>3775</v>
      </c>
      <c r="T255" s="7" t="s">
        <v>2067</v>
      </c>
      <c r="U255" s="7" t="s">
        <v>2146</v>
      </c>
      <c r="V255" s="7" t="s">
        <v>2067</v>
      </c>
      <c r="W255" s="7" t="s">
        <v>2069</v>
      </c>
    </row>
    <row r="256" spans="1:23" ht="20.100000000000001" customHeight="1" x14ac:dyDescent="0.25">
      <c r="A256" s="3" t="s">
        <v>3776</v>
      </c>
      <c r="B256" s="4" t="s">
        <v>2084</v>
      </c>
      <c r="C256" s="4" t="s">
        <v>3777</v>
      </c>
      <c r="D256" s="4" t="s">
        <v>2059</v>
      </c>
      <c r="E256" s="4" t="s">
        <v>2111</v>
      </c>
      <c r="F256" s="4" t="s">
        <v>2112</v>
      </c>
      <c r="G256" s="4" t="s">
        <v>2084</v>
      </c>
      <c r="H256" s="4" t="s">
        <v>3778</v>
      </c>
      <c r="I256" s="4" t="s">
        <v>1961</v>
      </c>
      <c r="J256" s="4" t="s">
        <v>3779</v>
      </c>
      <c r="K256" s="4" t="s">
        <v>3780</v>
      </c>
      <c r="L256" s="4" t="s">
        <v>3781</v>
      </c>
      <c r="M256" s="4" t="s">
        <v>2078</v>
      </c>
      <c r="N256" s="8">
        <v>46234</v>
      </c>
      <c r="O256" s="8">
        <v>46356</v>
      </c>
      <c r="P256" s="4" t="s">
        <v>2112</v>
      </c>
      <c r="Q256" s="4" t="s">
        <v>1961</v>
      </c>
      <c r="R256" s="4" t="s">
        <v>3782</v>
      </c>
      <c r="S256" s="4" t="s">
        <v>3783</v>
      </c>
      <c r="T256" s="4" t="s">
        <v>2067</v>
      </c>
      <c r="U256" s="4" t="s">
        <v>2119</v>
      </c>
      <c r="V256" s="4" t="s">
        <v>2067</v>
      </c>
      <c r="W256" s="4" t="s">
        <v>2069</v>
      </c>
    </row>
    <row r="257" spans="1:23" ht="20.100000000000001" customHeight="1" x14ac:dyDescent="0.25">
      <c r="A257" s="6" t="s">
        <v>1680</v>
      </c>
      <c r="B257" s="7" t="s">
        <v>2084</v>
      </c>
      <c r="C257" s="7" t="s">
        <v>3784</v>
      </c>
      <c r="D257" s="7" t="s">
        <v>2059</v>
      </c>
      <c r="E257" s="7" t="s">
        <v>1947</v>
      </c>
      <c r="F257" s="7" t="s">
        <v>1948</v>
      </c>
      <c r="G257" s="7" t="s">
        <v>2084</v>
      </c>
      <c r="H257" s="7" t="s">
        <v>3785</v>
      </c>
      <c r="I257" s="7" t="s">
        <v>1961</v>
      </c>
      <c r="J257" s="7" t="s">
        <v>3786</v>
      </c>
      <c r="K257" s="7" t="s">
        <v>3787</v>
      </c>
      <c r="L257" s="7" t="s">
        <v>3788</v>
      </c>
      <c r="M257" s="7" t="s">
        <v>2078</v>
      </c>
      <c r="N257" s="9">
        <v>46234</v>
      </c>
      <c r="O257" s="9">
        <v>46356</v>
      </c>
      <c r="P257" s="7" t="s">
        <v>2090</v>
      </c>
      <c r="Q257" s="7" t="s">
        <v>1961</v>
      </c>
      <c r="R257" s="7" t="s">
        <v>3532</v>
      </c>
      <c r="S257" s="7" t="s">
        <v>3789</v>
      </c>
      <c r="T257" s="7" t="s">
        <v>2067</v>
      </c>
      <c r="U257" s="7" t="s">
        <v>2146</v>
      </c>
      <c r="V257" s="7" t="s">
        <v>2067</v>
      </c>
      <c r="W257" s="7" t="s">
        <v>2069</v>
      </c>
    </row>
    <row r="258" spans="1:23" ht="20.100000000000001" customHeight="1" x14ac:dyDescent="0.25">
      <c r="A258" s="3" t="s">
        <v>3790</v>
      </c>
      <c r="B258" s="4" t="s">
        <v>2057</v>
      </c>
      <c r="C258" s="4" t="s">
        <v>3791</v>
      </c>
      <c r="D258" s="4" t="s">
        <v>2059</v>
      </c>
      <c r="E258" s="4" t="s">
        <v>2189</v>
      </c>
      <c r="F258" s="4" t="s">
        <v>2190</v>
      </c>
      <c r="G258" s="4" t="s">
        <v>2057</v>
      </c>
      <c r="H258" s="4" t="s">
        <v>1996</v>
      </c>
      <c r="I258" s="4" t="s">
        <v>1961</v>
      </c>
      <c r="J258" s="4" t="s">
        <v>3792</v>
      </c>
      <c r="K258" s="4" t="s">
        <v>3793</v>
      </c>
      <c r="L258" s="4" t="s">
        <v>3794</v>
      </c>
      <c r="M258" s="4" t="s">
        <v>2078</v>
      </c>
      <c r="N258" s="8">
        <v>46234</v>
      </c>
      <c r="O258" s="8">
        <v>46356</v>
      </c>
      <c r="P258" s="4" t="s">
        <v>2195</v>
      </c>
      <c r="Q258" s="4" t="s">
        <v>1961</v>
      </c>
      <c r="R258" s="4" t="s">
        <v>2825</v>
      </c>
      <c r="S258" s="4" t="s">
        <v>3795</v>
      </c>
      <c r="T258" s="4" t="s">
        <v>2067</v>
      </c>
      <c r="U258" s="4" t="s">
        <v>2198</v>
      </c>
      <c r="V258" s="4" t="s">
        <v>2067</v>
      </c>
      <c r="W258" s="4" t="s">
        <v>2069</v>
      </c>
    </row>
    <row r="259" spans="1:23" ht="20.100000000000001" customHeight="1" x14ac:dyDescent="0.25">
      <c r="A259" s="6" t="s">
        <v>166</v>
      </c>
      <c r="B259" s="7" t="s">
        <v>2057</v>
      </c>
      <c r="C259" s="7" t="s">
        <v>3796</v>
      </c>
      <c r="D259" s="7" t="s">
        <v>2059</v>
      </c>
      <c r="E259" s="7" t="s">
        <v>1952</v>
      </c>
      <c r="F259" s="7" t="s">
        <v>1953</v>
      </c>
      <c r="G259" s="7" t="s">
        <v>2057</v>
      </c>
      <c r="H259" s="7" t="s">
        <v>1960</v>
      </c>
      <c r="I259" s="7" t="s">
        <v>1961</v>
      </c>
      <c r="J259" s="7" t="s">
        <v>3797</v>
      </c>
      <c r="K259" s="7" t="s">
        <v>3798</v>
      </c>
      <c r="L259" s="7" t="s">
        <v>3799</v>
      </c>
      <c r="M259" s="7" t="s">
        <v>2078</v>
      </c>
      <c r="N259" s="9">
        <v>46234</v>
      </c>
      <c r="O259" s="9">
        <v>46356</v>
      </c>
      <c r="P259" s="7" t="s">
        <v>1953</v>
      </c>
      <c r="Q259" s="7" t="s">
        <v>1961</v>
      </c>
      <c r="R259" s="7" t="s">
        <v>3800</v>
      </c>
      <c r="S259" s="7" t="s">
        <v>3801</v>
      </c>
      <c r="T259" s="7" t="s">
        <v>2067</v>
      </c>
      <c r="U259" s="7" t="s">
        <v>2358</v>
      </c>
      <c r="V259" s="7" t="s">
        <v>2067</v>
      </c>
      <c r="W259" s="7" t="s">
        <v>2069</v>
      </c>
    </row>
    <row r="260" spans="1:23" ht="20.100000000000001" customHeight="1" x14ac:dyDescent="0.25">
      <c r="A260" s="3" t="s">
        <v>126</v>
      </c>
      <c r="B260" s="4" t="s">
        <v>2057</v>
      </c>
      <c r="C260" s="4" t="s">
        <v>1957</v>
      </c>
      <c r="D260" s="4" t="s">
        <v>2059</v>
      </c>
      <c r="E260" s="4" t="s">
        <v>1952</v>
      </c>
      <c r="F260" s="4" t="s">
        <v>1953</v>
      </c>
      <c r="G260" s="4" t="s">
        <v>2057</v>
      </c>
      <c r="H260" s="4" t="s">
        <v>1960</v>
      </c>
      <c r="I260" s="4" t="s">
        <v>1961</v>
      </c>
      <c r="J260" s="4" t="s">
        <v>3802</v>
      </c>
      <c r="K260" s="4" t="s">
        <v>3803</v>
      </c>
      <c r="L260" s="4" t="s">
        <v>3804</v>
      </c>
      <c r="M260" s="4" t="s">
        <v>2078</v>
      </c>
      <c r="N260" s="8">
        <v>46058</v>
      </c>
      <c r="O260" s="8">
        <v>46294</v>
      </c>
      <c r="P260" s="4" t="s">
        <v>1953</v>
      </c>
      <c r="Q260" s="4" t="s">
        <v>1961</v>
      </c>
      <c r="R260" s="4" t="s">
        <v>3805</v>
      </c>
      <c r="S260" s="4" t="s">
        <v>3806</v>
      </c>
      <c r="T260" s="4" t="s">
        <v>2067</v>
      </c>
      <c r="U260" s="4" t="s">
        <v>2358</v>
      </c>
      <c r="V260" s="4" t="s">
        <v>2067</v>
      </c>
      <c r="W260" s="4" t="s">
        <v>2069</v>
      </c>
    </row>
    <row r="261" spans="1:23" ht="20.100000000000001" customHeight="1" x14ac:dyDescent="0.25">
      <c r="A261" s="6" t="s">
        <v>1376</v>
      </c>
      <c r="B261" s="7" t="s">
        <v>2057</v>
      </c>
      <c r="C261" s="7" t="s">
        <v>3807</v>
      </c>
      <c r="D261" s="7" t="s">
        <v>2059</v>
      </c>
      <c r="E261" s="7" t="s">
        <v>1947</v>
      </c>
      <c r="F261" s="7" t="s">
        <v>1948</v>
      </c>
      <c r="G261" s="7" t="s">
        <v>2057</v>
      </c>
      <c r="H261" s="7" t="s">
        <v>3609</v>
      </c>
      <c r="I261" s="7" t="s">
        <v>1961</v>
      </c>
      <c r="J261" s="7" t="s">
        <v>3808</v>
      </c>
      <c r="K261" s="7" t="s">
        <v>3809</v>
      </c>
      <c r="L261" s="7" t="s">
        <v>3810</v>
      </c>
      <c r="M261" s="7" t="s">
        <v>2078</v>
      </c>
      <c r="N261" s="9">
        <v>46234</v>
      </c>
      <c r="O261" s="9">
        <v>46356</v>
      </c>
      <c r="P261" s="7" t="s">
        <v>2090</v>
      </c>
      <c r="Q261" s="7" t="s">
        <v>1961</v>
      </c>
      <c r="R261" s="7" t="s">
        <v>3811</v>
      </c>
      <c r="S261" s="7" t="s">
        <v>3812</v>
      </c>
      <c r="T261" s="7" t="s">
        <v>2067</v>
      </c>
      <c r="U261" s="7" t="s">
        <v>2146</v>
      </c>
      <c r="V261" s="7" t="s">
        <v>2067</v>
      </c>
      <c r="W261" s="7" t="s">
        <v>2069</v>
      </c>
    </row>
    <row r="262" spans="1:23" ht="20.100000000000001" customHeight="1" x14ac:dyDescent="0.25">
      <c r="A262" s="3" t="s">
        <v>3813</v>
      </c>
      <c r="B262" s="4" t="s">
        <v>2084</v>
      </c>
      <c r="C262" s="4" t="s">
        <v>3814</v>
      </c>
      <c r="D262" s="4" t="s">
        <v>2059</v>
      </c>
      <c r="E262" s="4" t="s">
        <v>2673</v>
      </c>
      <c r="F262" s="4" t="s">
        <v>2674</v>
      </c>
      <c r="G262" s="4" t="s">
        <v>2084</v>
      </c>
      <c r="H262" s="4" t="s">
        <v>3641</v>
      </c>
      <c r="I262" s="4" t="s">
        <v>1961</v>
      </c>
      <c r="J262" s="4" t="s">
        <v>3815</v>
      </c>
      <c r="K262" s="4" t="s">
        <v>3816</v>
      </c>
      <c r="L262" s="4" t="s">
        <v>3817</v>
      </c>
      <c r="M262" s="4" t="s">
        <v>2078</v>
      </c>
      <c r="N262" s="8">
        <v>46234</v>
      </c>
      <c r="O262" s="8">
        <v>46356</v>
      </c>
      <c r="P262" s="4" t="s">
        <v>2674</v>
      </c>
      <c r="Q262" s="4" t="s">
        <v>1961</v>
      </c>
      <c r="R262" s="4" t="s">
        <v>3469</v>
      </c>
      <c r="S262" s="4" t="s">
        <v>3818</v>
      </c>
      <c r="T262" s="4" t="s">
        <v>2067</v>
      </c>
      <c r="U262" s="4" t="s">
        <v>2680</v>
      </c>
      <c r="V262" s="4" t="s">
        <v>2067</v>
      </c>
      <c r="W262" s="4" t="s">
        <v>2069</v>
      </c>
    </row>
    <row r="263" spans="1:23" ht="20.100000000000001" customHeight="1" x14ac:dyDescent="0.25">
      <c r="A263" s="6" t="s">
        <v>1632</v>
      </c>
      <c r="B263" s="7" t="s">
        <v>2057</v>
      </c>
      <c r="C263" s="7" t="s">
        <v>3819</v>
      </c>
      <c r="D263" s="7" t="s">
        <v>2059</v>
      </c>
      <c r="E263" s="7" t="s">
        <v>1947</v>
      </c>
      <c r="F263" s="7" t="s">
        <v>1948</v>
      </c>
      <c r="G263" s="7" t="s">
        <v>2057</v>
      </c>
      <c r="H263" s="7" t="s">
        <v>3609</v>
      </c>
      <c r="I263" s="7" t="s">
        <v>1961</v>
      </c>
      <c r="J263" s="7" t="s">
        <v>3820</v>
      </c>
      <c r="K263" s="7" t="s">
        <v>3821</v>
      </c>
      <c r="L263" s="7" t="s">
        <v>3822</v>
      </c>
      <c r="M263" s="7" t="s">
        <v>2078</v>
      </c>
      <c r="N263" s="9">
        <v>46234</v>
      </c>
      <c r="O263" s="9">
        <v>46356</v>
      </c>
      <c r="P263" s="7" t="s">
        <v>2090</v>
      </c>
      <c r="Q263" s="7" t="s">
        <v>1961</v>
      </c>
      <c r="R263" s="7" t="s">
        <v>3823</v>
      </c>
      <c r="S263" s="7" t="s">
        <v>3824</v>
      </c>
      <c r="T263" s="7" t="s">
        <v>2067</v>
      </c>
      <c r="U263" s="7" t="s">
        <v>2146</v>
      </c>
      <c r="V263" s="7" t="s">
        <v>2067</v>
      </c>
      <c r="W263" s="7" t="s">
        <v>2069</v>
      </c>
    </row>
    <row r="264" spans="1:23" ht="20.100000000000001" customHeight="1" x14ac:dyDescent="0.25">
      <c r="A264" s="3" t="s">
        <v>1626</v>
      </c>
      <c r="B264" s="4" t="s">
        <v>2057</v>
      </c>
      <c r="C264" s="4" t="s">
        <v>3825</v>
      </c>
      <c r="D264" s="4" t="s">
        <v>2059</v>
      </c>
      <c r="E264" s="4" t="s">
        <v>1947</v>
      </c>
      <c r="F264" s="4" t="s">
        <v>1948</v>
      </c>
      <c r="G264" s="4" t="s">
        <v>2057</v>
      </c>
      <c r="H264" s="4" t="s">
        <v>3609</v>
      </c>
      <c r="I264" s="4" t="s">
        <v>1961</v>
      </c>
      <c r="J264" s="4" t="s">
        <v>3826</v>
      </c>
      <c r="K264" s="4" t="s">
        <v>3827</v>
      </c>
      <c r="L264" s="4" t="s">
        <v>3828</v>
      </c>
      <c r="M264" s="4" t="s">
        <v>2078</v>
      </c>
      <c r="N264" s="8">
        <v>46234</v>
      </c>
      <c r="O264" s="8">
        <v>46356</v>
      </c>
      <c r="P264" s="4" t="s">
        <v>2090</v>
      </c>
      <c r="Q264" s="4" t="s">
        <v>1961</v>
      </c>
      <c r="R264" s="4" t="s">
        <v>2403</v>
      </c>
      <c r="S264" s="4" t="s">
        <v>3829</v>
      </c>
      <c r="T264" s="4" t="s">
        <v>2067</v>
      </c>
      <c r="U264" s="4" t="s">
        <v>2768</v>
      </c>
      <c r="V264" s="4" t="s">
        <v>2067</v>
      </c>
      <c r="W264" s="4" t="s">
        <v>2069</v>
      </c>
    </row>
    <row r="265" spans="1:23" ht="20.100000000000001" customHeight="1" x14ac:dyDescent="0.25">
      <c r="A265" s="6" t="s">
        <v>1380</v>
      </c>
      <c r="B265" s="7" t="s">
        <v>2057</v>
      </c>
      <c r="C265" s="7" t="s">
        <v>3830</v>
      </c>
      <c r="D265" s="7" t="s">
        <v>2059</v>
      </c>
      <c r="E265" s="7" t="s">
        <v>1947</v>
      </c>
      <c r="F265" s="7" t="s">
        <v>1948</v>
      </c>
      <c r="G265" s="7" t="s">
        <v>2057</v>
      </c>
      <c r="H265" s="7" t="s">
        <v>1960</v>
      </c>
      <c r="I265" s="7" t="s">
        <v>1961</v>
      </c>
      <c r="J265" s="7" t="s">
        <v>3831</v>
      </c>
      <c r="K265" s="7" t="s">
        <v>3832</v>
      </c>
      <c r="L265" s="7" t="s">
        <v>3833</v>
      </c>
      <c r="M265" s="7" t="s">
        <v>2078</v>
      </c>
      <c r="N265" s="9">
        <v>46118</v>
      </c>
      <c r="O265" s="9">
        <v>46294</v>
      </c>
      <c r="P265" s="7" t="s">
        <v>2090</v>
      </c>
      <c r="Q265" s="7" t="s">
        <v>1961</v>
      </c>
      <c r="R265" s="7" t="s">
        <v>3834</v>
      </c>
      <c r="S265" s="7" t="s">
        <v>3835</v>
      </c>
      <c r="T265" s="7" t="s">
        <v>2067</v>
      </c>
      <c r="U265" s="7" t="s">
        <v>2146</v>
      </c>
      <c r="V265" s="7" t="s">
        <v>2067</v>
      </c>
      <c r="W265" s="7" t="s">
        <v>2069</v>
      </c>
    </row>
    <row r="266" spans="1:23" ht="20.100000000000001" customHeight="1" x14ac:dyDescent="0.25">
      <c r="A266" s="3" t="s">
        <v>1452</v>
      </c>
      <c r="B266" s="4" t="s">
        <v>2057</v>
      </c>
      <c r="C266" s="4" t="s">
        <v>3836</v>
      </c>
      <c r="D266" s="4" t="s">
        <v>2059</v>
      </c>
      <c r="E266" s="4" t="s">
        <v>1947</v>
      </c>
      <c r="F266" s="4" t="s">
        <v>1948</v>
      </c>
      <c r="G266" s="4" t="s">
        <v>2057</v>
      </c>
      <c r="H266" s="4" t="s">
        <v>3609</v>
      </c>
      <c r="I266" s="4" t="s">
        <v>1961</v>
      </c>
      <c r="J266" s="4" t="s">
        <v>3837</v>
      </c>
      <c r="K266" s="4" t="s">
        <v>3838</v>
      </c>
      <c r="L266" s="4" t="s">
        <v>3839</v>
      </c>
      <c r="M266" s="4" t="s">
        <v>2078</v>
      </c>
      <c r="N266" s="8">
        <v>46057</v>
      </c>
      <c r="O266" s="8">
        <v>46294</v>
      </c>
      <c r="P266" s="4" t="s">
        <v>2090</v>
      </c>
      <c r="Q266" s="4" t="s">
        <v>1961</v>
      </c>
      <c r="R266" s="4" t="s">
        <v>3840</v>
      </c>
      <c r="S266" s="4" t="s">
        <v>3841</v>
      </c>
      <c r="T266" s="4" t="s">
        <v>2067</v>
      </c>
      <c r="U266" s="4" t="s">
        <v>2768</v>
      </c>
      <c r="V266" s="4" t="s">
        <v>2067</v>
      </c>
      <c r="W266" s="4" t="s">
        <v>2069</v>
      </c>
    </row>
    <row r="267" spans="1:23" ht="20.100000000000001" customHeight="1" x14ac:dyDescent="0.25">
      <c r="A267" s="6" t="s">
        <v>3842</v>
      </c>
      <c r="B267" s="7" t="s">
        <v>2057</v>
      </c>
      <c r="C267" s="7" t="s">
        <v>3843</v>
      </c>
      <c r="D267" s="7" t="s">
        <v>2059</v>
      </c>
      <c r="E267" s="7" t="s">
        <v>2189</v>
      </c>
      <c r="F267" s="7" t="s">
        <v>2190</v>
      </c>
      <c r="G267" s="7" t="s">
        <v>2057</v>
      </c>
      <c r="H267" s="7" t="s">
        <v>3609</v>
      </c>
      <c r="I267" s="7" t="s">
        <v>1961</v>
      </c>
      <c r="J267" s="7" t="s">
        <v>3844</v>
      </c>
      <c r="K267" s="7" t="s">
        <v>3845</v>
      </c>
      <c r="L267" s="7" t="s">
        <v>3846</v>
      </c>
      <c r="M267" s="7" t="s">
        <v>2078</v>
      </c>
      <c r="N267" s="9">
        <v>46234</v>
      </c>
      <c r="O267" s="9">
        <v>46356</v>
      </c>
      <c r="P267" s="7" t="s">
        <v>2195</v>
      </c>
      <c r="Q267" s="7" t="s">
        <v>1961</v>
      </c>
      <c r="R267" s="7" t="s">
        <v>3847</v>
      </c>
      <c r="S267" s="7" t="s">
        <v>3848</v>
      </c>
      <c r="T267" s="7" t="s">
        <v>2067</v>
      </c>
      <c r="U267" s="7" t="s">
        <v>2198</v>
      </c>
      <c r="V267" s="7" t="s">
        <v>2067</v>
      </c>
      <c r="W267" s="7" t="s">
        <v>2069</v>
      </c>
    </row>
    <row r="268" spans="1:23" ht="20.100000000000001" customHeight="1" x14ac:dyDescent="0.25">
      <c r="A268" s="3" t="s">
        <v>516</v>
      </c>
      <c r="B268" s="4" t="s">
        <v>2084</v>
      </c>
      <c r="C268" s="4" t="s">
        <v>3849</v>
      </c>
      <c r="D268" s="4" t="s">
        <v>2059</v>
      </c>
      <c r="E268" s="4" t="s">
        <v>1979</v>
      </c>
      <c r="F268" s="4" t="s">
        <v>2728</v>
      </c>
      <c r="G268" s="4" t="s">
        <v>2084</v>
      </c>
      <c r="H268" s="4" t="s">
        <v>3641</v>
      </c>
      <c r="I268" s="4" t="s">
        <v>1961</v>
      </c>
      <c r="J268" s="4" t="s">
        <v>3850</v>
      </c>
      <c r="K268" s="4" t="s">
        <v>3851</v>
      </c>
      <c r="L268" s="4" t="s">
        <v>3852</v>
      </c>
      <c r="M268" s="4" t="s">
        <v>2078</v>
      </c>
      <c r="N268" s="8">
        <v>46234</v>
      </c>
      <c r="O268" s="8">
        <v>46356</v>
      </c>
      <c r="P268" s="4" t="s">
        <v>2728</v>
      </c>
      <c r="Q268" s="4" t="s">
        <v>1961</v>
      </c>
      <c r="R268" s="4" t="s">
        <v>3853</v>
      </c>
      <c r="S268" s="4" t="s">
        <v>3854</v>
      </c>
      <c r="T268" s="4" t="s">
        <v>2067</v>
      </c>
      <c r="U268" s="4" t="s">
        <v>2728</v>
      </c>
      <c r="V268" s="4" t="s">
        <v>2067</v>
      </c>
      <c r="W268" s="4" t="s">
        <v>2069</v>
      </c>
    </row>
    <row r="269" spans="1:23" ht="20.100000000000001" customHeight="1" x14ac:dyDescent="0.25">
      <c r="A269" s="6" t="s">
        <v>1418</v>
      </c>
      <c r="B269" s="7" t="s">
        <v>2057</v>
      </c>
      <c r="C269" s="7" t="s">
        <v>3855</v>
      </c>
      <c r="D269" s="7" t="s">
        <v>2059</v>
      </c>
      <c r="E269" s="7" t="s">
        <v>1947</v>
      </c>
      <c r="F269" s="7" t="s">
        <v>1948</v>
      </c>
      <c r="G269" s="7" t="s">
        <v>2057</v>
      </c>
      <c r="H269" s="7" t="s">
        <v>1996</v>
      </c>
      <c r="I269" s="7" t="s">
        <v>1961</v>
      </c>
      <c r="J269" s="7" t="s">
        <v>3856</v>
      </c>
      <c r="K269" s="7" t="s">
        <v>3857</v>
      </c>
      <c r="L269" s="7" t="s">
        <v>3858</v>
      </c>
      <c r="M269" s="7" t="s">
        <v>2078</v>
      </c>
      <c r="N269" s="9">
        <v>46234</v>
      </c>
      <c r="O269" s="9">
        <v>46356</v>
      </c>
      <c r="P269" s="7" t="s">
        <v>2090</v>
      </c>
      <c r="Q269" s="7" t="s">
        <v>1961</v>
      </c>
      <c r="R269" s="7" t="s">
        <v>3859</v>
      </c>
      <c r="S269" s="7" t="s">
        <v>3860</v>
      </c>
      <c r="T269" s="7" t="s">
        <v>2067</v>
      </c>
      <c r="U269" s="7" t="s">
        <v>2146</v>
      </c>
      <c r="V269" s="7" t="s">
        <v>2067</v>
      </c>
      <c r="W269" s="7" t="s">
        <v>2069</v>
      </c>
    </row>
    <row r="270" spans="1:23" ht="20.100000000000001" customHeight="1" x14ac:dyDescent="0.25">
      <c r="A270" s="3" t="s">
        <v>1272</v>
      </c>
      <c r="B270" s="4" t="s">
        <v>2057</v>
      </c>
      <c r="C270" s="4" t="s">
        <v>3861</v>
      </c>
      <c r="D270" s="4" t="s">
        <v>2059</v>
      </c>
      <c r="E270" s="4" t="s">
        <v>1947</v>
      </c>
      <c r="F270" s="4" t="s">
        <v>1948</v>
      </c>
      <c r="G270" s="4" t="s">
        <v>2057</v>
      </c>
      <c r="H270" s="4" t="s">
        <v>3609</v>
      </c>
      <c r="I270" s="4" t="s">
        <v>1961</v>
      </c>
      <c r="J270" s="4" t="s">
        <v>3862</v>
      </c>
      <c r="K270" s="4" t="s">
        <v>3863</v>
      </c>
      <c r="L270" s="4" t="s">
        <v>3864</v>
      </c>
      <c r="M270" s="4" t="s">
        <v>2078</v>
      </c>
      <c r="N270" s="8">
        <v>46234</v>
      </c>
      <c r="O270" s="8">
        <v>46356</v>
      </c>
      <c r="P270" s="4" t="s">
        <v>2090</v>
      </c>
      <c r="Q270" s="4" t="s">
        <v>1961</v>
      </c>
      <c r="R270" s="4" t="s">
        <v>3865</v>
      </c>
      <c r="S270" s="4" t="s">
        <v>3866</v>
      </c>
      <c r="T270" s="4" t="s">
        <v>2067</v>
      </c>
      <c r="U270" s="4" t="s">
        <v>2146</v>
      </c>
      <c r="V270" s="4" t="s">
        <v>2067</v>
      </c>
      <c r="W270" s="4" t="s">
        <v>2069</v>
      </c>
    </row>
    <row r="271" spans="1:23" ht="20.100000000000001" customHeight="1" x14ac:dyDescent="0.25">
      <c r="A271" s="6" t="s">
        <v>3867</v>
      </c>
      <c r="B271" s="7" t="s">
        <v>2057</v>
      </c>
      <c r="C271" s="7" t="s">
        <v>3868</v>
      </c>
      <c r="D271" s="7" t="s">
        <v>2059</v>
      </c>
      <c r="E271" s="7" t="s">
        <v>2673</v>
      </c>
      <c r="F271" s="7" t="s">
        <v>2674</v>
      </c>
      <c r="G271" s="7" t="s">
        <v>2057</v>
      </c>
      <c r="H271" s="7" t="s">
        <v>3869</v>
      </c>
      <c r="I271" s="7" t="s">
        <v>1961</v>
      </c>
      <c r="J271" s="7" t="s">
        <v>3870</v>
      </c>
      <c r="K271" s="7" t="s">
        <v>3871</v>
      </c>
      <c r="L271" s="7" t="s">
        <v>3872</v>
      </c>
      <c r="M271" s="7" t="s">
        <v>2078</v>
      </c>
      <c r="N271" s="9">
        <v>46234</v>
      </c>
      <c r="O271" s="9">
        <v>46356</v>
      </c>
      <c r="P271" s="7" t="s">
        <v>2674</v>
      </c>
      <c r="Q271" s="7" t="s">
        <v>1961</v>
      </c>
      <c r="R271" s="7" t="s">
        <v>3873</v>
      </c>
      <c r="S271" s="7" t="s">
        <v>3874</v>
      </c>
      <c r="T271" s="7" t="s">
        <v>2067</v>
      </c>
      <c r="U271" s="7" t="s">
        <v>2680</v>
      </c>
      <c r="V271" s="7" t="s">
        <v>2067</v>
      </c>
      <c r="W271" s="7" t="s">
        <v>2082</v>
      </c>
    </row>
    <row r="272" spans="1:23" ht="20.100000000000001" customHeight="1" x14ac:dyDescent="0.25">
      <c r="A272" s="3" t="s">
        <v>1268</v>
      </c>
      <c r="B272" s="4" t="s">
        <v>2057</v>
      </c>
      <c r="C272" s="4" t="s">
        <v>3875</v>
      </c>
      <c r="D272" s="4" t="s">
        <v>2059</v>
      </c>
      <c r="E272" s="4" t="s">
        <v>1947</v>
      </c>
      <c r="F272" s="4" t="s">
        <v>1948</v>
      </c>
      <c r="G272" s="4" t="s">
        <v>2057</v>
      </c>
      <c r="H272" s="4" t="s">
        <v>3609</v>
      </c>
      <c r="I272" s="4" t="s">
        <v>1961</v>
      </c>
      <c r="J272" s="4" t="s">
        <v>3876</v>
      </c>
      <c r="K272" s="4" t="s">
        <v>3877</v>
      </c>
      <c r="L272" s="4" t="s">
        <v>3878</v>
      </c>
      <c r="M272" s="4" t="s">
        <v>2078</v>
      </c>
      <c r="N272" s="8">
        <v>46234</v>
      </c>
      <c r="O272" s="8">
        <v>46356</v>
      </c>
      <c r="P272" s="4" t="s">
        <v>2090</v>
      </c>
      <c r="Q272" s="4" t="s">
        <v>1961</v>
      </c>
      <c r="R272" s="4" t="s">
        <v>3879</v>
      </c>
      <c r="S272" s="4" t="s">
        <v>3880</v>
      </c>
      <c r="T272" s="4" t="s">
        <v>2067</v>
      </c>
      <c r="U272" s="4" t="s">
        <v>2146</v>
      </c>
      <c r="V272" s="4" t="s">
        <v>2067</v>
      </c>
      <c r="W272" s="4" t="s">
        <v>2069</v>
      </c>
    </row>
    <row r="273" spans="1:23" ht="20.100000000000001" customHeight="1" x14ac:dyDescent="0.25">
      <c r="A273" s="6" t="s">
        <v>3881</v>
      </c>
      <c r="B273" s="7" t="s">
        <v>2057</v>
      </c>
      <c r="C273" s="7" t="s">
        <v>3882</v>
      </c>
      <c r="D273" s="7" t="s">
        <v>2059</v>
      </c>
      <c r="E273" s="7" t="s">
        <v>2111</v>
      </c>
      <c r="F273" s="7" t="s">
        <v>2112</v>
      </c>
      <c r="G273" s="7" t="s">
        <v>2057</v>
      </c>
      <c r="H273" s="7" t="s">
        <v>3609</v>
      </c>
      <c r="I273" s="7" t="s">
        <v>1961</v>
      </c>
      <c r="J273" s="7" t="s">
        <v>3883</v>
      </c>
      <c r="K273" s="7" t="s">
        <v>3884</v>
      </c>
      <c r="L273" s="7" t="s">
        <v>3885</v>
      </c>
      <c r="M273" s="7" t="s">
        <v>2078</v>
      </c>
      <c r="N273" s="9">
        <v>46234</v>
      </c>
      <c r="O273" s="9">
        <v>46356</v>
      </c>
      <c r="P273" s="7" t="s">
        <v>2112</v>
      </c>
      <c r="Q273" s="7" t="s">
        <v>1961</v>
      </c>
      <c r="R273" s="7" t="s">
        <v>2605</v>
      </c>
      <c r="S273" s="7" t="s">
        <v>3886</v>
      </c>
      <c r="T273" s="7" t="s">
        <v>2067</v>
      </c>
      <c r="U273" s="7" t="s">
        <v>2119</v>
      </c>
      <c r="V273" s="7" t="s">
        <v>2067</v>
      </c>
      <c r="W273" s="7" t="s">
        <v>2069</v>
      </c>
    </row>
    <row r="274" spans="1:23" ht="20.100000000000001" customHeight="1" x14ac:dyDescent="0.25">
      <c r="A274" s="3" t="s">
        <v>3887</v>
      </c>
      <c r="B274" s="4" t="s">
        <v>2057</v>
      </c>
      <c r="C274" s="4" t="s">
        <v>3888</v>
      </c>
      <c r="D274" s="4" t="s">
        <v>2059</v>
      </c>
      <c r="E274" s="4" t="s">
        <v>2189</v>
      </c>
      <c r="F274" s="4" t="s">
        <v>2190</v>
      </c>
      <c r="G274" s="4" t="s">
        <v>2057</v>
      </c>
      <c r="H274" s="4" t="s">
        <v>3609</v>
      </c>
      <c r="I274" s="4" t="s">
        <v>1961</v>
      </c>
      <c r="J274" s="4" t="s">
        <v>3889</v>
      </c>
      <c r="K274" s="4" t="s">
        <v>3890</v>
      </c>
      <c r="L274" s="4" t="s">
        <v>3891</v>
      </c>
      <c r="M274" s="4" t="s">
        <v>2078</v>
      </c>
      <c r="N274" s="8">
        <v>46234</v>
      </c>
      <c r="O274" s="8">
        <v>46356</v>
      </c>
      <c r="P274" s="4" t="s">
        <v>2195</v>
      </c>
      <c r="Q274" s="4" t="s">
        <v>1961</v>
      </c>
      <c r="R274" s="4" t="s">
        <v>3892</v>
      </c>
      <c r="S274" s="4" t="s">
        <v>3893</v>
      </c>
      <c r="T274" s="4" t="s">
        <v>2067</v>
      </c>
      <c r="U274" s="4" t="s">
        <v>2198</v>
      </c>
      <c r="V274" s="4" t="s">
        <v>2067</v>
      </c>
      <c r="W274" s="4" t="s">
        <v>2069</v>
      </c>
    </row>
    <row r="275" spans="1:23" ht="20.100000000000001" customHeight="1" x14ac:dyDescent="0.25">
      <c r="A275" s="6" t="s">
        <v>1544</v>
      </c>
      <c r="B275" s="7" t="s">
        <v>2057</v>
      </c>
      <c r="C275" s="7" t="s">
        <v>3894</v>
      </c>
      <c r="D275" s="7" t="s">
        <v>2059</v>
      </c>
      <c r="E275" s="7" t="s">
        <v>1947</v>
      </c>
      <c r="F275" s="7" t="s">
        <v>1948</v>
      </c>
      <c r="G275" s="7" t="s">
        <v>2057</v>
      </c>
      <c r="H275" s="7" t="s">
        <v>3609</v>
      </c>
      <c r="I275" s="7" t="s">
        <v>1961</v>
      </c>
      <c r="J275" s="7" t="s">
        <v>3895</v>
      </c>
      <c r="K275" s="7" t="s">
        <v>3896</v>
      </c>
      <c r="L275" s="7" t="s">
        <v>3897</v>
      </c>
      <c r="M275" s="7" t="s">
        <v>2078</v>
      </c>
      <c r="N275" s="9">
        <v>46234</v>
      </c>
      <c r="O275" s="9">
        <v>46356</v>
      </c>
      <c r="P275" s="7" t="s">
        <v>2090</v>
      </c>
      <c r="Q275" s="7" t="s">
        <v>1961</v>
      </c>
      <c r="R275" s="7" t="s">
        <v>3898</v>
      </c>
      <c r="S275" s="7" t="s">
        <v>3899</v>
      </c>
      <c r="T275" s="7" t="s">
        <v>2067</v>
      </c>
      <c r="U275" s="7" t="s">
        <v>2146</v>
      </c>
      <c r="V275" s="7" t="s">
        <v>2067</v>
      </c>
      <c r="W275" s="7" t="s">
        <v>2069</v>
      </c>
    </row>
    <row r="276" spans="1:23" ht="20.100000000000001" customHeight="1" x14ac:dyDescent="0.25">
      <c r="A276" s="3" t="s">
        <v>1098</v>
      </c>
      <c r="B276" s="4" t="s">
        <v>2057</v>
      </c>
      <c r="C276" s="4" t="s">
        <v>3900</v>
      </c>
      <c r="D276" s="4" t="s">
        <v>2059</v>
      </c>
      <c r="E276" s="4" t="s">
        <v>1947</v>
      </c>
      <c r="F276" s="4" t="s">
        <v>1948</v>
      </c>
      <c r="G276" s="4" t="s">
        <v>2057</v>
      </c>
      <c r="H276" s="4" t="s">
        <v>1996</v>
      </c>
      <c r="I276" s="4" t="s">
        <v>1961</v>
      </c>
      <c r="J276" s="4" t="s">
        <v>3901</v>
      </c>
      <c r="K276" s="4" t="s">
        <v>3902</v>
      </c>
      <c r="L276" s="4" t="s">
        <v>3903</v>
      </c>
      <c r="M276" s="4" t="s">
        <v>2078</v>
      </c>
      <c r="N276" s="8">
        <v>46052</v>
      </c>
      <c r="O276" s="8">
        <v>46296</v>
      </c>
      <c r="P276" s="4" t="s">
        <v>2090</v>
      </c>
      <c r="Q276" s="4" t="s">
        <v>1961</v>
      </c>
      <c r="R276" s="4" t="s">
        <v>3904</v>
      </c>
      <c r="S276" s="4" t="s">
        <v>3905</v>
      </c>
      <c r="T276" s="4" t="s">
        <v>2067</v>
      </c>
      <c r="U276" s="4" t="s">
        <v>2768</v>
      </c>
      <c r="V276" s="4" t="s">
        <v>2067</v>
      </c>
      <c r="W276" s="4" t="s">
        <v>2069</v>
      </c>
    </row>
    <row r="277" spans="1:23" ht="20.100000000000001" customHeight="1" x14ac:dyDescent="0.25">
      <c r="A277" s="6" t="s">
        <v>3906</v>
      </c>
      <c r="B277" s="7" t="s">
        <v>2057</v>
      </c>
      <c r="C277" s="7" t="s">
        <v>3907</v>
      </c>
      <c r="D277" s="7" t="s">
        <v>2059</v>
      </c>
      <c r="E277" s="7" t="s">
        <v>2189</v>
      </c>
      <c r="F277" s="7" t="s">
        <v>2190</v>
      </c>
      <c r="G277" s="7" t="s">
        <v>2057</v>
      </c>
      <c r="H277" s="7" t="s">
        <v>1960</v>
      </c>
      <c r="I277" s="7" t="s">
        <v>1961</v>
      </c>
      <c r="J277" s="7" t="s">
        <v>3908</v>
      </c>
      <c r="K277" s="7" t="s">
        <v>3909</v>
      </c>
      <c r="L277" s="7" t="s">
        <v>3910</v>
      </c>
      <c r="M277" s="7" t="s">
        <v>2078</v>
      </c>
      <c r="N277" s="9">
        <v>46052</v>
      </c>
      <c r="O277" s="9">
        <v>46296</v>
      </c>
      <c r="P277" s="7" t="s">
        <v>2195</v>
      </c>
      <c r="Q277" s="7" t="s">
        <v>1961</v>
      </c>
      <c r="R277" s="7" t="s">
        <v>3911</v>
      </c>
      <c r="S277" s="7" t="s">
        <v>3912</v>
      </c>
      <c r="T277" s="7" t="s">
        <v>2067</v>
      </c>
      <c r="U277" s="7" t="s">
        <v>2198</v>
      </c>
      <c r="V277" s="7" t="s">
        <v>2067</v>
      </c>
      <c r="W277" s="7" t="s">
        <v>2069</v>
      </c>
    </row>
    <row r="278" spans="1:23" ht="20.100000000000001" customHeight="1" x14ac:dyDescent="0.25">
      <c r="A278" s="3" t="s">
        <v>3913</v>
      </c>
      <c r="B278" s="4" t="s">
        <v>2084</v>
      </c>
      <c r="C278" s="4" t="s">
        <v>3914</v>
      </c>
      <c r="D278" s="4" t="s">
        <v>2059</v>
      </c>
      <c r="E278" s="4" t="s">
        <v>1947</v>
      </c>
      <c r="F278" s="4" t="s">
        <v>1948</v>
      </c>
      <c r="G278" s="4" t="s">
        <v>2084</v>
      </c>
      <c r="H278" s="4" t="s">
        <v>3915</v>
      </c>
      <c r="I278" s="4" t="s">
        <v>3916</v>
      </c>
      <c r="J278" s="4" t="s">
        <v>3917</v>
      </c>
      <c r="K278" s="4" t="s">
        <v>3918</v>
      </c>
      <c r="L278" s="4" t="s">
        <v>3919</v>
      </c>
      <c r="M278" s="4" t="s">
        <v>2064</v>
      </c>
      <c r="N278" s="8">
        <v>40198</v>
      </c>
      <c r="O278" s="8"/>
      <c r="P278" s="4" t="s">
        <v>2090</v>
      </c>
      <c r="Q278" s="4" t="s">
        <v>3916</v>
      </c>
      <c r="R278" s="4" t="s">
        <v>3920</v>
      </c>
      <c r="S278" s="4" t="s">
        <v>3921</v>
      </c>
      <c r="T278" s="4" t="s">
        <v>2067</v>
      </c>
      <c r="U278" s="4" t="s">
        <v>3922</v>
      </c>
      <c r="V278" s="4" t="s">
        <v>2067</v>
      </c>
      <c r="W278" s="4" t="s">
        <v>2069</v>
      </c>
    </row>
    <row r="279" spans="1:23" ht="20.100000000000001" customHeight="1" x14ac:dyDescent="0.25">
      <c r="A279" s="6" t="s">
        <v>3923</v>
      </c>
      <c r="B279" s="7" t="s">
        <v>2057</v>
      </c>
      <c r="C279" s="7" t="s">
        <v>3924</v>
      </c>
      <c r="D279" s="7" t="s">
        <v>2059</v>
      </c>
      <c r="E279" s="7" t="s">
        <v>2189</v>
      </c>
      <c r="F279" s="7" t="s">
        <v>2190</v>
      </c>
      <c r="G279" s="7" t="s">
        <v>2057</v>
      </c>
      <c r="H279" s="7" t="s">
        <v>3925</v>
      </c>
      <c r="I279" s="7" t="s">
        <v>3916</v>
      </c>
      <c r="J279" s="7" t="s">
        <v>3926</v>
      </c>
      <c r="K279" s="7" t="s">
        <v>3927</v>
      </c>
      <c r="L279" s="7" t="s">
        <v>3928</v>
      </c>
      <c r="M279" s="7" t="s">
        <v>2078</v>
      </c>
      <c r="N279" s="9">
        <v>45992</v>
      </c>
      <c r="O279" s="9">
        <v>46356</v>
      </c>
      <c r="P279" s="7" t="s">
        <v>2195</v>
      </c>
      <c r="Q279" s="7" t="s">
        <v>3916</v>
      </c>
      <c r="R279" s="7" t="s">
        <v>3929</v>
      </c>
      <c r="S279" s="7" t="s">
        <v>3930</v>
      </c>
      <c r="T279" s="7" t="s">
        <v>2067</v>
      </c>
      <c r="U279" s="7" t="s">
        <v>2198</v>
      </c>
      <c r="V279" s="7" t="s">
        <v>2067</v>
      </c>
      <c r="W279" s="7" t="s">
        <v>2069</v>
      </c>
    </row>
    <row r="280" spans="1:23" ht="20.100000000000001" customHeight="1" x14ac:dyDescent="0.25">
      <c r="A280" s="3" t="s">
        <v>3931</v>
      </c>
      <c r="B280" s="4" t="s">
        <v>2057</v>
      </c>
      <c r="C280" s="4" t="s">
        <v>3932</v>
      </c>
      <c r="D280" s="4" t="s">
        <v>2059</v>
      </c>
      <c r="E280" s="4" t="s">
        <v>1952</v>
      </c>
      <c r="F280" s="4" t="s">
        <v>1953</v>
      </c>
      <c r="G280" s="4" t="s">
        <v>2057</v>
      </c>
      <c r="H280" s="4" t="s">
        <v>3933</v>
      </c>
      <c r="I280" s="4" t="s">
        <v>3916</v>
      </c>
      <c r="J280" s="4" t="s">
        <v>3934</v>
      </c>
      <c r="K280" s="4" t="s">
        <v>3935</v>
      </c>
      <c r="L280" s="4" t="s">
        <v>3936</v>
      </c>
      <c r="M280" s="4" t="s">
        <v>2078</v>
      </c>
      <c r="N280" s="8">
        <v>46234</v>
      </c>
      <c r="O280" s="8">
        <v>46356</v>
      </c>
      <c r="P280" s="4" t="s">
        <v>1953</v>
      </c>
      <c r="Q280" s="4" t="s">
        <v>3916</v>
      </c>
      <c r="R280" s="4" t="s">
        <v>3937</v>
      </c>
      <c r="S280" s="4" t="s">
        <v>3938</v>
      </c>
      <c r="T280" s="4" t="s">
        <v>2067</v>
      </c>
      <c r="U280" s="4" t="s">
        <v>2358</v>
      </c>
      <c r="V280" s="4" t="s">
        <v>2067</v>
      </c>
      <c r="W280" s="4" t="s">
        <v>2082</v>
      </c>
    </row>
    <row r="281" spans="1:23" ht="20.100000000000001" customHeight="1" x14ac:dyDescent="0.25">
      <c r="A281" s="6" t="s">
        <v>420</v>
      </c>
      <c r="B281" s="7" t="s">
        <v>2084</v>
      </c>
      <c r="C281" s="7" t="s">
        <v>3939</v>
      </c>
      <c r="D281" s="7" t="s">
        <v>2059</v>
      </c>
      <c r="E281" s="7" t="s">
        <v>2131</v>
      </c>
      <c r="F281" s="7" t="s">
        <v>2132</v>
      </c>
      <c r="G281" s="7" t="s">
        <v>2084</v>
      </c>
      <c r="H281" s="7" t="s">
        <v>3940</v>
      </c>
      <c r="I281" s="7" t="s">
        <v>3916</v>
      </c>
      <c r="J281" s="7" t="s">
        <v>3941</v>
      </c>
      <c r="K281" s="7" t="s">
        <v>3942</v>
      </c>
      <c r="L281" s="7" t="s">
        <v>3943</v>
      </c>
      <c r="M281" s="7" t="s">
        <v>3316</v>
      </c>
      <c r="N281" s="9">
        <v>45873</v>
      </c>
      <c r="O281" s="9">
        <v>46235</v>
      </c>
      <c r="P281" s="7" t="s">
        <v>2132</v>
      </c>
      <c r="Q281" s="7" t="s">
        <v>3916</v>
      </c>
      <c r="R281" s="7" t="s">
        <v>2403</v>
      </c>
      <c r="S281" s="7" t="s">
        <v>3944</v>
      </c>
      <c r="T281" s="7" t="s">
        <v>2067</v>
      </c>
      <c r="U281" s="7" t="s">
        <v>2138</v>
      </c>
      <c r="V281" s="7" t="s">
        <v>2067</v>
      </c>
      <c r="W281" s="7" t="s">
        <v>2069</v>
      </c>
    </row>
    <row r="282" spans="1:23" ht="20.100000000000001" customHeight="1" x14ac:dyDescent="0.25">
      <c r="A282" s="3" t="s">
        <v>768</v>
      </c>
      <c r="B282" s="4" t="s">
        <v>2084</v>
      </c>
      <c r="C282" s="4" t="s">
        <v>3945</v>
      </c>
      <c r="D282" s="4" t="s">
        <v>2059</v>
      </c>
      <c r="E282" s="4" t="s">
        <v>1947</v>
      </c>
      <c r="F282" s="4" t="s">
        <v>1948</v>
      </c>
      <c r="G282" s="4" t="s">
        <v>2084</v>
      </c>
      <c r="H282" s="4" t="s">
        <v>3940</v>
      </c>
      <c r="I282" s="4" t="s">
        <v>3916</v>
      </c>
      <c r="J282" s="4" t="s">
        <v>3946</v>
      </c>
      <c r="K282" s="4" t="s">
        <v>3947</v>
      </c>
      <c r="L282" s="4" t="s">
        <v>3948</v>
      </c>
      <c r="M282" s="4" t="s">
        <v>2078</v>
      </c>
      <c r="N282" s="8">
        <v>46234</v>
      </c>
      <c r="O282" s="8">
        <v>46356</v>
      </c>
      <c r="P282" s="4" t="s">
        <v>2090</v>
      </c>
      <c r="Q282" s="4" t="s">
        <v>3916</v>
      </c>
      <c r="R282" s="4" t="s">
        <v>3949</v>
      </c>
      <c r="S282" s="4" t="s">
        <v>3950</v>
      </c>
      <c r="T282" s="4" t="s">
        <v>2067</v>
      </c>
      <c r="U282" s="4" t="s">
        <v>2146</v>
      </c>
      <c r="V282" s="4" t="s">
        <v>2067</v>
      </c>
      <c r="W282" s="4" t="s">
        <v>2069</v>
      </c>
    </row>
    <row r="283" spans="1:23" ht="20.100000000000001" customHeight="1" x14ac:dyDescent="0.25">
      <c r="A283" s="6" t="s">
        <v>592</v>
      </c>
      <c r="B283" s="7" t="s">
        <v>2084</v>
      </c>
      <c r="C283" s="7" t="s">
        <v>3951</v>
      </c>
      <c r="D283" s="7" t="s">
        <v>2059</v>
      </c>
      <c r="E283" s="7" t="s">
        <v>1947</v>
      </c>
      <c r="F283" s="7" t="s">
        <v>1948</v>
      </c>
      <c r="G283" s="7" t="s">
        <v>2084</v>
      </c>
      <c r="H283" s="7" t="s">
        <v>3952</v>
      </c>
      <c r="I283" s="7" t="s">
        <v>3916</v>
      </c>
      <c r="J283" s="7" t="s">
        <v>3953</v>
      </c>
      <c r="K283" s="7" t="s">
        <v>3954</v>
      </c>
      <c r="L283" s="7" t="s">
        <v>3955</v>
      </c>
      <c r="M283" s="7" t="s">
        <v>2078</v>
      </c>
      <c r="N283" s="9">
        <v>46234</v>
      </c>
      <c r="O283" s="9">
        <v>46356</v>
      </c>
      <c r="P283" s="7" t="s">
        <v>2090</v>
      </c>
      <c r="Q283" s="7" t="s">
        <v>3916</v>
      </c>
      <c r="R283" s="7" t="s">
        <v>3956</v>
      </c>
      <c r="S283" s="7" t="s">
        <v>3957</v>
      </c>
      <c r="T283" s="7" t="s">
        <v>2067</v>
      </c>
      <c r="U283" s="7" t="s">
        <v>2146</v>
      </c>
      <c r="V283" s="7" t="s">
        <v>2067</v>
      </c>
      <c r="W283" s="7" t="s">
        <v>2082</v>
      </c>
    </row>
    <row r="284" spans="1:23" ht="20.100000000000001" customHeight="1" x14ac:dyDescent="0.25">
      <c r="A284" s="3" t="s">
        <v>1512</v>
      </c>
      <c r="B284" s="4" t="s">
        <v>2084</v>
      </c>
      <c r="C284" s="4" t="s">
        <v>3958</v>
      </c>
      <c r="D284" s="4" t="s">
        <v>2059</v>
      </c>
      <c r="E284" s="4" t="s">
        <v>1947</v>
      </c>
      <c r="F284" s="4" t="s">
        <v>1948</v>
      </c>
      <c r="G284" s="4" t="s">
        <v>2084</v>
      </c>
      <c r="H284" s="4" t="s">
        <v>3940</v>
      </c>
      <c r="I284" s="4" t="s">
        <v>3916</v>
      </c>
      <c r="J284" s="4" t="s">
        <v>3959</v>
      </c>
      <c r="K284" s="4" t="s">
        <v>3960</v>
      </c>
      <c r="L284" s="4" t="s">
        <v>3961</v>
      </c>
      <c r="M284" s="4" t="s">
        <v>2078</v>
      </c>
      <c r="N284" s="8">
        <v>45992</v>
      </c>
      <c r="O284" s="8">
        <v>46356</v>
      </c>
      <c r="P284" s="4" t="s">
        <v>2090</v>
      </c>
      <c r="Q284" s="4" t="s">
        <v>3916</v>
      </c>
      <c r="R284" s="4" t="s">
        <v>3962</v>
      </c>
      <c r="S284" s="4" t="s">
        <v>3963</v>
      </c>
      <c r="T284" s="4" t="s">
        <v>2351</v>
      </c>
      <c r="U284" s="4" t="s">
        <v>3922</v>
      </c>
      <c r="V284" s="4" t="s">
        <v>2351</v>
      </c>
      <c r="W284" s="4" t="s">
        <v>2069</v>
      </c>
    </row>
    <row r="285" spans="1:23" ht="20.100000000000001" customHeight="1" x14ac:dyDescent="0.25">
      <c r="A285" s="6" t="s">
        <v>1254</v>
      </c>
      <c r="B285" s="7" t="s">
        <v>2057</v>
      </c>
      <c r="C285" s="7" t="s">
        <v>3964</v>
      </c>
      <c r="D285" s="7" t="s">
        <v>2059</v>
      </c>
      <c r="E285" s="7" t="s">
        <v>1947</v>
      </c>
      <c r="F285" s="7" t="s">
        <v>2277</v>
      </c>
      <c r="G285" s="7" t="s">
        <v>2057</v>
      </c>
      <c r="H285" s="7" t="s">
        <v>3965</v>
      </c>
      <c r="I285" s="7" t="s">
        <v>3916</v>
      </c>
      <c r="J285" s="7" t="s">
        <v>3966</v>
      </c>
      <c r="K285" s="7" t="s">
        <v>3967</v>
      </c>
      <c r="L285" s="7" t="s">
        <v>3968</v>
      </c>
      <c r="M285" s="7" t="s">
        <v>2078</v>
      </c>
      <c r="N285" s="9">
        <v>46234</v>
      </c>
      <c r="O285" s="9">
        <v>46356</v>
      </c>
      <c r="P285" s="7" t="s">
        <v>2277</v>
      </c>
      <c r="Q285" s="7" t="s">
        <v>3916</v>
      </c>
      <c r="R285" s="7" t="s">
        <v>3236</v>
      </c>
      <c r="S285" s="7" t="s">
        <v>3969</v>
      </c>
      <c r="T285" s="7" t="s">
        <v>2067</v>
      </c>
      <c r="U285" s="7" t="s">
        <v>2109</v>
      </c>
      <c r="V285" s="7" t="s">
        <v>2067</v>
      </c>
      <c r="W285" s="7" t="s">
        <v>2082</v>
      </c>
    </row>
    <row r="286" spans="1:23" ht="20.100000000000001" customHeight="1" x14ac:dyDescent="0.25">
      <c r="A286" s="3" t="s">
        <v>720</v>
      </c>
      <c r="B286" s="4" t="s">
        <v>2084</v>
      </c>
      <c r="C286" s="4" t="s">
        <v>3970</v>
      </c>
      <c r="D286" s="4" t="s">
        <v>2059</v>
      </c>
      <c r="E286" s="4" t="s">
        <v>1947</v>
      </c>
      <c r="F286" s="4" t="s">
        <v>1948</v>
      </c>
      <c r="G286" s="4" t="s">
        <v>2084</v>
      </c>
      <c r="H286" s="4" t="s">
        <v>3940</v>
      </c>
      <c r="I286" s="4" t="s">
        <v>3916</v>
      </c>
      <c r="J286" s="4" t="s">
        <v>3971</v>
      </c>
      <c r="K286" s="4" t="s">
        <v>3972</v>
      </c>
      <c r="L286" s="4" t="s">
        <v>3973</v>
      </c>
      <c r="M286" s="4" t="s">
        <v>2078</v>
      </c>
      <c r="N286" s="8">
        <v>46234</v>
      </c>
      <c r="O286" s="8">
        <v>46356</v>
      </c>
      <c r="P286" s="4" t="s">
        <v>2090</v>
      </c>
      <c r="Q286" s="4" t="s">
        <v>3916</v>
      </c>
      <c r="R286" s="4" t="s">
        <v>3974</v>
      </c>
      <c r="S286" s="4" t="s">
        <v>3975</v>
      </c>
      <c r="T286" s="4" t="s">
        <v>2067</v>
      </c>
      <c r="U286" s="4" t="s">
        <v>2146</v>
      </c>
      <c r="V286" s="4" t="s">
        <v>2067</v>
      </c>
      <c r="W286" s="4" t="s">
        <v>2069</v>
      </c>
    </row>
    <row r="287" spans="1:23" ht="20.100000000000001" customHeight="1" x14ac:dyDescent="0.25">
      <c r="A287" s="6" t="s">
        <v>488</v>
      </c>
      <c r="B287" s="7" t="s">
        <v>2057</v>
      </c>
      <c r="C287" s="7" t="s">
        <v>3976</v>
      </c>
      <c r="D287" s="7" t="s">
        <v>2059</v>
      </c>
      <c r="E287" s="7" t="s">
        <v>1940</v>
      </c>
      <c r="F287" s="7" t="s">
        <v>1941</v>
      </c>
      <c r="G287" s="7" t="s">
        <v>2057</v>
      </c>
      <c r="H287" s="7" t="s">
        <v>3977</v>
      </c>
      <c r="I287" s="7" t="s">
        <v>3916</v>
      </c>
      <c r="J287" s="7" t="s">
        <v>3978</v>
      </c>
      <c r="K287" s="7" t="s">
        <v>3979</v>
      </c>
      <c r="L287" s="7" t="s">
        <v>3980</v>
      </c>
      <c r="M287" s="7" t="s">
        <v>2078</v>
      </c>
      <c r="N287" s="9">
        <v>46234</v>
      </c>
      <c r="O287" s="9">
        <v>46356</v>
      </c>
      <c r="P287" s="7" t="s">
        <v>1941</v>
      </c>
      <c r="Q287" s="7" t="s">
        <v>3916</v>
      </c>
      <c r="R287" s="7" t="s">
        <v>3981</v>
      </c>
      <c r="S287" s="7" t="s">
        <v>3982</v>
      </c>
      <c r="T287" s="7" t="s">
        <v>2067</v>
      </c>
      <c r="U287" s="7" t="s">
        <v>2068</v>
      </c>
      <c r="V287" s="7" t="s">
        <v>2067</v>
      </c>
      <c r="W287" s="7" t="s">
        <v>2082</v>
      </c>
    </row>
    <row r="288" spans="1:23" ht="20.100000000000001" customHeight="1" x14ac:dyDescent="0.25">
      <c r="A288" s="3" t="s">
        <v>972</v>
      </c>
      <c r="B288" s="4" t="s">
        <v>2084</v>
      </c>
      <c r="C288" s="4" t="s">
        <v>3983</v>
      </c>
      <c r="D288" s="4" t="s">
        <v>2059</v>
      </c>
      <c r="E288" s="4" t="s">
        <v>1947</v>
      </c>
      <c r="F288" s="4" t="s">
        <v>1948</v>
      </c>
      <c r="G288" s="4" t="s">
        <v>2084</v>
      </c>
      <c r="H288" s="4" t="s">
        <v>3984</v>
      </c>
      <c r="I288" s="4" t="s">
        <v>3916</v>
      </c>
      <c r="J288" s="4" t="s">
        <v>3985</v>
      </c>
      <c r="K288" s="4" t="s">
        <v>3986</v>
      </c>
      <c r="L288" s="4" t="s">
        <v>3987</v>
      </c>
      <c r="M288" s="4" t="s">
        <v>2078</v>
      </c>
      <c r="N288" s="8">
        <v>45992</v>
      </c>
      <c r="O288" s="8">
        <v>46356</v>
      </c>
      <c r="P288" s="4" t="s">
        <v>2090</v>
      </c>
      <c r="Q288" s="4" t="s">
        <v>3916</v>
      </c>
      <c r="R288" s="4" t="s">
        <v>3988</v>
      </c>
      <c r="S288" s="4" t="s">
        <v>3989</v>
      </c>
      <c r="T288" s="4" t="s">
        <v>2067</v>
      </c>
      <c r="U288" s="4" t="s">
        <v>2146</v>
      </c>
      <c r="V288" s="4" t="s">
        <v>2067</v>
      </c>
      <c r="W288" s="4" t="s">
        <v>2069</v>
      </c>
    </row>
    <row r="289" spans="1:23" ht="20.100000000000001" customHeight="1" x14ac:dyDescent="0.25">
      <c r="A289" s="6" t="s">
        <v>428</v>
      </c>
      <c r="B289" s="7" t="s">
        <v>2084</v>
      </c>
      <c r="C289" s="7" t="s">
        <v>3990</v>
      </c>
      <c r="D289" s="7" t="s">
        <v>2059</v>
      </c>
      <c r="E289" s="7" t="s">
        <v>1947</v>
      </c>
      <c r="F289" s="7" t="s">
        <v>1948</v>
      </c>
      <c r="G289" s="7" t="s">
        <v>2084</v>
      </c>
      <c r="H289" s="7" t="s">
        <v>3984</v>
      </c>
      <c r="I289" s="7" t="s">
        <v>3916</v>
      </c>
      <c r="J289" s="7" t="s">
        <v>3991</v>
      </c>
      <c r="K289" s="7" t="s">
        <v>3992</v>
      </c>
      <c r="L289" s="7" t="s">
        <v>3993</v>
      </c>
      <c r="M289" s="7" t="s">
        <v>2078</v>
      </c>
      <c r="N289" s="9">
        <v>45992</v>
      </c>
      <c r="O289" s="9">
        <v>46356</v>
      </c>
      <c r="P289" s="7" t="s">
        <v>2090</v>
      </c>
      <c r="Q289" s="7" t="s">
        <v>3916</v>
      </c>
      <c r="R289" s="7" t="s">
        <v>3994</v>
      </c>
      <c r="S289" s="7" t="s">
        <v>3995</v>
      </c>
      <c r="T289" s="7" t="s">
        <v>2067</v>
      </c>
      <c r="U289" s="7" t="s">
        <v>2146</v>
      </c>
      <c r="V289" s="7" t="s">
        <v>2067</v>
      </c>
      <c r="W289" s="7" t="s">
        <v>2069</v>
      </c>
    </row>
    <row r="290" spans="1:23" ht="20.100000000000001" customHeight="1" x14ac:dyDescent="0.25">
      <c r="A290" s="3" t="s">
        <v>726</v>
      </c>
      <c r="B290" s="4" t="s">
        <v>2084</v>
      </c>
      <c r="C290" s="4" t="s">
        <v>3996</v>
      </c>
      <c r="D290" s="4" t="s">
        <v>2059</v>
      </c>
      <c r="E290" s="4" t="s">
        <v>1983</v>
      </c>
      <c r="F290" s="4" t="s">
        <v>1984</v>
      </c>
      <c r="G290" s="4" t="s">
        <v>2084</v>
      </c>
      <c r="H290" s="4" t="s">
        <v>3952</v>
      </c>
      <c r="I290" s="4" t="s">
        <v>3916</v>
      </c>
      <c r="J290" s="4" t="s">
        <v>3997</v>
      </c>
      <c r="K290" s="4" t="s">
        <v>3998</v>
      </c>
      <c r="L290" s="4" t="s">
        <v>3999</v>
      </c>
      <c r="M290" s="4" t="s">
        <v>2078</v>
      </c>
      <c r="N290" s="8">
        <v>45992</v>
      </c>
      <c r="O290" s="8">
        <v>46356</v>
      </c>
      <c r="P290" s="4" t="s">
        <v>2493</v>
      </c>
      <c r="Q290" s="4" t="s">
        <v>3916</v>
      </c>
      <c r="R290" s="4" t="s">
        <v>4000</v>
      </c>
      <c r="S290" s="4" t="s">
        <v>4001</v>
      </c>
      <c r="T290" s="4" t="s">
        <v>2067</v>
      </c>
      <c r="U290" s="4" t="s">
        <v>2496</v>
      </c>
      <c r="V290" s="4" t="s">
        <v>2067</v>
      </c>
      <c r="W290" s="4" t="s">
        <v>2082</v>
      </c>
    </row>
    <row r="291" spans="1:23" ht="20.100000000000001" customHeight="1" x14ac:dyDescent="0.25">
      <c r="A291" s="6" t="s">
        <v>4002</v>
      </c>
      <c r="B291" s="7" t="s">
        <v>2084</v>
      </c>
      <c r="C291" s="7" t="s">
        <v>4003</v>
      </c>
      <c r="D291" s="7" t="s">
        <v>2059</v>
      </c>
      <c r="E291" s="7" t="s">
        <v>1947</v>
      </c>
      <c r="F291" s="7" t="s">
        <v>1948</v>
      </c>
      <c r="G291" s="7" t="s">
        <v>2084</v>
      </c>
      <c r="H291" s="7" t="s">
        <v>3940</v>
      </c>
      <c r="I291" s="7" t="s">
        <v>3916</v>
      </c>
      <c r="J291" s="7" t="s">
        <v>4004</v>
      </c>
      <c r="K291" s="7" t="s">
        <v>4005</v>
      </c>
      <c r="L291" s="7" t="s">
        <v>4006</v>
      </c>
      <c r="M291" s="7" t="s">
        <v>2078</v>
      </c>
      <c r="N291" s="9">
        <v>46234</v>
      </c>
      <c r="O291" s="9">
        <v>46356</v>
      </c>
      <c r="P291" s="7" t="s">
        <v>2090</v>
      </c>
      <c r="Q291" s="7" t="s">
        <v>3916</v>
      </c>
      <c r="R291" s="7" t="s">
        <v>4007</v>
      </c>
      <c r="S291" s="7" t="s">
        <v>4008</v>
      </c>
      <c r="T291" s="7" t="s">
        <v>2067</v>
      </c>
      <c r="U291" s="7" t="s">
        <v>2146</v>
      </c>
      <c r="V291" s="7" t="s">
        <v>2067</v>
      </c>
      <c r="W291" s="7" t="s">
        <v>2069</v>
      </c>
    </row>
    <row r="292" spans="1:23" ht="20.100000000000001" customHeight="1" x14ac:dyDescent="0.25">
      <c r="A292" s="3" t="s">
        <v>834</v>
      </c>
      <c r="B292" s="4" t="s">
        <v>2057</v>
      </c>
      <c r="C292" s="4" t="s">
        <v>4009</v>
      </c>
      <c r="D292" s="4" t="s">
        <v>2059</v>
      </c>
      <c r="E292" s="4" t="s">
        <v>1947</v>
      </c>
      <c r="F292" s="4" t="s">
        <v>2329</v>
      </c>
      <c r="G292" s="4" t="s">
        <v>2057</v>
      </c>
      <c r="H292" s="4" t="s">
        <v>3977</v>
      </c>
      <c r="I292" s="4" t="s">
        <v>3916</v>
      </c>
      <c r="J292" s="4" t="s">
        <v>4010</v>
      </c>
      <c r="K292" s="4" t="s">
        <v>4011</v>
      </c>
      <c r="L292" s="4" t="s">
        <v>4012</v>
      </c>
      <c r="M292" s="4" t="s">
        <v>2078</v>
      </c>
      <c r="N292" s="8">
        <v>46234</v>
      </c>
      <c r="O292" s="8">
        <v>46356</v>
      </c>
      <c r="P292" s="4" t="s">
        <v>2090</v>
      </c>
      <c r="Q292" s="4" t="s">
        <v>3916</v>
      </c>
      <c r="R292" s="4" t="s">
        <v>2663</v>
      </c>
      <c r="S292" s="4" t="s">
        <v>4013</v>
      </c>
      <c r="T292" s="4" t="s">
        <v>2067</v>
      </c>
      <c r="U292" s="4" t="s">
        <v>2128</v>
      </c>
      <c r="V292" s="4" t="s">
        <v>2067</v>
      </c>
      <c r="W292" s="4" t="s">
        <v>2082</v>
      </c>
    </row>
    <row r="293" spans="1:23" ht="20.100000000000001" customHeight="1" x14ac:dyDescent="0.25">
      <c r="A293" s="6" t="s">
        <v>952</v>
      </c>
      <c r="B293" s="7" t="s">
        <v>2084</v>
      </c>
      <c r="C293" s="7" t="s">
        <v>4014</v>
      </c>
      <c r="D293" s="7" t="s">
        <v>2059</v>
      </c>
      <c r="E293" s="7" t="s">
        <v>1947</v>
      </c>
      <c r="F293" s="7" t="s">
        <v>1948</v>
      </c>
      <c r="G293" s="7" t="s">
        <v>2084</v>
      </c>
      <c r="H293" s="7" t="s">
        <v>3952</v>
      </c>
      <c r="I293" s="7" t="s">
        <v>3916</v>
      </c>
      <c r="J293" s="7" t="s">
        <v>4015</v>
      </c>
      <c r="K293" s="7" t="s">
        <v>4016</v>
      </c>
      <c r="L293" s="7" t="s">
        <v>4017</v>
      </c>
      <c r="M293" s="7" t="s">
        <v>2078</v>
      </c>
      <c r="N293" s="9">
        <v>46052</v>
      </c>
      <c r="O293" s="9">
        <v>46296</v>
      </c>
      <c r="P293" s="7" t="s">
        <v>2090</v>
      </c>
      <c r="Q293" s="7" t="s">
        <v>3916</v>
      </c>
      <c r="R293" s="7" t="s">
        <v>4018</v>
      </c>
      <c r="S293" s="7" t="s">
        <v>4019</v>
      </c>
      <c r="T293" s="7" t="s">
        <v>2067</v>
      </c>
      <c r="U293" s="7" t="s">
        <v>2146</v>
      </c>
      <c r="V293" s="7" t="s">
        <v>2067</v>
      </c>
      <c r="W293" s="7" t="s">
        <v>2082</v>
      </c>
    </row>
    <row r="294" spans="1:23" ht="20.100000000000001" customHeight="1" x14ac:dyDescent="0.25">
      <c r="A294" s="3" t="s">
        <v>300</v>
      </c>
      <c r="B294" s="4" t="s">
        <v>2084</v>
      </c>
      <c r="C294" s="4" t="s">
        <v>4020</v>
      </c>
      <c r="D294" s="4" t="s">
        <v>2059</v>
      </c>
      <c r="E294" s="4" t="s">
        <v>1947</v>
      </c>
      <c r="F294" s="4" t="s">
        <v>1948</v>
      </c>
      <c r="G294" s="4" t="s">
        <v>2084</v>
      </c>
      <c r="H294" s="4" t="s">
        <v>4021</v>
      </c>
      <c r="I294" s="4" t="s">
        <v>3916</v>
      </c>
      <c r="J294" s="4" t="s">
        <v>4022</v>
      </c>
      <c r="K294" s="4" t="s">
        <v>4023</v>
      </c>
      <c r="L294" s="4" t="s">
        <v>4024</v>
      </c>
      <c r="M294" s="4" t="s">
        <v>2078</v>
      </c>
      <c r="N294" s="8">
        <v>46234</v>
      </c>
      <c r="O294" s="8">
        <v>46356</v>
      </c>
      <c r="P294" s="4" t="s">
        <v>2090</v>
      </c>
      <c r="Q294" s="4" t="s">
        <v>3916</v>
      </c>
      <c r="R294" s="4" t="s">
        <v>2297</v>
      </c>
      <c r="S294" s="4" t="s">
        <v>4025</v>
      </c>
      <c r="T294" s="4" t="s">
        <v>2067</v>
      </c>
      <c r="U294" s="4" t="s">
        <v>2146</v>
      </c>
      <c r="V294" s="4" t="s">
        <v>2067</v>
      </c>
      <c r="W294" s="4" t="s">
        <v>2082</v>
      </c>
    </row>
    <row r="295" spans="1:23" ht="20.100000000000001" customHeight="1" x14ac:dyDescent="0.25">
      <c r="A295" s="6" t="s">
        <v>674</v>
      </c>
      <c r="B295" s="7" t="s">
        <v>2057</v>
      </c>
      <c r="C295" s="7" t="s">
        <v>4026</v>
      </c>
      <c r="D295" s="7" t="s">
        <v>2059</v>
      </c>
      <c r="E295" s="7" t="s">
        <v>1952</v>
      </c>
      <c r="F295" s="7" t="s">
        <v>1953</v>
      </c>
      <c r="G295" s="7" t="s">
        <v>2057</v>
      </c>
      <c r="H295" s="7" t="s">
        <v>3965</v>
      </c>
      <c r="I295" s="7" t="s">
        <v>3916</v>
      </c>
      <c r="J295" s="7" t="s">
        <v>4027</v>
      </c>
      <c r="K295" s="7" t="s">
        <v>4028</v>
      </c>
      <c r="L295" s="7" t="s">
        <v>4029</v>
      </c>
      <c r="M295" s="7" t="s">
        <v>2078</v>
      </c>
      <c r="N295" s="9">
        <v>46234</v>
      </c>
      <c r="O295" s="9">
        <v>46356</v>
      </c>
      <c r="P295" s="7" t="s">
        <v>1953</v>
      </c>
      <c r="Q295" s="7" t="s">
        <v>3916</v>
      </c>
      <c r="R295" s="7" t="s">
        <v>4030</v>
      </c>
      <c r="S295" s="7" t="s">
        <v>4031</v>
      </c>
      <c r="T295" s="7" t="s">
        <v>2067</v>
      </c>
      <c r="U295" s="7" t="s">
        <v>2358</v>
      </c>
      <c r="V295" s="7" t="s">
        <v>2067</v>
      </c>
      <c r="W295" s="7" t="s">
        <v>2082</v>
      </c>
    </row>
    <row r="296" spans="1:23" ht="20.100000000000001" customHeight="1" x14ac:dyDescent="0.25">
      <c r="A296" s="3" t="s">
        <v>1162</v>
      </c>
      <c r="B296" s="4" t="s">
        <v>2084</v>
      </c>
      <c r="C296" s="4" t="s">
        <v>4032</v>
      </c>
      <c r="D296" s="4" t="s">
        <v>2059</v>
      </c>
      <c r="E296" s="4" t="s">
        <v>1947</v>
      </c>
      <c r="F296" s="4" t="s">
        <v>1948</v>
      </c>
      <c r="G296" s="4" t="s">
        <v>2084</v>
      </c>
      <c r="H296" s="4" t="s">
        <v>3940</v>
      </c>
      <c r="I296" s="4" t="s">
        <v>3916</v>
      </c>
      <c r="J296" s="4" t="s">
        <v>4033</v>
      </c>
      <c r="K296" s="4" t="s">
        <v>4034</v>
      </c>
      <c r="L296" s="4" t="s">
        <v>4035</v>
      </c>
      <c r="M296" s="4" t="s">
        <v>2078</v>
      </c>
      <c r="N296" s="8">
        <v>45992</v>
      </c>
      <c r="O296" s="8">
        <v>46356</v>
      </c>
      <c r="P296" s="4" t="s">
        <v>2090</v>
      </c>
      <c r="Q296" s="4" t="s">
        <v>3916</v>
      </c>
      <c r="R296" s="4" t="s">
        <v>4036</v>
      </c>
      <c r="S296" s="4" t="s">
        <v>4037</v>
      </c>
      <c r="T296" s="4" t="s">
        <v>2067</v>
      </c>
      <c r="U296" s="4" t="s">
        <v>2146</v>
      </c>
      <c r="V296" s="4" t="s">
        <v>2067</v>
      </c>
      <c r="W296" s="4" t="s">
        <v>2069</v>
      </c>
    </row>
    <row r="297" spans="1:23" ht="20.100000000000001" customHeight="1" x14ac:dyDescent="0.25">
      <c r="A297" s="6" t="s">
        <v>1158</v>
      </c>
      <c r="B297" s="7" t="s">
        <v>2084</v>
      </c>
      <c r="C297" s="7" t="s">
        <v>4038</v>
      </c>
      <c r="D297" s="7" t="s">
        <v>2059</v>
      </c>
      <c r="E297" s="7" t="s">
        <v>1947</v>
      </c>
      <c r="F297" s="7" t="s">
        <v>1948</v>
      </c>
      <c r="G297" s="7" t="s">
        <v>2084</v>
      </c>
      <c r="H297" s="7" t="s">
        <v>3940</v>
      </c>
      <c r="I297" s="7" t="s">
        <v>3916</v>
      </c>
      <c r="J297" s="7" t="s">
        <v>4039</v>
      </c>
      <c r="K297" s="7" t="s">
        <v>4040</v>
      </c>
      <c r="L297" s="7" t="s">
        <v>4041</v>
      </c>
      <c r="M297" s="7" t="s">
        <v>2078</v>
      </c>
      <c r="N297" s="9">
        <v>45992</v>
      </c>
      <c r="O297" s="9">
        <v>46356</v>
      </c>
      <c r="P297" s="7" t="s">
        <v>2090</v>
      </c>
      <c r="Q297" s="7" t="s">
        <v>3916</v>
      </c>
      <c r="R297" s="7" t="s">
        <v>4042</v>
      </c>
      <c r="S297" s="7" t="s">
        <v>4043</v>
      </c>
      <c r="T297" s="7" t="s">
        <v>2067</v>
      </c>
      <c r="U297" s="7" t="s">
        <v>2146</v>
      </c>
      <c r="V297" s="7" t="s">
        <v>2067</v>
      </c>
      <c r="W297" s="7" t="s">
        <v>2069</v>
      </c>
    </row>
    <row r="298" spans="1:23" ht="20.100000000000001" customHeight="1" x14ac:dyDescent="0.25">
      <c r="A298" s="3" t="s">
        <v>1204</v>
      </c>
      <c r="B298" s="4" t="s">
        <v>2057</v>
      </c>
      <c r="C298" s="4" t="s">
        <v>4044</v>
      </c>
      <c r="D298" s="4" t="s">
        <v>2059</v>
      </c>
      <c r="E298" s="4" t="s">
        <v>1947</v>
      </c>
      <c r="F298" s="4" t="s">
        <v>1948</v>
      </c>
      <c r="G298" s="4" t="s">
        <v>2057</v>
      </c>
      <c r="H298" s="4" t="s">
        <v>4045</v>
      </c>
      <c r="I298" s="4" t="s">
        <v>3916</v>
      </c>
      <c r="J298" s="4" t="s">
        <v>4046</v>
      </c>
      <c r="K298" s="4" t="s">
        <v>4047</v>
      </c>
      <c r="L298" s="4" t="s">
        <v>4048</v>
      </c>
      <c r="M298" s="4" t="s">
        <v>2078</v>
      </c>
      <c r="N298" s="8">
        <v>46234</v>
      </c>
      <c r="O298" s="8">
        <v>46356</v>
      </c>
      <c r="P298" s="4" t="s">
        <v>2090</v>
      </c>
      <c r="Q298" s="4" t="s">
        <v>3916</v>
      </c>
      <c r="R298" s="4" t="s">
        <v>4049</v>
      </c>
      <c r="S298" s="4" t="s">
        <v>4050</v>
      </c>
      <c r="T298" s="4" t="s">
        <v>2067</v>
      </c>
      <c r="U298" s="4" t="s">
        <v>2109</v>
      </c>
      <c r="V298" s="4" t="s">
        <v>2067</v>
      </c>
      <c r="W298" s="4" t="s">
        <v>2069</v>
      </c>
    </row>
    <row r="299" spans="1:23" ht="20.100000000000001" customHeight="1" x14ac:dyDescent="0.25">
      <c r="A299" s="6" t="s">
        <v>1030</v>
      </c>
      <c r="B299" s="7" t="s">
        <v>2084</v>
      </c>
      <c r="C299" s="7" t="s">
        <v>4051</v>
      </c>
      <c r="D299" s="7" t="s">
        <v>2059</v>
      </c>
      <c r="E299" s="7" t="s">
        <v>1947</v>
      </c>
      <c r="F299" s="7" t="s">
        <v>1948</v>
      </c>
      <c r="G299" s="7" t="s">
        <v>2084</v>
      </c>
      <c r="H299" s="7" t="s">
        <v>3940</v>
      </c>
      <c r="I299" s="7" t="s">
        <v>3916</v>
      </c>
      <c r="J299" s="7" t="s">
        <v>4052</v>
      </c>
      <c r="K299" s="7" t="s">
        <v>4053</v>
      </c>
      <c r="L299" s="7" t="s">
        <v>4054</v>
      </c>
      <c r="M299" s="7" t="s">
        <v>2078</v>
      </c>
      <c r="N299" s="9">
        <v>46234</v>
      </c>
      <c r="O299" s="9">
        <v>46356</v>
      </c>
      <c r="P299" s="7" t="s">
        <v>2090</v>
      </c>
      <c r="Q299" s="7" t="s">
        <v>3916</v>
      </c>
      <c r="R299" s="7" t="s">
        <v>4055</v>
      </c>
      <c r="S299" s="7" t="s">
        <v>4056</v>
      </c>
      <c r="T299" s="7" t="s">
        <v>2067</v>
      </c>
      <c r="U299" s="7" t="s">
        <v>2146</v>
      </c>
      <c r="V299" s="7" t="s">
        <v>2067</v>
      </c>
      <c r="W299" s="7" t="s">
        <v>2069</v>
      </c>
    </row>
    <row r="300" spans="1:23" ht="20.100000000000001" customHeight="1" x14ac:dyDescent="0.25">
      <c r="A300" s="3" t="s">
        <v>1350</v>
      </c>
      <c r="B300" s="4" t="s">
        <v>2057</v>
      </c>
      <c r="C300" s="4" t="s">
        <v>4057</v>
      </c>
      <c r="D300" s="4" t="s">
        <v>2059</v>
      </c>
      <c r="E300" s="4" t="s">
        <v>1947</v>
      </c>
      <c r="F300" s="4" t="s">
        <v>1948</v>
      </c>
      <c r="G300" s="4" t="s">
        <v>2057</v>
      </c>
      <c r="H300" s="4" t="s">
        <v>3977</v>
      </c>
      <c r="I300" s="4" t="s">
        <v>3916</v>
      </c>
      <c r="J300" s="4" t="s">
        <v>4058</v>
      </c>
      <c r="K300" s="4" t="s">
        <v>4059</v>
      </c>
      <c r="L300" s="4" t="s">
        <v>4060</v>
      </c>
      <c r="M300" s="4" t="s">
        <v>2078</v>
      </c>
      <c r="N300" s="8">
        <v>46234</v>
      </c>
      <c r="O300" s="8">
        <v>46356</v>
      </c>
      <c r="P300" s="4" t="s">
        <v>2090</v>
      </c>
      <c r="Q300" s="4" t="s">
        <v>3916</v>
      </c>
      <c r="R300" s="4" t="s">
        <v>3383</v>
      </c>
      <c r="S300" s="4" t="s">
        <v>4061</v>
      </c>
      <c r="T300" s="4" t="s">
        <v>2067</v>
      </c>
      <c r="U300" s="4" t="s">
        <v>2109</v>
      </c>
      <c r="V300" s="4" t="s">
        <v>2067</v>
      </c>
      <c r="W300" s="4" t="s">
        <v>2082</v>
      </c>
    </row>
    <row r="301" spans="1:23" ht="20.100000000000001" customHeight="1" x14ac:dyDescent="0.25">
      <c r="A301" s="6" t="s">
        <v>1090</v>
      </c>
      <c r="B301" s="7" t="s">
        <v>2057</v>
      </c>
      <c r="C301" s="7" t="s">
        <v>4062</v>
      </c>
      <c r="D301" s="7" t="s">
        <v>2059</v>
      </c>
      <c r="E301" s="7" t="s">
        <v>1965</v>
      </c>
      <c r="F301" s="7" t="s">
        <v>1966</v>
      </c>
      <c r="G301" s="7" t="s">
        <v>2057</v>
      </c>
      <c r="H301" s="7" t="s">
        <v>3925</v>
      </c>
      <c r="I301" s="7" t="s">
        <v>3916</v>
      </c>
      <c r="J301" s="7" t="s">
        <v>4063</v>
      </c>
      <c r="K301" s="7" t="s">
        <v>4064</v>
      </c>
      <c r="L301" s="7" t="s">
        <v>4065</v>
      </c>
      <c r="M301" s="7" t="s">
        <v>2078</v>
      </c>
      <c r="N301" s="9">
        <v>46052</v>
      </c>
      <c r="O301" s="9">
        <v>46296</v>
      </c>
      <c r="P301" s="7" t="s">
        <v>1966</v>
      </c>
      <c r="Q301" s="7" t="s">
        <v>3916</v>
      </c>
      <c r="R301" s="7" t="s">
        <v>4066</v>
      </c>
      <c r="S301" s="7" t="s">
        <v>4067</v>
      </c>
      <c r="T301" s="7" t="s">
        <v>2067</v>
      </c>
      <c r="U301" s="7" t="s">
        <v>2174</v>
      </c>
      <c r="V301" s="7" t="s">
        <v>2067</v>
      </c>
      <c r="W301" s="7" t="s">
        <v>2069</v>
      </c>
    </row>
    <row r="302" spans="1:23" ht="20.100000000000001" customHeight="1" x14ac:dyDescent="0.25">
      <c r="A302" s="3" t="s">
        <v>1306</v>
      </c>
      <c r="B302" s="4" t="s">
        <v>2084</v>
      </c>
      <c r="C302" s="4" t="s">
        <v>4068</v>
      </c>
      <c r="D302" s="4" t="s">
        <v>2059</v>
      </c>
      <c r="E302" s="4" t="s">
        <v>1947</v>
      </c>
      <c r="F302" s="4" t="s">
        <v>1948</v>
      </c>
      <c r="G302" s="4" t="s">
        <v>2084</v>
      </c>
      <c r="H302" s="4" t="s">
        <v>3984</v>
      </c>
      <c r="I302" s="4" t="s">
        <v>3916</v>
      </c>
      <c r="J302" s="4" t="s">
        <v>4069</v>
      </c>
      <c r="K302" s="4" t="s">
        <v>4070</v>
      </c>
      <c r="L302" s="4" t="s">
        <v>4071</v>
      </c>
      <c r="M302" s="4" t="s">
        <v>2078</v>
      </c>
      <c r="N302" s="8">
        <v>46052</v>
      </c>
      <c r="O302" s="8">
        <v>46296</v>
      </c>
      <c r="P302" s="4" t="s">
        <v>2090</v>
      </c>
      <c r="Q302" s="4" t="s">
        <v>3916</v>
      </c>
      <c r="R302" s="4" t="s">
        <v>3981</v>
      </c>
      <c r="S302" s="4" t="s">
        <v>4072</v>
      </c>
      <c r="T302" s="4" t="s">
        <v>2067</v>
      </c>
      <c r="U302" s="4" t="s">
        <v>2146</v>
      </c>
      <c r="V302" s="4" t="s">
        <v>2067</v>
      </c>
      <c r="W302" s="4" t="s">
        <v>2069</v>
      </c>
    </row>
    <row r="303" spans="1:23" ht="20.100000000000001" customHeight="1" x14ac:dyDescent="0.25">
      <c r="A303" s="6" t="s">
        <v>1146</v>
      </c>
      <c r="B303" s="7" t="s">
        <v>2084</v>
      </c>
      <c r="C303" s="7" t="s">
        <v>4073</v>
      </c>
      <c r="D303" s="7" t="s">
        <v>2059</v>
      </c>
      <c r="E303" s="7" t="s">
        <v>1947</v>
      </c>
      <c r="F303" s="7" t="s">
        <v>1948</v>
      </c>
      <c r="G303" s="7" t="s">
        <v>2084</v>
      </c>
      <c r="H303" s="7" t="s">
        <v>3940</v>
      </c>
      <c r="I303" s="7" t="s">
        <v>3916</v>
      </c>
      <c r="J303" s="7" t="s">
        <v>4074</v>
      </c>
      <c r="K303" s="7" t="s">
        <v>4075</v>
      </c>
      <c r="L303" s="7" t="s">
        <v>4076</v>
      </c>
      <c r="M303" s="7" t="s">
        <v>2078</v>
      </c>
      <c r="N303" s="9">
        <v>46234</v>
      </c>
      <c r="O303" s="9">
        <v>46356</v>
      </c>
      <c r="P303" s="7" t="s">
        <v>2090</v>
      </c>
      <c r="Q303" s="7" t="s">
        <v>3916</v>
      </c>
      <c r="R303" s="7" t="s">
        <v>4077</v>
      </c>
      <c r="S303" s="7" t="s">
        <v>4078</v>
      </c>
      <c r="T303" s="7" t="s">
        <v>2067</v>
      </c>
      <c r="U303" s="7" t="s">
        <v>2146</v>
      </c>
      <c r="V303" s="7" t="s">
        <v>2067</v>
      </c>
      <c r="W303" s="7" t="s">
        <v>2069</v>
      </c>
    </row>
    <row r="304" spans="1:23" ht="20.100000000000001" customHeight="1" x14ac:dyDescent="0.25">
      <c r="A304" s="3" t="s">
        <v>4079</v>
      </c>
      <c r="B304" s="4" t="s">
        <v>2084</v>
      </c>
      <c r="C304" s="4" t="s">
        <v>4080</v>
      </c>
      <c r="D304" s="4" t="s">
        <v>2059</v>
      </c>
      <c r="E304" s="4" t="s">
        <v>1947</v>
      </c>
      <c r="F304" s="4" t="s">
        <v>2238</v>
      </c>
      <c r="G304" s="4" t="s">
        <v>2084</v>
      </c>
      <c r="H304" s="4" t="s">
        <v>4021</v>
      </c>
      <c r="I304" s="4" t="s">
        <v>3916</v>
      </c>
      <c r="J304" s="4" t="s">
        <v>4081</v>
      </c>
      <c r="K304" s="4" t="s">
        <v>4082</v>
      </c>
      <c r="L304" s="4" t="s">
        <v>4083</v>
      </c>
      <c r="M304" s="4" t="s">
        <v>2078</v>
      </c>
      <c r="N304" s="8">
        <v>46234</v>
      </c>
      <c r="O304" s="8">
        <v>46356</v>
      </c>
      <c r="P304" s="4" t="s">
        <v>2090</v>
      </c>
      <c r="Q304" s="4" t="s">
        <v>3916</v>
      </c>
      <c r="R304" s="4" t="s">
        <v>4084</v>
      </c>
      <c r="S304" s="4" t="s">
        <v>4085</v>
      </c>
      <c r="T304" s="4" t="s">
        <v>2067</v>
      </c>
      <c r="U304" s="4" t="s">
        <v>2244</v>
      </c>
      <c r="V304" s="4" t="s">
        <v>2067</v>
      </c>
      <c r="W304" s="4" t="s">
        <v>2082</v>
      </c>
    </row>
    <row r="305" spans="1:23" ht="20.100000000000001" customHeight="1" x14ac:dyDescent="0.25">
      <c r="A305" s="6" t="s">
        <v>4086</v>
      </c>
      <c r="B305" s="7" t="s">
        <v>2084</v>
      </c>
      <c r="C305" s="7" t="s">
        <v>4087</v>
      </c>
      <c r="D305" s="7" t="s">
        <v>2059</v>
      </c>
      <c r="E305" s="7" t="s">
        <v>1947</v>
      </c>
      <c r="F305" s="7" t="s">
        <v>2238</v>
      </c>
      <c r="G305" s="7" t="s">
        <v>2084</v>
      </c>
      <c r="H305" s="7" t="s">
        <v>4088</v>
      </c>
      <c r="I305" s="7" t="s">
        <v>3916</v>
      </c>
      <c r="J305" s="7" t="s">
        <v>4089</v>
      </c>
      <c r="K305" s="7" t="s">
        <v>4090</v>
      </c>
      <c r="L305" s="7" t="s">
        <v>4091</v>
      </c>
      <c r="M305" s="7" t="s">
        <v>2078</v>
      </c>
      <c r="N305" s="9">
        <v>45992</v>
      </c>
      <c r="O305" s="9">
        <v>46356</v>
      </c>
      <c r="P305" s="7" t="s">
        <v>2090</v>
      </c>
      <c r="Q305" s="7" t="s">
        <v>3916</v>
      </c>
      <c r="R305" s="7" t="s">
        <v>4092</v>
      </c>
      <c r="S305" s="7" t="s">
        <v>4093</v>
      </c>
      <c r="T305" s="7" t="s">
        <v>2067</v>
      </c>
      <c r="U305" s="7" t="s">
        <v>2244</v>
      </c>
      <c r="V305" s="7" t="s">
        <v>2067</v>
      </c>
      <c r="W305" s="7" t="s">
        <v>2082</v>
      </c>
    </row>
    <row r="306" spans="1:23" ht="20.100000000000001" customHeight="1" x14ac:dyDescent="0.25">
      <c r="A306" s="3" t="s">
        <v>1354</v>
      </c>
      <c r="B306" s="4" t="s">
        <v>2057</v>
      </c>
      <c r="C306" s="4" t="s">
        <v>4094</v>
      </c>
      <c r="D306" s="4" t="s">
        <v>2059</v>
      </c>
      <c r="E306" s="4" t="s">
        <v>1947</v>
      </c>
      <c r="F306" s="4" t="s">
        <v>1948</v>
      </c>
      <c r="G306" s="4" t="s">
        <v>2057</v>
      </c>
      <c r="H306" s="4" t="s">
        <v>4095</v>
      </c>
      <c r="I306" s="4" t="s">
        <v>3916</v>
      </c>
      <c r="J306" s="4" t="s">
        <v>4096</v>
      </c>
      <c r="K306" s="4" t="s">
        <v>4097</v>
      </c>
      <c r="L306" s="4" t="s">
        <v>4098</v>
      </c>
      <c r="M306" s="4" t="s">
        <v>2078</v>
      </c>
      <c r="N306" s="8">
        <v>46234</v>
      </c>
      <c r="O306" s="8">
        <v>46356</v>
      </c>
      <c r="P306" s="4" t="s">
        <v>2090</v>
      </c>
      <c r="Q306" s="4" t="s">
        <v>3916</v>
      </c>
      <c r="R306" s="4" t="s">
        <v>4099</v>
      </c>
      <c r="S306" s="4" t="s">
        <v>4100</v>
      </c>
      <c r="T306" s="4" t="s">
        <v>2067</v>
      </c>
      <c r="U306" s="4" t="s">
        <v>2109</v>
      </c>
      <c r="V306" s="4" t="s">
        <v>2067</v>
      </c>
      <c r="W306" s="4" t="s">
        <v>2069</v>
      </c>
    </row>
    <row r="307" spans="1:23" ht="20.100000000000001" customHeight="1" x14ac:dyDescent="0.25">
      <c r="A307" s="6" t="s">
        <v>1304</v>
      </c>
      <c r="B307" s="7" t="s">
        <v>2084</v>
      </c>
      <c r="C307" s="7" t="s">
        <v>4101</v>
      </c>
      <c r="D307" s="7" t="s">
        <v>2059</v>
      </c>
      <c r="E307" s="7" t="s">
        <v>1947</v>
      </c>
      <c r="F307" s="7" t="s">
        <v>1948</v>
      </c>
      <c r="G307" s="7" t="s">
        <v>2084</v>
      </c>
      <c r="H307" s="7" t="s">
        <v>3984</v>
      </c>
      <c r="I307" s="7" t="s">
        <v>3916</v>
      </c>
      <c r="J307" s="7" t="s">
        <v>4102</v>
      </c>
      <c r="K307" s="7" t="s">
        <v>4103</v>
      </c>
      <c r="L307" s="7" t="s">
        <v>4104</v>
      </c>
      <c r="M307" s="7" t="s">
        <v>2078</v>
      </c>
      <c r="N307" s="9">
        <v>45992</v>
      </c>
      <c r="O307" s="9">
        <v>46356</v>
      </c>
      <c r="P307" s="7" t="s">
        <v>2090</v>
      </c>
      <c r="Q307" s="7" t="s">
        <v>3916</v>
      </c>
      <c r="R307" s="7" t="s">
        <v>2222</v>
      </c>
      <c r="S307" s="7" t="s">
        <v>4105</v>
      </c>
      <c r="T307" s="7" t="s">
        <v>2067</v>
      </c>
      <c r="U307" s="7" t="s">
        <v>2146</v>
      </c>
      <c r="V307" s="7" t="s">
        <v>2067</v>
      </c>
      <c r="W307" s="7" t="s">
        <v>2069</v>
      </c>
    </row>
    <row r="308" spans="1:23" ht="20.100000000000001" customHeight="1" x14ac:dyDescent="0.25">
      <c r="A308" s="3" t="s">
        <v>1482</v>
      </c>
      <c r="B308" s="4" t="s">
        <v>2057</v>
      </c>
      <c r="C308" s="4" t="s">
        <v>4106</v>
      </c>
      <c r="D308" s="4" t="s">
        <v>2059</v>
      </c>
      <c r="E308" s="4" t="s">
        <v>1983</v>
      </c>
      <c r="F308" s="4" t="s">
        <v>1984</v>
      </c>
      <c r="G308" s="4" t="s">
        <v>2057</v>
      </c>
      <c r="H308" s="4" t="s">
        <v>4045</v>
      </c>
      <c r="I308" s="4" t="s">
        <v>3916</v>
      </c>
      <c r="J308" s="4" t="s">
        <v>4107</v>
      </c>
      <c r="K308" s="4" t="s">
        <v>4108</v>
      </c>
      <c r="L308" s="4" t="s">
        <v>4109</v>
      </c>
      <c r="M308" s="4" t="s">
        <v>2078</v>
      </c>
      <c r="N308" s="8">
        <v>45992</v>
      </c>
      <c r="O308" s="8">
        <v>46356</v>
      </c>
      <c r="P308" s="4" t="s">
        <v>2493</v>
      </c>
      <c r="Q308" s="4" t="s">
        <v>3916</v>
      </c>
      <c r="R308" s="4" t="s">
        <v>2795</v>
      </c>
      <c r="S308" s="4" t="s">
        <v>4110</v>
      </c>
      <c r="T308" s="4" t="s">
        <v>2067</v>
      </c>
      <c r="U308" s="4" t="s">
        <v>2496</v>
      </c>
      <c r="V308" s="4" t="s">
        <v>2067</v>
      </c>
      <c r="W308" s="4" t="s">
        <v>2069</v>
      </c>
    </row>
    <row r="309" spans="1:23" ht="20.100000000000001" customHeight="1" x14ac:dyDescent="0.25">
      <c r="A309" s="6" t="s">
        <v>336</v>
      </c>
      <c r="B309" s="7" t="s">
        <v>2057</v>
      </c>
      <c r="C309" s="7" t="s">
        <v>4111</v>
      </c>
      <c r="D309" s="7" t="s">
        <v>2059</v>
      </c>
      <c r="E309" s="7" t="s">
        <v>1947</v>
      </c>
      <c r="F309" s="7" t="s">
        <v>1948</v>
      </c>
      <c r="G309" s="7" t="s">
        <v>2057</v>
      </c>
      <c r="H309" s="7" t="s">
        <v>4045</v>
      </c>
      <c r="I309" s="7" t="s">
        <v>3916</v>
      </c>
      <c r="J309" s="7" t="s">
        <v>4112</v>
      </c>
      <c r="K309" s="7" t="s">
        <v>4113</v>
      </c>
      <c r="L309" s="7" t="s">
        <v>4114</v>
      </c>
      <c r="M309" s="7" t="s">
        <v>2078</v>
      </c>
      <c r="N309" s="9">
        <v>46234</v>
      </c>
      <c r="O309" s="9">
        <v>46356</v>
      </c>
      <c r="P309" s="7" t="s">
        <v>2090</v>
      </c>
      <c r="Q309" s="7" t="s">
        <v>3916</v>
      </c>
      <c r="R309" s="7" t="s">
        <v>4115</v>
      </c>
      <c r="S309" s="7" t="s">
        <v>4116</v>
      </c>
      <c r="T309" s="7" t="s">
        <v>2067</v>
      </c>
      <c r="U309" s="7" t="s">
        <v>2109</v>
      </c>
      <c r="V309" s="7" t="s">
        <v>2067</v>
      </c>
      <c r="W309" s="7" t="s">
        <v>2069</v>
      </c>
    </row>
    <row r="310" spans="1:23" ht="20.100000000000001" customHeight="1" x14ac:dyDescent="0.25">
      <c r="A310" s="3" t="s">
        <v>100</v>
      </c>
      <c r="B310" s="4" t="s">
        <v>2084</v>
      </c>
      <c r="C310" s="4" t="s">
        <v>4117</v>
      </c>
      <c r="D310" s="4" t="s">
        <v>2059</v>
      </c>
      <c r="E310" s="4" t="s">
        <v>3639</v>
      </c>
      <c r="F310" s="4" t="s">
        <v>3640</v>
      </c>
      <c r="G310" s="4" t="s">
        <v>2084</v>
      </c>
      <c r="H310" s="4" t="s">
        <v>3952</v>
      </c>
      <c r="I310" s="4" t="s">
        <v>3916</v>
      </c>
      <c r="J310" s="4" t="s">
        <v>4118</v>
      </c>
      <c r="K310" s="4" t="s">
        <v>4119</v>
      </c>
      <c r="L310" s="4" t="s">
        <v>4120</v>
      </c>
      <c r="M310" s="4" t="s">
        <v>2078</v>
      </c>
      <c r="N310" s="8">
        <v>45992</v>
      </c>
      <c r="O310" s="8">
        <v>46356</v>
      </c>
      <c r="P310" s="4" t="s">
        <v>3640</v>
      </c>
      <c r="Q310" s="4" t="s">
        <v>3916</v>
      </c>
      <c r="R310" s="4" t="s">
        <v>4121</v>
      </c>
      <c r="S310" s="4" t="s">
        <v>4122</v>
      </c>
      <c r="T310" s="4" t="s">
        <v>2067</v>
      </c>
      <c r="U310" s="4" t="s">
        <v>3647</v>
      </c>
      <c r="V310" s="4" t="s">
        <v>2067</v>
      </c>
      <c r="W310" s="4" t="s">
        <v>2082</v>
      </c>
    </row>
    <row r="311" spans="1:23" ht="20.100000000000001" customHeight="1" x14ac:dyDescent="0.25">
      <c r="A311" s="6" t="s">
        <v>1238</v>
      </c>
      <c r="B311" s="7" t="s">
        <v>2084</v>
      </c>
      <c r="C311" s="7" t="s">
        <v>4123</v>
      </c>
      <c r="D311" s="7" t="s">
        <v>2059</v>
      </c>
      <c r="E311" s="7" t="s">
        <v>1947</v>
      </c>
      <c r="F311" s="7" t="s">
        <v>1948</v>
      </c>
      <c r="G311" s="7" t="s">
        <v>2084</v>
      </c>
      <c r="H311" s="7" t="s">
        <v>3952</v>
      </c>
      <c r="I311" s="7" t="s">
        <v>3916</v>
      </c>
      <c r="J311" s="7" t="s">
        <v>4124</v>
      </c>
      <c r="K311" s="7" t="s">
        <v>4125</v>
      </c>
      <c r="L311" s="7" t="s">
        <v>4126</v>
      </c>
      <c r="M311" s="7" t="s">
        <v>2078</v>
      </c>
      <c r="N311" s="9">
        <v>46052</v>
      </c>
      <c r="O311" s="9">
        <v>46296</v>
      </c>
      <c r="P311" s="7" t="s">
        <v>2090</v>
      </c>
      <c r="Q311" s="7" t="s">
        <v>3916</v>
      </c>
      <c r="R311" s="7" t="s">
        <v>4127</v>
      </c>
      <c r="S311" s="7" t="s">
        <v>4128</v>
      </c>
      <c r="T311" s="7" t="s">
        <v>2067</v>
      </c>
      <c r="U311" s="7" t="s">
        <v>2146</v>
      </c>
      <c r="V311" s="7" t="s">
        <v>2067</v>
      </c>
      <c r="W311" s="7" t="s">
        <v>2082</v>
      </c>
    </row>
    <row r="312" spans="1:23" ht="20.100000000000001" customHeight="1" x14ac:dyDescent="0.25">
      <c r="A312" s="3" t="s">
        <v>1708</v>
      </c>
      <c r="B312" s="4" t="s">
        <v>2084</v>
      </c>
      <c r="C312" s="4" t="s">
        <v>4129</v>
      </c>
      <c r="D312" s="4" t="s">
        <v>2059</v>
      </c>
      <c r="E312" s="4" t="s">
        <v>1947</v>
      </c>
      <c r="F312" s="4" t="s">
        <v>1948</v>
      </c>
      <c r="G312" s="4" t="s">
        <v>2084</v>
      </c>
      <c r="H312" s="4" t="s">
        <v>4088</v>
      </c>
      <c r="I312" s="4" t="s">
        <v>3916</v>
      </c>
      <c r="J312" s="4" t="s">
        <v>4130</v>
      </c>
      <c r="K312" s="4" t="s">
        <v>4131</v>
      </c>
      <c r="L312" s="4" t="s">
        <v>4132</v>
      </c>
      <c r="M312" s="4" t="s">
        <v>2078</v>
      </c>
      <c r="N312" s="8">
        <v>46234</v>
      </c>
      <c r="O312" s="8">
        <v>46356</v>
      </c>
      <c r="P312" s="4" t="s">
        <v>2090</v>
      </c>
      <c r="Q312" s="4" t="s">
        <v>3916</v>
      </c>
      <c r="R312" s="4" t="s">
        <v>4133</v>
      </c>
      <c r="S312" s="4" t="s">
        <v>4134</v>
      </c>
      <c r="T312" s="4" t="s">
        <v>2067</v>
      </c>
      <c r="U312" s="4" t="s">
        <v>2146</v>
      </c>
      <c r="V312" s="4" t="s">
        <v>2067</v>
      </c>
      <c r="W312" s="4" t="s">
        <v>2082</v>
      </c>
    </row>
    <row r="313" spans="1:23" ht="20.100000000000001" customHeight="1" x14ac:dyDescent="0.25">
      <c r="A313" s="6" t="s">
        <v>1042</v>
      </c>
      <c r="B313" s="7" t="s">
        <v>2084</v>
      </c>
      <c r="C313" s="7" t="s">
        <v>4135</v>
      </c>
      <c r="D313" s="7" t="s">
        <v>2059</v>
      </c>
      <c r="E313" s="7" t="s">
        <v>1947</v>
      </c>
      <c r="F313" s="7" t="s">
        <v>1948</v>
      </c>
      <c r="G313" s="7" t="s">
        <v>2084</v>
      </c>
      <c r="H313" s="7" t="s">
        <v>3952</v>
      </c>
      <c r="I313" s="7" t="s">
        <v>3916</v>
      </c>
      <c r="J313" s="7" t="s">
        <v>4136</v>
      </c>
      <c r="K313" s="7" t="s">
        <v>4137</v>
      </c>
      <c r="L313" s="7" t="s">
        <v>4138</v>
      </c>
      <c r="M313" s="7" t="s">
        <v>2078</v>
      </c>
      <c r="N313" s="9">
        <v>46234</v>
      </c>
      <c r="O313" s="9">
        <v>46356</v>
      </c>
      <c r="P313" s="7" t="s">
        <v>2090</v>
      </c>
      <c r="Q313" s="7" t="s">
        <v>3916</v>
      </c>
      <c r="R313" s="7" t="s">
        <v>4139</v>
      </c>
      <c r="S313" s="7" t="s">
        <v>4140</v>
      </c>
      <c r="T313" s="7" t="s">
        <v>2067</v>
      </c>
      <c r="U313" s="7" t="s">
        <v>2146</v>
      </c>
      <c r="V313" s="7" t="s">
        <v>2067</v>
      </c>
      <c r="W313" s="7" t="s">
        <v>2082</v>
      </c>
    </row>
    <row r="314" spans="1:23" ht="20.100000000000001" customHeight="1" x14ac:dyDescent="0.25">
      <c r="A314" s="3" t="s">
        <v>1084</v>
      </c>
      <c r="B314" s="4" t="s">
        <v>2084</v>
      </c>
      <c r="C314" s="4" t="s">
        <v>4141</v>
      </c>
      <c r="D314" s="4" t="s">
        <v>2059</v>
      </c>
      <c r="E314" s="4" t="s">
        <v>1947</v>
      </c>
      <c r="F314" s="4" t="s">
        <v>1948</v>
      </c>
      <c r="G314" s="4" t="s">
        <v>2084</v>
      </c>
      <c r="H314" s="4" t="s">
        <v>3952</v>
      </c>
      <c r="I314" s="4" t="s">
        <v>3916</v>
      </c>
      <c r="J314" s="4" t="s">
        <v>4142</v>
      </c>
      <c r="K314" s="4" t="s">
        <v>4143</v>
      </c>
      <c r="L314" s="4" t="s">
        <v>4144</v>
      </c>
      <c r="M314" s="4" t="s">
        <v>2078</v>
      </c>
      <c r="N314" s="8">
        <v>46234</v>
      </c>
      <c r="O314" s="8">
        <v>46356</v>
      </c>
      <c r="P314" s="4" t="s">
        <v>2090</v>
      </c>
      <c r="Q314" s="4" t="s">
        <v>3916</v>
      </c>
      <c r="R314" s="4" t="s">
        <v>4145</v>
      </c>
      <c r="S314" s="4" t="s">
        <v>4146</v>
      </c>
      <c r="T314" s="4" t="s">
        <v>2067</v>
      </c>
      <c r="U314" s="4" t="s">
        <v>2146</v>
      </c>
      <c r="V314" s="4" t="s">
        <v>2067</v>
      </c>
      <c r="W314" s="4" t="s">
        <v>2082</v>
      </c>
    </row>
    <row r="315" spans="1:23" ht="20.100000000000001" customHeight="1" x14ac:dyDescent="0.25">
      <c r="A315" s="6" t="s">
        <v>434</v>
      </c>
      <c r="B315" s="7" t="s">
        <v>2084</v>
      </c>
      <c r="C315" s="7" t="s">
        <v>4147</v>
      </c>
      <c r="D315" s="7" t="s">
        <v>2059</v>
      </c>
      <c r="E315" s="7" t="s">
        <v>2072</v>
      </c>
      <c r="F315" s="7" t="s">
        <v>2073</v>
      </c>
      <c r="G315" s="7" t="s">
        <v>2084</v>
      </c>
      <c r="H315" s="7" t="s">
        <v>3952</v>
      </c>
      <c r="I315" s="7" t="s">
        <v>3916</v>
      </c>
      <c r="J315" s="7" t="s">
        <v>4148</v>
      </c>
      <c r="K315" s="7" t="s">
        <v>4149</v>
      </c>
      <c r="L315" s="7" t="s">
        <v>4150</v>
      </c>
      <c r="M315" s="7" t="s">
        <v>2078</v>
      </c>
      <c r="N315" s="9">
        <v>46234</v>
      </c>
      <c r="O315" s="9">
        <v>46356</v>
      </c>
      <c r="P315" s="7" t="s">
        <v>2073</v>
      </c>
      <c r="Q315" s="7" t="s">
        <v>3916</v>
      </c>
      <c r="R315" s="7" t="s">
        <v>4151</v>
      </c>
      <c r="S315" s="7" t="s">
        <v>4152</v>
      </c>
      <c r="T315" s="7" t="s">
        <v>2067</v>
      </c>
      <c r="U315" s="7" t="s">
        <v>2081</v>
      </c>
      <c r="V315" s="7" t="s">
        <v>2067</v>
      </c>
      <c r="W315" s="7" t="s">
        <v>2082</v>
      </c>
    </row>
    <row r="316" spans="1:23" ht="20.100000000000001" customHeight="1" x14ac:dyDescent="0.25">
      <c r="A316" s="3" t="s">
        <v>648</v>
      </c>
      <c r="B316" s="4" t="s">
        <v>2084</v>
      </c>
      <c r="C316" s="4" t="s">
        <v>4153</v>
      </c>
      <c r="D316" s="4" t="s">
        <v>2059</v>
      </c>
      <c r="E316" s="4" t="s">
        <v>1947</v>
      </c>
      <c r="F316" s="4" t="s">
        <v>1948</v>
      </c>
      <c r="G316" s="4" t="s">
        <v>2084</v>
      </c>
      <c r="H316" s="4" t="s">
        <v>3952</v>
      </c>
      <c r="I316" s="4" t="s">
        <v>3916</v>
      </c>
      <c r="J316" s="4" t="s">
        <v>4154</v>
      </c>
      <c r="K316" s="4" t="s">
        <v>4155</v>
      </c>
      <c r="L316" s="4" t="s">
        <v>4156</v>
      </c>
      <c r="M316" s="4" t="s">
        <v>2078</v>
      </c>
      <c r="N316" s="8">
        <v>46234</v>
      </c>
      <c r="O316" s="8">
        <v>46356</v>
      </c>
      <c r="P316" s="4" t="s">
        <v>2090</v>
      </c>
      <c r="Q316" s="4" t="s">
        <v>3916</v>
      </c>
      <c r="R316" s="4" t="s">
        <v>4157</v>
      </c>
      <c r="S316" s="4" t="s">
        <v>4158</v>
      </c>
      <c r="T316" s="4" t="s">
        <v>2067</v>
      </c>
      <c r="U316" s="4" t="s">
        <v>2244</v>
      </c>
      <c r="V316" s="4" t="s">
        <v>2067</v>
      </c>
      <c r="W316" s="4" t="s">
        <v>2082</v>
      </c>
    </row>
    <row r="317" spans="1:23" ht="20.100000000000001" customHeight="1" x14ac:dyDescent="0.25">
      <c r="A317" s="6" t="s">
        <v>132</v>
      </c>
      <c r="B317" s="7" t="s">
        <v>2084</v>
      </c>
      <c r="C317" s="7" t="s">
        <v>4159</v>
      </c>
      <c r="D317" s="7" t="s">
        <v>2059</v>
      </c>
      <c r="E317" s="7" t="s">
        <v>4160</v>
      </c>
      <c r="F317" s="7" t="s">
        <v>4161</v>
      </c>
      <c r="G317" s="7" t="s">
        <v>2084</v>
      </c>
      <c r="H317" s="7" t="s">
        <v>4021</v>
      </c>
      <c r="I317" s="7" t="s">
        <v>3916</v>
      </c>
      <c r="J317" s="7" t="s">
        <v>4162</v>
      </c>
      <c r="K317" s="7" t="s">
        <v>4163</v>
      </c>
      <c r="L317" s="7" t="s">
        <v>4164</v>
      </c>
      <c r="M317" s="7" t="s">
        <v>2078</v>
      </c>
      <c r="N317" s="9">
        <v>46234</v>
      </c>
      <c r="O317" s="9">
        <v>46356</v>
      </c>
      <c r="P317" s="7" t="s">
        <v>4161</v>
      </c>
      <c r="Q317" s="7" t="s">
        <v>3916</v>
      </c>
      <c r="R317" s="7" t="s">
        <v>4165</v>
      </c>
      <c r="S317" s="7" t="s">
        <v>4166</v>
      </c>
      <c r="T317" s="7" t="s">
        <v>2067</v>
      </c>
      <c r="U317" s="7" t="s">
        <v>4167</v>
      </c>
      <c r="V317" s="7" t="s">
        <v>2067</v>
      </c>
      <c r="W317" s="7" t="s">
        <v>2082</v>
      </c>
    </row>
    <row r="318" spans="1:23" ht="20.100000000000001" customHeight="1" x14ac:dyDescent="0.25">
      <c r="A318" s="3" t="s">
        <v>1562</v>
      </c>
      <c r="B318" s="4" t="s">
        <v>2084</v>
      </c>
      <c r="C318" s="4" t="s">
        <v>4168</v>
      </c>
      <c r="D318" s="4" t="s">
        <v>2059</v>
      </c>
      <c r="E318" s="4" t="s">
        <v>2673</v>
      </c>
      <c r="F318" s="4" t="s">
        <v>2674</v>
      </c>
      <c r="G318" s="4" t="s">
        <v>2084</v>
      </c>
      <c r="H318" s="4" t="s">
        <v>4088</v>
      </c>
      <c r="I318" s="4" t="s">
        <v>3916</v>
      </c>
      <c r="J318" s="4" t="s">
        <v>4169</v>
      </c>
      <c r="K318" s="4" t="s">
        <v>4170</v>
      </c>
      <c r="L318" s="4" t="s">
        <v>4171</v>
      </c>
      <c r="M318" s="4" t="s">
        <v>2078</v>
      </c>
      <c r="N318" s="8">
        <v>46234</v>
      </c>
      <c r="O318" s="8">
        <v>46356</v>
      </c>
      <c r="P318" s="4" t="s">
        <v>2674</v>
      </c>
      <c r="Q318" s="4" t="s">
        <v>3916</v>
      </c>
      <c r="R318" s="4" t="s">
        <v>4172</v>
      </c>
      <c r="S318" s="4" t="s">
        <v>4173</v>
      </c>
      <c r="T318" s="4" t="s">
        <v>2067</v>
      </c>
      <c r="U318" s="4" t="s">
        <v>2680</v>
      </c>
      <c r="V318" s="4" t="s">
        <v>2067</v>
      </c>
      <c r="W318" s="4" t="s">
        <v>2082</v>
      </c>
    </row>
    <row r="319" spans="1:23" ht="20.100000000000001" customHeight="1" x14ac:dyDescent="0.25">
      <c r="A319" s="6" t="s">
        <v>1662</v>
      </c>
      <c r="B319" s="7" t="s">
        <v>2084</v>
      </c>
      <c r="C319" s="7" t="s">
        <v>4174</v>
      </c>
      <c r="D319" s="7" t="s">
        <v>2059</v>
      </c>
      <c r="E319" s="7" t="s">
        <v>1947</v>
      </c>
      <c r="F319" s="7" t="s">
        <v>1948</v>
      </c>
      <c r="G319" s="7" t="s">
        <v>2084</v>
      </c>
      <c r="H319" s="7" t="s">
        <v>3952</v>
      </c>
      <c r="I319" s="7" t="s">
        <v>3916</v>
      </c>
      <c r="J319" s="7" t="s">
        <v>4175</v>
      </c>
      <c r="K319" s="7" t="s">
        <v>4176</v>
      </c>
      <c r="L319" s="7" t="s">
        <v>4177</v>
      </c>
      <c r="M319" s="7" t="s">
        <v>2078</v>
      </c>
      <c r="N319" s="9">
        <v>46234</v>
      </c>
      <c r="O319" s="9">
        <v>46356</v>
      </c>
      <c r="P319" s="7" t="s">
        <v>2090</v>
      </c>
      <c r="Q319" s="7" t="s">
        <v>3916</v>
      </c>
      <c r="R319" s="7" t="s">
        <v>4178</v>
      </c>
      <c r="S319" s="7" t="s">
        <v>4179</v>
      </c>
      <c r="T319" s="7" t="s">
        <v>2067</v>
      </c>
      <c r="U319" s="7" t="s">
        <v>2146</v>
      </c>
      <c r="V319" s="7" t="s">
        <v>2067</v>
      </c>
      <c r="W319" s="7" t="s">
        <v>2082</v>
      </c>
    </row>
    <row r="320" spans="1:23" ht="20.100000000000001" customHeight="1" x14ac:dyDescent="0.25">
      <c r="A320" s="3" t="s">
        <v>1280</v>
      </c>
      <c r="B320" s="4" t="s">
        <v>2084</v>
      </c>
      <c r="C320" s="4" t="s">
        <v>4180</v>
      </c>
      <c r="D320" s="4" t="s">
        <v>2059</v>
      </c>
      <c r="E320" s="4" t="s">
        <v>1947</v>
      </c>
      <c r="F320" s="4" t="s">
        <v>1948</v>
      </c>
      <c r="G320" s="4" t="s">
        <v>2084</v>
      </c>
      <c r="H320" s="4" t="s">
        <v>3952</v>
      </c>
      <c r="I320" s="4" t="s">
        <v>3916</v>
      </c>
      <c r="J320" s="4" t="s">
        <v>4181</v>
      </c>
      <c r="K320" s="4" t="s">
        <v>4182</v>
      </c>
      <c r="L320" s="4" t="s">
        <v>4183</v>
      </c>
      <c r="M320" s="4" t="s">
        <v>2078</v>
      </c>
      <c r="N320" s="8">
        <v>46234</v>
      </c>
      <c r="O320" s="8">
        <v>46356</v>
      </c>
      <c r="P320" s="4" t="s">
        <v>2090</v>
      </c>
      <c r="Q320" s="4" t="s">
        <v>3916</v>
      </c>
      <c r="R320" s="4" t="s">
        <v>4184</v>
      </c>
      <c r="S320" s="4" t="s">
        <v>4185</v>
      </c>
      <c r="T320" s="4" t="s">
        <v>2067</v>
      </c>
      <c r="U320" s="4" t="s">
        <v>2146</v>
      </c>
      <c r="V320" s="4" t="s">
        <v>2067</v>
      </c>
      <c r="W320" s="4" t="s">
        <v>2082</v>
      </c>
    </row>
    <row r="321" spans="1:23" ht="20.100000000000001" customHeight="1" x14ac:dyDescent="0.25">
      <c r="A321" s="6" t="s">
        <v>638</v>
      </c>
      <c r="B321" s="7" t="s">
        <v>2084</v>
      </c>
      <c r="C321" s="7" t="s">
        <v>4186</v>
      </c>
      <c r="D321" s="7" t="s">
        <v>2059</v>
      </c>
      <c r="E321" s="7" t="s">
        <v>1947</v>
      </c>
      <c r="F321" s="7" t="s">
        <v>1948</v>
      </c>
      <c r="G321" s="7" t="s">
        <v>2084</v>
      </c>
      <c r="H321" s="7" t="s">
        <v>3952</v>
      </c>
      <c r="I321" s="7" t="s">
        <v>3916</v>
      </c>
      <c r="J321" s="7" t="s">
        <v>4187</v>
      </c>
      <c r="K321" s="7" t="s">
        <v>4188</v>
      </c>
      <c r="L321" s="7" t="s">
        <v>4189</v>
      </c>
      <c r="M321" s="7" t="s">
        <v>2078</v>
      </c>
      <c r="N321" s="9">
        <v>46234</v>
      </c>
      <c r="O321" s="9">
        <v>46356</v>
      </c>
      <c r="P321" s="7" t="s">
        <v>2090</v>
      </c>
      <c r="Q321" s="7" t="s">
        <v>3916</v>
      </c>
      <c r="R321" s="7" t="s">
        <v>4190</v>
      </c>
      <c r="S321" s="7" t="s">
        <v>4191</v>
      </c>
      <c r="T321" s="7" t="s">
        <v>2067</v>
      </c>
      <c r="U321" s="7" t="s">
        <v>2146</v>
      </c>
      <c r="V321" s="7" t="s">
        <v>2067</v>
      </c>
      <c r="W321" s="7" t="s">
        <v>2082</v>
      </c>
    </row>
    <row r="322" spans="1:23" ht="20.100000000000001" customHeight="1" x14ac:dyDescent="0.25">
      <c r="A322" s="3" t="s">
        <v>338</v>
      </c>
      <c r="B322" s="4" t="s">
        <v>2084</v>
      </c>
      <c r="C322" s="4" t="s">
        <v>4192</v>
      </c>
      <c r="D322" s="4" t="s">
        <v>2059</v>
      </c>
      <c r="E322" s="4" t="s">
        <v>3064</v>
      </c>
      <c r="F322" s="4" t="s">
        <v>3065</v>
      </c>
      <c r="G322" s="4" t="s">
        <v>2084</v>
      </c>
      <c r="H322" s="4" t="s">
        <v>4021</v>
      </c>
      <c r="I322" s="4" t="s">
        <v>3916</v>
      </c>
      <c r="J322" s="4" t="s">
        <v>4193</v>
      </c>
      <c r="K322" s="4" t="s">
        <v>4194</v>
      </c>
      <c r="L322" s="4" t="s">
        <v>4195</v>
      </c>
      <c r="M322" s="4" t="s">
        <v>2078</v>
      </c>
      <c r="N322" s="8">
        <v>46234</v>
      </c>
      <c r="O322" s="8">
        <v>46356</v>
      </c>
      <c r="P322" s="4" t="s">
        <v>3065</v>
      </c>
      <c r="Q322" s="4" t="s">
        <v>3916</v>
      </c>
      <c r="R322" s="4" t="s">
        <v>4196</v>
      </c>
      <c r="S322" s="4" t="s">
        <v>4197</v>
      </c>
      <c r="T322" s="4" t="s">
        <v>2067</v>
      </c>
      <c r="U322" s="4" t="s">
        <v>3073</v>
      </c>
      <c r="V322" s="4" t="s">
        <v>2067</v>
      </c>
      <c r="W322" s="4" t="s">
        <v>2082</v>
      </c>
    </row>
    <row r="323" spans="1:23" ht="20.100000000000001" customHeight="1" x14ac:dyDescent="0.25">
      <c r="A323" s="6" t="s">
        <v>1600</v>
      </c>
      <c r="B323" s="7" t="s">
        <v>2084</v>
      </c>
      <c r="C323" s="7" t="s">
        <v>4198</v>
      </c>
      <c r="D323" s="7" t="s">
        <v>2059</v>
      </c>
      <c r="E323" s="7" t="s">
        <v>1947</v>
      </c>
      <c r="F323" s="7" t="s">
        <v>1948</v>
      </c>
      <c r="G323" s="7" t="s">
        <v>2084</v>
      </c>
      <c r="H323" s="7" t="s">
        <v>4021</v>
      </c>
      <c r="I323" s="7" t="s">
        <v>3916</v>
      </c>
      <c r="J323" s="7" t="s">
        <v>4199</v>
      </c>
      <c r="K323" s="7" t="s">
        <v>4200</v>
      </c>
      <c r="L323" s="7" t="s">
        <v>4201</v>
      </c>
      <c r="M323" s="7" t="s">
        <v>2078</v>
      </c>
      <c r="N323" s="9">
        <v>46234</v>
      </c>
      <c r="O323" s="9">
        <v>46356</v>
      </c>
      <c r="P323" s="7" t="s">
        <v>2090</v>
      </c>
      <c r="Q323" s="7" t="s">
        <v>3916</v>
      </c>
      <c r="R323" s="7" t="s">
        <v>4202</v>
      </c>
      <c r="S323" s="7" t="s">
        <v>4203</v>
      </c>
      <c r="T323" s="7" t="s">
        <v>2067</v>
      </c>
      <c r="U323" s="7" t="s">
        <v>2146</v>
      </c>
      <c r="V323" s="7" t="s">
        <v>2067</v>
      </c>
      <c r="W323" s="7" t="s">
        <v>2082</v>
      </c>
    </row>
    <row r="324" spans="1:23" ht="20.100000000000001" customHeight="1" x14ac:dyDescent="0.25">
      <c r="A324" s="3" t="s">
        <v>1244</v>
      </c>
      <c r="B324" s="4" t="s">
        <v>2084</v>
      </c>
      <c r="C324" s="4" t="s">
        <v>4204</v>
      </c>
      <c r="D324" s="4" t="s">
        <v>2059</v>
      </c>
      <c r="E324" s="4" t="s">
        <v>1947</v>
      </c>
      <c r="F324" s="4" t="s">
        <v>1948</v>
      </c>
      <c r="G324" s="4" t="s">
        <v>2084</v>
      </c>
      <c r="H324" s="4" t="s">
        <v>4021</v>
      </c>
      <c r="I324" s="4" t="s">
        <v>3916</v>
      </c>
      <c r="J324" s="4" t="s">
        <v>4205</v>
      </c>
      <c r="K324" s="4" t="s">
        <v>4206</v>
      </c>
      <c r="L324" s="4" t="s">
        <v>4207</v>
      </c>
      <c r="M324" s="4" t="s">
        <v>2078</v>
      </c>
      <c r="N324" s="8">
        <v>46234</v>
      </c>
      <c r="O324" s="8">
        <v>46356</v>
      </c>
      <c r="P324" s="4" t="s">
        <v>2090</v>
      </c>
      <c r="Q324" s="4" t="s">
        <v>3916</v>
      </c>
      <c r="R324" s="4" t="s">
        <v>4208</v>
      </c>
      <c r="S324" s="4" t="s">
        <v>4209</v>
      </c>
      <c r="T324" s="4" t="s">
        <v>2067</v>
      </c>
      <c r="U324" s="4" t="s">
        <v>2146</v>
      </c>
      <c r="V324" s="4" t="s">
        <v>2067</v>
      </c>
      <c r="W324" s="4" t="s">
        <v>2082</v>
      </c>
    </row>
    <row r="325" spans="1:23" ht="20.100000000000001" customHeight="1" x14ac:dyDescent="0.25">
      <c r="A325" s="6" t="s">
        <v>1360</v>
      </c>
      <c r="B325" s="7" t="s">
        <v>2084</v>
      </c>
      <c r="C325" s="7" t="s">
        <v>4210</v>
      </c>
      <c r="D325" s="7" t="s">
        <v>2059</v>
      </c>
      <c r="E325" s="7" t="s">
        <v>1947</v>
      </c>
      <c r="F325" s="7" t="s">
        <v>1948</v>
      </c>
      <c r="G325" s="7" t="s">
        <v>2084</v>
      </c>
      <c r="H325" s="7" t="s">
        <v>3952</v>
      </c>
      <c r="I325" s="7" t="s">
        <v>3916</v>
      </c>
      <c r="J325" s="7" t="s">
        <v>4211</v>
      </c>
      <c r="K325" s="7" t="s">
        <v>4212</v>
      </c>
      <c r="L325" s="7" t="s">
        <v>4213</v>
      </c>
      <c r="M325" s="7" t="s">
        <v>2078</v>
      </c>
      <c r="N325" s="9">
        <v>46234</v>
      </c>
      <c r="O325" s="9">
        <v>46356</v>
      </c>
      <c r="P325" s="7" t="s">
        <v>2090</v>
      </c>
      <c r="Q325" s="7" t="s">
        <v>3916</v>
      </c>
      <c r="R325" s="7" t="s">
        <v>4214</v>
      </c>
      <c r="S325" s="7" t="s">
        <v>4215</v>
      </c>
      <c r="T325" s="7" t="s">
        <v>2067</v>
      </c>
      <c r="U325" s="7" t="s">
        <v>2146</v>
      </c>
      <c r="V325" s="7" t="s">
        <v>2067</v>
      </c>
      <c r="W325" s="7" t="s">
        <v>2082</v>
      </c>
    </row>
    <row r="326" spans="1:23" ht="20.100000000000001" customHeight="1" x14ac:dyDescent="0.25">
      <c r="A326" s="3" t="s">
        <v>1046</v>
      </c>
      <c r="B326" s="4" t="s">
        <v>2084</v>
      </c>
      <c r="C326" s="4" t="s">
        <v>4216</v>
      </c>
      <c r="D326" s="4" t="s">
        <v>2059</v>
      </c>
      <c r="E326" s="4" t="s">
        <v>1947</v>
      </c>
      <c r="F326" s="4" t="s">
        <v>1948</v>
      </c>
      <c r="G326" s="4" t="s">
        <v>2084</v>
      </c>
      <c r="H326" s="4" t="s">
        <v>3952</v>
      </c>
      <c r="I326" s="4" t="s">
        <v>3916</v>
      </c>
      <c r="J326" s="4" t="s">
        <v>4217</v>
      </c>
      <c r="K326" s="4" t="s">
        <v>4218</v>
      </c>
      <c r="L326" s="4" t="s">
        <v>4219</v>
      </c>
      <c r="M326" s="4" t="s">
        <v>2078</v>
      </c>
      <c r="N326" s="8">
        <v>46234</v>
      </c>
      <c r="O326" s="8">
        <v>46356</v>
      </c>
      <c r="P326" s="4" t="s">
        <v>2090</v>
      </c>
      <c r="Q326" s="4" t="s">
        <v>3916</v>
      </c>
      <c r="R326" s="4" t="s">
        <v>3210</v>
      </c>
      <c r="S326" s="4" t="s">
        <v>4220</v>
      </c>
      <c r="T326" s="4" t="s">
        <v>2067</v>
      </c>
      <c r="U326" s="4" t="s">
        <v>2146</v>
      </c>
      <c r="V326" s="4" t="s">
        <v>2067</v>
      </c>
      <c r="W326" s="4" t="s">
        <v>2082</v>
      </c>
    </row>
    <row r="327" spans="1:23" ht="20.100000000000001" customHeight="1" x14ac:dyDescent="0.25">
      <c r="A327" s="6" t="s">
        <v>116</v>
      </c>
      <c r="B327" s="7" t="s">
        <v>2084</v>
      </c>
      <c r="C327" s="7" t="s">
        <v>4221</v>
      </c>
      <c r="D327" s="7" t="s">
        <v>2059</v>
      </c>
      <c r="E327" s="7" t="s">
        <v>3520</v>
      </c>
      <c r="F327" s="7" t="s">
        <v>3521</v>
      </c>
      <c r="G327" s="7" t="s">
        <v>2084</v>
      </c>
      <c r="H327" s="7" t="s">
        <v>4021</v>
      </c>
      <c r="I327" s="7" t="s">
        <v>3916</v>
      </c>
      <c r="J327" s="7" t="s">
        <v>4222</v>
      </c>
      <c r="K327" s="7" t="s">
        <v>4223</v>
      </c>
      <c r="L327" s="7" t="s">
        <v>4224</v>
      </c>
      <c r="M327" s="7" t="s">
        <v>2078</v>
      </c>
      <c r="N327" s="9">
        <v>46234</v>
      </c>
      <c r="O327" s="9">
        <v>46356</v>
      </c>
      <c r="P327" s="7" t="s">
        <v>3521</v>
      </c>
      <c r="Q327" s="7" t="s">
        <v>3916</v>
      </c>
      <c r="R327" s="7" t="s">
        <v>4225</v>
      </c>
      <c r="S327" s="7" t="s">
        <v>4226</v>
      </c>
      <c r="T327" s="7" t="s">
        <v>2067</v>
      </c>
      <c r="U327" s="7" t="s">
        <v>3527</v>
      </c>
      <c r="V327" s="7" t="s">
        <v>2067</v>
      </c>
      <c r="W327" s="7" t="s">
        <v>2082</v>
      </c>
    </row>
    <row r="328" spans="1:23" ht="20.100000000000001" customHeight="1" x14ac:dyDescent="0.25">
      <c r="A328" s="3" t="s">
        <v>1570</v>
      </c>
      <c r="B328" s="4" t="s">
        <v>2084</v>
      </c>
      <c r="C328" s="4" t="s">
        <v>4227</v>
      </c>
      <c r="D328" s="4" t="s">
        <v>2059</v>
      </c>
      <c r="E328" s="4" t="s">
        <v>1947</v>
      </c>
      <c r="F328" s="4" t="s">
        <v>1948</v>
      </c>
      <c r="G328" s="4" t="s">
        <v>2084</v>
      </c>
      <c r="H328" s="4" t="s">
        <v>4088</v>
      </c>
      <c r="I328" s="4" t="s">
        <v>3916</v>
      </c>
      <c r="J328" s="4" t="s">
        <v>4228</v>
      </c>
      <c r="K328" s="4" t="s">
        <v>4229</v>
      </c>
      <c r="L328" s="4" t="s">
        <v>4230</v>
      </c>
      <c r="M328" s="4" t="s">
        <v>2078</v>
      </c>
      <c r="N328" s="8">
        <v>46234</v>
      </c>
      <c r="O328" s="8">
        <v>46356</v>
      </c>
      <c r="P328" s="4" t="s">
        <v>2090</v>
      </c>
      <c r="Q328" s="4" t="s">
        <v>3916</v>
      </c>
      <c r="R328" s="4" t="s">
        <v>4231</v>
      </c>
      <c r="S328" s="4" t="s">
        <v>4232</v>
      </c>
      <c r="T328" s="4" t="s">
        <v>2067</v>
      </c>
      <c r="U328" s="4" t="s">
        <v>2146</v>
      </c>
      <c r="V328" s="4" t="s">
        <v>2067</v>
      </c>
      <c r="W328" s="4" t="s">
        <v>2082</v>
      </c>
    </row>
    <row r="329" spans="1:23" ht="20.100000000000001" customHeight="1" x14ac:dyDescent="0.25">
      <c r="A329" s="6" t="s">
        <v>956</v>
      </c>
      <c r="B329" s="7" t="s">
        <v>2057</v>
      </c>
      <c r="C329" s="7" t="s">
        <v>4233</v>
      </c>
      <c r="D329" s="7" t="s">
        <v>2059</v>
      </c>
      <c r="E329" s="7" t="s">
        <v>1947</v>
      </c>
      <c r="F329" s="7" t="s">
        <v>1948</v>
      </c>
      <c r="G329" s="7" t="s">
        <v>2057</v>
      </c>
      <c r="H329" s="7" t="s">
        <v>4045</v>
      </c>
      <c r="I329" s="7" t="s">
        <v>3916</v>
      </c>
      <c r="J329" s="7" t="s">
        <v>4234</v>
      </c>
      <c r="K329" s="7" t="s">
        <v>4235</v>
      </c>
      <c r="L329" s="7" t="s">
        <v>4236</v>
      </c>
      <c r="M329" s="7" t="s">
        <v>2078</v>
      </c>
      <c r="N329" s="9">
        <v>46052</v>
      </c>
      <c r="O329" s="9">
        <v>46296</v>
      </c>
      <c r="P329" s="7" t="s">
        <v>2090</v>
      </c>
      <c r="Q329" s="7" t="s">
        <v>3916</v>
      </c>
      <c r="R329" s="7" t="s">
        <v>4237</v>
      </c>
      <c r="S329" s="7" t="s">
        <v>4238</v>
      </c>
      <c r="T329" s="7" t="s">
        <v>2067</v>
      </c>
      <c r="U329" s="7" t="s">
        <v>2109</v>
      </c>
      <c r="V329" s="7" t="s">
        <v>2067</v>
      </c>
      <c r="W329" s="7" t="s">
        <v>2069</v>
      </c>
    </row>
    <row r="330" spans="1:23" ht="20.100000000000001" customHeight="1" x14ac:dyDescent="0.25">
      <c r="A330" s="3" t="s">
        <v>350</v>
      </c>
      <c r="B330" s="4" t="s">
        <v>2084</v>
      </c>
      <c r="C330" s="4" t="s">
        <v>4239</v>
      </c>
      <c r="D330" s="4" t="s">
        <v>2059</v>
      </c>
      <c r="E330" s="4" t="s">
        <v>3520</v>
      </c>
      <c r="F330" s="4" t="s">
        <v>3521</v>
      </c>
      <c r="G330" s="4" t="s">
        <v>2084</v>
      </c>
      <c r="H330" s="4" t="s">
        <v>4240</v>
      </c>
      <c r="I330" s="4" t="s">
        <v>3916</v>
      </c>
      <c r="J330" s="4" t="s">
        <v>4241</v>
      </c>
      <c r="K330" s="4" t="s">
        <v>4242</v>
      </c>
      <c r="L330" s="4" t="s">
        <v>4243</v>
      </c>
      <c r="M330" s="4" t="s">
        <v>2078</v>
      </c>
      <c r="N330" s="8">
        <v>46234</v>
      </c>
      <c r="O330" s="8">
        <v>46356</v>
      </c>
      <c r="P330" s="4" t="s">
        <v>3521</v>
      </c>
      <c r="Q330" s="4" t="s">
        <v>3916</v>
      </c>
      <c r="R330" s="4" t="s">
        <v>4244</v>
      </c>
      <c r="S330" s="4" t="s">
        <v>4245</v>
      </c>
      <c r="T330" s="4" t="s">
        <v>2067</v>
      </c>
      <c r="U330" s="4" t="s">
        <v>3527</v>
      </c>
      <c r="V330" s="4" t="s">
        <v>2067</v>
      </c>
      <c r="W330" s="4" t="s">
        <v>2082</v>
      </c>
    </row>
    <row r="331" spans="1:23" ht="20.100000000000001" customHeight="1" x14ac:dyDescent="0.25">
      <c r="A331" s="6" t="s">
        <v>1704</v>
      </c>
      <c r="B331" s="7" t="s">
        <v>2084</v>
      </c>
      <c r="C331" s="7" t="s">
        <v>4246</v>
      </c>
      <c r="D331" s="7" t="s">
        <v>2059</v>
      </c>
      <c r="E331" s="7" t="s">
        <v>1947</v>
      </c>
      <c r="F331" s="7" t="s">
        <v>1948</v>
      </c>
      <c r="G331" s="7" t="s">
        <v>2084</v>
      </c>
      <c r="H331" s="7" t="s">
        <v>3952</v>
      </c>
      <c r="I331" s="7" t="s">
        <v>3916</v>
      </c>
      <c r="J331" s="7" t="s">
        <v>4247</v>
      </c>
      <c r="K331" s="7" t="s">
        <v>4248</v>
      </c>
      <c r="L331" s="7" t="s">
        <v>4249</v>
      </c>
      <c r="M331" s="7" t="s">
        <v>2078</v>
      </c>
      <c r="N331" s="9">
        <v>46234</v>
      </c>
      <c r="O331" s="9">
        <v>46356</v>
      </c>
      <c r="P331" s="7" t="s">
        <v>2090</v>
      </c>
      <c r="Q331" s="7" t="s">
        <v>3916</v>
      </c>
      <c r="R331" s="7" t="s">
        <v>4250</v>
      </c>
      <c r="S331" s="7" t="s">
        <v>4251</v>
      </c>
      <c r="T331" s="7" t="s">
        <v>2067</v>
      </c>
      <c r="U331" s="7" t="s">
        <v>2146</v>
      </c>
      <c r="V331" s="7" t="s">
        <v>2067</v>
      </c>
      <c r="W331" s="7" t="s">
        <v>2082</v>
      </c>
    </row>
    <row r="332" spans="1:23" ht="20.100000000000001" customHeight="1" x14ac:dyDescent="0.25">
      <c r="A332" s="3" t="s">
        <v>4252</v>
      </c>
      <c r="B332" s="4" t="s">
        <v>2084</v>
      </c>
      <c r="C332" s="4" t="s">
        <v>4253</v>
      </c>
      <c r="D332" s="4" t="s">
        <v>2059</v>
      </c>
      <c r="E332" s="4" t="s">
        <v>2189</v>
      </c>
      <c r="F332" s="4" t="s">
        <v>2190</v>
      </c>
      <c r="G332" s="4" t="s">
        <v>2084</v>
      </c>
      <c r="H332" s="4" t="s">
        <v>3952</v>
      </c>
      <c r="I332" s="4" t="s">
        <v>3916</v>
      </c>
      <c r="J332" s="4" t="s">
        <v>4254</v>
      </c>
      <c r="K332" s="4" t="s">
        <v>4255</v>
      </c>
      <c r="L332" s="4" t="s">
        <v>4256</v>
      </c>
      <c r="M332" s="4" t="s">
        <v>2078</v>
      </c>
      <c r="N332" s="8">
        <v>46234</v>
      </c>
      <c r="O332" s="8">
        <v>46356</v>
      </c>
      <c r="P332" s="4" t="s">
        <v>2195</v>
      </c>
      <c r="Q332" s="4" t="s">
        <v>3916</v>
      </c>
      <c r="R332" s="4" t="s">
        <v>4257</v>
      </c>
      <c r="S332" s="4" t="s">
        <v>4258</v>
      </c>
      <c r="T332" s="4" t="s">
        <v>2067</v>
      </c>
      <c r="U332" s="4" t="s">
        <v>2198</v>
      </c>
      <c r="V332" s="4" t="s">
        <v>2067</v>
      </c>
      <c r="W332" s="4" t="s">
        <v>2082</v>
      </c>
    </row>
    <row r="333" spans="1:23" ht="20.100000000000001" customHeight="1" x14ac:dyDescent="0.25">
      <c r="A333" s="6" t="s">
        <v>1122</v>
      </c>
      <c r="B333" s="7" t="s">
        <v>2057</v>
      </c>
      <c r="C333" s="7" t="s">
        <v>4259</v>
      </c>
      <c r="D333" s="7" t="s">
        <v>2059</v>
      </c>
      <c r="E333" s="7" t="s">
        <v>1947</v>
      </c>
      <c r="F333" s="7" t="s">
        <v>1948</v>
      </c>
      <c r="G333" s="7" t="s">
        <v>2057</v>
      </c>
      <c r="H333" s="7" t="s">
        <v>4260</v>
      </c>
      <c r="I333" s="7" t="s">
        <v>4261</v>
      </c>
      <c r="J333" s="7" t="s">
        <v>4262</v>
      </c>
      <c r="K333" s="7" t="s">
        <v>4263</v>
      </c>
      <c r="L333" s="7" t="s">
        <v>4264</v>
      </c>
      <c r="M333" s="7" t="s">
        <v>2078</v>
      </c>
      <c r="N333" s="9">
        <v>46234</v>
      </c>
      <c r="O333" s="9">
        <v>46356</v>
      </c>
      <c r="P333" s="7" t="s">
        <v>2090</v>
      </c>
      <c r="Q333" s="7" t="s">
        <v>4261</v>
      </c>
      <c r="R333" s="7" t="s">
        <v>4265</v>
      </c>
      <c r="S333" s="7" t="s">
        <v>4266</v>
      </c>
      <c r="T333" s="7" t="s">
        <v>2067</v>
      </c>
      <c r="U333" s="7" t="s">
        <v>2768</v>
      </c>
      <c r="V333" s="7" t="s">
        <v>2067</v>
      </c>
      <c r="W333" s="7" t="s">
        <v>2069</v>
      </c>
    </row>
    <row r="334" spans="1:23" ht="20.100000000000001" customHeight="1" x14ac:dyDescent="0.25">
      <c r="A334" s="3" t="s">
        <v>4267</v>
      </c>
      <c r="B334" s="4" t="s">
        <v>2057</v>
      </c>
      <c r="C334" s="4" t="s">
        <v>4268</v>
      </c>
      <c r="D334" s="4" t="s">
        <v>2059</v>
      </c>
      <c r="E334" s="4" t="s">
        <v>1947</v>
      </c>
      <c r="F334" s="4" t="s">
        <v>1948</v>
      </c>
      <c r="G334" s="4" t="s">
        <v>2057</v>
      </c>
      <c r="H334" s="4" t="s">
        <v>4269</v>
      </c>
      <c r="I334" s="4" t="s">
        <v>4261</v>
      </c>
      <c r="J334" s="4" t="s">
        <v>4270</v>
      </c>
      <c r="K334" s="4" t="s">
        <v>4271</v>
      </c>
      <c r="L334" s="4" t="s">
        <v>4272</v>
      </c>
      <c r="M334" s="4" t="s">
        <v>2078</v>
      </c>
      <c r="N334" s="8">
        <v>46024</v>
      </c>
      <c r="O334" s="8">
        <v>46386</v>
      </c>
      <c r="P334" s="4" t="s">
        <v>2090</v>
      </c>
      <c r="Q334" s="4" t="s">
        <v>4261</v>
      </c>
      <c r="R334" s="4" t="s">
        <v>4273</v>
      </c>
      <c r="S334" s="4" t="s">
        <v>4274</v>
      </c>
      <c r="T334" s="4" t="s">
        <v>2067</v>
      </c>
      <c r="U334" s="4" t="s">
        <v>2146</v>
      </c>
      <c r="V334" s="4" t="s">
        <v>2067</v>
      </c>
      <c r="W334" s="4" t="s">
        <v>2082</v>
      </c>
    </row>
    <row r="335" spans="1:23" ht="20.100000000000001" customHeight="1" x14ac:dyDescent="0.25">
      <c r="A335" s="6" t="s">
        <v>1700</v>
      </c>
      <c r="B335" s="7" t="s">
        <v>2057</v>
      </c>
      <c r="C335" s="7" t="s">
        <v>4275</v>
      </c>
      <c r="D335" s="7" t="s">
        <v>2059</v>
      </c>
      <c r="E335" s="7" t="s">
        <v>1947</v>
      </c>
      <c r="F335" s="7" t="s">
        <v>1948</v>
      </c>
      <c r="G335" s="7" t="s">
        <v>2057</v>
      </c>
      <c r="H335" s="7" t="s">
        <v>4276</v>
      </c>
      <c r="I335" s="7" t="s">
        <v>4261</v>
      </c>
      <c r="J335" s="7" t="s">
        <v>4277</v>
      </c>
      <c r="K335" s="7" t="s">
        <v>4278</v>
      </c>
      <c r="L335" s="7" t="s">
        <v>4279</v>
      </c>
      <c r="M335" s="7" t="s">
        <v>2078</v>
      </c>
      <c r="N335" s="9">
        <v>46234</v>
      </c>
      <c r="O335" s="9">
        <v>46356</v>
      </c>
      <c r="P335" s="7" t="s">
        <v>2090</v>
      </c>
      <c r="Q335" s="7" t="s">
        <v>4261</v>
      </c>
      <c r="R335" s="7" t="s">
        <v>4280</v>
      </c>
      <c r="S335" s="7" t="s">
        <v>4281</v>
      </c>
      <c r="T335" s="7" t="s">
        <v>2067</v>
      </c>
      <c r="U335" s="7" t="s">
        <v>2768</v>
      </c>
      <c r="V335" s="7" t="s">
        <v>2067</v>
      </c>
      <c r="W335" s="7" t="s">
        <v>2082</v>
      </c>
    </row>
    <row r="336" spans="1:23" ht="20.100000000000001" customHeight="1" x14ac:dyDescent="0.25">
      <c r="A336" s="3" t="s">
        <v>1032</v>
      </c>
      <c r="B336" s="4" t="s">
        <v>2057</v>
      </c>
      <c r="C336" s="4" t="s">
        <v>4282</v>
      </c>
      <c r="D336" s="4" t="s">
        <v>2059</v>
      </c>
      <c r="E336" s="4" t="s">
        <v>1947</v>
      </c>
      <c r="F336" s="4" t="s">
        <v>1948</v>
      </c>
      <c r="G336" s="4" t="s">
        <v>2057</v>
      </c>
      <c r="H336" s="4" t="s">
        <v>4283</v>
      </c>
      <c r="I336" s="4" t="s">
        <v>4261</v>
      </c>
      <c r="J336" s="4" t="s">
        <v>4284</v>
      </c>
      <c r="K336" s="4" t="s">
        <v>4285</v>
      </c>
      <c r="L336" s="4" t="s">
        <v>4286</v>
      </c>
      <c r="M336" s="4" t="s">
        <v>2078</v>
      </c>
      <c r="N336" s="8">
        <v>46234</v>
      </c>
      <c r="O336" s="8">
        <v>46356</v>
      </c>
      <c r="P336" s="4" t="s">
        <v>2090</v>
      </c>
      <c r="Q336" s="4" t="s">
        <v>4261</v>
      </c>
      <c r="R336" s="4" t="s">
        <v>4287</v>
      </c>
      <c r="S336" s="4" t="s">
        <v>4288</v>
      </c>
      <c r="T336" s="4" t="s">
        <v>2067</v>
      </c>
      <c r="U336" s="4" t="s">
        <v>2109</v>
      </c>
      <c r="V336" s="4" t="s">
        <v>2067</v>
      </c>
      <c r="W336" s="4" t="s">
        <v>2069</v>
      </c>
    </row>
    <row r="337" spans="1:23" ht="20.100000000000001" customHeight="1" x14ac:dyDescent="0.25">
      <c r="A337" s="6" t="s">
        <v>4289</v>
      </c>
      <c r="B337" s="7" t="s">
        <v>2057</v>
      </c>
      <c r="C337" s="7" t="s">
        <v>4290</v>
      </c>
      <c r="D337" s="7" t="s">
        <v>2059</v>
      </c>
      <c r="E337" s="7" t="s">
        <v>1947</v>
      </c>
      <c r="F337" s="7" t="s">
        <v>1948</v>
      </c>
      <c r="G337" s="7" t="s">
        <v>2057</v>
      </c>
      <c r="H337" s="7" t="s">
        <v>4291</v>
      </c>
      <c r="I337" s="7" t="s">
        <v>4261</v>
      </c>
      <c r="J337" s="7" t="s">
        <v>4292</v>
      </c>
      <c r="K337" s="7" t="s">
        <v>4293</v>
      </c>
      <c r="L337" s="7" t="s">
        <v>4294</v>
      </c>
      <c r="M337" s="7" t="s">
        <v>2078</v>
      </c>
      <c r="N337" s="9">
        <v>46052</v>
      </c>
      <c r="O337" s="9">
        <v>46355</v>
      </c>
      <c r="P337" s="7" t="s">
        <v>2090</v>
      </c>
      <c r="Q337" s="7" t="s">
        <v>4261</v>
      </c>
      <c r="R337" s="7" t="s">
        <v>4295</v>
      </c>
      <c r="S337" s="7" t="s">
        <v>4296</v>
      </c>
      <c r="T337" s="7" t="s">
        <v>2067</v>
      </c>
      <c r="U337" s="7" t="s">
        <v>2109</v>
      </c>
      <c r="V337" s="7" t="s">
        <v>2067</v>
      </c>
      <c r="W337" s="7" t="s">
        <v>2082</v>
      </c>
    </row>
    <row r="338" spans="1:23" ht="20.100000000000001" customHeight="1" x14ac:dyDescent="0.25">
      <c r="A338" s="3" t="s">
        <v>1650</v>
      </c>
      <c r="B338" s="4" t="s">
        <v>2057</v>
      </c>
      <c r="C338" s="4" t="s">
        <v>4297</v>
      </c>
      <c r="D338" s="4" t="s">
        <v>2059</v>
      </c>
      <c r="E338" s="4" t="s">
        <v>1947</v>
      </c>
      <c r="F338" s="4" t="s">
        <v>1948</v>
      </c>
      <c r="G338" s="4" t="s">
        <v>2057</v>
      </c>
      <c r="H338" s="4" t="s">
        <v>4298</v>
      </c>
      <c r="I338" s="4" t="s">
        <v>4261</v>
      </c>
      <c r="J338" s="4" t="s">
        <v>4299</v>
      </c>
      <c r="K338" s="4" t="s">
        <v>4300</v>
      </c>
      <c r="L338" s="4" t="s">
        <v>4301</v>
      </c>
      <c r="M338" s="4" t="s">
        <v>2078</v>
      </c>
      <c r="N338" s="8">
        <v>46052</v>
      </c>
      <c r="O338" s="8">
        <v>46296</v>
      </c>
      <c r="P338" s="4" t="s">
        <v>2090</v>
      </c>
      <c r="Q338" s="4" t="s">
        <v>4261</v>
      </c>
      <c r="R338" s="4" t="s">
        <v>4302</v>
      </c>
      <c r="S338" s="4" t="s">
        <v>4303</v>
      </c>
      <c r="T338" s="4" t="s">
        <v>2067</v>
      </c>
      <c r="U338" s="4" t="s">
        <v>2768</v>
      </c>
      <c r="V338" s="4" t="s">
        <v>2067</v>
      </c>
      <c r="W338" s="4" t="s">
        <v>2069</v>
      </c>
    </row>
    <row r="339" spans="1:23" ht="20.100000000000001" customHeight="1" x14ac:dyDescent="0.25">
      <c r="A339" s="6" t="s">
        <v>1026</v>
      </c>
      <c r="B339" s="7" t="s">
        <v>2057</v>
      </c>
      <c r="C339" s="7" t="s">
        <v>4304</v>
      </c>
      <c r="D339" s="7" t="s">
        <v>2059</v>
      </c>
      <c r="E339" s="7" t="s">
        <v>1947</v>
      </c>
      <c r="F339" s="7" t="s">
        <v>1948</v>
      </c>
      <c r="G339" s="7" t="s">
        <v>2057</v>
      </c>
      <c r="H339" s="7" t="s">
        <v>4305</v>
      </c>
      <c r="I339" s="7" t="s">
        <v>4261</v>
      </c>
      <c r="J339" s="7" t="s">
        <v>4306</v>
      </c>
      <c r="K339" s="7" t="s">
        <v>4307</v>
      </c>
      <c r="L339" s="7" t="s">
        <v>4308</v>
      </c>
      <c r="M339" s="7" t="s">
        <v>2078</v>
      </c>
      <c r="N339" s="9">
        <v>46052</v>
      </c>
      <c r="O339" s="9">
        <v>46355</v>
      </c>
      <c r="P339" s="7" t="s">
        <v>2090</v>
      </c>
      <c r="Q339" s="7" t="s">
        <v>4261</v>
      </c>
      <c r="R339" s="7" t="s">
        <v>4309</v>
      </c>
      <c r="S339" s="7" t="s">
        <v>4310</v>
      </c>
      <c r="T339" s="7" t="s">
        <v>2067</v>
      </c>
      <c r="U339" s="7" t="s">
        <v>2768</v>
      </c>
      <c r="V339" s="7" t="s">
        <v>2067</v>
      </c>
      <c r="W339" s="7" t="s">
        <v>2069</v>
      </c>
    </row>
    <row r="340" spans="1:23" ht="20.100000000000001" customHeight="1" x14ac:dyDescent="0.25">
      <c r="A340" s="3" t="s">
        <v>1732</v>
      </c>
      <c r="B340" s="4" t="s">
        <v>2057</v>
      </c>
      <c r="C340" s="4" t="s">
        <v>4311</v>
      </c>
      <c r="D340" s="4" t="s">
        <v>2059</v>
      </c>
      <c r="E340" s="4" t="s">
        <v>1947</v>
      </c>
      <c r="F340" s="4" t="s">
        <v>1948</v>
      </c>
      <c r="G340" s="4" t="s">
        <v>2057</v>
      </c>
      <c r="H340" s="4" t="s">
        <v>4305</v>
      </c>
      <c r="I340" s="4" t="s">
        <v>4261</v>
      </c>
      <c r="J340" s="4" t="s">
        <v>4312</v>
      </c>
      <c r="K340" s="4" t="s">
        <v>4313</v>
      </c>
      <c r="L340" s="4" t="s">
        <v>4314</v>
      </c>
      <c r="M340" s="4" t="s">
        <v>2078</v>
      </c>
      <c r="N340" s="8">
        <v>46234</v>
      </c>
      <c r="O340" s="8">
        <v>46356</v>
      </c>
      <c r="P340" s="4" t="s">
        <v>2090</v>
      </c>
      <c r="Q340" s="4" t="s">
        <v>4261</v>
      </c>
      <c r="R340" s="4" t="s">
        <v>4315</v>
      </c>
      <c r="S340" s="4" t="s">
        <v>4316</v>
      </c>
      <c r="T340" s="4" t="s">
        <v>2067</v>
      </c>
      <c r="U340" s="4" t="s">
        <v>2768</v>
      </c>
      <c r="V340" s="4" t="s">
        <v>2067</v>
      </c>
      <c r="W340" s="4" t="s">
        <v>2069</v>
      </c>
    </row>
    <row r="341" spans="1:23" ht="20.100000000000001" customHeight="1" x14ac:dyDescent="0.25">
      <c r="A341" s="6" t="s">
        <v>4317</v>
      </c>
      <c r="B341" s="7" t="s">
        <v>2057</v>
      </c>
      <c r="C341" s="7" t="s">
        <v>4318</v>
      </c>
      <c r="D341" s="7" t="s">
        <v>2059</v>
      </c>
      <c r="E341" s="7" t="s">
        <v>1947</v>
      </c>
      <c r="F341" s="7" t="s">
        <v>1948</v>
      </c>
      <c r="G341" s="7" t="s">
        <v>2057</v>
      </c>
      <c r="H341" s="7" t="s">
        <v>4305</v>
      </c>
      <c r="I341" s="7" t="s">
        <v>4261</v>
      </c>
      <c r="J341" s="7" t="s">
        <v>4319</v>
      </c>
      <c r="K341" s="7" t="s">
        <v>4320</v>
      </c>
      <c r="L341" s="7" t="s">
        <v>4321</v>
      </c>
      <c r="M341" s="7" t="s">
        <v>2078</v>
      </c>
      <c r="N341" s="9">
        <v>46052</v>
      </c>
      <c r="O341" s="9">
        <v>46355</v>
      </c>
      <c r="P341" s="7" t="s">
        <v>2090</v>
      </c>
      <c r="Q341" s="7" t="s">
        <v>4261</v>
      </c>
      <c r="R341" s="7" t="s">
        <v>4322</v>
      </c>
      <c r="S341" s="7" t="s">
        <v>4323</v>
      </c>
      <c r="T341" s="7" t="s">
        <v>2067</v>
      </c>
      <c r="U341" s="7" t="s">
        <v>2109</v>
      </c>
      <c r="V341" s="7" t="s">
        <v>2067</v>
      </c>
      <c r="W341" s="7" t="s">
        <v>2069</v>
      </c>
    </row>
    <row r="342" spans="1:23" ht="20.100000000000001" customHeight="1" x14ac:dyDescent="0.25">
      <c r="A342" s="3" t="s">
        <v>1756</v>
      </c>
      <c r="B342" s="4" t="s">
        <v>2057</v>
      </c>
      <c r="C342" s="4" t="s">
        <v>4324</v>
      </c>
      <c r="D342" s="4" t="s">
        <v>2059</v>
      </c>
      <c r="E342" s="4" t="s">
        <v>1947</v>
      </c>
      <c r="F342" s="4" t="s">
        <v>1948</v>
      </c>
      <c r="G342" s="4" t="s">
        <v>2057</v>
      </c>
      <c r="H342" s="4" t="s">
        <v>4260</v>
      </c>
      <c r="I342" s="4" t="s">
        <v>4261</v>
      </c>
      <c r="J342" s="4" t="s">
        <v>4325</v>
      </c>
      <c r="K342" s="4" t="s">
        <v>4326</v>
      </c>
      <c r="L342" s="4" t="s">
        <v>4327</v>
      </c>
      <c r="M342" s="4" t="s">
        <v>2078</v>
      </c>
      <c r="N342" s="8">
        <v>46234</v>
      </c>
      <c r="O342" s="8">
        <v>46356</v>
      </c>
      <c r="P342" s="4" t="s">
        <v>2090</v>
      </c>
      <c r="Q342" s="4" t="s">
        <v>4261</v>
      </c>
      <c r="R342" s="4" t="s">
        <v>4328</v>
      </c>
      <c r="S342" s="4" t="s">
        <v>4329</v>
      </c>
      <c r="T342" s="4" t="s">
        <v>2067</v>
      </c>
      <c r="U342" s="4" t="s">
        <v>2768</v>
      </c>
      <c r="V342" s="4" t="s">
        <v>2067</v>
      </c>
      <c r="W342" s="4" t="s">
        <v>2069</v>
      </c>
    </row>
    <row r="343" spans="1:23" ht="20.100000000000001" customHeight="1" x14ac:dyDescent="0.25">
      <c r="A343" s="6" t="s">
        <v>1220</v>
      </c>
      <c r="B343" s="7" t="s">
        <v>2057</v>
      </c>
      <c r="C343" s="7" t="s">
        <v>4330</v>
      </c>
      <c r="D343" s="7" t="s">
        <v>2059</v>
      </c>
      <c r="E343" s="7" t="s">
        <v>1947</v>
      </c>
      <c r="F343" s="7" t="s">
        <v>1948</v>
      </c>
      <c r="G343" s="7" t="s">
        <v>2057</v>
      </c>
      <c r="H343" s="7" t="s">
        <v>4283</v>
      </c>
      <c r="I343" s="7" t="s">
        <v>4261</v>
      </c>
      <c r="J343" s="7" t="s">
        <v>4331</v>
      </c>
      <c r="K343" s="7" t="s">
        <v>4332</v>
      </c>
      <c r="L343" s="7" t="s">
        <v>4333</v>
      </c>
      <c r="M343" s="7" t="s">
        <v>2078</v>
      </c>
      <c r="N343" s="9">
        <v>46085</v>
      </c>
      <c r="O343" s="9">
        <v>46355</v>
      </c>
      <c r="P343" s="7" t="s">
        <v>2090</v>
      </c>
      <c r="Q343" s="7" t="s">
        <v>4261</v>
      </c>
      <c r="R343" s="7" t="s">
        <v>4334</v>
      </c>
      <c r="S343" s="7" t="s">
        <v>4335</v>
      </c>
      <c r="T343" s="7" t="s">
        <v>2067</v>
      </c>
      <c r="U343" s="7" t="s">
        <v>2146</v>
      </c>
      <c r="V343" s="7" t="s">
        <v>2067</v>
      </c>
      <c r="W343" s="7" t="s">
        <v>2069</v>
      </c>
    </row>
    <row r="344" spans="1:23" ht="20.100000000000001" customHeight="1" x14ac:dyDescent="0.25">
      <c r="A344" s="3" t="s">
        <v>4336</v>
      </c>
      <c r="B344" s="4" t="s">
        <v>2057</v>
      </c>
      <c r="C344" s="4" t="s">
        <v>4337</v>
      </c>
      <c r="D344" s="4" t="s">
        <v>2059</v>
      </c>
      <c r="E344" s="4" t="s">
        <v>1947</v>
      </c>
      <c r="F344" s="4" t="s">
        <v>1948</v>
      </c>
      <c r="G344" s="4" t="s">
        <v>2057</v>
      </c>
      <c r="H344" s="4" t="s">
        <v>4305</v>
      </c>
      <c r="I344" s="4" t="s">
        <v>4261</v>
      </c>
      <c r="J344" s="4" t="s">
        <v>4338</v>
      </c>
      <c r="K344" s="4" t="s">
        <v>4339</v>
      </c>
      <c r="L344" s="4" t="s">
        <v>4340</v>
      </c>
      <c r="M344" s="4" t="s">
        <v>2078</v>
      </c>
      <c r="N344" s="8">
        <v>46234</v>
      </c>
      <c r="O344" s="8">
        <v>46356</v>
      </c>
      <c r="P344" s="4" t="s">
        <v>2090</v>
      </c>
      <c r="Q344" s="4" t="s">
        <v>4261</v>
      </c>
      <c r="R344" s="4" t="s">
        <v>3532</v>
      </c>
      <c r="S344" s="4" t="s">
        <v>4341</v>
      </c>
      <c r="T344" s="4" t="s">
        <v>2067</v>
      </c>
      <c r="U344" s="4" t="s">
        <v>2109</v>
      </c>
      <c r="V344" s="4" t="s">
        <v>2067</v>
      </c>
      <c r="W344" s="4" t="s">
        <v>2069</v>
      </c>
    </row>
    <row r="345" spans="1:23" ht="20.100000000000001" customHeight="1" x14ac:dyDescent="0.25">
      <c r="A345" s="6" t="s">
        <v>1654</v>
      </c>
      <c r="B345" s="7" t="s">
        <v>2057</v>
      </c>
      <c r="C345" s="7" t="s">
        <v>4342</v>
      </c>
      <c r="D345" s="7" t="s">
        <v>2059</v>
      </c>
      <c r="E345" s="7" t="s">
        <v>1947</v>
      </c>
      <c r="F345" s="7" t="s">
        <v>1948</v>
      </c>
      <c r="G345" s="7" t="s">
        <v>2057</v>
      </c>
      <c r="H345" s="7" t="s">
        <v>4343</v>
      </c>
      <c r="I345" s="7" t="s">
        <v>4261</v>
      </c>
      <c r="J345" s="7" t="s">
        <v>4344</v>
      </c>
      <c r="K345" s="7" t="s">
        <v>4345</v>
      </c>
      <c r="L345" s="7" t="s">
        <v>4346</v>
      </c>
      <c r="M345" s="7" t="s">
        <v>2078</v>
      </c>
      <c r="N345" s="9">
        <v>46234</v>
      </c>
      <c r="O345" s="9">
        <v>46356</v>
      </c>
      <c r="P345" s="7" t="s">
        <v>2090</v>
      </c>
      <c r="Q345" s="7" t="s">
        <v>4261</v>
      </c>
      <c r="R345" s="7" t="s">
        <v>4347</v>
      </c>
      <c r="S345" s="7" t="s">
        <v>4348</v>
      </c>
      <c r="T345" s="7" t="s">
        <v>2067</v>
      </c>
      <c r="U345" s="7" t="s">
        <v>2146</v>
      </c>
      <c r="V345" s="7" t="s">
        <v>2067</v>
      </c>
      <c r="W345" s="7" t="s">
        <v>2069</v>
      </c>
    </row>
    <row r="346" spans="1:23" ht="20.100000000000001" customHeight="1" x14ac:dyDescent="0.25">
      <c r="A346" s="3" t="s">
        <v>1774</v>
      </c>
      <c r="B346" s="4" t="s">
        <v>2057</v>
      </c>
      <c r="C346" s="4" t="s">
        <v>4349</v>
      </c>
      <c r="D346" s="4" t="s">
        <v>2059</v>
      </c>
      <c r="E346" s="4" t="s">
        <v>1947</v>
      </c>
      <c r="F346" s="4" t="s">
        <v>1948</v>
      </c>
      <c r="G346" s="4" t="s">
        <v>2057</v>
      </c>
      <c r="H346" s="4" t="s">
        <v>4350</v>
      </c>
      <c r="I346" s="4" t="s">
        <v>4261</v>
      </c>
      <c r="J346" s="4" t="s">
        <v>4351</v>
      </c>
      <c r="K346" s="4" t="s">
        <v>4352</v>
      </c>
      <c r="L346" s="4" t="s">
        <v>4353</v>
      </c>
      <c r="M346" s="4" t="s">
        <v>2078</v>
      </c>
      <c r="N346" s="8">
        <v>46234</v>
      </c>
      <c r="O346" s="8">
        <v>46356</v>
      </c>
      <c r="P346" s="4" t="s">
        <v>2090</v>
      </c>
      <c r="Q346" s="4" t="s">
        <v>4261</v>
      </c>
      <c r="R346" s="4" t="s">
        <v>4354</v>
      </c>
      <c r="S346" s="4" t="s">
        <v>4355</v>
      </c>
      <c r="T346" s="4" t="s">
        <v>2067</v>
      </c>
      <c r="U346" s="4" t="s">
        <v>2768</v>
      </c>
      <c r="V346" s="4" t="s">
        <v>2067</v>
      </c>
      <c r="W346" s="4" t="s">
        <v>2069</v>
      </c>
    </row>
    <row r="347" spans="1:23" ht="20.100000000000001" customHeight="1" x14ac:dyDescent="0.25">
      <c r="A347" s="6" t="s">
        <v>1508</v>
      </c>
      <c r="B347" s="7" t="s">
        <v>2057</v>
      </c>
      <c r="C347" s="7" t="s">
        <v>4356</v>
      </c>
      <c r="D347" s="7" t="s">
        <v>2059</v>
      </c>
      <c r="E347" s="7" t="s">
        <v>1947</v>
      </c>
      <c r="F347" s="7" t="s">
        <v>1948</v>
      </c>
      <c r="G347" s="7" t="s">
        <v>2057</v>
      </c>
      <c r="H347" s="7" t="s">
        <v>4357</v>
      </c>
      <c r="I347" s="7" t="s">
        <v>4261</v>
      </c>
      <c r="J347" s="7" t="s">
        <v>4358</v>
      </c>
      <c r="K347" s="7" t="s">
        <v>4359</v>
      </c>
      <c r="L347" s="7" t="s">
        <v>4360</v>
      </c>
      <c r="M347" s="7" t="s">
        <v>2078</v>
      </c>
      <c r="N347" s="9">
        <v>46234</v>
      </c>
      <c r="O347" s="9">
        <v>46356</v>
      </c>
      <c r="P347" s="7" t="s">
        <v>2090</v>
      </c>
      <c r="Q347" s="7" t="s">
        <v>4261</v>
      </c>
      <c r="R347" s="7" t="s">
        <v>4361</v>
      </c>
      <c r="S347" s="7" t="s">
        <v>4362</v>
      </c>
      <c r="T347" s="7" t="s">
        <v>2067</v>
      </c>
      <c r="U347" s="7" t="s">
        <v>2146</v>
      </c>
      <c r="V347" s="7" t="s">
        <v>2067</v>
      </c>
      <c r="W347" s="7" t="s">
        <v>2082</v>
      </c>
    </row>
    <row r="348" spans="1:23" ht="20.100000000000001" customHeight="1" x14ac:dyDescent="0.25">
      <c r="A348" s="3" t="s">
        <v>1648</v>
      </c>
      <c r="B348" s="4" t="s">
        <v>2057</v>
      </c>
      <c r="C348" s="4" t="s">
        <v>4363</v>
      </c>
      <c r="D348" s="4" t="s">
        <v>2059</v>
      </c>
      <c r="E348" s="4" t="s">
        <v>1947</v>
      </c>
      <c r="F348" s="4" t="s">
        <v>1948</v>
      </c>
      <c r="G348" s="4" t="s">
        <v>2057</v>
      </c>
      <c r="H348" s="4" t="s">
        <v>4364</v>
      </c>
      <c r="I348" s="4" t="s">
        <v>4261</v>
      </c>
      <c r="J348" s="4" t="s">
        <v>4365</v>
      </c>
      <c r="K348" s="4" t="s">
        <v>4366</v>
      </c>
      <c r="L348" s="4" t="s">
        <v>4367</v>
      </c>
      <c r="M348" s="4" t="s">
        <v>2078</v>
      </c>
      <c r="N348" s="8">
        <v>46234</v>
      </c>
      <c r="O348" s="8">
        <v>46356</v>
      </c>
      <c r="P348" s="4" t="s">
        <v>2090</v>
      </c>
      <c r="Q348" s="4" t="s">
        <v>4261</v>
      </c>
      <c r="R348" s="4" t="s">
        <v>4368</v>
      </c>
      <c r="S348" s="4" t="s">
        <v>4369</v>
      </c>
      <c r="T348" s="4" t="s">
        <v>2067</v>
      </c>
      <c r="U348" s="4" t="s">
        <v>2146</v>
      </c>
      <c r="V348" s="4" t="s">
        <v>2067</v>
      </c>
      <c r="W348" s="4" t="s">
        <v>2069</v>
      </c>
    </row>
    <row r="349" spans="1:23" ht="20.100000000000001" customHeight="1" x14ac:dyDescent="0.25">
      <c r="A349" s="6" t="s">
        <v>1406</v>
      </c>
      <c r="B349" s="7" t="s">
        <v>2057</v>
      </c>
      <c r="C349" s="7" t="s">
        <v>4370</v>
      </c>
      <c r="D349" s="7" t="s">
        <v>2059</v>
      </c>
      <c r="E349" s="7" t="s">
        <v>1947</v>
      </c>
      <c r="F349" s="7" t="s">
        <v>1948</v>
      </c>
      <c r="G349" s="7" t="s">
        <v>2057</v>
      </c>
      <c r="H349" s="7" t="s">
        <v>4305</v>
      </c>
      <c r="I349" s="7" t="s">
        <v>4261</v>
      </c>
      <c r="J349" s="7" t="s">
        <v>4371</v>
      </c>
      <c r="K349" s="7" t="s">
        <v>4372</v>
      </c>
      <c r="L349" s="7" t="s">
        <v>4373</v>
      </c>
      <c r="M349" s="7" t="s">
        <v>2078</v>
      </c>
      <c r="N349" s="9">
        <v>46234</v>
      </c>
      <c r="O349" s="9">
        <v>46356</v>
      </c>
      <c r="P349" s="7" t="s">
        <v>2090</v>
      </c>
      <c r="Q349" s="7" t="s">
        <v>4261</v>
      </c>
      <c r="R349" s="7" t="s">
        <v>4374</v>
      </c>
      <c r="S349" s="7" t="s">
        <v>4375</v>
      </c>
      <c r="T349" s="7" t="s">
        <v>2067</v>
      </c>
      <c r="U349" s="7" t="s">
        <v>2146</v>
      </c>
      <c r="V349" s="7" t="s">
        <v>2067</v>
      </c>
      <c r="W349" s="7" t="s">
        <v>2069</v>
      </c>
    </row>
    <row r="350" spans="1:23" ht="20.100000000000001" customHeight="1" x14ac:dyDescent="0.25">
      <c r="A350" s="3" t="s">
        <v>390</v>
      </c>
      <c r="B350" s="4" t="s">
        <v>2057</v>
      </c>
      <c r="C350" s="4" t="s">
        <v>4376</v>
      </c>
      <c r="D350" s="4" t="s">
        <v>2059</v>
      </c>
      <c r="E350" s="4" t="s">
        <v>1947</v>
      </c>
      <c r="F350" s="4" t="s">
        <v>1948</v>
      </c>
      <c r="G350" s="4" t="s">
        <v>2057</v>
      </c>
      <c r="H350" s="4" t="s">
        <v>4357</v>
      </c>
      <c r="I350" s="4" t="s">
        <v>4261</v>
      </c>
      <c r="J350" s="4" t="s">
        <v>4377</v>
      </c>
      <c r="K350" s="4" t="s">
        <v>4378</v>
      </c>
      <c r="L350" s="4" t="s">
        <v>4379</v>
      </c>
      <c r="M350" s="4" t="s">
        <v>2078</v>
      </c>
      <c r="N350" s="8">
        <v>46108</v>
      </c>
      <c r="O350" s="8">
        <v>46356</v>
      </c>
      <c r="P350" s="4" t="s">
        <v>2090</v>
      </c>
      <c r="Q350" s="4" t="s">
        <v>4261</v>
      </c>
      <c r="R350" s="4" t="s">
        <v>2844</v>
      </c>
      <c r="S350" s="4" t="s">
        <v>4380</v>
      </c>
      <c r="T350" s="4" t="s">
        <v>2067</v>
      </c>
      <c r="U350" s="4" t="s">
        <v>2146</v>
      </c>
      <c r="V350" s="4" t="s">
        <v>2067</v>
      </c>
      <c r="W350" s="4" t="s">
        <v>2082</v>
      </c>
    </row>
    <row r="351" spans="1:23" ht="20.100000000000001" customHeight="1" x14ac:dyDescent="0.25">
      <c r="A351" s="6" t="s">
        <v>1148</v>
      </c>
      <c r="B351" s="7" t="s">
        <v>2084</v>
      </c>
      <c r="C351" s="7" t="s">
        <v>4381</v>
      </c>
      <c r="D351" s="7" t="s">
        <v>2059</v>
      </c>
      <c r="E351" s="7" t="s">
        <v>1947</v>
      </c>
      <c r="F351" s="7" t="s">
        <v>1948</v>
      </c>
      <c r="G351" s="7" t="s">
        <v>2084</v>
      </c>
      <c r="H351" s="7" t="s">
        <v>4382</v>
      </c>
      <c r="I351" s="7" t="s">
        <v>2017</v>
      </c>
      <c r="J351" s="7" t="s">
        <v>4383</v>
      </c>
      <c r="K351" s="7" t="s">
        <v>4384</v>
      </c>
      <c r="L351" s="7" t="s">
        <v>4385</v>
      </c>
      <c r="M351" s="7" t="s">
        <v>2078</v>
      </c>
      <c r="N351" s="9">
        <v>45992</v>
      </c>
      <c r="O351" s="9">
        <v>46356</v>
      </c>
      <c r="P351" s="7" t="s">
        <v>2090</v>
      </c>
      <c r="Q351" s="7" t="s">
        <v>2017</v>
      </c>
      <c r="R351" s="7" t="s">
        <v>4386</v>
      </c>
      <c r="S351" s="7" t="s">
        <v>4387</v>
      </c>
      <c r="T351" s="7" t="s">
        <v>2067</v>
      </c>
      <c r="U351" s="7" t="s">
        <v>2146</v>
      </c>
      <c r="V351" s="7" t="s">
        <v>2067</v>
      </c>
      <c r="W351" s="7" t="s">
        <v>2069</v>
      </c>
    </row>
    <row r="352" spans="1:23" ht="20.100000000000001" customHeight="1" x14ac:dyDescent="0.25">
      <c r="A352" s="3" t="s">
        <v>1402</v>
      </c>
      <c r="B352" s="4" t="s">
        <v>2057</v>
      </c>
      <c r="C352" s="4" t="s">
        <v>4388</v>
      </c>
      <c r="D352" s="4" t="s">
        <v>2059</v>
      </c>
      <c r="E352" s="4" t="s">
        <v>1947</v>
      </c>
      <c r="F352" s="4" t="s">
        <v>1948</v>
      </c>
      <c r="G352" s="4" t="s">
        <v>2057</v>
      </c>
      <c r="H352" s="4" t="s">
        <v>2016</v>
      </c>
      <c r="I352" s="4" t="s">
        <v>2017</v>
      </c>
      <c r="J352" s="4" t="s">
        <v>4389</v>
      </c>
      <c r="K352" s="4" t="s">
        <v>4390</v>
      </c>
      <c r="L352" s="4" t="s">
        <v>4391</v>
      </c>
      <c r="M352" s="4" t="s">
        <v>2078</v>
      </c>
      <c r="N352" s="8">
        <v>46234</v>
      </c>
      <c r="O352" s="8">
        <v>46356</v>
      </c>
      <c r="P352" s="4" t="s">
        <v>2090</v>
      </c>
      <c r="Q352" s="4" t="s">
        <v>2017</v>
      </c>
      <c r="R352" s="4" t="s">
        <v>4392</v>
      </c>
      <c r="S352" s="4" t="s">
        <v>4393</v>
      </c>
      <c r="T352" s="4" t="s">
        <v>2067</v>
      </c>
      <c r="U352" s="4" t="s">
        <v>2146</v>
      </c>
      <c r="V352" s="4" t="s">
        <v>2067</v>
      </c>
      <c r="W352" s="4" t="s">
        <v>2069</v>
      </c>
    </row>
    <row r="353" spans="1:23" ht="20.100000000000001" customHeight="1" x14ac:dyDescent="0.25">
      <c r="A353" s="6" t="s">
        <v>568</v>
      </c>
      <c r="B353" s="7" t="s">
        <v>2057</v>
      </c>
      <c r="C353" s="7" t="s">
        <v>4394</v>
      </c>
      <c r="D353" s="7" t="s">
        <v>2059</v>
      </c>
      <c r="E353" s="7" t="s">
        <v>1947</v>
      </c>
      <c r="F353" s="7" t="s">
        <v>1948</v>
      </c>
      <c r="G353" s="7" t="s">
        <v>2057</v>
      </c>
      <c r="H353" s="7" t="s">
        <v>4395</v>
      </c>
      <c r="I353" s="7" t="s">
        <v>2017</v>
      </c>
      <c r="J353" s="7" t="s">
        <v>4396</v>
      </c>
      <c r="K353" s="7" t="s">
        <v>4397</v>
      </c>
      <c r="L353" s="7" t="s">
        <v>4398</v>
      </c>
      <c r="M353" s="7" t="s">
        <v>2078</v>
      </c>
      <c r="N353" s="9">
        <v>46234</v>
      </c>
      <c r="O353" s="9">
        <v>46356</v>
      </c>
      <c r="P353" s="7" t="s">
        <v>2090</v>
      </c>
      <c r="Q353" s="7" t="s">
        <v>2017</v>
      </c>
      <c r="R353" s="7" t="s">
        <v>4399</v>
      </c>
      <c r="S353" s="7" t="s">
        <v>4400</v>
      </c>
      <c r="T353" s="7" t="s">
        <v>2067</v>
      </c>
      <c r="U353" s="7" t="s">
        <v>2768</v>
      </c>
      <c r="V353" s="7" t="s">
        <v>2067</v>
      </c>
      <c r="W353" s="7" t="s">
        <v>2069</v>
      </c>
    </row>
    <row r="354" spans="1:23" ht="20.100000000000001" customHeight="1" x14ac:dyDescent="0.25">
      <c r="A354" s="3" t="s">
        <v>4401</v>
      </c>
      <c r="B354" s="4" t="s">
        <v>2057</v>
      </c>
      <c r="C354" s="4" t="s">
        <v>4402</v>
      </c>
      <c r="D354" s="4" t="s">
        <v>2059</v>
      </c>
      <c r="E354" s="4" t="s">
        <v>1947</v>
      </c>
      <c r="F354" s="4" t="s">
        <v>1948</v>
      </c>
      <c r="G354" s="4" t="s">
        <v>2057</v>
      </c>
      <c r="H354" s="4" t="s">
        <v>4395</v>
      </c>
      <c r="I354" s="4" t="s">
        <v>2017</v>
      </c>
      <c r="J354" s="4" t="s">
        <v>4403</v>
      </c>
      <c r="K354" s="4" t="s">
        <v>4404</v>
      </c>
      <c r="L354" s="4" t="s">
        <v>4405</v>
      </c>
      <c r="M354" s="4" t="s">
        <v>2064</v>
      </c>
      <c r="N354" s="8">
        <v>42023</v>
      </c>
      <c r="O354" s="8"/>
      <c r="P354" s="4" t="s">
        <v>2090</v>
      </c>
      <c r="Q354" s="4" t="s">
        <v>2017</v>
      </c>
      <c r="R354" s="4" t="s">
        <v>4406</v>
      </c>
      <c r="S354" s="4" t="s">
        <v>4407</v>
      </c>
      <c r="T354" s="4" t="s">
        <v>2067</v>
      </c>
      <c r="U354" s="4" t="s">
        <v>2768</v>
      </c>
      <c r="V354" s="4" t="s">
        <v>2067</v>
      </c>
      <c r="W354" s="4" t="s">
        <v>2069</v>
      </c>
    </row>
    <row r="355" spans="1:23" ht="20.100000000000001" customHeight="1" x14ac:dyDescent="0.25">
      <c r="A355" s="6" t="s">
        <v>762</v>
      </c>
      <c r="B355" s="7" t="s">
        <v>2084</v>
      </c>
      <c r="C355" s="7" t="s">
        <v>4408</v>
      </c>
      <c r="D355" s="7" t="s">
        <v>2059</v>
      </c>
      <c r="E355" s="7" t="s">
        <v>1947</v>
      </c>
      <c r="F355" s="7" t="s">
        <v>1948</v>
      </c>
      <c r="G355" s="7" t="s">
        <v>2084</v>
      </c>
      <c r="H355" s="7" t="s">
        <v>4409</v>
      </c>
      <c r="I355" s="7" t="s">
        <v>2017</v>
      </c>
      <c r="J355" s="7" t="s">
        <v>4410</v>
      </c>
      <c r="K355" s="7" t="s">
        <v>4411</v>
      </c>
      <c r="L355" s="7" t="s">
        <v>4412</v>
      </c>
      <c r="M355" s="7" t="s">
        <v>2078</v>
      </c>
      <c r="N355" s="9">
        <v>45992</v>
      </c>
      <c r="O355" s="9">
        <v>46356</v>
      </c>
      <c r="P355" s="7" t="s">
        <v>2090</v>
      </c>
      <c r="Q355" s="7" t="s">
        <v>2017</v>
      </c>
      <c r="R355" s="7" t="s">
        <v>2126</v>
      </c>
      <c r="S355" s="7" t="s">
        <v>4413</v>
      </c>
      <c r="T355" s="7" t="s">
        <v>2067</v>
      </c>
      <c r="U355" s="7" t="s">
        <v>2146</v>
      </c>
      <c r="V355" s="7" t="s">
        <v>2067</v>
      </c>
      <c r="W355" s="7" t="s">
        <v>2069</v>
      </c>
    </row>
    <row r="356" spans="1:23" ht="20.100000000000001" customHeight="1" x14ac:dyDescent="0.25">
      <c r="A356" s="3" t="s">
        <v>1150</v>
      </c>
      <c r="B356" s="4" t="s">
        <v>2084</v>
      </c>
      <c r="C356" s="4" t="s">
        <v>4414</v>
      </c>
      <c r="D356" s="4" t="s">
        <v>2059</v>
      </c>
      <c r="E356" s="4" t="s">
        <v>1947</v>
      </c>
      <c r="F356" s="4" t="s">
        <v>1948</v>
      </c>
      <c r="G356" s="4" t="s">
        <v>2084</v>
      </c>
      <c r="H356" s="4" t="s">
        <v>4415</v>
      </c>
      <c r="I356" s="4" t="s">
        <v>2017</v>
      </c>
      <c r="J356" s="4" t="s">
        <v>4416</v>
      </c>
      <c r="K356" s="4" t="s">
        <v>4417</v>
      </c>
      <c r="L356" s="4" t="s">
        <v>4418</v>
      </c>
      <c r="M356" s="4" t="s">
        <v>2078</v>
      </c>
      <c r="N356" s="8">
        <v>45992</v>
      </c>
      <c r="O356" s="8">
        <v>46356</v>
      </c>
      <c r="P356" s="4" t="s">
        <v>2090</v>
      </c>
      <c r="Q356" s="4" t="s">
        <v>2017</v>
      </c>
      <c r="R356" s="4" t="s">
        <v>4419</v>
      </c>
      <c r="S356" s="4" t="s">
        <v>4420</v>
      </c>
      <c r="T356" s="4" t="s">
        <v>2067</v>
      </c>
      <c r="U356" s="4" t="s">
        <v>2146</v>
      </c>
      <c r="V356" s="4" t="s">
        <v>2067</v>
      </c>
      <c r="W356" s="4" t="s">
        <v>2069</v>
      </c>
    </row>
    <row r="357" spans="1:23" ht="20.100000000000001" customHeight="1" x14ac:dyDescent="0.25">
      <c r="A357" s="6" t="s">
        <v>4421</v>
      </c>
      <c r="B357" s="7" t="s">
        <v>2084</v>
      </c>
      <c r="C357" s="7" t="s">
        <v>4422</v>
      </c>
      <c r="D357" s="7" t="s">
        <v>2059</v>
      </c>
      <c r="E357" s="7" t="s">
        <v>1947</v>
      </c>
      <c r="F357" s="7" t="s">
        <v>1948</v>
      </c>
      <c r="G357" s="7" t="s">
        <v>2084</v>
      </c>
      <c r="H357" s="7" t="s">
        <v>4415</v>
      </c>
      <c r="I357" s="7" t="s">
        <v>2017</v>
      </c>
      <c r="J357" s="7" t="s">
        <v>4423</v>
      </c>
      <c r="K357" s="7" t="s">
        <v>4424</v>
      </c>
      <c r="L357" s="7" t="s">
        <v>4425</v>
      </c>
      <c r="M357" s="7" t="s">
        <v>2078</v>
      </c>
      <c r="N357" s="9">
        <v>45992</v>
      </c>
      <c r="O357" s="9">
        <v>46356</v>
      </c>
      <c r="P357" s="7" t="s">
        <v>2090</v>
      </c>
      <c r="Q357" s="7" t="s">
        <v>2017</v>
      </c>
      <c r="R357" s="7" t="s">
        <v>4426</v>
      </c>
      <c r="S357" s="7" t="s">
        <v>4427</v>
      </c>
      <c r="T357" s="7" t="s">
        <v>2067</v>
      </c>
      <c r="U357" s="7" t="s">
        <v>2146</v>
      </c>
      <c r="V357" s="7" t="s">
        <v>2067</v>
      </c>
      <c r="W357" s="7" t="s">
        <v>2069</v>
      </c>
    </row>
    <row r="358" spans="1:23" ht="20.100000000000001" customHeight="1" x14ac:dyDescent="0.25">
      <c r="A358" s="3" t="s">
        <v>1462</v>
      </c>
      <c r="B358" s="4" t="s">
        <v>2057</v>
      </c>
      <c r="C358" s="4" t="s">
        <v>4428</v>
      </c>
      <c r="D358" s="4" t="s">
        <v>2059</v>
      </c>
      <c r="E358" s="4" t="s">
        <v>1947</v>
      </c>
      <c r="F358" s="4" t="s">
        <v>1948</v>
      </c>
      <c r="G358" s="4" t="s">
        <v>2057</v>
      </c>
      <c r="H358" s="4" t="s">
        <v>4429</v>
      </c>
      <c r="I358" s="4" t="s">
        <v>2017</v>
      </c>
      <c r="J358" s="4" t="s">
        <v>4430</v>
      </c>
      <c r="K358" s="4" t="s">
        <v>4431</v>
      </c>
      <c r="L358" s="4" t="s">
        <v>4432</v>
      </c>
      <c r="M358" s="4" t="s">
        <v>2078</v>
      </c>
      <c r="N358" s="8">
        <v>46132</v>
      </c>
      <c r="O358" s="8">
        <v>46294</v>
      </c>
      <c r="P358" s="4" t="s">
        <v>2090</v>
      </c>
      <c r="Q358" s="4" t="s">
        <v>2017</v>
      </c>
      <c r="R358" s="4" t="s">
        <v>3383</v>
      </c>
      <c r="S358" s="4" t="s">
        <v>4433</v>
      </c>
      <c r="T358" s="4" t="s">
        <v>2067</v>
      </c>
      <c r="U358" s="4" t="s">
        <v>2146</v>
      </c>
      <c r="V358" s="4" t="s">
        <v>2067</v>
      </c>
      <c r="W358" s="4" t="s">
        <v>2069</v>
      </c>
    </row>
    <row r="359" spans="1:23" ht="20.100000000000001" customHeight="1" x14ac:dyDescent="0.25">
      <c r="A359" s="6" t="s">
        <v>1514</v>
      </c>
      <c r="B359" s="7" t="s">
        <v>2057</v>
      </c>
      <c r="C359" s="7" t="s">
        <v>4434</v>
      </c>
      <c r="D359" s="7" t="s">
        <v>2059</v>
      </c>
      <c r="E359" s="7" t="s">
        <v>1947</v>
      </c>
      <c r="F359" s="7" t="s">
        <v>1948</v>
      </c>
      <c r="G359" s="7" t="s">
        <v>2057</v>
      </c>
      <c r="H359" s="7" t="s">
        <v>2016</v>
      </c>
      <c r="I359" s="7" t="s">
        <v>2017</v>
      </c>
      <c r="J359" s="7" t="s">
        <v>4435</v>
      </c>
      <c r="K359" s="7" t="s">
        <v>4436</v>
      </c>
      <c r="L359" s="7" t="s">
        <v>4437</v>
      </c>
      <c r="M359" s="7" t="s">
        <v>2078</v>
      </c>
      <c r="N359" s="9">
        <v>46234</v>
      </c>
      <c r="O359" s="9">
        <v>46356</v>
      </c>
      <c r="P359" s="7" t="s">
        <v>2090</v>
      </c>
      <c r="Q359" s="7" t="s">
        <v>2017</v>
      </c>
      <c r="R359" s="7" t="s">
        <v>3166</v>
      </c>
      <c r="S359" s="7" t="s">
        <v>4438</v>
      </c>
      <c r="T359" s="7" t="s">
        <v>2067</v>
      </c>
      <c r="U359" s="7" t="s">
        <v>2768</v>
      </c>
      <c r="V359" s="7" t="s">
        <v>2067</v>
      </c>
      <c r="W359" s="7" t="s">
        <v>2069</v>
      </c>
    </row>
    <row r="360" spans="1:23" ht="20.100000000000001" customHeight="1" x14ac:dyDescent="0.25">
      <c r="A360" s="3" t="s">
        <v>1646</v>
      </c>
      <c r="B360" s="4" t="s">
        <v>2057</v>
      </c>
      <c r="C360" s="4" t="s">
        <v>4439</v>
      </c>
      <c r="D360" s="4" t="s">
        <v>2059</v>
      </c>
      <c r="E360" s="4" t="s">
        <v>1947</v>
      </c>
      <c r="F360" s="4" t="s">
        <v>1948</v>
      </c>
      <c r="G360" s="4" t="s">
        <v>2057</v>
      </c>
      <c r="H360" s="4" t="s">
        <v>4429</v>
      </c>
      <c r="I360" s="4" t="s">
        <v>2017</v>
      </c>
      <c r="J360" s="4" t="s">
        <v>4440</v>
      </c>
      <c r="K360" s="4" t="s">
        <v>4441</v>
      </c>
      <c r="L360" s="4" t="s">
        <v>4442</v>
      </c>
      <c r="M360" s="4" t="s">
        <v>2078</v>
      </c>
      <c r="N360" s="8">
        <v>45992</v>
      </c>
      <c r="O360" s="8">
        <v>46356</v>
      </c>
      <c r="P360" s="4" t="s">
        <v>2090</v>
      </c>
      <c r="Q360" s="4" t="s">
        <v>2017</v>
      </c>
      <c r="R360" s="4" t="s">
        <v>4443</v>
      </c>
      <c r="S360" s="4" t="s">
        <v>4444</v>
      </c>
      <c r="T360" s="4" t="s">
        <v>2067</v>
      </c>
      <c r="U360" s="4" t="s">
        <v>2768</v>
      </c>
      <c r="V360" s="4" t="s">
        <v>2067</v>
      </c>
      <c r="W360" s="4" t="s">
        <v>2069</v>
      </c>
    </row>
    <row r="361" spans="1:23" ht="20.100000000000001" customHeight="1" x14ac:dyDescent="0.25">
      <c r="A361" s="6" t="s">
        <v>1486</v>
      </c>
      <c r="B361" s="7" t="s">
        <v>2057</v>
      </c>
      <c r="C361" s="7" t="s">
        <v>4445</v>
      </c>
      <c r="D361" s="7" t="s">
        <v>2059</v>
      </c>
      <c r="E361" s="7" t="s">
        <v>1947</v>
      </c>
      <c r="F361" s="7" t="s">
        <v>1948</v>
      </c>
      <c r="G361" s="7" t="s">
        <v>2057</v>
      </c>
      <c r="H361" s="7" t="s">
        <v>2016</v>
      </c>
      <c r="I361" s="7" t="s">
        <v>2017</v>
      </c>
      <c r="J361" s="7" t="s">
        <v>4446</v>
      </c>
      <c r="K361" s="7" t="s">
        <v>4447</v>
      </c>
      <c r="L361" s="7" t="s">
        <v>4448</v>
      </c>
      <c r="M361" s="7" t="s">
        <v>2078</v>
      </c>
      <c r="N361" s="9">
        <v>46234</v>
      </c>
      <c r="O361" s="9">
        <v>46356</v>
      </c>
      <c r="P361" s="7" t="s">
        <v>2090</v>
      </c>
      <c r="Q361" s="7" t="s">
        <v>2017</v>
      </c>
      <c r="R361" s="7" t="s">
        <v>4449</v>
      </c>
      <c r="S361" s="7" t="s">
        <v>4450</v>
      </c>
      <c r="T361" s="7" t="s">
        <v>2067</v>
      </c>
      <c r="U361" s="7" t="s">
        <v>2768</v>
      </c>
      <c r="V361" s="7" t="s">
        <v>2067</v>
      </c>
      <c r="W361" s="7" t="s">
        <v>2069</v>
      </c>
    </row>
    <row r="362" spans="1:23" ht="20.100000000000001" customHeight="1" x14ac:dyDescent="0.25">
      <c r="A362" s="3" t="s">
        <v>1484</v>
      </c>
      <c r="B362" s="4" t="s">
        <v>2084</v>
      </c>
      <c r="C362" s="4" t="s">
        <v>4451</v>
      </c>
      <c r="D362" s="4" t="s">
        <v>2059</v>
      </c>
      <c r="E362" s="4" t="s">
        <v>1947</v>
      </c>
      <c r="F362" s="4" t="s">
        <v>1948</v>
      </c>
      <c r="G362" s="4" t="s">
        <v>2084</v>
      </c>
      <c r="H362" s="4" t="s">
        <v>4415</v>
      </c>
      <c r="I362" s="4" t="s">
        <v>2017</v>
      </c>
      <c r="J362" s="4" t="s">
        <v>4452</v>
      </c>
      <c r="K362" s="4" t="s">
        <v>4453</v>
      </c>
      <c r="L362" s="4" t="s">
        <v>4454</v>
      </c>
      <c r="M362" s="4" t="s">
        <v>2078</v>
      </c>
      <c r="N362" s="8">
        <v>46052</v>
      </c>
      <c r="O362" s="8">
        <v>46296</v>
      </c>
      <c r="P362" s="4" t="s">
        <v>2090</v>
      </c>
      <c r="Q362" s="4" t="s">
        <v>2017</v>
      </c>
      <c r="R362" s="4" t="s">
        <v>4455</v>
      </c>
      <c r="S362" s="4" t="s">
        <v>3237</v>
      </c>
      <c r="T362" s="4" t="s">
        <v>2067</v>
      </c>
      <c r="U362" s="4" t="s">
        <v>2146</v>
      </c>
      <c r="V362" s="4" t="s">
        <v>2067</v>
      </c>
      <c r="W362" s="4" t="s">
        <v>2069</v>
      </c>
    </row>
    <row r="363" spans="1:23" ht="20.100000000000001" customHeight="1" x14ac:dyDescent="0.25">
      <c r="A363" s="6" t="s">
        <v>1450</v>
      </c>
      <c r="B363" s="7" t="s">
        <v>2084</v>
      </c>
      <c r="C363" s="7" t="s">
        <v>4456</v>
      </c>
      <c r="D363" s="7" t="s">
        <v>2059</v>
      </c>
      <c r="E363" s="7" t="s">
        <v>1947</v>
      </c>
      <c r="F363" s="7" t="s">
        <v>1948</v>
      </c>
      <c r="G363" s="7" t="s">
        <v>2084</v>
      </c>
      <c r="H363" s="7" t="s">
        <v>4415</v>
      </c>
      <c r="I363" s="7" t="s">
        <v>2017</v>
      </c>
      <c r="J363" s="7" t="s">
        <v>4457</v>
      </c>
      <c r="K363" s="7" t="s">
        <v>4458</v>
      </c>
      <c r="L363" s="7" t="s">
        <v>4459</v>
      </c>
      <c r="M363" s="7" t="s">
        <v>2078</v>
      </c>
      <c r="N363" s="9">
        <v>45992</v>
      </c>
      <c r="O363" s="9">
        <v>46356</v>
      </c>
      <c r="P363" s="7" t="s">
        <v>2090</v>
      </c>
      <c r="Q363" s="7" t="s">
        <v>2017</v>
      </c>
      <c r="R363" s="7" t="s">
        <v>4460</v>
      </c>
      <c r="S363" s="7" t="s">
        <v>4461</v>
      </c>
      <c r="T363" s="7" t="s">
        <v>2067</v>
      </c>
      <c r="U363" s="7" t="s">
        <v>2146</v>
      </c>
      <c r="V363" s="7" t="s">
        <v>2067</v>
      </c>
      <c r="W363" s="7" t="s">
        <v>2069</v>
      </c>
    </row>
    <row r="364" spans="1:23" ht="20.100000000000001" customHeight="1" x14ac:dyDescent="0.25">
      <c r="A364" s="3" t="s">
        <v>1200</v>
      </c>
      <c r="B364" s="4" t="s">
        <v>2084</v>
      </c>
      <c r="C364" s="4" t="s">
        <v>4462</v>
      </c>
      <c r="D364" s="4" t="s">
        <v>2059</v>
      </c>
      <c r="E364" s="4" t="s">
        <v>1947</v>
      </c>
      <c r="F364" s="4" t="s">
        <v>1948</v>
      </c>
      <c r="G364" s="4" t="s">
        <v>2084</v>
      </c>
      <c r="H364" s="4" t="s">
        <v>4415</v>
      </c>
      <c r="I364" s="4" t="s">
        <v>2017</v>
      </c>
      <c r="J364" s="4" t="s">
        <v>4463</v>
      </c>
      <c r="K364" s="4" t="s">
        <v>4464</v>
      </c>
      <c r="L364" s="4" t="s">
        <v>4465</v>
      </c>
      <c r="M364" s="4" t="s">
        <v>2078</v>
      </c>
      <c r="N364" s="8">
        <v>46052</v>
      </c>
      <c r="O364" s="8">
        <v>46296</v>
      </c>
      <c r="P364" s="4" t="s">
        <v>2090</v>
      </c>
      <c r="Q364" s="4" t="s">
        <v>2017</v>
      </c>
      <c r="R364" s="4" t="s">
        <v>3754</v>
      </c>
      <c r="S364" s="4" t="s">
        <v>4466</v>
      </c>
      <c r="T364" s="4" t="s">
        <v>2067</v>
      </c>
      <c r="U364" s="4" t="s">
        <v>2146</v>
      </c>
      <c r="V364" s="4" t="s">
        <v>2067</v>
      </c>
      <c r="W364" s="4" t="s">
        <v>2069</v>
      </c>
    </row>
    <row r="365" spans="1:23" ht="20.100000000000001" customHeight="1" x14ac:dyDescent="0.25">
      <c r="A365" s="6" t="s">
        <v>1692</v>
      </c>
      <c r="B365" s="7" t="s">
        <v>2084</v>
      </c>
      <c r="C365" s="7" t="s">
        <v>4467</v>
      </c>
      <c r="D365" s="7" t="s">
        <v>2059</v>
      </c>
      <c r="E365" s="7" t="s">
        <v>1947</v>
      </c>
      <c r="F365" s="7" t="s">
        <v>1948</v>
      </c>
      <c r="G365" s="7" t="s">
        <v>2084</v>
      </c>
      <c r="H365" s="7" t="s">
        <v>4415</v>
      </c>
      <c r="I365" s="7" t="s">
        <v>2017</v>
      </c>
      <c r="J365" s="7" t="s">
        <v>4468</v>
      </c>
      <c r="K365" s="7" t="s">
        <v>4469</v>
      </c>
      <c r="L365" s="7" t="s">
        <v>4470</v>
      </c>
      <c r="M365" s="7" t="s">
        <v>2078</v>
      </c>
      <c r="N365" s="9">
        <v>46052</v>
      </c>
      <c r="O365" s="9">
        <v>46296</v>
      </c>
      <c r="P365" s="7" t="s">
        <v>2090</v>
      </c>
      <c r="Q365" s="7" t="s">
        <v>2017</v>
      </c>
      <c r="R365" s="7" t="s">
        <v>3532</v>
      </c>
      <c r="S365" s="7" t="s">
        <v>4471</v>
      </c>
      <c r="T365" s="7" t="s">
        <v>2067</v>
      </c>
      <c r="U365" s="7" t="s">
        <v>2146</v>
      </c>
      <c r="V365" s="7" t="s">
        <v>2067</v>
      </c>
      <c r="W365" s="7" t="s">
        <v>2069</v>
      </c>
    </row>
    <row r="366" spans="1:23" ht="20.100000000000001" customHeight="1" x14ac:dyDescent="0.25">
      <c r="A366" s="3" t="s">
        <v>1386</v>
      </c>
      <c r="B366" s="4" t="s">
        <v>2057</v>
      </c>
      <c r="C366" s="4" t="s">
        <v>4472</v>
      </c>
      <c r="D366" s="4" t="s">
        <v>2059</v>
      </c>
      <c r="E366" s="4" t="s">
        <v>1947</v>
      </c>
      <c r="F366" s="4" t="s">
        <v>1948</v>
      </c>
      <c r="G366" s="4" t="s">
        <v>2057</v>
      </c>
      <c r="H366" s="4" t="s">
        <v>2016</v>
      </c>
      <c r="I366" s="4" t="s">
        <v>2017</v>
      </c>
      <c r="J366" s="4" t="s">
        <v>4473</v>
      </c>
      <c r="K366" s="4" t="s">
        <v>4474</v>
      </c>
      <c r="L366" s="4" t="s">
        <v>4475</v>
      </c>
      <c r="M366" s="4" t="s">
        <v>2078</v>
      </c>
      <c r="N366" s="8">
        <v>46052</v>
      </c>
      <c r="O366" s="8">
        <v>46296</v>
      </c>
      <c r="P366" s="4" t="s">
        <v>2090</v>
      </c>
      <c r="Q366" s="4" t="s">
        <v>2017</v>
      </c>
      <c r="R366" s="4" t="s">
        <v>4476</v>
      </c>
      <c r="S366" s="4" t="s">
        <v>4477</v>
      </c>
      <c r="T366" s="4" t="s">
        <v>2067</v>
      </c>
      <c r="U366" s="4" t="s">
        <v>2768</v>
      </c>
      <c r="V366" s="4" t="s">
        <v>2067</v>
      </c>
      <c r="W366" s="4" t="s">
        <v>2069</v>
      </c>
    </row>
    <row r="367" spans="1:23" ht="20.100000000000001" customHeight="1" x14ac:dyDescent="0.25">
      <c r="A367" s="6" t="s">
        <v>1216</v>
      </c>
      <c r="B367" s="7" t="s">
        <v>2057</v>
      </c>
      <c r="C367" s="7" t="s">
        <v>4478</v>
      </c>
      <c r="D367" s="7" t="s">
        <v>2059</v>
      </c>
      <c r="E367" s="7" t="s">
        <v>1947</v>
      </c>
      <c r="F367" s="7" t="s">
        <v>1948</v>
      </c>
      <c r="G367" s="7" t="s">
        <v>2057</v>
      </c>
      <c r="H367" s="7" t="s">
        <v>2016</v>
      </c>
      <c r="I367" s="7" t="s">
        <v>2017</v>
      </c>
      <c r="J367" s="7" t="s">
        <v>4479</v>
      </c>
      <c r="K367" s="7" t="s">
        <v>4480</v>
      </c>
      <c r="L367" s="7" t="s">
        <v>4481</v>
      </c>
      <c r="M367" s="7" t="s">
        <v>2078</v>
      </c>
      <c r="N367" s="9">
        <v>46052</v>
      </c>
      <c r="O367" s="9">
        <v>46296</v>
      </c>
      <c r="P367" s="7" t="s">
        <v>2090</v>
      </c>
      <c r="Q367" s="7" t="s">
        <v>2017</v>
      </c>
      <c r="R367" s="7" t="s">
        <v>3469</v>
      </c>
      <c r="S367" s="7" t="s">
        <v>4482</v>
      </c>
      <c r="T367" s="7" t="s">
        <v>2067</v>
      </c>
      <c r="U367" s="7" t="s">
        <v>2146</v>
      </c>
      <c r="V367" s="7" t="s">
        <v>2067</v>
      </c>
      <c r="W367" s="7" t="s">
        <v>2069</v>
      </c>
    </row>
    <row r="368" spans="1:23" ht="20.100000000000001" customHeight="1" x14ac:dyDescent="0.25">
      <c r="A368" s="3" t="s">
        <v>1472</v>
      </c>
      <c r="B368" s="4" t="s">
        <v>2084</v>
      </c>
      <c r="C368" s="4" t="s">
        <v>4483</v>
      </c>
      <c r="D368" s="4" t="s">
        <v>2059</v>
      </c>
      <c r="E368" s="4" t="s">
        <v>1947</v>
      </c>
      <c r="F368" s="4" t="s">
        <v>1948</v>
      </c>
      <c r="G368" s="4" t="s">
        <v>2084</v>
      </c>
      <c r="H368" s="4" t="s">
        <v>4484</v>
      </c>
      <c r="I368" s="4" t="s">
        <v>2017</v>
      </c>
      <c r="J368" s="4" t="s">
        <v>4485</v>
      </c>
      <c r="K368" s="4" t="s">
        <v>4486</v>
      </c>
      <c r="L368" s="4" t="s">
        <v>4487</v>
      </c>
      <c r="M368" s="4" t="s">
        <v>2078</v>
      </c>
      <c r="N368" s="8">
        <v>45992</v>
      </c>
      <c r="O368" s="8">
        <v>46356</v>
      </c>
      <c r="P368" s="4" t="s">
        <v>2090</v>
      </c>
      <c r="Q368" s="4" t="s">
        <v>2017</v>
      </c>
      <c r="R368" s="4" t="s">
        <v>4488</v>
      </c>
      <c r="S368" s="4" t="s">
        <v>4489</v>
      </c>
      <c r="T368" s="4" t="s">
        <v>2067</v>
      </c>
      <c r="U368" s="4" t="s">
        <v>2146</v>
      </c>
      <c r="V368" s="4" t="s">
        <v>2067</v>
      </c>
      <c r="W368" s="4" t="s">
        <v>2069</v>
      </c>
    </row>
    <row r="369" spans="1:23" ht="20.100000000000001" customHeight="1" x14ac:dyDescent="0.25">
      <c r="A369" s="6" t="s">
        <v>4490</v>
      </c>
      <c r="B369" s="7" t="s">
        <v>2057</v>
      </c>
      <c r="C369" s="7" t="s">
        <v>4491</v>
      </c>
      <c r="D369" s="7" t="s">
        <v>2059</v>
      </c>
      <c r="E369" s="7" t="s">
        <v>1947</v>
      </c>
      <c r="F369" s="7" t="s">
        <v>1948</v>
      </c>
      <c r="G369" s="7" t="s">
        <v>2057</v>
      </c>
      <c r="H369" s="7" t="s">
        <v>2016</v>
      </c>
      <c r="I369" s="7" t="s">
        <v>2017</v>
      </c>
      <c r="J369" s="7" t="s">
        <v>4492</v>
      </c>
      <c r="K369" s="7" t="s">
        <v>4493</v>
      </c>
      <c r="L369" s="7" t="s">
        <v>4494</v>
      </c>
      <c r="M369" s="7" t="s">
        <v>2078</v>
      </c>
      <c r="N369" s="9">
        <v>45992</v>
      </c>
      <c r="O369" s="9">
        <v>46356</v>
      </c>
      <c r="P369" s="7" t="s">
        <v>2090</v>
      </c>
      <c r="Q369" s="7" t="s">
        <v>2017</v>
      </c>
      <c r="R369" s="7" t="s">
        <v>2825</v>
      </c>
      <c r="S369" s="7" t="s">
        <v>4495</v>
      </c>
      <c r="T369" s="7" t="s">
        <v>2067</v>
      </c>
      <c r="U369" s="7" t="s">
        <v>2768</v>
      </c>
      <c r="V369" s="7" t="s">
        <v>2067</v>
      </c>
      <c r="W369" s="7" t="s">
        <v>2069</v>
      </c>
    </row>
    <row r="370" spans="1:23" ht="20.100000000000001" customHeight="1" x14ac:dyDescent="0.25">
      <c r="A370" s="3" t="s">
        <v>1682</v>
      </c>
      <c r="B370" s="4" t="s">
        <v>2057</v>
      </c>
      <c r="C370" s="4" t="s">
        <v>4496</v>
      </c>
      <c r="D370" s="4" t="s">
        <v>2059</v>
      </c>
      <c r="E370" s="4" t="s">
        <v>1947</v>
      </c>
      <c r="F370" s="4" t="s">
        <v>1948</v>
      </c>
      <c r="G370" s="4" t="s">
        <v>2057</v>
      </c>
      <c r="H370" s="4" t="s">
        <v>4429</v>
      </c>
      <c r="I370" s="4" t="s">
        <v>2017</v>
      </c>
      <c r="J370" s="4" t="s">
        <v>4497</v>
      </c>
      <c r="K370" s="4" t="s">
        <v>4498</v>
      </c>
      <c r="L370" s="4" t="s">
        <v>4499</v>
      </c>
      <c r="M370" s="4" t="s">
        <v>2078</v>
      </c>
      <c r="N370" s="8">
        <v>46052</v>
      </c>
      <c r="O370" s="8">
        <v>46296</v>
      </c>
      <c r="P370" s="4" t="s">
        <v>2090</v>
      </c>
      <c r="Q370" s="4" t="s">
        <v>2017</v>
      </c>
      <c r="R370" s="4" t="s">
        <v>4500</v>
      </c>
      <c r="S370" s="4" t="s">
        <v>4501</v>
      </c>
      <c r="T370" s="4" t="s">
        <v>2067</v>
      </c>
      <c r="U370" s="4" t="s">
        <v>2768</v>
      </c>
      <c r="V370" s="4" t="s">
        <v>2067</v>
      </c>
      <c r="W370" s="4" t="s">
        <v>2069</v>
      </c>
    </row>
    <row r="371" spans="1:23" ht="20.100000000000001" customHeight="1" x14ac:dyDescent="0.25">
      <c r="A371" s="6" t="s">
        <v>1518</v>
      </c>
      <c r="B371" s="7" t="s">
        <v>2084</v>
      </c>
      <c r="C371" s="7" t="s">
        <v>4502</v>
      </c>
      <c r="D371" s="7" t="s">
        <v>2059</v>
      </c>
      <c r="E371" s="7" t="s">
        <v>1947</v>
      </c>
      <c r="F371" s="7" t="s">
        <v>1948</v>
      </c>
      <c r="G371" s="7" t="s">
        <v>2084</v>
      </c>
      <c r="H371" s="7" t="s">
        <v>4415</v>
      </c>
      <c r="I371" s="7" t="s">
        <v>2017</v>
      </c>
      <c r="J371" s="7" t="s">
        <v>4503</v>
      </c>
      <c r="K371" s="7" t="s">
        <v>4504</v>
      </c>
      <c r="L371" s="7" t="s">
        <v>4505</v>
      </c>
      <c r="M371" s="7" t="s">
        <v>2078</v>
      </c>
      <c r="N371" s="9">
        <v>46052</v>
      </c>
      <c r="O371" s="9">
        <v>46296</v>
      </c>
      <c r="P371" s="7" t="s">
        <v>2090</v>
      </c>
      <c r="Q371" s="7" t="s">
        <v>2017</v>
      </c>
      <c r="R371" s="7" t="s">
        <v>4506</v>
      </c>
      <c r="S371" s="7" t="s">
        <v>4507</v>
      </c>
      <c r="T371" s="7" t="s">
        <v>2067</v>
      </c>
      <c r="U371" s="7" t="s">
        <v>2146</v>
      </c>
      <c r="V371" s="7" t="s">
        <v>2067</v>
      </c>
      <c r="W371" s="7" t="s">
        <v>2069</v>
      </c>
    </row>
    <row r="372" spans="1:23" ht="20.100000000000001" customHeight="1" x14ac:dyDescent="0.25">
      <c r="A372" s="3" t="s">
        <v>1378</v>
      </c>
      <c r="B372" s="4" t="s">
        <v>2057</v>
      </c>
      <c r="C372" s="4" t="s">
        <v>4508</v>
      </c>
      <c r="D372" s="4" t="s">
        <v>2059</v>
      </c>
      <c r="E372" s="4" t="s">
        <v>1947</v>
      </c>
      <c r="F372" s="4" t="s">
        <v>1948</v>
      </c>
      <c r="G372" s="4" t="s">
        <v>2057</v>
      </c>
      <c r="H372" s="4" t="s">
        <v>2016</v>
      </c>
      <c r="I372" s="4" t="s">
        <v>2017</v>
      </c>
      <c r="J372" s="4" t="s">
        <v>4509</v>
      </c>
      <c r="K372" s="4" t="s">
        <v>4510</v>
      </c>
      <c r="L372" s="4" t="s">
        <v>4511</v>
      </c>
      <c r="M372" s="4" t="s">
        <v>2078</v>
      </c>
      <c r="N372" s="8">
        <v>46052</v>
      </c>
      <c r="O372" s="8">
        <v>46296</v>
      </c>
      <c r="P372" s="4" t="s">
        <v>2090</v>
      </c>
      <c r="Q372" s="4" t="s">
        <v>2017</v>
      </c>
      <c r="R372" s="4" t="s">
        <v>4512</v>
      </c>
      <c r="S372" s="4" t="s">
        <v>4513</v>
      </c>
      <c r="T372" s="4" t="s">
        <v>2067</v>
      </c>
      <c r="U372" s="4" t="s">
        <v>2768</v>
      </c>
      <c r="V372" s="4" t="s">
        <v>2067</v>
      </c>
      <c r="W372" s="4" t="s">
        <v>2069</v>
      </c>
    </row>
    <row r="373" spans="1:23" ht="20.100000000000001" customHeight="1" x14ac:dyDescent="0.25">
      <c r="A373" s="6" t="s">
        <v>622</v>
      </c>
      <c r="B373" s="7" t="s">
        <v>2084</v>
      </c>
      <c r="C373" s="7" t="s">
        <v>4514</v>
      </c>
      <c r="D373" s="7" t="s">
        <v>2059</v>
      </c>
      <c r="E373" s="7" t="s">
        <v>1947</v>
      </c>
      <c r="F373" s="7" t="s">
        <v>1948</v>
      </c>
      <c r="G373" s="7" t="s">
        <v>2084</v>
      </c>
      <c r="H373" s="7" t="s">
        <v>4415</v>
      </c>
      <c r="I373" s="7" t="s">
        <v>2017</v>
      </c>
      <c r="J373" s="7" t="s">
        <v>4515</v>
      </c>
      <c r="K373" s="7" t="s">
        <v>4516</v>
      </c>
      <c r="L373" s="7" t="s">
        <v>4517</v>
      </c>
      <c r="M373" s="7" t="s">
        <v>2078</v>
      </c>
      <c r="N373" s="9">
        <v>46052</v>
      </c>
      <c r="O373" s="9">
        <v>46296</v>
      </c>
      <c r="P373" s="7" t="s">
        <v>2090</v>
      </c>
      <c r="Q373" s="7" t="s">
        <v>2017</v>
      </c>
      <c r="R373" s="7" t="s">
        <v>4518</v>
      </c>
      <c r="S373" s="7" t="s">
        <v>4519</v>
      </c>
      <c r="T373" s="7" t="s">
        <v>2067</v>
      </c>
      <c r="U373" s="7" t="s">
        <v>2146</v>
      </c>
      <c r="V373" s="7" t="s">
        <v>2067</v>
      </c>
      <c r="W373" s="7" t="s">
        <v>2069</v>
      </c>
    </row>
    <row r="374" spans="1:23" ht="20.100000000000001" customHeight="1" x14ac:dyDescent="0.25">
      <c r="A374" s="3" t="s">
        <v>1384</v>
      </c>
      <c r="B374" s="4" t="s">
        <v>2057</v>
      </c>
      <c r="C374" s="4" t="s">
        <v>4520</v>
      </c>
      <c r="D374" s="4" t="s">
        <v>2059</v>
      </c>
      <c r="E374" s="4" t="s">
        <v>1947</v>
      </c>
      <c r="F374" s="4" t="s">
        <v>1948</v>
      </c>
      <c r="G374" s="4" t="s">
        <v>2057</v>
      </c>
      <c r="H374" s="4" t="s">
        <v>2016</v>
      </c>
      <c r="I374" s="4" t="s">
        <v>2017</v>
      </c>
      <c r="J374" s="4" t="s">
        <v>4521</v>
      </c>
      <c r="K374" s="4" t="s">
        <v>4522</v>
      </c>
      <c r="L374" s="4" t="s">
        <v>4523</v>
      </c>
      <c r="M374" s="4" t="s">
        <v>2078</v>
      </c>
      <c r="N374" s="8">
        <v>46234</v>
      </c>
      <c r="O374" s="8">
        <v>46356</v>
      </c>
      <c r="P374" s="4" t="s">
        <v>2090</v>
      </c>
      <c r="Q374" s="4" t="s">
        <v>2017</v>
      </c>
      <c r="R374" s="4" t="s">
        <v>4524</v>
      </c>
      <c r="S374" s="4" t="s">
        <v>4525</v>
      </c>
      <c r="T374" s="4" t="s">
        <v>2067</v>
      </c>
      <c r="U374" s="4" t="s">
        <v>2768</v>
      </c>
      <c r="V374" s="4" t="s">
        <v>2067</v>
      </c>
      <c r="W374" s="4" t="s">
        <v>2069</v>
      </c>
    </row>
    <row r="375" spans="1:23" ht="20.100000000000001" customHeight="1" x14ac:dyDescent="0.25">
      <c r="A375" s="6" t="s">
        <v>1652</v>
      </c>
      <c r="B375" s="7" t="s">
        <v>2084</v>
      </c>
      <c r="C375" s="7" t="s">
        <v>4526</v>
      </c>
      <c r="D375" s="7" t="s">
        <v>2059</v>
      </c>
      <c r="E375" s="7" t="s">
        <v>1947</v>
      </c>
      <c r="F375" s="7" t="s">
        <v>1948</v>
      </c>
      <c r="G375" s="7" t="s">
        <v>2084</v>
      </c>
      <c r="H375" s="7" t="s">
        <v>4484</v>
      </c>
      <c r="I375" s="7" t="s">
        <v>2017</v>
      </c>
      <c r="J375" s="7" t="s">
        <v>4527</v>
      </c>
      <c r="K375" s="7" t="s">
        <v>4528</v>
      </c>
      <c r="L375" s="7" t="s">
        <v>4529</v>
      </c>
      <c r="M375" s="7" t="s">
        <v>2078</v>
      </c>
      <c r="N375" s="9">
        <v>46052</v>
      </c>
      <c r="O375" s="9">
        <v>46296</v>
      </c>
      <c r="P375" s="7" t="s">
        <v>2090</v>
      </c>
      <c r="Q375" s="7" t="s">
        <v>2017</v>
      </c>
      <c r="R375" s="7" t="s">
        <v>3666</v>
      </c>
      <c r="S375" s="7" t="s">
        <v>4530</v>
      </c>
      <c r="T375" s="7" t="s">
        <v>2067</v>
      </c>
      <c r="U375" s="7" t="s">
        <v>2146</v>
      </c>
      <c r="V375" s="7" t="s">
        <v>2067</v>
      </c>
      <c r="W375" s="7" t="s">
        <v>2069</v>
      </c>
    </row>
    <row r="376" spans="1:23" ht="20.100000000000001" customHeight="1" x14ac:dyDescent="0.25">
      <c r="A376" s="3" t="s">
        <v>1616</v>
      </c>
      <c r="B376" s="4" t="s">
        <v>2057</v>
      </c>
      <c r="C376" s="4" t="s">
        <v>2015</v>
      </c>
      <c r="D376" s="4" t="s">
        <v>2059</v>
      </c>
      <c r="E376" s="4" t="s">
        <v>1947</v>
      </c>
      <c r="F376" s="4" t="s">
        <v>1948</v>
      </c>
      <c r="G376" s="4" t="s">
        <v>2057</v>
      </c>
      <c r="H376" s="4" t="s">
        <v>2016</v>
      </c>
      <c r="I376" s="4" t="s">
        <v>2017</v>
      </c>
      <c r="J376" s="4" t="s">
        <v>4531</v>
      </c>
      <c r="K376" s="4" t="s">
        <v>4532</v>
      </c>
      <c r="L376" s="4" t="s">
        <v>4533</v>
      </c>
      <c r="M376" s="4" t="s">
        <v>2078</v>
      </c>
      <c r="N376" s="8">
        <v>46234</v>
      </c>
      <c r="O376" s="8">
        <v>46356</v>
      </c>
      <c r="P376" s="4" t="s">
        <v>2090</v>
      </c>
      <c r="Q376" s="4" t="s">
        <v>2017</v>
      </c>
      <c r="R376" s="4" t="s">
        <v>4534</v>
      </c>
      <c r="S376" s="4" t="s">
        <v>4535</v>
      </c>
      <c r="T376" s="4" t="s">
        <v>2067</v>
      </c>
      <c r="U376" s="4" t="s">
        <v>2768</v>
      </c>
      <c r="V376" s="4" t="s">
        <v>2067</v>
      </c>
      <c r="W376" s="4" t="s">
        <v>2069</v>
      </c>
    </row>
    <row r="377" spans="1:23" ht="20.100000000000001" customHeight="1" x14ac:dyDescent="0.25">
      <c r="A377" s="6" t="s">
        <v>1368</v>
      </c>
      <c r="B377" s="7" t="s">
        <v>2057</v>
      </c>
      <c r="C377" s="7" t="s">
        <v>4536</v>
      </c>
      <c r="D377" s="7" t="s">
        <v>2059</v>
      </c>
      <c r="E377" s="7" t="s">
        <v>1947</v>
      </c>
      <c r="F377" s="7" t="s">
        <v>1948</v>
      </c>
      <c r="G377" s="7" t="s">
        <v>2057</v>
      </c>
      <c r="H377" s="7" t="s">
        <v>2016</v>
      </c>
      <c r="I377" s="7" t="s">
        <v>2017</v>
      </c>
      <c r="J377" s="7" t="s">
        <v>4537</v>
      </c>
      <c r="K377" s="7" t="s">
        <v>4538</v>
      </c>
      <c r="L377" s="7" t="s">
        <v>4539</v>
      </c>
      <c r="M377" s="7" t="s">
        <v>2078</v>
      </c>
      <c r="N377" s="9">
        <v>45992</v>
      </c>
      <c r="O377" s="9">
        <v>46356</v>
      </c>
      <c r="P377" s="7" t="s">
        <v>2090</v>
      </c>
      <c r="Q377" s="7" t="s">
        <v>2017</v>
      </c>
      <c r="R377" s="7" t="s">
        <v>4540</v>
      </c>
      <c r="S377" s="7" t="s">
        <v>4541</v>
      </c>
      <c r="T377" s="7" t="s">
        <v>2067</v>
      </c>
      <c r="U377" s="7" t="s">
        <v>2768</v>
      </c>
      <c r="V377" s="7" t="s">
        <v>2067</v>
      </c>
      <c r="W377" s="7" t="s">
        <v>2069</v>
      </c>
    </row>
    <row r="378" spans="1:23" ht="20.100000000000001" customHeight="1" x14ac:dyDescent="0.25">
      <c r="A378" s="3" t="s">
        <v>438</v>
      </c>
      <c r="B378" s="4" t="s">
        <v>2084</v>
      </c>
      <c r="C378" s="4" t="s">
        <v>4542</v>
      </c>
      <c r="D378" s="4" t="s">
        <v>2059</v>
      </c>
      <c r="E378" s="4" t="s">
        <v>1940</v>
      </c>
      <c r="F378" s="4" t="s">
        <v>1941</v>
      </c>
      <c r="G378" s="4" t="s">
        <v>2084</v>
      </c>
      <c r="H378" s="4" t="s">
        <v>4484</v>
      </c>
      <c r="I378" s="4" t="s">
        <v>2017</v>
      </c>
      <c r="J378" s="4" t="s">
        <v>4543</v>
      </c>
      <c r="K378" s="4" t="s">
        <v>4544</v>
      </c>
      <c r="L378" s="4" t="s">
        <v>4545</v>
      </c>
      <c r="M378" s="4" t="s">
        <v>2078</v>
      </c>
      <c r="N378" s="8">
        <v>45992</v>
      </c>
      <c r="O378" s="8">
        <v>46356</v>
      </c>
      <c r="P378" s="4" t="s">
        <v>1941</v>
      </c>
      <c r="Q378" s="4" t="s">
        <v>2017</v>
      </c>
      <c r="R378" s="4" t="s">
        <v>4546</v>
      </c>
      <c r="S378" s="4" t="s">
        <v>4547</v>
      </c>
      <c r="T378" s="4" t="s">
        <v>2067</v>
      </c>
      <c r="U378" s="4" t="s">
        <v>2068</v>
      </c>
      <c r="V378" s="4" t="s">
        <v>2067</v>
      </c>
      <c r="W378" s="4" t="s">
        <v>2069</v>
      </c>
    </row>
    <row r="379" spans="1:23" ht="20.100000000000001" customHeight="1" x14ac:dyDescent="0.25">
      <c r="A379" s="6" t="s">
        <v>196</v>
      </c>
      <c r="B379" s="7" t="s">
        <v>2084</v>
      </c>
      <c r="C379" s="7" t="s">
        <v>4548</v>
      </c>
      <c r="D379" s="7" t="s">
        <v>2059</v>
      </c>
      <c r="E379" s="7" t="s">
        <v>4160</v>
      </c>
      <c r="F379" s="7" t="s">
        <v>4161</v>
      </c>
      <c r="G379" s="7" t="s">
        <v>2084</v>
      </c>
      <c r="H379" s="7" t="s">
        <v>4415</v>
      </c>
      <c r="I379" s="7" t="s">
        <v>2017</v>
      </c>
      <c r="J379" s="7" t="s">
        <v>4549</v>
      </c>
      <c r="K379" s="7" t="s">
        <v>4550</v>
      </c>
      <c r="L379" s="7" t="s">
        <v>4551</v>
      </c>
      <c r="M379" s="7" t="s">
        <v>2078</v>
      </c>
      <c r="N379" s="9">
        <v>45992</v>
      </c>
      <c r="O379" s="9">
        <v>46356</v>
      </c>
      <c r="P379" s="7" t="s">
        <v>4161</v>
      </c>
      <c r="Q379" s="7" t="s">
        <v>2017</v>
      </c>
      <c r="R379" s="7" t="s">
        <v>3605</v>
      </c>
      <c r="S379" s="7" t="s">
        <v>4552</v>
      </c>
      <c r="T379" s="7" t="s">
        <v>2067</v>
      </c>
      <c r="U379" s="7" t="s">
        <v>4167</v>
      </c>
      <c r="V379" s="7" t="s">
        <v>2067</v>
      </c>
      <c r="W379" s="7" t="s">
        <v>2069</v>
      </c>
    </row>
    <row r="380" spans="1:23" ht="20.100000000000001" customHeight="1" x14ac:dyDescent="0.25">
      <c r="A380" s="3" t="s">
        <v>1374</v>
      </c>
      <c r="B380" s="4" t="s">
        <v>2057</v>
      </c>
      <c r="C380" s="4" t="s">
        <v>4553</v>
      </c>
      <c r="D380" s="4" t="s">
        <v>2059</v>
      </c>
      <c r="E380" s="4" t="s">
        <v>1947</v>
      </c>
      <c r="F380" s="4" t="s">
        <v>1948</v>
      </c>
      <c r="G380" s="4" t="s">
        <v>2057</v>
      </c>
      <c r="H380" s="4" t="s">
        <v>2016</v>
      </c>
      <c r="I380" s="4" t="s">
        <v>2017</v>
      </c>
      <c r="J380" s="4" t="s">
        <v>4554</v>
      </c>
      <c r="K380" s="4" t="s">
        <v>4555</v>
      </c>
      <c r="L380" s="4" t="s">
        <v>4556</v>
      </c>
      <c r="M380" s="4" t="s">
        <v>2078</v>
      </c>
      <c r="N380" s="8">
        <v>46234</v>
      </c>
      <c r="O380" s="8">
        <v>46356</v>
      </c>
      <c r="P380" s="4" t="s">
        <v>2090</v>
      </c>
      <c r="Q380" s="4" t="s">
        <v>2017</v>
      </c>
      <c r="R380" s="4" t="s">
        <v>4557</v>
      </c>
      <c r="S380" s="4" t="s">
        <v>4558</v>
      </c>
      <c r="T380" s="4" t="s">
        <v>2067</v>
      </c>
      <c r="U380" s="4" t="s">
        <v>2768</v>
      </c>
      <c r="V380" s="4" t="s">
        <v>2067</v>
      </c>
      <c r="W380" s="4" t="s">
        <v>2069</v>
      </c>
    </row>
    <row r="381" spans="1:23" ht="20.100000000000001" customHeight="1" x14ac:dyDescent="0.25">
      <c r="A381" s="6" t="s">
        <v>1730</v>
      </c>
      <c r="B381" s="7" t="s">
        <v>2057</v>
      </c>
      <c r="C381" s="7" t="s">
        <v>4559</v>
      </c>
      <c r="D381" s="7" t="s">
        <v>2059</v>
      </c>
      <c r="E381" s="7" t="s">
        <v>1947</v>
      </c>
      <c r="F381" s="7" t="s">
        <v>1948</v>
      </c>
      <c r="G381" s="7" t="s">
        <v>2057</v>
      </c>
      <c r="H381" s="7" t="s">
        <v>2016</v>
      </c>
      <c r="I381" s="7" t="s">
        <v>2017</v>
      </c>
      <c r="J381" s="7" t="s">
        <v>4560</v>
      </c>
      <c r="K381" s="7" t="s">
        <v>4561</v>
      </c>
      <c r="L381" s="7" t="s">
        <v>4562</v>
      </c>
      <c r="M381" s="7" t="s">
        <v>2078</v>
      </c>
      <c r="N381" s="9">
        <v>46234</v>
      </c>
      <c r="O381" s="9">
        <v>46356</v>
      </c>
      <c r="P381" s="7" t="s">
        <v>2090</v>
      </c>
      <c r="Q381" s="7" t="s">
        <v>2017</v>
      </c>
      <c r="R381" s="7" t="s">
        <v>4563</v>
      </c>
      <c r="S381" s="7" t="s">
        <v>4564</v>
      </c>
      <c r="T381" s="7" t="s">
        <v>2067</v>
      </c>
      <c r="U381" s="7" t="s">
        <v>2768</v>
      </c>
      <c r="V381" s="7" t="s">
        <v>2067</v>
      </c>
      <c r="W381" s="7" t="s">
        <v>2069</v>
      </c>
    </row>
    <row r="382" spans="1:23" ht="20.100000000000001" customHeight="1" x14ac:dyDescent="0.25">
      <c r="A382" s="3" t="s">
        <v>1288</v>
      </c>
      <c r="B382" s="4" t="s">
        <v>2057</v>
      </c>
      <c r="C382" s="4" t="s">
        <v>4565</v>
      </c>
      <c r="D382" s="4" t="s">
        <v>2059</v>
      </c>
      <c r="E382" s="4" t="s">
        <v>1947</v>
      </c>
      <c r="F382" s="4" t="s">
        <v>1948</v>
      </c>
      <c r="G382" s="4" t="s">
        <v>2057</v>
      </c>
      <c r="H382" s="4" t="s">
        <v>2016</v>
      </c>
      <c r="I382" s="4" t="s">
        <v>2017</v>
      </c>
      <c r="J382" s="4" t="s">
        <v>4566</v>
      </c>
      <c r="K382" s="4" t="s">
        <v>4567</v>
      </c>
      <c r="L382" s="4" t="s">
        <v>4568</v>
      </c>
      <c r="M382" s="4" t="s">
        <v>2078</v>
      </c>
      <c r="N382" s="8">
        <v>46234</v>
      </c>
      <c r="O382" s="8">
        <v>46356</v>
      </c>
      <c r="P382" s="4" t="s">
        <v>2090</v>
      </c>
      <c r="Q382" s="4" t="s">
        <v>2017</v>
      </c>
      <c r="R382" s="4" t="s">
        <v>2543</v>
      </c>
      <c r="S382" s="4" t="s">
        <v>4569</v>
      </c>
      <c r="T382" s="4" t="s">
        <v>2067</v>
      </c>
      <c r="U382" s="4" t="s">
        <v>2768</v>
      </c>
      <c r="V382" s="4" t="s">
        <v>2067</v>
      </c>
      <c r="W382" s="4" t="s">
        <v>2069</v>
      </c>
    </row>
    <row r="383" spans="1:23" ht="20.100000000000001" customHeight="1" x14ac:dyDescent="0.25">
      <c r="A383" s="6" t="s">
        <v>806</v>
      </c>
      <c r="B383" s="7" t="s">
        <v>2057</v>
      </c>
      <c r="C383" s="7" t="s">
        <v>4570</v>
      </c>
      <c r="D383" s="7" t="s">
        <v>2059</v>
      </c>
      <c r="E383" s="7" t="s">
        <v>1947</v>
      </c>
      <c r="F383" s="7" t="s">
        <v>1948</v>
      </c>
      <c r="G383" s="7" t="s">
        <v>2057</v>
      </c>
      <c r="H383" s="7" t="s">
        <v>2016</v>
      </c>
      <c r="I383" s="7" t="s">
        <v>2017</v>
      </c>
      <c r="J383" s="7" t="s">
        <v>4571</v>
      </c>
      <c r="K383" s="7" t="s">
        <v>4572</v>
      </c>
      <c r="L383" s="7" t="s">
        <v>4573</v>
      </c>
      <c r="M383" s="7" t="s">
        <v>2078</v>
      </c>
      <c r="N383" s="9">
        <v>46052</v>
      </c>
      <c r="O383" s="9">
        <v>46296</v>
      </c>
      <c r="P383" s="7" t="s">
        <v>2090</v>
      </c>
      <c r="Q383" s="7" t="s">
        <v>2017</v>
      </c>
      <c r="R383" s="7" t="s">
        <v>4574</v>
      </c>
      <c r="S383" s="7" t="s">
        <v>4575</v>
      </c>
      <c r="T383" s="7" t="s">
        <v>2067</v>
      </c>
      <c r="U383" s="7" t="s">
        <v>2768</v>
      </c>
      <c r="V383" s="7" t="s">
        <v>2067</v>
      </c>
      <c r="W383" s="7" t="s">
        <v>2069</v>
      </c>
    </row>
    <row r="384" spans="1:23" ht="20.100000000000001" customHeight="1" x14ac:dyDescent="0.25">
      <c r="A384" s="3" t="s">
        <v>1364</v>
      </c>
      <c r="B384" s="4" t="s">
        <v>2057</v>
      </c>
      <c r="C384" s="4" t="s">
        <v>4576</v>
      </c>
      <c r="D384" s="4" t="s">
        <v>2059</v>
      </c>
      <c r="E384" s="4" t="s">
        <v>1947</v>
      </c>
      <c r="F384" s="4" t="s">
        <v>1948</v>
      </c>
      <c r="G384" s="4" t="s">
        <v>2057</v>
      </c>
      <c r="H384" s="4" t="s">
        <v>4395</v>
      </c>
      <c r="I384" s="4" t="s">
        <v>2017</v>
      </c>
      <c r="J384" s="4" t="s">
        <v>4577</v>
      </c>
      <c r="K384" s="4" t="s">
        <v>4578</v>
      </c>
      <c r="L384" s="4" t="s">
        <v>4579</v>
      </c>
      <c r="M384" s="4" t="s">
        <v>2078</v>
      </c>
      <c r="N384" s="8">
        <v>46234</v>
      </c>
      <c r="O384" s="8">
        <v>46356</v>
      </c>
      <c r="P384" s="4" t="s">
        <v>2090</v>
      </c>
      <c r="Q384" s="4" t="s">
        <v>2017</v>
      </c>
      <c r="R384" s="4" t="s">
        <v>4580</v>
      </c>
      <c r="S384" s="4" t="s">
        <v>4581</v>
      </c>
      <c r="T384" s="4" t="s">
        <v>2067</v>
      </c>
      <c r="U384" s="4" t="s">
        <v>2768</v>
      </c>
      <c r="V384" s="4" t="s">
        <v>2067</v>
      </c>
      <c r="W384" s="4" t="s">
        <v>2069</v>
      </c>
    </row>
    <row r="385" spans="1:23" ht="20.100000000000001" customHeight="1" x14ac:dyDescent="0.25">
      <c r="A385" s="6" t="s">
        <v>676</v>
      </c>
      <c r="B385" s="7" t="s">
        <v>2084</v>
      </c>
      <c r="C385" s="7" t="s">
        <v>4582</v>
      </c>
      <c r="D385" s="7" t="s">
        <v>2059</v>
      </c>
      <c r="E385" s="7" t="s">
        <v>1983</v>
      </c>
      <c r="F385" s="7" t="s">
        <v>1984</v>
      </c>
      <c r="G385" s="7" t="s">
        <v>2084</v>
      </c>
      <c r="H385" s="7" t="s">
        <v>4415</v>
      </c>
      <c r="I385" s="7" t="s">
        <v>2017</v>
      </c>
      <c r="J385" s="7" t="s">
        <v>4583</v>
      </c>
      <c r="K385" s="7" t="s">
        <v>4584</v>
      </c>
      <c r="L385" s="7" t="s">
        <v>4585</v>
      </c>
      <c r="M385" s="7" t="s">
        <v>2078</v>
      </c>
      <c r="N385" s="9">
        <v>46234</v>
      </c>
      <c r="O385" s="9">
        <v>46356</v>
      </c>
      <c r="P385" s="7" t="s">
        <v>2493</v>
      </c>
      <c r="Q385" s="7" t="s">
        <v>2017</v>
      </c>
      <c r="R385" s="7" t="s">
        <v>4334</v>
      </c>
      <c r="S385" s="7" t="s">
        <v>4586</v>
      </c>
      <c r="T385" s="7" t="s">
        <v>2067</v>
      </c>
      <c r="U385" s="7" t="s">
        <v>2496</v>
      </c>
      <c r="V385" s="7" t="s">
        <v>2067</v>
      </c>
      <c r="W385" s="7" t="s">
        <v>2069</v>
      </c>
    </row>
    <row r="386" spans="1:23" ht="20.100000000000001" customHeight="1" x14ac:dyDescent="0.25">
      <c r="A386" s="3" t="s">
        <v>1738</v>
      </c>
      <c r="B386" s="4" t="s">
        <v>2057</v>
      </c>
      <c r="C386" s="4" t="s">
        <v>4587</v>
      </c>
      <c r="D386" s="4" t="s">
        <v>2059</v>
      </c>
      <c r="E386" s="4" t="s">
        <v>1947</v>
      </c>
      <c r="F386" s="4" t="s">
        <v>1948</v>
      </c>
      <c r="G386" s="4" t="s">
        <v>2057</v>
      </c>
      <c r="H386" s="4" t="s">
        <v>2016</v>
      </c>
      <c r="I386" s="4" t="s">
        <v>2017</v>
      </c>
      <c r="J386" s="4" t="s">
        <v>4588</v>
      </c>
      <c r="K386" s="4" t="s">
        <v>4589</v>
      </c>
      <c r="L386" s="4" t="s">
        <v>4590</v>
      </c>
      <c r="M386" s="4" t="s">
        <v>2078</v>
      </c>
      <c r="N386" s="8">
        <v>46234</v>
      </c>
      <c r="O386" s="8">
        <v>46356</v>
      </c>
      <c r="P386" s="4" t="s">
        <v>2090</v>
      </c>
      <c r="Q386" s="4" t="s">
        <v>2017</v>
      </c>
      <c r="R386" s="4" t="s">
        <v>4591</v>
      </c>
      <c r="S386" s="4" t="s">
        <v>4592</v>
      </c>
      <c r="T386" s="4" t="s">
        <v>2067</v>
      </c>
      <c r="U386" s="4" t="s">
        <v>2146</v>
      </c>
      <c r="V386" s="4" t="s">
        <v>2067</v>
      </c>
      <c r="W386" s="4" t="s">
        <v>2069</v>
      </c>
    </row>
    <row r="387" spans="1:23" ht="20.100000000000001" customHeight="1" x14ac:dyDescent="0.25">
      <c r="A387" s="6" t="s">
        <v>1464</v>
      </c>
      <c r="B387" s="7" t="s">
        <v>2057</v>
      </c>
      <c r="C387" s="7" t="s">
        <v>4593</v>
      </c>
      <c r="D387" s="7" t="s">
        <v>2059</v>
      </c>
      <c r="E387" s="7" t="s">
        <v>1947</v>
      </c>
      <c r="F387" s="7" t="s">
        <v>1948</v>
      </c>
      <c r="G387" s="7" t="s">
        <v>2057</v>
      </c>
      <c r="H387" s="7" t="s">
        <v>2016</v>
      </c>
      <c r="I387" s="7" t="s">
        <v>2017</v>
      </c>
      <c r="J387" s="7" t="s">
        <v>4594</v>
      </c>
      <c r="K387" s="7" t="s">
        <v>4595</v>
      </c>
      <c r="L387" s="7" t="s">
        <v>4596</v>
      </c>
      <c r="M387" s="7" t="s">
        <v>2078</v>
      </c>
      <c r="N387" s="9">
        <v>46234</v>
      </c>
      <c r="O387" s="9">
        <v>46356</v>
      </c>
      <c r="P387" s="7" t="s">
        <v>2090</v>
      </c>
      <c r="Q387" s="7" t="s">
        <v>2017</v>
      </c>
      <c r="R387" s="7" t="s">
        <v>4597</v>
      </c>
      <c r="S387" s="7" t="s">
        <v>4598</v>
      </c>
      <c r="T387" s="7" t="s">
        <v>2067</v>
      </c>
      <c r="U387" s="7" t="s">
        <v>2146</v>
      </c>
      <c r="V387" s="7" t="s">
        <v>2067</v>
      </c>
      <c r="W387" s="7" t="s">
        <v>2069</v>
      </c>
    </row>
    <row r="388" spans="1:23" ht="20.100000000000001" customHeight="1" x14ac:dyDescent="0.25">
      <c r="A388" s="3" t="s">
        <v>4599</v>
      </c>
      <c r="B388" s="4" t="s">
        <v>2084</v>
      </c>
      <c r="C388" s="4" t="s">
        <v>4600</v>
      </c>
      <c r="D388" s="4" t="s">
        <v>2059</v>
      </c>
      <c r="E388" s="4" t="s">
        <v>2673</v>
      </c>
      <c r="F388" s="4" t="s">
        <v>2674</v>
      </c>
      <c r="G388" s="4" t="s">
        <v>2084</v>
      </c>
      <c r="H388" s="4" t="s">
        <v>4484</v>
      </c>
      <c r="I388" s="4" t="s">
        <v>2017</v>
      </c>
      <c r="J388" s="4" t="s">
        <v>4601</v>
      </c>
      <c r="K388" s="4" t="s">
        <v>4602</v>
      </c>
      <c r="L388" s="4" t="s">
        <v>4603</v>
      </c>
      <c r="M388" s="4" t="s">
        <v>2078</v>
      </c>
      <c r="N388" s="8">
        <v>46164</v>
      </c>
      <c r="O388" s="8">
        <v>46294</v>
      </c>
      <c r="P388" s="4" t="s">
        <v>2674</v>
      </c>
      <c r="Q388" s="4" t="s">
        <v>2017</v>
      </c>
      <c r="R388" s="4" t="s">
        <v>2635</v>
      </c>
      <c r="S388" s="4" t="s">
        <v>4604</v>
      </c>
      <c r="T388" s="4" t="s">
        <v>2067</v>
      </c>
      <c r="U388" s="4" t="s">
        <v>2680</v>
      </c>
      <c r="V388" s="4" t="s">
        <v>2067</v>
      </c>
      <c r="W388" s="4" t="s">
        <v>2069</v>
      </c>
    </row>
    <row r="389" spans="1:23" ht="20.100000000000001" customHeight="1" x14ac:dyDescent="0.25">
      <c r="A389" s="6" t="s">
        <v>1560</v>
      </c>
      <c r="B389" s="7" t="s">
        <v>2084</v>
      </c>
      <c r="C389" s="7" t="s">
        <v>4605</v>
      </c>
      <c r="D389" s="7" t="s">
        <v>2059</v>
      </c>
      <c r="E389" s="7" t="s">
        <v>1947</v>
      </c>
      <c r="F389" s="7" t="s">
        <v>1948</v>
      </c>
      <c r="G389" s="7" t="s">
        <v>2084</v>
      </c>
      <c r="H389" s="7" t="s">
        <v>4415</v>
      </c>
      <c r="I389" s="7" t="s">
        <v>2017</v>
      </c>
      <c r="J389" s="7" t="s">
        <v>4606</v>
      </c>
      <c r="K389" s="7" t="s">
        <v>4607</v>
      </c>
      <c r="L389" s="7" t="s">
        <v>4608</v>
      </c>
      <c r="M389" s="7" t="s">
        <v>2078</v>
      </c>
      <c r="N389" s="9">
        <v>45992</v>
      </c>
      <c r="O389" s="9">
        <v>46356</v>
      </c>
      <c r="P389" s="7" t="s">
        <v>2090</v>
      </c>
      <c r="Q389" s="7" t="s">
        <v>2017</v>
      </c>
      <c r="R389" s="7" t="s">
        <v>4609</v>
      </c>
      <c r="S389" s="7" t="s">
        <v>4610</v>
      </c>
      <c r="T389" s="7" t="s">
        <v>2067</v>
      </c>
      <c r="U389" s="7" t="s">
        <v>2146</v>
      </c>
      <c r="V389" s="7" t="s">
        <v>2067</v>
      </c>
      <c r="W389" s="7" t="s">
        <v>2069</v>
      </c>
    </row>
    <row r="390" spans="1:23" ht="20.100000000000001" customHeight="1" x14ac:dyDescent="0.25">
      <c r="A390" s="3" t="s">
        <v>1686</v>
      </c>
      <c r="B390" s="4" t="s">
        <v>2057</v>
      </c>
      <c r="C390" s="4" t="s">
        <v>4611</v>
      </c>
      <c r="D390" s="4" t="s">
        <v>2059</v>
      </c>
      <c r="E390" s="4" t="s">
        <v>1947</v>
      </c>
      <c r="F390" s="4" t="s">
        <v>1948</v>
      </c>
      <c r="G390" s="4" t="s">
        <v>2057</v>
      </c>
      <c r="H390" s="4" t="s">
        <v>4429</v>
      </c>
      <c r="I390" s="4" t="s">
        <v>2017</v>
      </c>
      <c r="J390" s="4" t="s">
        <v>4612</v>
      </c>
      <c r="K390" s="4" t="s">
        <v>4613</v>
      </c>
      <c r="L390" s="4" t="s">
        <v>4614</v>
      </c>
      <c r="M390" s="4" t="s">
        <v>2078</v>
      </c>
      <c r="N390" s="8">
        <v>46234</v>
      </c>
      <c r="O390" s="8">
        <v>46356</v>
      </c>
      <c r="P390" s="4" t="s">
        <v>2090</v>
      </c>
      <c r="Q390" s="4" t="s">
        <v>2017</v>
      </c>
      <c r="R390" s="4" t="s">
        <v>4615</v>
      </c>
      <c r="S390" s="4" t="s">
        <v>4616</v>
      </c>
      <c r="T390" s="4" t="s">
        <v>2067</v>
      </c>
      <c r="U390" s="4" t="s">
        <v>2146</v>
      </c>
      <c r="V390" s="4" t="s">
        <v>2067</v>
      </c>
      <c r="W390" s="4" t="s">
        <v>2069</v>
      </c>
    </row>
    <row r="391" spans="1:23" ht="20.100000000000001" customHeight="1" x14ac:dyDescent="0.25">
      <c r="A391" s="6" t="s">
        <v>1684</v>
      </c>
      <c r="B391" s="7" t="s">
        <v>2057</v>
      </c>
      <c r="C391" s="7" t="s">
        <v>4617</v>
      </c>
      <c r="D391" s="7" t="s">
        <v>2059</v>
      </c>
      <c r="E391" s="7" t="s">
        <v>1947</v>
      </c>
      <c r="F391" s="7" t="s">
        <v>1948</v>
      </c>
      <c r="G391" s="7" t="s">
        <v>2057</v>
      </c>
      <c r="H391" s="7" t="s">
        <v>2016</v>
      </c>
      <c r="I391" s="7" t="s">
        <v>2017</v>
      </c>
      <c r="J391" s="7" t="s">
        <v>4618</v>
      </c>
      <c r="K391" s="7" t="s">
        <v>4619</v>
      </c>
      <c r="L391" s="7" t="s">
        <v>4620</v>
      </c>
      <c r="M391" s="7" t="s">
        <v>2078</v>
      </c>
      <c r="N391" s="9">
        <v>46052</v>
      </c>
      <c r="O391" s="9">
        <v>46296</v>
      </c>
      <c r="P391" s="7" t="s">
        <v>2090</v>
      </c>
      <c r="Q391" s="7" t="s">
        <v>2017</v>
      </c>
      <c r="R391" s="7" t="s">
        <v>2663</v>
      </c>
      <c r="S391" s="7" t="s">
        <v>4621</v>
      </c>
      <c r="T391" s="7" t="s">
        <v>2067</v>
      </c>
      <c r="U391" s="7" t="s">
        <v>2768</v>
      </c>
      <c r="V391" s="7" t="s">
        <v>2067</v>
      </c>
      <c r="W391" s="7" t="s">
        <v>2069</v>
      </c>
    </row>
    <row r="392" spans="1:23" ht="20.100000000000001" customHeight="1" x14ac:dyDescent="0.25">
      <c r="A392" s="3" t="s">
        <v>1444</v>
      </c>
      <c r="B392" s="4" t="s">
        <v>2057</v>
      </c>
      <c r="C392" s="4" t="s">
        <v>4622</v>
      </c>
      <c r="D392" s="4" t="s">
        <v>2059</v>
      </c>
      <c r="E392" s="4" t="s">
        <v>1947</v>
      </c>
      <c r="F392" s="4" t="s">
        <v>1948</v>
      </c>
      <c r="G392" s="4" t="s">
        <v>2057</v>
      </c>
      <c r="H392" s="4" t="s">
        <v>2016</v>
      </c>
      <c r="I392" s="4" t="s">
        <v>2017</v>
      </c>
      <c r="J392" s="4" t="s">
        <v>4623</v>
      </c>
      <c r="K392" s="4" t="s">
        <v>4624</v>
      </c>
      <c r="L392" s="4" t="s">
        <v>4625</v>
      </c>
      <c r="M392" s="4" t="s">
        <v>2078</v>
      </c>
      <c r="N392" s="8">
        <v>46234</v>
      </c>
      <c r="O392" s="8">
        <v>46356</v>
      </c>
      <c r="P392" s="4" t="s">
        <v>2090</v>
      </c>
      <c r="Q392" s="4" t="s">
        <v>2017</v>
      </c>
      <c r="R392" s="4" t="s">
        <v>4626</v>
      </c>
      <c r="S392" s="4" t="s">
        <v>4627</v>
      </c>
      <c r="T392" s="4" t="s">
        <v>2067</v>
      </c>
      <c r="U392" s="4" t="s">
        <v>2146</v>
      </c>
      <c r="V392" s="4" t="s">
        <v>2067</v>
      </c>
      <c r="W392" s="4" t="s">
        <v>2069</v>
      </c>
    </row>
    <row r="393" spans="1:23" ht="20.100000000000001" customHeight="1" x14ac:dyDescent="0.25">
      <c r="A393" s="6" t="s">
        <v>1050</v>
      </c>
      <c r="B393" s="7" t="s">
        <v>2057</v>
      </c>
      <c r="C393" s="7" t="s">
        <v>4628</v>
      </c>
      <c r="D393" s="7" t="s">
        <v>2059</v>
      </c>
      <c r="E393" s="7" t="s">
        <v>1947</v>
      </c>
      <c r="F393" s="7" t="s">
        <v>1948</v>
      </c>
      <c r="G393" s="7" t="s">
        <v>2057</v>
      </c>
      <c r="H393" s="7" t="s">
        <v>4429</v>
      </c>
      <c r="I393" s="7" t="s">
        <v>2017</v>
      </c>
      <c r="J393" s="7" t="s">
        <v>4629</v>
      </c>
      <c r="K393" s="7" t="s">
        <v>4630</v>
      </c>
      <c r="L393" s="7" t="s">
        <v>4631</v>
      </c>
      <c r="M393" s="7" t="s">
        <v>2078</v>
      </c>
      <c r="N393" s="9">
        <v>46052</v>
      </c>
      <c r="O393" s="9">
        <v>46296</v>
      </c>
      <c r="P393" s="7" t="s">
        <v>2090</v>
      </c>
      <c r="Q393" s="7" t="s">
        <v>2017</v>
      </c>
      <c r="R393" s="7" t="s">
        <v>4632</v>
      </c>
      <c r="S393" s="7" t="s">
        <v>4633</v>
      </c>
      <c r="T393" s="7" t="s">
        <v>2067</v>
      </c>
      <c r="U393" s="7" t="s">
        <v>2768</v>
      </c>
      <c r="V393" s="7" t="s">
        <v>2067</v>
      </c>
      <c r="W393" s="7" t="s">
        <v>2069</v>
      </c>
    </row>
    <row r="394" spans="1:23" ht="20.100000000000001" customHeight="1" x14ac:dyDescent="0.25">
      <c r="A394" s="3" t="s">
        <v>1644</v>
      </c>
      <c r="B394" s="4" t="s">
        <v>2057</v>
      </c>
      <c r="C394" s="4" t="s">
        <v>4634</v>
      </c>
      <c r="D394" s="4" t="s">
        <v>2059</v>
      </c>
      <c r="E394" s="4" t="s">
        <v>1947</v>
      </c>
      <c r="F394" s="4" t="s">
        <v>1948</v>
      </c>
      <c r="G394" s="4" t="s">
        <v>2057</v>
      </c>
      <c r="H394" s="4" t="s">
        <v>2016</v>
      </c>
      <c r="I394" s="4" t="s">
        <v>2017</v>
      </c>
      <c r="J394" s="4" t="s">
        <v>4635</v>
      </c>
      <c r="K394" s="4" t="s">
        <v>4636</v>
      </c>
      <c r="L394" s="4" t="s">
        <v>4637</v>
      </c>
      <c r="M394" s="4" t="s">
        <v>2078</v>
      </c>
      <c r="N394" s="8">
        <v>46234</v>
      </c>
      <c r="O394" s="8">
        <v>46356</v>
      </c>
      <c r="P394" s="4" t="s">
        <v>2090</v>
      </c>
      <c r="Q394" s="4" t="s">
        <v>2017</v>
      </c>
      <c r="R394" s="4" t="s">
        <v>4638</v>
      </c>
      <c r="S394" s="4" t="s">
        <v>4639</v>
      </c>
      <c r="T394" s="4" t="s">
        <v>2067</v>
      </c>
      <c r="U394" s="4" t="s">
        <v>2146</v>
      </c>
      <c r="V394" s="4" t="s">
        <v>2067</v>
      </c>
      <c r="W394" s="4" t="s">
        <v>2069</v>
      </c>
    </row>
    <row r="395" spans="1:23" ht="20.100000000000001" customHeight="1" x14ac:dyDescent="0.25">
      <c r="A395" s="6" t="s">
        <v>4640</v>
      </c>
      <c r="B395" s="7" t="s">
        <v>2057</v>
      </c>
      <c r="C395" s="7" t="s">
        <v>4641</v>
      </c>
      <c r="D395" s="7" t="s">
        <v>2059</v>
      </c>
      <c r="E395" s="7" t="s">
        <v>1947</v>
      </c>
      <c r="F395" s="7" t="s">
        <v>1948</v>
      </c>
      <c r="G395" s="7" t="s">
        <v>2057</v>
      </c>
      <c r="H395" s="7" t="s">
        <v>4642</v>
      </c>
      <c r="I395" s="7" t="s">
        <v>2017</v>
      </c>
      <c r="J395" s="7" t="s">
        <v>4643</v>
      </c>
      <c r="K395" s="7" t="s">
        <v>4644</v>
      </c>
      <c r="L395" s="7" t="s">
        <v>4645</v>
      </c>
      <c r="M395" s="7" t="s">
        <v>2078</v>
      </c>
      <c r="N395" s="9">
        <v>46218</v>
      </c>
      <c r="O395" s="9">
        <v>46401</v>
      </c>
      <c r="P395" s="7" t="s">
        <v>2090</v>
      </c>
      <c r="Q395" s="7" t="s">
        <v>2017</v>
      </c>
      <c r="R395" s="7" t="s">
        <v>4646</v>
      </c>
      <c r="S395" s="7" t="s">
        <v>4647</v>
      </c>
      <c r="T395" s="7" t="s">
        <v>2067</v>
      </c>
      <c r="U395" s="7" t="s">
        <v>2146</v>
      </c>
      <c r="V395" s="7" t="s">
        <v>2067</v>
      </c>
      <c r="W395" s="7" t="s">
        <v>2069</v>
      </c>
    </row>
    <row r="396" spans="1:23" ht="20.100000000000001" customHeight="1" x14ac:dyDescent="0.25">
      <c r="A396" s="3" t="s">
        <v>700</v>
      </c>
      <c r="B396" s="4" t="s">
        <v>2057</v>
      </c>
      <c r="C396" s="4" t="s">
        <v>4648</v>
      </c>
      <c r="D396" s="4" t="s">
        <v>2059</v>
      </c>
      <c r="E396" s="4" t="s">
        <v>1947</v>
      </c>
      <c r="F396" s="4" t="s">
        <v>1948</v>
      </c>
      <c r="G396" s="4" t="s">
        <v>2057</v>
      </c>
      <c r="H396" s="4" t="s">
        <v>4395</v>
      </c>
      <c r="I396" s="4" t="s">
        <v>2017</v>
      </c>
      <c r="J396" s="4" t="s">
        <v>4649</v>
      </c>
      <c r="K396" s="4" t="s">
        <v>4650</v>
      </c>
      <c r="L396" s="4" t="s">
        <v>4651</v>
      </c>
      <c r="M396" s="4" t="s">
        <v>2078</v>
      </c>
      <c r="N396" s="8">
        <v>46237</v>
      </c>
      <c r="O396" s="8">
        <v>46356</v>
      </c>
      <c r="P396" s="4" t="s">
        <v>2090</v>
      </c>
      <c r="Q396" s="4" t="s">
        <v>2017</v>
      </c>
      <c r="R396" s="4" t="s">
        <v>4652</v>
      </c>
      <c r="S396" s="4" t="s">
        <v>4653</v>
      </c>
      <c r="T396" s="4" t="s">
        <v>2067</v>
      </c>
      <c r="U396" s="4" t="s">
        <v>2146</v>
      </c>
      <c r="V396" s="4" t="s">
        <v>2067</v>
      </c>
      <c r="W396" s="4" t="s">
        <v>2069</v>
      </c>
    </row>
    <row r="397" spans="1:23" ht="20.100000000000001" customHeight="1" x14ac:dyDescent="0.25">
      <c r="A397" s="6" t="s">
        <v>1506</v>
      </c>
      <c r="B397" s="7" t="s">
        <v>2057</v>
      </c>
      <c r="C397" s="7" t="s">
        <v>4654</v>
      </c>
      <c r="D397" s="7" t="s">
        <v>2059</v>
      </c>
      <c r="E397" s="7" t="s">
        <v>1947</v>
      </c>
      <c r="F397" s="7" t="s">
        <v>1948</v>
      </c>
      <c r="G397" s="7" t="s">
        <v>2057</v>
      </c>
      <c r="H397" s="7" t="s">
        <v>2016</v>
      </c>
      <c r="I397" s="7" t="s">
        <v>2017</v>
      </c>
      <c r="J397" s="7" t="s">
        <v>4655</v>
      </c>
      <c r="K397" s="7" t="s">
        <v>4656</v>
      </c>
      <c r="L397" s="7" t="s">
        <v>4657</v>
      </c>
      <c r="M397" s="7" t="s">
        <v>2078</v>
      </c>
      <c r="N397" s="9">
        <v>46234</v>
      </c>
      <c r="O397" s="9">
        <v>46356</v>
      </c>
      <c r="P397" s="7" t="s">
        <v>2090</v>
      </c>
      <c r="Q397" s="7" t="s">
        <v>2017</v>
      </c>
      <c r="R397" s="7" t="s">
        <v>4658</v>
      </c>
      <c r="S397" s="7" t="s">
        <v>4659</v>
      </c>
      <c r="T397" s="7" t="s">
        <v>2067</v>
      </c>
      <c r="U397" s="7" t="s">
        <v>2146</v>
      </c>
      <c r="V397" s="7" t="s">
        <v>2067</v>
      </c>
      <c r="W397" s="7" t="s">
        <v>2069</v>
      </c>
    </row>
    <row r="398" spans="1:23" ht="20.100000000000001" customHeight="1" x14ac:dyDescent="0.25">
      <c r="A398" s="3" t="s">
        <v>4660</v>
      </c>
      <c r="B398" s="4" t="s">
        <v>2057</v>
      </c>
      <c r="C398" s="4" t="s">
        <v>4661</v>
      </c>
      <c r="D398" s="4" t="s">
        <v>2059</v>
      </c>
      <c r="E398" s="4" t="s">
        <v>2111</v>
      </c>
      <c r="F398" s="4" t="s">
        <v>2112</v>
      </c>
      <c r="G398" s="4" t="s">
        <v>2057</v>
      </c>
      <c r="H398" s="4" t="s">
        <v>4662</v>
      </c>
      <c r="I398" s="4" t="s">
        <v>4663</v>
      </c>
      <c r="J398" s="4" t="s">
        <v>4664</v>
      </c>
      <c r="K398" s="4" t="s">
        <v>4665</v>
      </c>
      <c r="L398" s="4" t="s">
        <v>4666</v>
      </c>
      <c r="M398" s="4" t="s">
        <v>2078</v>
      </c>
      <c r="N398" s="8">
        <v>46234</v>
      </c>
      <c r="O398" s="8">
        <v>46356</v>
      </c>
      <c r="P398" s="4" t="s">
        <v>2112</v>
      </c>
      <c r="Q398" s="4" t="s">
        <v>4663</v>
      </c>
      <c r="R398" s="4" t="s">
        <v>4667</v>
      </c>
      <c r="S398" s="4" t="s">
        <v>4668</v>
      </c>
      <c r="T398" s="4" t="s">
        <v>2067</v>
      </c>
      <c r="U398" s="4" t="s">
        <v>2119</v>
      </c>
      <c r="V398" s="4" t="s">
        <v>2067</v>
      </c>
      <c r="W398" s="4" t="s">
        <v>2069</v>
      </c>
    </row>
    <row r="399" spans="1:23" ht="20.100000000000001" customHeight="1" x14ac:dyDescent="0.25">
      <c r="A399" s="6" t="s">
        <v>4669</v>
      </c>
      <c r="B399" s="7" t="s">
        <v>2057</v>
      </c>
      <c r="C399" s="7" t="s">
        <v>4670</v>
      </c>
      <c r="D399" s="7" t="s">
        <v>2059</v>
      </c>
      <c r="E399" s="7" t="s">
        <v>2189</v>
      </c>
      <c r="F399" s="7" t="s">
        <v>2190</v>
      </c>
      <c r="G399" s="7" t="s">
        <v>2057</v>
      </c>
      <c r="H399" s="7" t="s">
        <v>4662</v>
      </c>
      <c r="I399" s="7" t="s">
        <v>4663</v>
      </c>
      <c r="J399" s="7" t="s">
        <v>4671</v>
      </c>
      <c r="K399" s="7" t="s">
        <v>4672</v>
      </c>
      <c r="L399" s="7" t="s">
        <v>4673</v>
      </c>
      <c r="M399" s="7" t="s">
        <v>2078</v>
      </c>
      <c r="N399" s="9">
        <v>46234</v>
      </c>
      <c r="O399" s="9">
        <v>46356</v>
      </c>
      <c r="P399" s="7" t="s">
        <v>2195</v>
      </c>
      <c r="Q399" s="7" t="s">
        <v>4663</v>
      </c>
      <c r="R399" s="7" t="s">
        <v>4674</v>
      </c>
      <c r="S399" s="7" t="s">
        <v>4675</v>
      </c>
      <c r="T399" s="7" t="s">
        <v>2067</v>
      </c>
      <c r="U399" s="7" t="s">
        <v>2198</v>
      </c>
      <c r="V399" s="7" t="s">
        <v>2067</v>
      </c>
      <c r="W399" s="7" t="s">
        <v>2069</v>
      </c>
    </row>
    <row r="400" spans="1:23" ht="20.100000000000001" customHeight="1" x14ac:dyDescent="0.25">
      <c r="A400" s="3" t="s">
        <v>1458</v>
      </c>
      <c r="B400" s="4" t="s">
        <v>2057</v>
      </c>
      <c r="C400" s="4" t="s">
        <v>4676</v>
      </c>
      <c r="D400" s="4" t="s">
        <v>2059</v>
      </c>
      <c r="E400" s="4" t="s">
        <v>1947</v>
      </c>
      <c r="F400" s="4" t="s">
        <v>1948</v>
      </c>
      <c r="G400" s="4" t="s">
        <v>2057</v>
      </c>
      <c r="H400" s="4" t="s">
        <v>4677</v>
      </c>
      <c r="I400" s="4" t="s">
        <v>4678</v>
      </c>
      <c r="J400" s="4" t="s">
        <v>4679</v>
      </c>
      <c r="K400" s="4" t="s">
        <v>4680</v>
      </c>
      <c r="L400" s="4" t="s">
        <v>4681</v>
      </c>
      <c r="M400" s="4" t="s">
        <v>2078</v>
      </c>
      <c r="N400" s="8">
        <v>46234</v>
      </c>
      <c r="O400" s="8">
        <v>46356</v>
      </c>
      <c r="P400" s="4" t="s">
        <v>2090</v>
      </c>
      <c r="Q400" s="4" t="s">
        <v>4678</v>
      </c>
      <c r="R400" s="4" t="s">
        <v>4682</v>
      </c>
      <c r="S400" s="4" t="s">
        <v>4683</v>
      </c>
      <c r="T400" s="4" t="s">
        <v>2067</v>
      </c>
      <c r="U400" s="4" t="s">
        <v>2146</v>
      </c>
      <c r="V400" s="4" t="s">
        <v>2067</v>
      </c>
      <c r="W400" s="4" t="s">
        <v>2082</v>
      </c>
    </row>
    <row r="401" spans="1:23" ht="20.100000000000001" customHeight="1" x14ac:dyDescent="0.25">
      <c r="A401" s="6" t="s">
        <v>4684</v>
      </c>
      <c r="B401" s="7" t="s">
        <v>2057</v>
      </c>
      <c r="C401" s="7" t="s">
        <v>4685</v>
      </c>
      <c r="D401" s="7" t="s">
        <v>2059</v>
      </c>
      <c r="E401" s="7" t="s">
        <v>2111</v>
      </c>
      <c r="F401" s="7" t="s">
        <v>2112</v>
      </c>
      <c r="G401" s="7" t="s">
        <v>2057</v>
      </c>
      <c r="H401" s="7" t="s">
        <v>4686</v>
      </c>
      <c r="I401" s="7" t="s">
        <v>1951</v>
      </c>
      <c r="J401" s="7" t="s">
        <v>4687</v>
      </c>
      <c r="K401" s="7" t="s">
        <v>4688</v>
      </c>
      <c r="L401" s="7" t="s">
        <v>4689</v>
      </c>
      <c r="M401" s="7" t="s">
        <v>2078</v>
      </c>
      <c r="N401" s="9">
        <v>46234</v>
      </c>
      <c r="O401" s="9">
        <v>46356</v>
      </c>
      <c r="P401" s="7" t="s">
        <v>2112</v>
      </c>
      <c r="Q401" s="7" t="s">
        <v>1951</v>
      </c>
      <c r="R401" s="7" t="s">
        <v>4334</v>
      </c>
      <c r="S401" s="7" t="s">
        <v>4690</v>
      </c>
      <c r="T401" s="7" t="s">
        <v>2067</v>
      </c>
      <c r="U401" s="7" t="s">
        <v>2119</v>
      </c>
      <c r="V401" s="7" t="s">
        <v>2067</v>
      </c>
      <c r="W401" s="7" t="s">
        <v>2069</v>
      </c>
    </row>
    <row r="402" spans="1:23" ht="20.100000000000001" customHeight="1" x14ac:dyDescent="0.25">
      <c r="A402" s="3" t="s">
        <v>1516</v>
      </c>
      <c r="B402" s="4" t="s">
        <v>2057</v>
      </c>
      <c r="C402" s="4" t="s">
        <v>4691</v>
      </c>
      <c r="D402" s="4" t="s">
        <v>2059</v>
      </c>
      <c r="E402" s="4" t="s">
        <v>1947</v>
      </c>
      <c r="F402" s="4" t="s">
        <v>1948</v>
      </c>
      <c r="G402" s="4" t="s">
        <v>2057</v>
      </c>
      <c r="H402" s="4" t="s">
        <v>4692</v>
      </c>
      <c r="I402" s="4" t="s">
        <v>1951</v>
      </c>
      <c r="J402" s="4" t="s">
        <v>4693</v>
      </c>
      <c r="K402" s="4" t="s">
        <v>4694</v>
      </c>
      <c r="L402" s="4" t="s">
        <v>4695</v>
      </c>
      <c r="M402" s="4" t="s">
        <v>2078</v>
      </c>
      <c r="N402" s="8">
        <v>46234</v>
      </c>
      <c r="O402" s="8">
        <v>46356</v>
      </c>
      <c r="P402" s="4" t="s">
        <v>2090</v>
      </c>
      <c r="Q402" s="4" t="s">
        <v>1951</v>
      </c>
      <c r="R402" s="4" t="s">
        <v>4696</v>
      </c>
      <c r="S402" s="4" t="s">
        <v>4697</v>
      </c>
      <c r="T402" s="4" t="s">
        <v>2067</v>
      </c>
      <c r="U402" s="4" t="s">
        <v>2768</v>
      </c>
      <c r="V402" s="4" t="s">
        <v>2067</v>
      </c>
      <c r="W402" s="4" t="s">
        <v>2069</v>
      </c>
    </row>
    <row r="403" spans="1:23" ht="20.100000000000001" customHeight="1" x14ac:dyDescent="0.25">
      <c r="A403" s="6" t="s">
        <v>1182</v>
      </c>
      <c r="B403" s="7" t="s">
        <v>2057</v>
      </c>
      <c r="C403" s="7" t="s">
        <v>4698</v>
      </c>
      <c r="D403" s="7" t="s">
        <v>2059</v>
      </c>
      <c r="E403" s="7" t="s">
        <v>1947</v>
      </c>
      <c r="F403" s="7" t="s">
        <v>1948</v>
      </c>
      <c r="G403" s="7" t="s">
        <v>2057</v>
      </c>
      <c r="H403" s="7" t="s">
        <v>4692</v>
      </c>
      <c r="I403" s="7" t="s">
        <v>1951</v>
      </c>
      <c r="J403" s="7" t="s">
        <v>4699</v>
      </c>
      <c r="K403" s="7" t="s">
        <v>4700</v>
      </c>
      <c r="L403" s="7" t="s">
        <v>4701</v>
      </c>
      <c r="M403" s="7" t="s">
        <v>2078</v>
      </c>
      <c r="N403" s="9">
        <v>46234</v>
      </c>
      <c r="O403" s="9">
        <v>46356</v>
      </c>
      <c r="P403" s="7" t="s">
        <v>2090</v>
      </c>
      <c r="Q403" s="7" t="s">
        <v>1951</v>
      </c>
      <c r="R403" s="7" t="s">
        <v>4702</v>
      </c>
      <c r="S403" s="7" t="s">
        <v>4703</v>
      </c>
      <c r="T403" s="7" t="s">
        <v>2067</v>
      </c>
      <c r="U403" s="7" t="s">
        <v>2768</v>
      </c>
      <c r="V403" s="7" t="s">
        <v>2067</v>
      </c>
      <c r="W403" s="7" t="s">
        <v>2069</v>
      </c>
    </row>
    <row r="404" spans="1:23" ht="20.100000000000001" customHeight="1" x14ac:dyDescent="0.25">
      <c r="A404" s="3" t="s">
        <v>1172</v>
      </c>
      <c r="B404" s="4" t="s">
        <v>2057</v>
      </c>
      <c r="C404" s="4" t="s">
        <v>4704</v>
      </c>
      <c r="D404" s="4" t="s">
        <v>2059</v>
      </c>
      <c r="E404" s="4" t="s">
        <v>1947</v>
      </c>
      <c r="F404" s="4" t="s">
        <v>1948</v>
      </c>
      <c r="G404" s="4" t="s">
        <v>2057</v>
      </c>
      <c r="H404" s="4" t="s">
        <v>4692</v>
      </c>
      <c r="I404" s="4" t="s">
        <v>1951</v>
      </c>
      <c r="J404" s="4" t="s">
        <v>4705</v>
      </c>
      <c r="K404" s="4" t="s">
        <v>4706</v>
      </c>
      <c r="L404" s="4" t="s">
        <v>4707</v>
      </c>
      <c r="M404" s="4" t="s">
        <v>2078</v>
      </c>
      <c r="N404" s="8">
        <v>46234</v>
      </c>
      <c r="O404" s="8">
        <v>46356</v>
      </c>
      <c r="P404" s="4" t="s">
        <v>2090</v>
      </c>
      <c r="Q404" s="4" t="s">
        <v>1951</v>
      </c>
      <c r="R404" s="4" t="s">
        <v>3263</v>
      </c>
      <c r="S404" s="4" t="s">
        <v>4708</v>
      </c>
      <c r="T404" s="4" t="s">
        <v>2067</v>
      </c>
      <c r="U404" s="4" t="s">
        <v>2768</v>
      </c>
      <c r="V404" s="4" t="s">
        <v>2067</v>
      </c>
      <c r="W404" s="4" t="s">
        <v>2069</v>
      </c>
    </row>
    <row r="405" spans="1:23" ht="20.100000000000001" customHeight="1" x14ac:dyDescent="0.25">
      <c r="A405" s="6" t="s">
        <v>1510</v>
      </c>
      <c r="B405" s="7" t="s">
        <v>2057</v>
      </c>
      <c r="C405" s="7" t="s">
        <v>4709</v>
      </c>
      <c r="D405" s="7" t="s">
        <v>2059</v>
      </c>
      <c r="E405" s="7" t="s">
        <v>1947</v>
      </c>
      <c r="F405" s="7" t="s">
        <v>1948</v>
      </c>
      <c r="G405" s="7" t="s">
        <v>2057</v>
      </c>
      <c r="H405" s="7" t="s">
        <v>1950</v>
      </c>
      <c r="I405" s="7" t="s">
        <v>1951</v>
      </c>
      <c r="J405" s="7" t="s">
        <v>4710</v>
      </c>
      <c r="K405" s="7" t="s">
        <v>4711</v>
      </c>
      <c r="L405" s="7" t="s">
        <v>4712</v>
      </c>
      <c r="M405" s="7" t="s">
        <v>2078</v>
      </c>
      <c r="N405" s="9">
        <v>46052</v>
      </c>
      <c r="O405" s="9">
        <v>46296</v>
      </c>
      <c r="P405" s="7" t="s">
        <v>2090</v>
      </c>
      <c r="Q405" s="7" t="s">
        <v>1951</v>
      </c>
      <c r="R405" s="7" t="s">
        <v>3840</v>
      </c>
      <c r="S405" s="7" t="s">
        <v>4713</v>
      </c>
      <c r="T405" s="7" t="s">
        <v>2067</v>
      </c>
      <c r="U405" s="7" t="s">
        <v>2768</v>
      </c>
      <c r="V405" s="7" t="s">
        <v>2067</v>
      </c>
      <c r="W405" s="7" t="s">
        <v>2069</v>
      </c>
    </row>
    <row r="406" spans="1:23" ht="20.100000000000001" customHeight="1" x14ac:dyDescent="0.25">
      <c r="A406" s="3" t="s">
        <v>1094</v>
      </c>
      <c r="B406" s="4" t="s">
        <v>2057</v>
      </c>
      <c r="C406" s="4" t="s">
        <v>4714</v>
      </c>
      <c r="D406" s="4" t="s">
        <v>2059</v>
      </c>
      <c r="E406" s="4" t="s">
        <v>1947</v>
      </c>
      <c r="F406" s="4" t="s">
        <v>1948</v>
      </c>
      <c r="G406" s="4" t="s">
        <v>2057</v>
      </c>
      <c r="H406" s="4" t="s">
        <v>4715</v>
      </c>
      <c r="I406" s="4" t="s">
        <v>1951</v>
      </c>
      <c r="J406" s="4" t="s">
        <v>4716</v>
      </c>
      <c r="K406" s="4" t="s">
        <v>4717</v>
      </c>
      <c r="L406" s="4" t="s">
        <v>4718</v>
      </c>
      <c r="M406" s="4" t="s">
        <v>2078</v>
      </c>
      <c r="N406" s="8">
        <v>46234</v>
      </c>
      <c r="O406" s="8">
        <v>46356</v>
      </c>
      <c r="P406" s="4" t="s">
        <v>2090</v>
      </c>
      <c r="Q406" s="4" t="s">
        <v>1951</v>
      </c>
      <c r="R406" s="4" t="s">
        <v>4719</v>
      </c>
      <c r="S406" s="4" t="s">
        <v>4720</v>
      </c>
      <c r="T406" s="4" t="s">
        <v>2067</v>
      </c>
      <c r="U406" s="4" t="s">
        <v>2768</v>
      </c>
      <c r="V406" s="4" t="s">
        <v>2067</v>
      </c>
      <c r="W406" s="4" t="s">
        <v>2069</v>
      </c>
    </row>
    <row r="407" spans="1:23" ht="20.100000000000001" customHeight="1" x14ac:dyDescent="0.25">
      <c r="A407" s="6" t="s">
        <v>4721</v>
      </c>
      <c r="B407" s="7" t="s">
        <v>2057</v>
      </c>
      <c r="C407" s="7" t="s">
        <v>4722</v>
      </c>
      <c r="D407" s="7" t="s">
        <v>2059</v>
      </c>
      <c r="E407" s="7" t="s">
        <v>2111</v>
      </c>
      <c r="F407" s="7" t="s">
        <v>2112</v>
      </c>
      <c r="G407" s="7" t="s">
        <v>2057</v>
      </c>
      <c r="H407" s="7" t="s">
        <v>4715</v>
      </c>
      <c r="I407" s="7" t="s">
        <v>1951</v>
      </c>
      <c r="J407" s="7" t="s">
        <v>4723</v>
      </c>
      <c r="K407" s="7" t="s">
        <v>4724</v>
      </c>
      <c r="L407" s="7" t="s">
        <v>4725</v>
      </c>
      <c r="M407" s="7" t="s">
        <v>2078</v>
      </c>
      <c r="N407" s="9">
        <v>46234</v>
      </c>
      <c r="O407" s="9">
        <v>46356</v>
      </c>
      <c r="P407" s="7" t="s">
        <v>2112</v>
      </c>
      <c r="Q407" s="7" t="s">
        <v>1951</v>
      </c>
      <c r="R407" s="7" t="s">
        <v>2593</v>
      </c>
      <c r="S407" s="7" t="s">
        <v>4726</v>
      </c>
      <c r="T407" s="7" t="s">
        <v>2067</v>
      </c>
      <c r="U407" s="7" t="s">
        <v>2119</v>
      </c>
      <c r="V407" s="7" t="s">
        <v>2067</v>
      </c>
      <c r="W407" s="7" t="s">
        <v>2069</v>
      </c>
    </row>
    <row r="408" spans="1:23" ht="20.100000000000001" customHeight="1" x14ac:dyDescent="0.25">
      <c r="A408" s="3" t="s">
        <v>1410</v>
      </c>
      <c r="B408" s="4" t="s">
        <v>2057</v>
      </c>
      <c r="C408" s="4" t="s">
        <v>4727</v>
      </c>
      <c r="D408" s="4" t="s">
        <v>2059</v>
      </c>
      <c r="E408" s="4" t="s">
        <v>1947</v>
      </c>
      <c r="F408" s="4" t="s">
        <v>1948</v>
      </c>
      <c r="G408" s="4" t="s">
        <v>2057</v>
      </c>
      <c r="H408" s="4" t="s">
        <v>4692</v>
      </c>
      <c r="I408" s="4" t="s">
        <v>1951</v>
      </c>
      <c r="J408" s="4" t="s">
        <v>4728</v>
      </c>
      <c r="K408" s="4" t="s">
        <v>4729</v>
      </c>
      <c r="L408" s="4" t="s">
        <v>4730</v>
      </c>
      <c r="M408" s="4" t="s">
        <v>2078</v>
      </c>
      <c r="N408" s="8">
        <v>46052</v>
      </c>
      <c r="O408" s="8">
        <v>46296</v>
      </c>
      <c r="P408" s="4" t="s">
        <v>2090</v>
      </c>
      <c r="Q408" s="4" t="s">
        <v>1951</v>
      </c>
      <c r="R408" s="4" t="s">
        <v>4731</v>
      </c>
      <c r="S408" s="4" t="s">
        <v>4732</v>
      </c>
      <c r="T408" s="4" t="s">
        <v>2067</v>
      </c>
      <c r="U408" s="4" t="s">
        <v>2768</v>
      </c>
      <c r="V408" s="4" t="s">
        <v>2067</v>
      </c>
      <c r="W408" s="4" t="s">
        <v>2069</v>
      </c>
    </row>
    <row r="409" spans="1:23" ht="20.100000000000001" customHeight="1" x14ac:dyDescent="0.25">
      <c r="A409" s="6" t="s">
        <v>1604</v>
      </c>
      <c r="B409" s="7" t="s">
        <v>2057</v>
      </c>
      <c r="C409" s="7" t="s">
        <v>4733</v>
      </c>
      <c r="D409" s="7" t="s">
        <v>2059</v>
      </c>
      <c r="E409" s="7" t="s">
        <v>1947</v>
      </c>
      <c r="F409" s="7" t="s">
        <v>1948</v>
      </c>
      <c r="G409" s="7" t="s">
        <v>2057</v>
      </c>
      <c r="H409" s="7" t="s">
        <v>4692</v>
      </c>
      <c r="I409" s="7" t="s">
        <v>1951</v>
      </c>
      <c r="J409" s="7" t="s">
        <v>4734</v>
      </c>
      <c r="K409" s="7" t="s">
        <v>4735</v>
      </c>
      <c r="L409" s="7" t="s">
        <v>4736</v>
      </c>
      <c r="M409" s="7" t="s">
        <v>2064</v>
      </c>
      <c r="N409" s="9">
        <v>42023</v>
      </c>
      <c r="O409" s="9"/>
      <c r="P409" s="7" t="s">
        <v>2090</v>
      </c>
      <c r="Q409" s="7" t="s">
        <v>1951</v>
      </c>
      <c r="R409" s="7" t="s">
        <v>4737</v>
      </c>
      <c r="S409" s="7" t="s">
        <v>4738</v>
      </c>
      <c r="T409" s="7" t="s">
        <v>2067</v>
      </c>
      <c r="U409" s="7" t="s">
        <v>2768</v>
      </c>
      <c r="V409" s="7" t="s">
        <v>2067</v>
      </c>
      <c r="W409" s="7" t="s">
        <v>2069</v>
      </c>
    </row>
    <row r="410" spans="1:23" ht="20.100000000000001" customHeight="1" x14ac:dyDescent="0.25">
      <c r="A410" s="3" t="s">
        <v>1798</v>
      </c>
      <c r="B410" s="4" t="s">
        <v>2057</v>
      </c>
      <c r="C410" s="4" t="s">
        <v>4739</v>
      </c>
      <c r="D410" s="4" t="s">
        <v>2059</v>
      </c>
      <c r="E410" s="4" t="s">
        <v>1947</v>
      </c>
      <c r="F410" s="4" t="s">
        <v>1948</v>
      </c>
      <c r="G410" s="4" t="s">
        <v>2057</v>
      </c>
      <c r="H410" s="4" t="s">
        <v>4692</v>
      </c>
      <c r="I410" s="4" t="s">
        <v>1951</v>
      </c>
      <c r="J410" s="4" t="s">
        <v>4740</v>
      </c>
      <c r="K410" s="4" t="s">
        <v>4741</v>
      </c>
      <c r="L410" s="4" t="s">
        <v>4742</v>
      </c>
      <c r="M410" s="4" t="s">
        <v>2078</v>
      </c>
      <c r="N410" s="8">
        <v>46234</v>
      </c>
      <c r="O410" s="8">
        <v>46356</v>
      </c>
      <c r="P410" s="4" t="s">
        <v>2090</v>
      </c>
      <c r="Q410" s="4" t="s">
        <v>1951</v>
      </c>
      <c r="R410" s="4" t="s">
        <v>4743</v>
      </c>
      <c r="S410" s="4" t="s">
        <v>4744</v>
      </c>
      <c r="T410" s="4" t="s">
        <v>2067</v>
      </c>
      <c r="U410" s="4" t="s">
        <v>2768</v>
      </c>
      <c r="V410" s="4" t="s">
        <v>2067</v>
      </c>
      <c r="W410" s="4" t="s">
        <v>2069</v>
      </c>
    </row>
    <row r="411" spans="1:23" ht="20.100000000000001" customHeight="1" x14ac:dyDescent="0.25">
      <c r="A411" s="6" t="s">
        <v>786</v>
      </c>
      <c r="B411" s="7" t="s">
        <v>2057</v>
      </c>
      <c r="C411" s="7" t="s">
        <v>4745</v>
      </c>
      <c r="D411" s="7" t="s">
        <v>2059</v>
      </c>
      <c r="E411" s="7" t="s">
        <v>1947</v>
      </c>
      <c r="F411" s="7" t="s">
        <v>1948</v>
      </c>
      <c r="G411" s="7" t="s">
        <v>2057</v>
      </c>
      <c r="H411" s="7" t="s">
        <v>1950</v>
      </c>
      <c r="I411" s="7" t="s">
        <v>1951</v>
      </c>
      <c r="J411" s="7" t="s">
        <v>4746</v>
      </c>
      <c r="K411" s="7" t="s">
        <v>4747</v>
      </c>
      <c r="L411" s="7" t="s">
        <v>4748</v>
      </c>
      <c r="M411" s="7" t="s">
        <v>2064</v>
      </c>
      <c r="N411" s="9">
        <v>42955</v>
      </c>
      <c r="O411" s="9"/>
      <c r="P411" s="7" t="s">
        <v>2090</v>
      </c>
      <c r="Q411" s="7" t="s">
        <v>1951</v>
      </c>
      <c r="R411" s="7" t="s">
        <v>4749</v>
      </c>
      <c r="S411" s="7" t="s">
        <v>4750</v>
      </c>
      <c r="T411" s="7" t="s">
        <v>2067</v>
      </c>
      <c r="U411" s="7" t="s">
        <v>2768</v>
      </c>
      <c r="V411" s="7" t="s">
        <v>2067</v>
      </c>
      <c r="W411" s="7" t="s">
        <v>2069</v>
      </c>
    </row>
    <row r="412" spans="1:23" ht="20.100000000000001" customHeight="1" x14ac:dyDescent="0.25">
      <c r="A412" s="3" t="s">
        <v>740</v>
      </c>
      <c r="B412" s="4" t="s">
        <v>2057</v>
      </c>
      <c r="C412" s="4" t="s">
        <v>4751</v>
      </c>
      <c r="D412" s="4" t="s">
        <v>2059</v>
      </c>
      <c r="E412" s="4" t="s">
        <v>1947</v>
      </c>
      <c r="F412" s="4" t="s">
        <v>1948</v>
      </c>
      <c r="G412" s="4" t="s">
        <v>2057</v>
      </c>
      <c r="H412" s="4" t="s">
        <v>4692</v>
      </c>
      <c r="I412" s="4" t="s">
        <v>1951</v>
      </c>
      <c r="J412" s="4" t="s">
        <v>4752</v>
      </c>
      <c r="K412" s="4" t="s">
        <v>4753</v>
      </c>
      <c r="L412" s="4" t="s">
        <v>4754</v>
      </c>
      <c r="M412" s="4" t="s">
        <v>2064</v>
      </c>
      <c r="N412" s="8">
        <v>42758</v>
      </c>
      <c r="O412" s="8"/>
      <c r="P412" s="4" t="s">
        <v>2090</v>
      </c>
      <c r="Q412" s="4" t="s">
        <v>1951</v>
      </c>
      <c r="R412" s="4" t="s">
        <v>4755</v>
      </c>
      <c r="S412" s="4" t="s">
        <v>4756</v>
      </c>
      <c r="T412" s="4" t="s">
        <v>2067</v>
      </c>
      <c r="U412" s="4" t="s">
        <v>2768</v>
      </c>
      <c r="V412" s="4" t="s">
        <v>2067</v>
      </c>
      <c r="W412" s="4" t="s">
        <v>2069</v>
      </c>
    </row>
    <row r="413" spans="1:23" ht="20.100000000000001" customHeight="1" x14ac:dyDescent="0.25">
      <c r="A413" s="6" t="s">
        <v>70</v>
      </c>
      <c r="B413" s="7" t="s">
        <v>2057</v>
      </c>
      <c r="C413" s="7" t="s">
        <v>4757</v>
      </c>
      <c r="D413" s="7" t="s">
        <v>2059</v>
      </c>
      <c r="E413" s="7" t="s">
        <v>1947</v>
      </c>
      <c r="F413" s="7" t="s">
        <v>1948</v>
      </c>
      <c r="G413" s="7" t="s">
        <v>2057</v>
      </c>
      <c r="H413" s="7" t="s">
        <v>4758</v>
      </c>
      <c r="I413" s="7" t="s">
        <v>1951</v>
      </c>
      <c r="J413" s="7" t="s">
        <v>4759</v>
      </c>
      <c r="K413" s="7" t="s">
        <v>4760</v>
      </c>
      <c r="L413" s="7" t="s">
        <v>4761</v>
      </c>
      <c r="M413" s="7" t="s">
        <v>2064</v>
      </c>
      <c r="N413" s="9">
        <v>43136</v>
      </c>
      <c r="O413" s="9"/>
      <c r="P413" s="7" t="s">
        <v>2090</v>
      </c>
      <c r="Q413" s="7" t="s">
        <v>1951</v>
      </c>
      <c r="R413" s="7" t="s">
        <v>4762</v>
      </c>
      <c r="S413" s="7" t="s">
        <v>4763</v>
      </c>
      <c r="T413" s="7" t="s">
        <v>2067</v>
      </c>
      <c r="U413" s="7" t="s">
        <v>2768</v>
      </c>
      <c r="V413" s="7" t="s">
        <v>2067</v>
      </c>
      <c r="W413" s="7" t="s">
        <v>2069</v>
      </c>
    </row>
    <row r="414" spans="1:23" ht="20.100000000000001" customHeight="1" x14ac:dyDescent="0.25">
      <c r="A414" s="3" t="s">
        <v>1316</v>
      </c>
      <c r="B414" s="4" t="s">
        <v>2057</v>
      </c>
      <c r="C414" s="4" t="s">
        <v>4764</v>
      </c>
      <c r="D414" s="4" t="s">
        <v>2059</v>
      </c>
      <c r="E414" s="4" t="s">
        <v>1947</v>
      </c>
      <c r="F414" s="4" t="s">
        <v>1948</v>
      </c>
      <c r="G414" s="4" t="s">
        <v>2057</v>
      </c>
      <c r="H414" s="4" t="s">
        <v>4715</v>
      </c>
      <c r="I414" s="4" t="s">
        <v>1951</v>
      </c>
      <c r="J414" s="4" t="s">
        <v>4765</v>
      </c>
      <c r="K414" s="4" t="s">
        <v>4766</v>
      </c>
      <c r="L414" s="4" t="s">
        <v>4767</v>
      </c>
      <c r="M414" s="4" t="s">
        <v>2078</v>
      </c>
      <c r="N414" s="8">
        <v>46234</v>
      </c>
      <c r="O414" s="8">
        <v>46356</v>
      </c>
      <c r="P414" s="4" t="s">
        <v>2090</v>
      </c>
      <c r="Q414" s="4" t="s">
        <v>1951</v>
      </c>
      <c r="R414" s="4" t="s">
        <v>4768</v>
      </c>
      <c r="S414" s="4" t="s">
        <v>4769</v>
      </c>
      <c r="T414" s="4" t="s">
        <v>2067</v>
      </c>
      <c r="U414" s="4" t="s">
        <v>2768</v>
      </c>
      <c r="V414" s="4" t="s">
        <v>2067</v>
      </c>
      <c r="W414" s="4" t="s">
        <v>2069</v>
      </c>
    </row>
    <row r="415" spans="1:23" ht="20.100000000000001" customHeight="1" x14ac:dyDescent="0.25">
      <c r="A415" s="6" t="s">
        <v>4770</v>
      </c>
      <c r="B415" s="7" t="s">
        <v>2084</v>
      </c>
      <c r="C415" s="7" t="s">
        <v>4771</v>
      </c>
      <c r="D415" s="7" t="s">
        <v>2059</v>
      </c>
      <c r="E415" s="7" t="s">
        <v>1947</v>
      </c>
      <c r="F415" s="7" t="s">
        <v>1948</v>
      </c>
      <c r="G415" s="7" t="s">
        <v>2084</v>
      </c>
      <c r="H415" s="7" t="s">
        <v>4772</v>
      </c>
      <c r="I415" s="7" t="s">
        <v>1951</v>
      </c>
      <c r="J415" s="7" t="s">
        <v>4773</v>
      </c>
      <c r="K415" s="7" t="s">
        <v>4774</v>
      </c>
      <c r="L415" s="7" t="s">
        <v>4775</v>
      </c>
      <c r="M415" s="7" t="s">
        <v>2078</v>
      </c>
      <c r="N415" s="9">
        <v>46234</v>
      </c>
      <c r="O415" s="9">
        <v>46356</v>
      </c>
      <c r="P415" s="7" t="s">
        <v>2090</v>
      </c>
      <c r="Q415" s="7" t="s">
        <v>1951</v>
      </c>
      <c r="R415" s="7" t="s">
        <v>2663</v>
      </c>
      <c r="S415" s="7" t="s">
        <v>4776</v>
      </c>
      <c r="T415" s="7" t="s">
        <v>2067</v>
      </c>
      <c r="U415" s="7" t="s">
        <v>2146</v>
      </c>
      <c r="V415" s="7" t="s">
        <v>2067</v>
      </c>
      <c r="W415" s="7" t="s">
        <v>2082</v>
      </c>
    </row>
    <row r="416" spans="1:23" ht="20.100000000000001" customHeight="1" x14ac:dyDescent="0.25">
      <c r="A416" s="3" t="s">
        <v>1230</v>
      </c>
      <c r="B416" s="4" t="s">
        <v>2057</v>
      </c>
      <c r="C416" s="4" t="s">
        <v>4777</v>
      </c>
      <c r="D416" s="4" t="s">
        <v>2059</v>
      </c>
      <c r="E416" s="4" t="s">
        <v>1947</v>
      </c>
      <c r="F416" s="4" t="s">
        <v>1948</v>
      </c>
      <c r="G416" s="4" t="s">
        <v>2057</v>
      </c>
      <c r="H416" s="4" t="s">
        <v>4692</v>
      </c>
      <c r="I416" s="4" t="s">
        <v>1951</v>
      </c>
      <c r="J416" s="4" t="s">
        <v>4778</v>
      </c>
      <c r="K416" s="4" t="s">
        <v>4779</v>
      </c>
      <c r="L416" s="4" t="s">
        <v>4780</v>
      </c>
      <c r="M416" s="4" t="s">
        <v>2064</v>
      </c>
      <c r="N416" s="8">
        <v>40204</v>
      </c>
      <c r="O416" s="8"/>
      <c r="P416" s="4" t="s">
        <v>2090</v>
      </c>
      <c r="Q416" s="4" t="s">
        <v>1951</v>
      </c>
      <c r="R416" s="4" t="s">
        <v>4781</v>
      </c>
      <c r="S416" s="4" t="s">
        <v>4782</v>
      </c>
      <c r="T416" s="4" t="s">
        <v>2067</v>
      </c>
      <c r="U416" s="4" t="s">
        <v>2768</v>
      </c>
      <c r="V416" s="4" t="s">
        <v>2067</v>
      </c>
      <c r="W416" s="4" t="s">
        <v>2069</v>
      </c>
    </row>
    <row r="417" spans="1:23" ht="20.100000000000001" customHeight="1" x14ac:dyDescent="0.25">
      <c r="A417" s="6" t="s">
        <v>4783</v>
      </c>
      <c r="B417" s="7" t="s">
        <v>2057</v>
      </c>
      <c r="C417" s="7" t="s">
        <v>4784</v>
      </c>
      <c r="D417" s="7" t="s">
        <v>2059</v>
      </c>
      <c r="E417" s="7" t="s">
        <v>1947</v>
      </c>
      <c r="F417" s="7" t="s">
        <v>1948</v>
      </c>
      <c r="G417" s="7" t="s">
        <v>2057</v>
      </c>
      <c r="H417" s="7" t="s">
        <v>1950</v>
      </c>
      <c r="I417" s="7" t="s">
        <v>1951</v>
      </c>
      <c r="J417" s="7" t="s">
        <v>4785</v>
      </c>
      <c r="K417" s="7" t="s">
        <v>4786</v>
      </c>
      <c r="L417" s="7" t="s">
        <v>4787</v>
      </c>
      <c r="M417" s="7" t="s">
        <v>2078</v>
      </c>
      <c r="N417" s="9">
        <v>46234</v>
      </c>
      <c r="O417" s="9">
        <v>46356</v>
      </c>
      <c r="P417" s="7" t="s">
        <v>2090</v>
      </c>
      <c r="Q417" s="7" t="s">
        <v>1951</v>
      </c>
      <c r="R417" s="7" t="s">
        <v>4788</v>
      </c>
      <c r="S417" s="7" t="s">
        <v>4789</v>
      </c>
      <c r="T417" s="7" t="s">
        <v>2067</v>
      </c>
      <c r="U417" s="7" t="s">
        <v>2768</v>
      </c>
      <c r="V417" s="7" t="s">
        <v>2067</v>
      </c>
      <c r="W417" s="7" t="s">
        <v>2069</v>
      </c>
    </row>
    <row r="418" spans="1:23" ht="20.100000000000001" customHeight="1" x14ac:dyDescent="0.25">
      <c r="A418" s="3" t="s">
        <v>1276</v>
      </c>
      <c r="B418" s="4" t="s">
        <v>2057</v>
      </c>
      <c r="C418" s="4" t="s">
        <v>4790</v>
      </c>
      <c r="D418" s="4" t="s">
        <v>2059</v>
      </c>
      <c r="E418" s="4" t="s">
        <v>1947</v>
      </c>
      <c r="F418" s="4" t="s">
        <v>1948</v>
      </c>
      <c r="G418" s="4" t="s">
        <v>2057</v>
      </c>
      <c r="H418" s="4" t="s">
        <v>4791</v>
      </c>
      <c r="I418" s="4" t="s">
        <v>1951</v>
      </c>
      <c r="J418" s="4" t="s">
        <v>4792</v>
      </c>
      <c r="K418" s="4" t="s">
        <v>4793</v>
      </c>
      <c r="L418" s="4" t="s">
        <v>4794</v>
      </c>
      <c r="M418" s="4" t="s">
        <v>2078</v>
      </c>
      <c r="N418" s="8">
        <v>46234</v>
      </c>
      <c r="O418" s="8">
        <v>46356</v>
      </c>
      <c r="P418" s="4" t="s">
        <v>2090</v>
      </c>
      <c r="Q418" s="4" t="s">
        <v>1951</v>
      </c>
      <c r="R418" s="4" t="s">
        <v>4795</v>
      </c>
      <c r="S418" s="4" t="s">
        <v>4796</v>
      </c>
      <c r="T418" s="4" t="s">
        <v>2067</v>
      </c>
      <c r="U418" s="4" t="s">
        <v>2768</v>
      </c>
      <c r="V418" s="4" t="s">
        <v>2067</v>
      </c>
      <c r="W418" s="4" t="s">
        <v>2069</v>
      </c>
    </row>
    <row r="419" spans="1:23" ht="20.100000000000001" customHeight="1" x14ac:dyDescent="0.25">
      <c r="A419" s="6" t="s">
        <v>1236</v>
      </c>
      <c r="B419" s="7" t="s">
        <v>2057</v>
      </c>
      <c r="C419" s="7" t="s">
        <v>4797</v>
      </c>
      <c r="D419" s="7" t="s">
        <v>2059</v>
      </c>
      <c r="E419" s="7" t="s">
        <v>1947</v>
      </c>
      <c r="F419" s="7" t="s">
        <v>1948</v>
      </c>
      <c r="G419" s="7" t="s">
        <v>2057</v>
      </c>
      <c r="H419" s="7" t="s">
        <v>1950</v>
      </c>
      <c r="I419" s="7" t="s">
        <v>1951</v>
      </c>
      <c r="J419" s="7" t="s">
        <v>4798</v>
      </c>
      <c r="K419" s="7" t="s">
        <v>4799</v>
      </c>
      <c r="L419" s="7" t="s">
        <v>4800</v>
      </c>
      <c r="M419" s="7" t="s">
        <v>2078</v>
      </c>
      <c r="N419" s="9">
        <v>46234</v>
      </c>
      <c r="O419" s="9">
        <v>46356</v>
      </c>
      <c r="P419" s="7" t="s">
        <v>2090</v>
      </c>
      <c r="Q419" s="7" t="s">
        <v>1951</v>
      </c>
      <c r="R419" s="7" t="s">
        <v>4801</v>
      </c>
      <c r="S419" s="7" t="s">
        <v>4802</v>
      </c>
      <c r="T419" s="7" t="s">
        <v>2067</v>
      </c>
      <c r="U419" s="7" t="s">
        <v>2768</v>
      </c>
      <c r="V419" s="7" t="s">
        <v>2067</v>
      </c>
      <c r="W419" s="7" t="s">
        <v>2069</v>
      </c>
    </row>
    <row r="420" spans="1:23" ht="20.100000000000001" customHeight="1" x14ac:dyDescent="0.25">
      <c r="A420" s="3" t="s">
        <v>1404</v>
      </c>
      <c r="B420" s="4" t="s">
        <v>2057</v>
      </c>
      <c r="C420" s="4" t="s">
        <v>4803</v>
      </c>
      <c r="D420" s="4" t="s">
        <v>2059</v>
      </c>
      <c r="E420" s="4" t="s">
        <v>1947</v>
      </c>
      <c r="F420" s="4" t="s">
        <v>1948</v>
      </c>
      <c r="G420" s="4" t="s">
        <v>2057</v>
      </c>
      <c r="H420" s="4" t="s">
        <v>1950</v>
      </c>
      <c r="I420" s="4" t="s">
        <v>1951</v>
      </c>
      <c r="J420" s="4" t="s">
        <v>4804</v>
      </c>
      <c r="K420" s="4" t="s">
        <v>4805</v>
      </c>
      <c r="L420" s="4" t="s">
        <v>4806</v>
      </c>
      <c r="M420" s="4" t="s">
        <v>2078</v>
      </c>
      <c r="N420" s="8">
        <v>46052</v>
      </c>
      <c r="O420" s="8">
        <v>46296</v>
      </c>
      <c r="P420" s="4" t="s">
        <v>2090</v>
      </c>
      <c r="Q420" s="4" t="s">
        <v>1951</v>
      </c>
      <c r="R420" s="4" t="s">
        <v>4807</v>
      </c>
      <c r="S420" s="4" t="s">
        <v>4808</v>
      </c>
      <c r="T420" s="4" t="s">
        <v>2067</v>
      </c>
      <c r="U420" s="4" t="s">
        <v>2768</v>
      </c>
      <c r="V420" s="4" t="s">
        <v>2067</v>
      </c>
      <c r="W420" s="4" t="s">
        <v>2069</v>
      </c>
    </row>
    <row r="421" spans="1:23" ht="20.100000000000001" customHeight="1" x14ac:dyDescent="0.25">
      <c r="A421" s="6" t="s">
        <v>4809</v>
      </c>
      <c r="B421" s="7" t="s">
        <v>2057</v>
      </c>
      <c r="C421" s="7" t="s">
        <v>4810</v>
      </c>
      <c r="D421" s="7" t="s">
        <v>2059</v>
      </c>
      <c r="E421" s="7" t="s">
        <v>2189</v>
      </c>
      <c r="F421" s="7" t="s">
        <v>2190</v>
      </c>
      <c r="G421" s="7" t="s">
        <v>2057</v>
      </c>
      <c r="H421" s="7" t="s">
        <v>4811</v>
      </c>
      <c r="I421" s="7" t="s">
        <v>1951</v>
      </c>
      <c r="J421" s="7" t="s">
        <v>4812</v>
      </c>
      <c r="K421" s="7" t="s">
        <v>4813</v>
      </c>
      <c r="L421" s="7" t="s">
        <v>4814</v>
      </c>
      <c r="M421" s="7" t="s">
        <v>2078</v>
      </c>
      <c r="N421" s="9">
        <v>46108</v>
      </c>
      <c r="O421" s="9">
        <v>46356</v>
      </c>
      <c r="P421" s="7" t="s">
        <v>2195</v>
      </c>
      <c r="Q421" s="7" t="s">
        <v>1951</v>
      </c>
      <c r="R421" s="7" t="s">
        <v>4815</v>
      </c>
      <c r="S421" s="7" t="s">
        <v>4816</v>
      </c>
      <c r="T421" s="7" t="s">
        <v>2067</v>
      </c>
      <c r="U421" s="7" t="s">
        <v>2198</v>
      </c>
      <c r="V421" s="7" t="s">
        <v>2067</v>
      </c>
      <c r="W421" s="7" t="s">
        <v>2082</v>
      </c>
    </row>
    <row r="422" spans="1:23" ht="20.100000000000001" customHeight="1" x14ac:dyDescent="0.25">
      <c r="A422" s="3" t="s">
        <v>1790</v>
      </c>
      <c r="B422" s="4" t="s">
        <v>2057</v>
      </c>
      <c r="C422" s="4" t="s">
        <v>4817</v>
      </c>
      <c r="D422" s="4" t="s">
        <v>2059</v>
      </c>
      <c r="E422" s="4" t="s">
        <v>1947</v>
      </c>
      <c r="F422" s="4" t="s">
        <v>1948</v>
      </c>
      <c r="G422" s="4" t="s">
        <v>2057</v>
      </c>
      <c r="H422" s="4" t="s">
        <v>4818</v>
      </c>
      <c r="I422" s="4" t="s">
        <v>1951</v>
      </c>
      <c r="J422" s="4" t="s">
        <v>4819</v>
      </c>
      <c r="K422" s="4" t="s">
        <v>4820</v>
      </c>
      <c r="L422" s="4" t="s">
        <v>4821</v>
      </c>
      <c r="M422" s="4" t="s">
        <v>2078</v>
      </c>
      <c r="N422" s="8">
        <v>46052</v>
      </c>
      <c r="O422" s="8">
        <v>46296</v>
      </c>
      <c r="P422" s="4" t="s">
        <v>2090</v>
      </c>
      <c r="Q422" s="4" t="s">
        <v>1951</v>
      </c>
      <c r="R422" s="4" t="s">
        <v>3613</v>
      </c>
      <c r="S422" s="4" t="s">
        <v>4822</v>
      </c>
      <c r="T422" s="4" t="s">
        <v>2067</v>
      </c>
      <c r="U422" s="4" t="s">
        <v>2768</v>
      </c>
      <c r="V422" s="4" t="s">
        <v>2067</v>
      </c>
      <c r="W422" s="4" t="s">
        <v>2069</v>
      </c>
    </row>
    <row r="423" spans="1:23" ht="20.100000000000001" customHeight="1" x14ac:dyDescent="0.25">
      <c r="A423" s="6" t="s">
        <v>4823</v>
      </c>
      <c r="B423" s="7" t="s">
        <v>2057</v>
      </c>
      <c r="C423" s="7" t="s">
        <v>4824</v>
      </c>
      <c r="D423" s="7" t="s">
        <v>2059</v>
      </c>
      <c r="E423" s="7" t="s">
        <v>2189</v>
      </c>
      <c r="F423" s="7" t="s">
        <v>2190</v>
      </c>
      <c r="G423" s="7" t="s">
        <v>2057</v>
      </c>
      <c r="H423" s="7" t="s">
        <v>1950</v>
      </c>
      <c r="I423" s="7" t="s">
        <v>1951</v>
      </c>
      <c r="J423" s="7" t="s">
        <v>4825</v>
      </c>
      <c r="K423" s="7" t="s">
        <v>4826</v>
      </c>
      <c r="L423" s="7" t="s">
        <v>4827</v>
      </c>
      <c r="M423" s="7" t="s">
        <v>2078</v>
      </c>
      <c r="N423" s="9">
        <v>45992</v>
      </c>
      <c r="O423" s="9">
        <v>46356</v>
      </c>
      <c r="P423" s="7" t="s">
        <v>2195</v>
      </c>
      <c r="Q423" s="7" t="s">
        <v>1951</v>
      </c>
      <c r="R423" s="7" t="s">
        <v>4178</v>
      </c>
      <c r="S423" s="7" t="s">
        <v>4828</v>
      </c>
      <c r="T423" s="7" t="s">
        <v>2067</v>
      </c>
      <c r="U423" s="7" t="s">
        <v>2198</v>
      </c>
      <c r="V423" s="7" t="s">
        <v>2067</v>
      </c>
      <c r="W423" s="7" t="s">
        <v>2069</v>
      </c>
    </row>
    <row r="424" spans="1:23" ht="20.100000000000001" customHeight="1" x14ac:dyDescent="0.25">
      <c r="A424" s="3" t="s">
        <v>1642</v>
      </c>
      <c r="B424" s="4" t="s">
        <v>2084</v>
      </c>
      <c r="C424" s="4" t="s">
        <v>4829</v>
      </c>
      <c r="D424" s="4" t="s">
        <v>2059</v>
      </c>
      <c r="E424" s="4" t="s">
        <v>1947</v>
      </c>
      <c r="F424" s="4" t="s">
        <v>1948</v>
      </c>
      <c r="G424" s="4" t="s">
        <v>2084</v>
      </c>
      <c r="H424" s="4" t="s">
        <v>4830</v>
      </c>
      <c r="I424" s="4" t="s">
        <v>1951</v>
      </c>
      <c r="J424" s="4" t="s">
        <v>4831</v>
      </c>
      <c r="K424" s="4" t="s">
        <v>4832</v>
      </c>
      <c r="L424" s="4" t="s">
        <v>4833</v>
      </c>
      <c r="M424" s="4" t="s">
        <v>2078</v>
      </c>
      <c r="N424" s="8">
        <v>46234</v>
      </c>
      <c r="O424" s="8">
        <v>46356</v>
      </c>
      <c r="P424" s="4" t="s">
        <v>2090</v>
      </c>
      <c r="Q424" s="4" t="s">
        <v>1951</v>
      </c>
      <c r="R424" s="4" t="s">
        <v>4834</v>
      </c>
      <c r="S424" s="4" t="s">
        <v>4835</v>
      </c>
      <c r="T424" s="4" t="s">
        <v>2067</v>
      </c>
      <c r="U424" s="4" t="s">
        <v>2146</v>
      </c>
      <c r="V424" s="4" t="s">
        <v>2067</v>
      </c>
      <c r="W424" s="4" t="s">
        <v>2082</v>
      </c>
    </row>
    <row r="425" spans="1:23" ht="20.100000000000001" customHeight="1" x14ac:dyDescent="0.25">
      <c r="A425" s="6" t="s">
        <v>798</v>
      </c>
      <c r="B425" s="7" t="s">
        <v>2084</v>
      </c>
      <c r="C425" s="7" t="s">
        <v>4836</v>
      </c>
      <c r="D425" s="7" t="s">
        <v>2059</v>
      </c>
      <c r="E425" s="7" t="s">
        <v>1947</v>
      </c>
      <c r="F425" s="7" t="s">
        <v>1948</v>
      </c>
      <c r="G425" s="7" t="s">
        <v>2084</v>
      </c>
      <c r="H425" s="7" t="s">
        <v>4837</v>
      </c>
      <c r="I425" s="7" t="s">
        <v>1951</v>
      </c>
      <c r="J425" s="7" t="s">
        <v>4838</v>
      </c>
      <c r="K425" s="7" t="s">
        <v>4839</v>
      </c>
      <c r="L425" s="7" t="s">
        <v>4840</v>
      </c>
      <c r="M425" s="7" t="s">
        <v>2078</v>
      </c>
      <c r="N425" s="9">
        <v>45992</v>
      </c>
      <c r="O425" s="9">
        <v>46356</v>
      </c>
      <c r="P425" s="7" t="s">
        <v>2090</v>
      </c>
      <c r="Q425" s="7" t="s">
        <v>1951</v>
      </c>
      <c r="R425" s="7" t="s">
        <v>4841</v>
      </c>
      <c r="S425" s="7" t="s">
        <v>4842</v>
      </c>
      <c r="T425" s="7" t="s">
        <v>2067</v>
      </c>
      <c r="U425" s="7" t="s">
        <v>2146</v>
      </c>
      <c r="V425" s="7" t="s">
        <v>2067</v>
      </c>
      <c r="W425" s="7" t="s">
        <v>2082</v>
      </c>
    </row>
    <row r="426" spans="1:23" ht="20.100000000000001" customHeight="1" x14ac:dyDescent="0.25">
      <c r="A426" s="3" t="s">
        <v>98</v>
      </c>
      <c r="B426" s="4" t="s">
        <v>2084</v>
      </c>
      <c r="C426" s="4" t="s">
        <v>4843</v>
      </c>
      <c r="D426" s="4" t="s">
        <v>2059</v>
      </c>
      <c r="E426" s="4" t="s">
        <v>1947</v>
      </c>
      <c r="F426" s="4" t="s">
        <v>1948</v>
      </c>
      <c r="G426" s="4" t="s">
        <v>2084</v>
      </c>
      <c r="H426" s="4" t="s">
        <v>4837</v>
      </c>
      <c r="I426" s="4" t="s">
        <v>1951</v>
      </c>
      <c r="J426" s="4" t="s">
        <v>4844</v>
      </c>
      <c r="K426" s="4" t="s">
        <v>4845</v>
      </c>
      <c r="L426" s="4" t="s">
        <v>4846</v>
      </c>
      <c r="M426" s="4" t="s">
        <v>3316</v>
      </c>
      <c r="N426" s="8">
        <v>45870</v>
      </c>
      <c r="O426" s="8">
        <v>46356</v>
      </c>
      <c r="P426" s="4" t="s">
        <v>2090</v>
      </c>
      <c r="Q426" s="4" t="s">
        <v>1951</v>
      </c>
      <c r="R426" s="4" t="s">
        <v>4847</v>
      </c>
      <c r="S426" s="4" t="s">
        <v>4848</v>
      </c>
      <c r="T426" s="4" t="s">
        <v>2067</v>
      </c>
      <c r="U426" s="4" t="s">
        <v>2146</v>
      </c>
      <c r="V426" s="4" t="s">
        <v>2067</v>
      </c>
      <c r="W426" s="4" t="s">
        <v>2082</v>
      </c>
    </row>
    <row r="427" spans="1:23" ht="20.100000000000001" customHeight="1" x14ac:dyDescent="0.25">
      <c r="A427" s="6" t="s">
        <v>4849</v>
      </c>
      <c r="B427" s="7" t="s">
        <v>2057</v>
      </c>
      <c r="C427" s="7" t="s">
        <v>4850</v>
      </c>
      <c r="D427" s="7" t="s">
        <v>2059</v>
      </c>
      <c r="E427" s="7" t="s">
        <v>2111</v>
      </c>
      <c r="F427" s="7" t="s">
        <v>2112</v>
      </c>
      <c r="G427" s="7" t="s">
        <v>2057</v>
      </c>
      <c r="H427" s="7" t="s">
        <v>4686</v>
      </c>
      <c r="I427" s="7" t="s">
        <v>1951</v>
      </c>
      <c r="J427" s="7" t="s">
        <v>4851</v>
      </c>
      <c r="K427" s="7" t="s">
        <v>4852</v>
      </c>
      <c r="L427" s="7" t="s">
        <v>4853</v>
      </c>
      <c r="M427" s="7" t="s">
        <v>2078</v>
      </c>
      <c r="N427" s="9">
        <v>46234</v>
      </c>
      <c r="O427" s="9">
        <v>46356</v>
      </c>
      <c r="P427" s="7" t="s">
        <v>2112</v>
      </c>
      <c r="Q427" s="7" t="s">
        <v>1951</v>
      </c>
      <c r="R427" s="7" t="s">
        <v>4854</v>
      </c>
      <c r="S427" s="7" t="s">
        <v>4855</v>
      </c>
      <c r="T427" s="7" t="s">
        <v>2067</v>
      </c>
      <c r="U427" s="7" t="s">
        <v>2119</v>
      </c>
      <c r="V427" s="7" t="s">
        <v>2067</v>
      </c>
      <c r="W427" s="7" t="s">
        <v>2069</v>
      </c>
    </row>
    <row r="428" spans="1:23" ht="20.100000000000001" customHeight="1" x14ac:dyDescent="0.25">
      <c r="A428" s="3" t="s">
        <v>1264</v>
      </c>
      <c r="B428" s="4" t="s">
        <v>2057</v>
      </c>
      <c r="C428" s="4" t="s">
        <v>4856</v>
      </c>
      <c r="D428" s="4" t="s">
        <v>2059</v>
      </c>
      <c r="E428" s="4" t="s">
        <v>1947</v>
      </c>
      <c r="F428" s="4" t="s">
        <v>1948</v>
      </c>
      <c r="G428" s="4" t="s">
        <v>2057</v>
      </c>
      <c r="H428" s="4" t="s">
        <v>4692</v>
      </c>
      <c r="I428" s="4" t="s">
        <v>1951</v>
      </c>
      <c r="J428" s="4" t="s">
        <v>4857</v>
      </c>
      <c r="K428" s="4" t="s">
        <v>4858</v>
      </c>
      <c r="L428" s="4" t="s">
        <v>4859</v>
      </c>
      <c r="M428" s="4" t="s">
        <v>2078</v>
      </c>
      <c r="N428" s="8">
        <v>46234</v>
      </c>
      <c r="O428" s="8">
        <v>46356</v>
      </c>
      <c r="P428" s="4" t="s">
        <v>2090</v>
      </c>
      <c r="Q428" s="4" t="s">
        <v>1951</v>
      </c>
      <c r="R428" s="4" t="s">
        <v>4860</v>
      </c>
      <c r="S428" s="4" t="s">
        <v>4861</v>
      </c>
      <c r="T428" s="4" t="s">
        <v>2067</v>
      </c>
      <c r="U428" s="4" t="s">
        <v>2768</v>
      </c>
      <c r="V428" s="4" t="s">
        <v>2067</v>
      </c>
      <c r="W428" s="4" t="s">
        <v>2069</v>
      </c>
    </row>
    <row r="429" spans="1:23" ht="20.100000000000001" customHeight="1" x14ac:dyDescent="0.25">
      <c r="A429" s="6" t="s">
        <v>4862</v>
      </c>
      <c r="B429" s="7" t="s">
        <v>2057</v>
      </c>
      <c r="C429" s="7" t="s">
        <v>4863</v>
      </c>
      <c r="D429" s="7" t="s">
        <v>2059</v>
      </c>
      <c r="E429" s="7" t="s">
        <v>1947</v>
      </c>
      <c r="F429" s="7" t="s">
        <v>1948</v>
      </c>
      <c r="G429" s="7" t="s">
        <v>2057</v>
      </c>
      <c r="H429" s="7" t="s">
        <v>1950</v>
      </c>
      <c r="I429" s="7" t="s">
        <v>1951</v>
      </c>
      <c r="J429" s="7" t="s">
        <v>4864</v>
      </c>
      <c r="K429" s="7" t="s">
        <v>4865</v>
      </c>
      <c r="L429" s="7" t="s">
        <v>4866</v>
      </c>
      <c r="M429" s="7" t="s">
        <v>2078</v>
      </c>
      <c r="N429" s="9">
        <v>46234</v>
      </c>
      <c r="O429" s="9">
        <v>46356</v>
      </c>
      <c r="P429" s="7" t="s">
        <v>2090</v>
      </c>
      <c r="Q429" s="7" t="s">
        <v>1951</v>
      </c>
      <c r="R429" s="7" t="s">
        <v>4867</v>
      </c>
      <c r="S429" s="7" t="s">
        <v>4868</v>
      </c>
      <c r="T429" s="7" t="s">
        <v>2067</v>
      </c>
      <c r="U429" s="7" t="s">
        <v>2768</v>
      </c>
      <c r="V429" s="7" t="s">
        <v>2067</v>
      </c>
      <c r="W429" s="7" t="s">
        <v>2069</v>
      </c>
    </row>
    <row r="430" spans="1:23" ht="20.100000000000001" customHeight="1" x14ac:dyDescent="0.25">
      <c r="A430" s="3" t="s">
        <v>1666</v>
      </c>
      <c r="B430" s="4" t="s">
        <v>2084</v>
      </c>
      <c r="C430" s="4" t="s">
        <v>4869</v>
      </c>
      <c r="D430" s="4" t="s">
        <v>2059</v>
      </c>
      <c r="E430" s="4" t="s">
        <v>1947</v>
      </c>
      <c r="F430" s="4" t="s">
        <v>1948</v>
      </c>
      <c r="G430" s="4" t="s">
        <v>2084</v>
      </c>
      <c r="H430" s="4" t="s">
        <v>4870</v>
      </c>
      <c r="I430" s="4" t="s">
        <v>1951</v>
      </c>
      <c r="J430" s="4" t="s">
        <v>4871</v>
      </c>
      <c r="K430" s="4" t="s">
        <v>4872</v>
      </c>
      <c r="L430" s="4" t="s">
        <v>4873</v>
      </c>
      <c r="M430" s="4" t="s">
        <v>2078</v>
      </c>
      <c r="N430" s="8">
        <v>45992</v>
      </c>
      <c r="O430" s="8">
        <v>46356</v>
      </c>
      <c r="P430" s="4" t="s">
        <v>2090</v>
      </c>
      <c r="Q430" s="4" t="s">
        <v>1951</v>
      </c>
      <c r="R430" s="4" t="s">
        <v>4874</v>
      </c>
      <c r="S430" s="4" t="s">
        <v>4875</v>
      </c>
      <c r="T430" s="4" t="s">
        <v>2067</v>
      </c>
      <c r="U430" s="4" t="s">
        <v>2146</v>
      </c>
      <c r="V430" s="4" t="s">
        <v>2067</v>
      </c>
      <c r="W430" s="4" t="s">
        <v>2069</v>
      </c>
    </row>
    <row r="431" spans="1:23" ht="20.100000000000001" customHeight="1" x14ac:dyDescent="0.25">
      <c r="A431" s="6" t="s">
        <v>326</v>
      </c>
      <c r="B431" s="7" t="s">
        <v>2057</v>
      </c>
      <c r="C431" s="7" t="s">
        <v>4876</v>
      </c>
      <c r="D431" s="7" t="s">
        <v>2059</v>
      </c>
      <c r="E431" s="7" t="s">
        <v>1952</v>
      </c>
      <c r="F431" s="7" t="s">
        <v>1953</v>
      </c>
      <c r="G431" s="7" t="s">
        <v>2057</v>
      </c>
      <c r="H431" s="7" t="s">
        <v>1950</v>
      </c>
      <c r="I431" s="7" t="s">
        <v>1951</v>
      </c>
      <c r="J431" s="7" t="s">
        <v>4877</v>
      </c>
      <c r="K431" s="7" t="s">
        <v>4878</v>
      </c>
      <c r="L431" s="7" t="s">
        <v>4879</v>
      </c>
      <c r="M431" s="7" t="s">
        <v>2078</v>
      </c>
      <c r="N431" s="9">
        <v>46234</v>
      </c>
      <c r="O431" s="9">
        <v>46356</v>
      </c>
      <c r="P431" s="7" t="s">
        <v>1953</v>
      </c>
      <c r="Q431" s="7" t="s">
        <v>1951</v>
      </c>
      <c r="R431" s="7" t="s">
        <v>4880</v>
      </c>
      <c r="S431" s="7" t="s">
        <v>4881</v>
      </c>
      <c r="T431" s="7" t="s">
        <v>2067</v>
      </c>
      <c r="U431" s="7" t="s">
        <v>2358</v>
      </c>
      <c r="V431" s="7" t="s">
        <v>2067</v>
      </c>
      <c r="W431" s="7" t="s">
        <v>2069</v>
      </c>
    </row>
    <row r="432" spans="1:23" ht="20.100000000000001" customHeight="1" x14ac:dyDescent="0.25">
      <c r="A432" s="3" t="s">
        <v>2026</v>
      </c>
      <c r="B432" s="4" t="s">
        <v>2057</v>
      </c>
      <c r="C432" s="4" t="s">
        <v>2027</v>
      </c>
      <c r="D432" s="4" t="s">
        <v>2059</v>
      </c>
      <c r="E432" s="4" t="s">
        <v>1947</v>
      </c>
      <c r="F432" s="4" t="s">
        <v>1948</v>
      </c>
      <c r="G432" s="4" t="s">
        <v>2057</v>
      </c>
      <c r="H432" s="4" t="s">
        <v>1950</v>
      </c>
      <c r="I432" s="4" t="s">
        <v>1951</v>
      </c>
      <c r="J432" s="4" t="s">
        <v>4882</v>
      </c>
      <c r="K432" s="4" t="s">
        <v>4883</v>
      </c>
      <c r="L432" s="4" t="s">
        <v>4884</v>
      </c>
      <c r="M432" s="4" t="s">
        <v>2078</v>
      </c>
      <c r="N432" s="8">
        <v>45992</v>
      </c>
      <c r="O432" s="8">
        <v>46356</v>
      </c>
      <c r="P432" s="4" t="s">
        <v>2090</v>
      </c>
      <c r="Q432" s="4" t="s">
        <v>1951</v>
      </c>
      <c r="R432" s="4" t="s">
        <v>2326</v>
      </c>
      <c r="S432" s="4" t="s">
        <v>4885</v>
      </c>
      <c r="T432" s="4" t="s">
        <v>2067</v>
      </c>
      <c r="U432" s="4" t="s">
        <v>2768</v>
      </c>
      <c r="V432" s="4" t="s">
        <v>2067</v>
      </c>
      <c r="W432" s="4" t="s">
        <v>2069</v>
      </c>
    </row>
    <row r="433" spans="1:23" ht="20.100000000000001" customHeight="1" x14ac:dyDescent="0.25">
      <c r="A433" s="6" t="s">
        <v>1780</v>
      </c>
      <c r="B433" s="7" t="s">
        <v>2057</v>
      </c>
      <c r="C433" s="7" t="s">
        <v>4886</v>
      </c>
      <c r="D433" s="7" t="s">
        <v>2059</v>
      </c>
      <c r="E433" s="7" t="s">
        <v>1947</v>
      </c>
      <c r="F433" s="7" t="s">
        <v>1948</v>
      </c>
      <c r="G433" s="7" t="s">
        <v>2057</v>
      </c>
      <c r="H433" s="7" t="s">
        <v>1950</v>
      </c>
      <c r="I433" s="7" t="s">
        <v>1951</v>
      </c>
      <c r="J433" s="7" t="s">
        <v>4887</v>
      </c>
      <c r="K433" s="7" t="s">
        <v>4888</v>
      </c>
      <c r="L433" s="7" t="s">
        <v>4889</v>
      </c>
      <c r="M433" s="7" t="s">
        <v>2078</v>
      </c>
      <c r="N433" s="9">
        <v>46234</v>
      </c>
      <c r="O433" s="9">
        <v>46356</v>
      </c>
      <c r="P433" s="7" t="s">
        <v>2090</v>
      </c>
      <c r="Q433" s="7" t="s">
        <v>1951</v>
      </c>
      <c r="R433" s="7" t="s">
        <v>4890</v>
      </c>
      <c r="S433" s="7" t="s">
        <v>4891</v>
      </c>
      <c r="T433" s="7" t="s">
        <v>2067</v>
      </c>
      <c r="U433" s="7" t="s">
        <v>2768</v>
      </c>
      <c r="V433" s="7" t="s">
        <v>2067</v>
      </c>
      <c r="W433" s="7" t="s">
        <v>2069</v>
      </c>
    </row>
    <row r="434" spans="1:23" ht="20.100000000000001" customHeight="1" x14ac:dyDescent="0.25">
      <c r="A434" s="3" t="s">
        <v>4892</v>
      </c>
      <c r="B434" s="4" t="s">
        <v>2057</v>
      </c>
      <c r="C434" s="4" t="s">
        <v>4893</v>
      </c>
      <c r="D434" s="4" t="s">
        <v>2059</v>
      </c>
      <c r="E434" s="4" t="s">
        <v>2189</v>
      </c>
      <c r="F434" s="4" t="s">
        <v>2190</v>
      </c>
      <c r="G434" s="4" t="s">
        <v>2057</v>
      </c>
      <c r="H434" s="4" t="s">
        <v>1950</v>
      </c>
      <c r="I434" s="4" t="s">
        <v>1951</v>
      </c>
      <c r="J434" s="4" t="s">
        <v>4894</v>
      </c>
      <c r="K434" s="4" t="s">
        <v>4895</v>
      </c>
      <c r="L434" s="4" t="s">
        <v>4896</v>
      </c>
      <c r="M434" s="4" t="s">
        <v>2078</v>
      </c>
      <c r="N434" s="8">
        <v>46234</v>
      </c>
      <c r="O434" s="8">
        <v>46356</v>
      </c>
      <c r="P434" s="4" t="s">
        <v>2195</v>
      </c>
      <c r="Q434" s="4" t="s">
        <v>1951</v>
      </c>
      <c r="R434" s="4" t="s">
        <v>3724</v>
      </c>
      <c r="S434" s="4" t="s">
        <v>4897</v>
      </c>
      <c r="T434" s="4" t="s">
        <v>2067</v>
      </c>
      <c r="U434" s="4" t="s">
        <v>2198</v>
      </c>
      <c r="V434" s="4" t="s">
        <v>2067</v>
      </c>
      <c r="W434" s="4" t="s">
        <v>2069</v>
      </c>
    </row>
    <row r="435" spans="1:23" ht="20.100000000000001" customHeight="1" x14ac:dyDescent="0.25">
      <c r="A435" s="6" t="s">
        <v>1186</v>
      </c>
      <c r="B435" s="7" t="s">
        <v>2057</v>
      </c>
      <c r="C435" s="7" t="s">
        <v>4898</v>
      </c>
      <c r="D435" s="7" t="s">
        <v>2059</v>
      </c>
      <c r="E435" s="7" t="s">
        <v>1947</v>
      </c>
      <c r="F435" s="7" t="s">
        <v>1948</v>
      </c>
      <c r="G435" s="7" t="s">
        <v>2057</v>
      </c>
      <c r="H435" s="7" t="s">
        <v>1950</v>
      </c>
      <c r="I435" s="7" t="s">
        <v>1951</v>
      </c>
      <c r="J435" s="7" t="s">
        <v>4899</v>
      </c>
      <c r="K435" s="7" t="s">
        <v>4900</v>
      </c>
      <c r="L435" s="7" t="s">
        <v>4901</v>
      </c>
      <c r="M435" s="7" t="s">
        <v>2078</v>
      </c>
      <c r="N435" s="9">
        <v>46234</v>
      </c>
      <c r="O435" s="9">
        <v>46356</v>
      </c>
      <c r="P435" s="7" t="s">
        <v>2090</v>
      </c>
      <c r="Q435" s="7" t="s">
        <v>1951</v>
      </c>
      <c r="R435" s="7" t="s">
        <v>4449</v>
      </c>
      <c r="S435" s="7" t="s">
        <v>4902</v>
      </c>
      <c r="T435" s="7" t="s">
        <v>2067</v>
      </c>
      <c r="U435" s="7" t="s">
        <v>2768</v>
      </c>
      <c r="V435" s="7" t="s">
        <v>2067</v>
      </c>
      <c r="W435" s="7" t="s">
        <v>2069</v>
      </c>
    </row>
    <row r="436" spans="1:23" ht="20.100000000000001" customHeight="1" x14ac:dyDescent="0.25">
      <c r="A436" s="3" t="s">
        <v>4903</v>
      </c>
      <c r="B436" s="4" t="s">
        <v>2057</v>
      </c>
      <c r="C436" s="4" t="s">
        <v>4904</v>
      </c>
      <c r="D436" s="4" t="s">
        <v>2059</v>
      </c>
      <c r="E436" s="4" t="s">
        <v>2189</v>
      </c>
      <c r="F436" s="4" t="s">
        <v>2190</v>
      </c>
      <c r="G436" s="4" t="s">
        <v>2057</v>
      </c>
      <c r="H436" s="4" t="s">
        <v>1950</v>
      </c>
      <c r="I436" s="4" t="s">
        <v>1951</v>
      </c>
      <c r="J436" s="4" t="s">
        <v>4905</v>
      </c>
      <c r="K436" s="4" t="s">
        <v>4906</v>
      </c>
      <c r="L436" s="4" t="s">
        <v>4907</v>
      </c>
      <c r="M436" s="4" t="s">
        <v>2078</v>
      </c>
      <c r="N436" s="8">
        <v>45992</v>
      </c>
      <c r="O436" s="8">
        <v>46356</v>
      </c>
      <c r="P436" s="4" t="s">
        <v>2195</v>
      </c>
      <c r="Q436" s="4" t="s">
        <v>1951</v>
      </c>
      <c r="R436" s="4" t="s">
        <v>4908</v>
      </c>
      <c r="S436" s="4" t="s">
        <v>4909</v>
      </c>
      <c r="T436" s="4" t="s">
        <v>2067</v>
      </c>
      <c r="U436" s="4" t="s">
        <v>2198</v>
      </c>
      <c r="V436" s="4" t="s">
        <v>2067</v>
      </c>
      <c r="W436" s="4" t="s">
        <v>2069</v>
      </c>
    </row>
    <row r="437" spans="1:23" ht="20.100000000000001" customHeight="1" x14ac:dyDescent="0.25">
      <c r="A437" s="6" t="s">
        <v>112</v>
      </c>
      <c r="B437" s="7" t="s">
        <v>2084</v>
      </c>
      <c r="C437" s="7" t="s">
        <v>4910</v>
      </c>
      <c r="D437" s="7" t="s">
        <v>2059</v>
      </c>
      <c r="E437" s="7" t="s">
        <v>1947</v>
      </c>
      <c r="F437" s="7" t="s">
        <v>1948</v>
      </c>
      <c r="G437" s="7" t="s">
        <v>2084</v>
      </c>
      <c r="H437" s="7" t="s">
        <v>4772</v>
      </c>
      <c r="I437" s="7" t="s">
        <v>1951</v>
      </c>
      <c r="J437" s="7" t="s">
        <v>4911</v>
      </c>
      <c r="K437" s="7" t="s">
        <v>4912</v>
      </c>
      <c r="L437" s="7" t="s">
        <v>4913</v>
      </c>
      <c r="M437" s="7" t="s">
        <v>2078</v>
      </c>
      <c r="N437" s="9">
        <v>45992</v>
      </c>
      <c r="O437" s="9">
        <v>46356</v>
      </c>
      <c r="P437" s="7" t="s">
        <v>2090</v>
      </c>
      <c r="Q437" s="7" t="s">
        <v>1951</v>
      </c>
      <c r="R437" s="7" t="s">
        <v>4914</v>
      </c>
      <c r="S437" s="7" t="s">
        <v>4915</v>
      </c>
      <c r="T437" s="7" t="s">
        <v>2067</v>
      </c>
      <c r="U437" s="7" t="s">
        <v>2146</v>
      </c>
      <c r="V437" s="7" t="s">
        <v>2067</v>
      </c>
      <c r="W437" s="7" t="s">
        <v>2082</v>
      </c>
    </row>
    <row r="438" spans="1:23" ht="20.100000000000001" customHeight="1" x14ac:dyDescent="0.25">
      <c r="A438" s="3" t="s">
        <v>4916</v>
      </c>
      <c r="B438" s="4" t="s">
        <v>2057</v>
      </c>
      <c r="C438" s="4" t="s">
        <v>4917</v>
      </c>
      <c r="D438" s="4" t="s">
        <v>2059</v>
      </c>
      <c r="E438" s="4" t="s">
        <v>2189</v>
      </c>
      <c r="F438" s="4" t="s">
        <v>2190</v>
      </c>
      <c r="G438" s="4" t="s">
        <v>2057</v>
      </c>
      <c r="H438" s="4" t="s">
        <v>1950</v>
      </c>
      <c r="I438" s="4" t="s">
        <v>1951</v>
      </c>
      <c r="J438" s="4" t="s">
        <v>4918</v>
      </c>
      <c r="K438" s="4" t="s">
        <v>4919</v>
      </c>
      <c r="L438" s="4" t="s">
        <v>4920</v>
      </c>
      <c r="M438" s="4" t="s">
        <v>2078</v>
      </c>
      <c r="N438" s="8">
        <v>46234</v>
      </c>
      <c r="O438" s="8">
        <v>46356</v>
      </c>
      <c r="P438" s="4" t="s">
        <v>2195</v>
      </c>
      <c r="Q438" s="4" t="s">
        <v>1951</v>
      </c>
      <c r="R438" s="4" t="s">
        <v>4208</v>
      </c>
      <c r="S438" s="4" t="s">
        <v>4921</v>
      </c>
      <c r="T438" s="4" t="s">
        <v>2067</v>
      </c>
      <c r="U438" s="4" t="s">
        <v>2198</v>
      </c>
      <c r="V438" s="4" t="s">
        <v>2067</v>
      </c>
      <c r="W438" s="4" t="s">
        <v>2069</v>
      </c>
    </row>
    <row r="439" spans="1:23" ht="20.100000000000001" customHeight="1" x14ac:dyDescent="0.25">
      <c r="A439" s="6" t="s">
        <v>4922</v>
      </c>
      <c r="B439" s="7" t="s">
        <v>2084</v>
      </c>
      <c r="C439" s="7" t="s">
        <v>4923</v>
      </c>
      <c r="D439" s="7" t="s">
        <v>2059</v>
      </c>
      <c r="E439" s="7" t="s">
        <v>2673</v>
      </c>
      <c r="F439" s="7" t="s">
        <v>2674</v>
      </c>
      <c r="G439" s="7" t="s">
        <v>2084</v>
      </c>
      <c r="H439" s="7" t="s">
        <v>4772</v>
      </c>
      <c r="I439" s="7" t="s">
        <v>1951</v>
      </c>
      <c r="J439" s="7" t="s">
        <v>4924</v>
      </c>
      <c r="K439" s="7" t="s">
        <v>4925</v>
      </c>
      <c r="L439" s="7" t="s">
        <v>4926</v>
      </c>
      <c r="M439" s="7" t="s">
        <v>2078</v>
      </c>
      <c r="N439" s="9">
        <v>46234</v>
      </c>
      <c r="O439" s="9">
        <v>46356</v>
      </c>
      <c r="P439" s="7" t="s">
        <v>2674</v>
      </c>
      <c r="Q439" s="7" t="s">
        <v>1951</v>
      </c>
      <c r="R439" s="7" t="s">
        <v>4927</v>
      </c>
      <c r="S439" s="7" t="s">
        <v>4928</v>
      </c>
      <c r="T439" s="7" t="s">
        <v>2067</v>
      </c>
      <c r="U439" s="7" t="s">
        <v>2680</v>
      </c>
      <c r="V439" s="7" t="s">
        <v>2067</v>
      </c>
      <c r="W439" s="7" t="s">
        <v>2082</v>
      </c>
    </row>
    <row r="440" spans="1:23" ht="20.100000000000001" customHeight="1" x14ac:dyDescent="0.25">
      <c r="A440" s="3" t="s">
        <v>4929</v>
      </c>
      <c r="B440" s="4" t="s">
        <v>2057</v>
      </c>
      <c r="C440" s="4" t="s">
        <v>4930</v>
      </c>
      <c r="D440" s="4" t="s">
        <v>2059</v>
      </c>
      <c r="E440" s="4" t="s">
        <v>2189</v>
      </c>
      <c r="F440" s="4" t="s">
        <v>2190</v>
      </c>
      <c r="G440" s="4" t="s">
        <v>2057</v>
      </c>
      <c r="H440" s="4" t="s">
        <v>4818</v>
      </c>
      <c r="I440" s="4" t="s">
        <v>1951</v>
      </c>
      <c r="J440" s="4" t="s">
        <v>4931</v>
      </c>
      <c r="K440" s="4" t="s">
        <v>4932</v>
      </c>
      <c r="L440" s="4" t="s">
        <v>4933</v>
      </c>
      <c r="M440" s="4" t="s">
        <v>2078</v>
      </c>
      <c r="N440" s="8">
        <v>46234</v>
      </c>
      <c r="O440" s="8">
        <v>46356</v>
      </c>
      <c r="P440" s="4" t="s">
        <v>2195</v>
      </c>
      <c r="Q440" s="4" t="s">
        <v>1951</v>
      </c>
      <c r="R440" s="4" t="s">
        <v>4934</v>
      </c>
      <c r="S440" s="4" t="s">
        <v>4935</v>
      </c>
      <c r="T440" s="4" t="s">
        <v>2067</v>
      </c>
      <c r="U440" s="4" t="s">
        <v>2198</v>
      </c>
      <c r="V440" s="4" t="s">
        <v>2067</v>
      </c>
      <c r="W440" s="4" t="s">
        <v>2069</v>
      </c>
    </row>
    <row r="441" spans="1:23" ht="20.100000000000001" customHeight="1" x14ac:dyDescent="0.25">
      <c r="A441" s="6" t="s">
        <v>72</v>
      </c>
      <c r="B441" s="7" t="s">
        <v>2084</v>
      </c>
      <c r="C441" s="7" t="s">
        <v>4936</v>
      </c>
      <c r="D441" s="7" t="s">
        <v>2059</v>
      </c>
      <c r="E441" s="7" t="s">
        <v>1947</v>
      </c>
      <c r="F441" s="7" t="s">
        <v>1948</v>
      </c>
      <c r="G441" s="7" t="s">
        <v>2084</v>
      </c>
      <c r="H441" s="7" t="s">
        <v>4837</v>
      </c>
      <c r="I441" s="7" t="s">
        <v>1951</v>
      </c>
      <c r="J441" s="7" t="s">
        <v>4937</v>
      </c>
      <c r="K441" s="7" t="s">
        <v>4938</v>
      </c>
      <c r="L441" s="7" t="s">
        <v>4939</v>
      </c>
      <c r="M441" s="7" t="s">
        <v>2078</v>
      </c>
      <c r="N441" s="9">
        <v>46234</v>
      </c>
      <c r="O441" s="9">
        <v>46356</v>
      </c>
      <c r="P441" s="7" t="s">
        <v>2090</v>
      </c>
      <c r="Q441" s="7" t="s">
        <v>1951</v>
      </c>
      <c r="R441" s="7" t="s">
        <v>4940</v>
      </c>
      <c r="S441" s="7" t="s">
        <v>4941</v>
      </c>
      <c r="T441" s="7" t="s">
        <v>2067</v>
      </c>
      <c r="U441" s="7" t="s">
        <v>2146</v>
      </c>
      <c r="V441" s="7" t="s">
        <v>2067</v>
      </c>
      <c r="W441" s="7" t="s">
        <v>2082</v>
      </c>
    </row>
    <row r="442" spans="1:23" ht="20.100000000000001" customHeight="1" x14ac:dyDescent="0.25">
      <c r="A442" s="3" t="s">
        <v>4942</v>
      </c>
      <c r="B442" s="4" t="s">
        <v>2057</v>
      </c>
      <c r="C442" s="4" t="s">
        <v>4943</v>
      </c>
      <c r="D442" s="4" t="s">
        <v>2059</v>
      </c>
      <c r="E442" s="4" t="s">
        <v>2189</v>
      </c>
      <c r="F442" s="4" t="s">
        <v>2190</v>
      </c>
      <c r="G442" s="4" t="s">
        <v>2057</v>
      </c>
      <c r="H442" s="4" t="s">
        <v>4818</v>
      </c>
      <c r="I442" s="4" t="s">
        <v>1951</v>
      </c>
      <c r="J442" s="4" t="s">
        <v>4944</v>
      </c>
      <c r="K442" s="4" t="s">
        <v>4945</v>
      </c>
      <c r="L442" s="4" t="s">
        <v>4946</v>
      </c>
      <c r="M442" s="4" t="s">
        <v>2078</v>
      </c>
      <c r="N442" s="8">
        <v>46052</v>
      </c>
      <c r="O442" s="8">
        <v>46296</v>
      </c>
      <c r="P442" s="4" t="s">
        <v>2195</v>
      </c>
      <c r="Q442" s="4" t="s">
        <v>1951</v>
      </c>
      <c r="R442" s="4" t="s">
        <v>4947</v>
      </c>
      <c r="S442" s="4" t="s">
        <v>4948</v>
      </c>
      <c r="T442" s="4" t="s">
        <v>2067</v>
      </c>
      <c r="U442" s="4" t="s">
        <v>2198</v>
      </c>
      <c r="V442" s="4" t="s">
        <v>2067</v>
      </c>
      <c r="W442" s="4" t="s">
        <v>2069</v>
      </c>
    </row>
    <row r="443" spans="1:23" ht="20.100000000000001" customHeight="1" x14ac:dyDescent="0.25">
      <c r="A443" s="6" t="s">
        <v>4949</v>
      </c>
      <c r="B443" s="7" t="s">
        <v>2057</v>
      </c>
      <c r="C443" s="7" t="s">
        <v>4950</v>
      </c>
      <c r="D443" s="7" t="s">
        <v>2059</v>
      </c>
      <c r="E443" s="7" t="s">
        <v>2189</v>
      </c>
      <c r="F443" s="7" t="s">
        <v>2190</v>
      </c>
      <c r="G443" s="7" t="s">
        <v>2057</v>
      </c>
      <c r="H443" s="7" t="s">
        <v>1950</v>
      </c>
      <c r="I443" s="7" t="s">
        <v>1951</v>
      </c>
      <c r="J443" s="7" t="s">
        <v>4951</v>
      </c>
      <c r="K443" s="7" t="s">
        <v>4952</v>
      </c>
      <c r="L443" s="7" t="s">
        <v>4953</v>
      </c>
      <c r="M443" s="7" t="s">
        <v>2078</v>
      </c>
      <c r="N443" s="9">
        <v>46234</v>
      </c>
      <c r="O443" s="9">
        <v>46356</v>
      </c>
      <c r="P443" s="7" t="s">
        <v>2195</v>
      </c>
      <c r="Q443" s="7" t="s">
        <v>1951</v>
      </c>
      <c r="R443" s="7" t="s">
        <v>4954</v>
      </c>
      <c r="S443" s="7" t="s">
        <v>4955</v>
      </c>
      <c r="T443" s="7" t="s">
        <v>2067</v>
      </c>
      <c r="U443" s="7" t="s">
        <v>2198</v>
      </c>
      <c r="V443" s="7" t="s">
        <v>2067</v>
      </c>
      <c r="W443" s="7" t="s">
        <v>2069</v>
      </c>
    </row>
    <row r="444" spans="1:23" ht="20.100000000000001" customHeight="1" x14ac:dyDescent="0.25">
      <c r="A444" s="3" t="s">
        <v>110</v>
      </c>
      <c r="B444" s="4" t="s">
        <v>2057</v>
      </c>
      <c r="C444" s="4" t="s">
        <v>4956</v>
      </c>
      <c r="D444" s="4" t="s">
        <v>2059</v>
      </c>
      <c r="E444" s="4" t="s">
        <v>1952</v>
      </c>
      <c r="F444" s="4" t="s">
        <v>1953</v>
      </c>
      <c r="G444" s="4" t="s">
        <v>2057</v>
      </c>
      <c r="H444" s="4" t="s">
        <v>4715</v>
      </c>
      <c r="I444" s="4" t="s">
        <v>1951</v>
      </c>
      <c r="J444" s="4" t="s">
        <v>4957</v>
      </c>
      <c r="K444" s="4" t="s">
        <v>4958</v>
      </c>
      <c r="L444" s="4" t="s">
        <v>4959</v>
      </c>
      <c r="M444" s="4" t="s">
        <v>2078</v>
      </c>
      <c r="N444" s="8">
        <v>46052</v>
      </c>
      <c r="O444" s="8">
        <v>46296</v>
      </c>
      <c r="P444" s="4" t="s">
        <v>1953</v>
      </c>
      <c r="Q444" s="4" t="s">
        <v>1951</v>
      </c>
      <c r="R444" s="4" t="s">
        <v>3834</v>
      </c>
      <c r="S444" s="4" t="s">
        <v>4960</v>
      </c>
      <c r="T444" s="4" t="s">
        <v>2067</v>
      </c>
      <c r="U444" s="4" t="s">
        <v>2358</v>
      </c>
      <c r="V444" s="4" t="s">
        <v>2067</v>
      </c>
      <c r="W444" s="4" t="s">
        <v>2069</v>
      </c>
    </row>
    <row r="445" spans="1:23" ht="20.100000000000001" customHeight="1" x14ac:dyDescent="0.25">
      <c r="A445" s="6" t="s">
        <v>1806</v>
      </c>
      <c r="B445" s="7" t="s">
        <v>2057</v>
      </c>
      <c r="C445" s="7" t="s">
        <v>4961</v>
      </c>
      <c r="D445" s="7" t="s">
        <v>2059</v>
      </c>
      <c r="E445" s="7" t="s">
        <v>1947</v>
      </c>
      <c r="F445" s="7" t="s">
        <v>1948</v>
      </c>
      <c r="G445" s="7" t="s">
        <v>2057</v>
      </c>
      <c r="H445" s="7" t="s">
        <v>1950</v>
      </c>
      <c r="I445" s="7" t="s">
        <v>1951</v>
      </c>
      <c r="J445" s="7" t="s">
        <v>4962</v>
      </c>
      <c r="K445" s="7" t="s">
        <v>4963</v>
      </c>
      <c r="L445" s="7" t="s">
        <v>4964</v>
      </c>
      <c r="M445" s="7" t="s">
        <v>2078</v>
      </c>
      <c r="N445" s="9">
        <v>46052</v>
      </c>
      <c r="O445" s="9">
        <v>46296</v>
      </c>
      <c r="P445" s="7" t="s">
        <v>2090</v>
      </c>
      <c r="Q445" s="7" t="s">
        <v>1951</v>
      </c>
      <c r="R445" s="7" t="s">
        <v>4965</v>
      </c>
      <c r="S445" s="7" t="s">
        <v>4966</v>
      </c>
      <c r="T445" s="7" t="s">
        <v>2067</v>
      </c>
      <c r="U445" s="7" t="s">
        <v>2768</v>
      </c>
      <c r="V445" s="7" t="s">
        <v>2067</v>
      </c>
      <c r="W445" s="7" t="s">
        <v>2069</v>
      </c>
    </row>
    <row r="446" spans="1:23" ht="20.100000000000001" customHeight="1" x14ac:dyDescent="0.25">
      <c r="A446" s="3" t="s">
        <v>302</v>
      </c>
      <c r="B446" s="4" t="s">
        <v>2057</v>
      </c>
      <c r="C446" s="4" t="s">
        <v>4967</v>
      </c>
      <c r="D446" s="4" t="s">
        <v>2059</v>
      </c>
      <c r="E446" s="4" t="s">
        <v>1952</v>
      </c>
      <c r="F446" s="4" t="s">
        <v>1953</v>
      </c>
      <c r="G446" s="4" t="s">
        <v>2057</v>
      </c>
      <c r="H446" s="4" t="s">
        <v>4715</v>
      </c>
      <c r="I446" s="4" t="s">
        <v>1951</v>
      </c>
      <c r="J446" s="4" t="s">
        <v>4968</v>
      </c>
      <c r="K446" s="4" t="s">
        <v>4969</v>
      </c>
      <c r="L446" s="4" t="s">
        <v>4970</v>
      </c>
      <c r="M446" s="4" t="s">
        <v>2078</v>
      </c>
      <c r="N446" s="8">
        <v>46234</v>
      </c>
      <c r="O446" s="8">
        <v>46356</v>
      </c>
      <c r="P446" s="4" t="s">
        <v>1953</v>
      </c>
      <c r="Q446" s="4" t="s">
        <v>1951</v>
      </c>
      <c r="R446" s="4" t="s">
        <v>4971</v>
      </c>
      <c r="S446" s="4" t="s">
        <v>4972</v>
      </c>
      <c r="T446" s="4" t="s">
        <v>2067</v>
      </c>
      <c r="U446" s="4" t="s">
        <v>2358</v>
      </c>
      <c r="V446" s="4" t="s">
        <v>2067</v>
      </c>
      <c r="W446" s="4" t="s">
        <v>2069</v>
      </c>
    </row>
    <row r="447" spans="1:23" ht="20.100000000000001" customHeight="1" x14ac:dyDescent="0.25">
      <c r="A447" s="6" t="s">
        <v>4973</v>
      </c>
      <c r="B447" s="7" t="s">
        <v>2057</v>
      </c>
      <c r="C447" s="7" t="s">
        <v>4974</v>
      </c>
      <c r="D447" s="7" t="s">
        <v>2059</v>
      </c>
      <c r="E447" s="7" t="s">
        <v>2111</v>
      </c>
      <c r="F447" s="7" t="s">
        <v>2112</v>
      </c>
      <c r="G447" s="7" t="s">
        <v>2057</v>
      </c>
      <c r="H447" s="7" t="s">
        <v>4686</v>
      </c>
      <c r="I447" s="7" t="s">
        <v>1951</v>
      </c>
      <c r="J447" s="7" t="s">
        <v>4975</v>
      </c>
      <c r="K447" s="7" t="s">
        <v>4976</v>
      </c>
      <c r="L447" s="7" t="s">
        <v>4977</v>
      </c>
      <c r="M447" s="7" t="s">
        <v>2078</v>
      </c>
      <c r="N447" s="9">
        <v>46234</v>
      </c>
      <c r="O447" s="9">
        <v>46356</v>
      </c>
      <c r="P447" s="7" t="s">
        <v>2112</v>
      </c>
      <c r="Q447" s="7" t="s">
        <v>1951</v>
      </c>
      <c r="R447" s="7" t="s">
        <v>2297</v>
      </c>
      <c r="S447" s="7" t="s">
        <v>4978</v>
      </c>
      <c r="T447" s="7" t="s">
        <v>2067</v>
      </c>
      <c r="U447" s="7" t="s">
        <v>2119</v>
      </c>
      <c r="V447" s="7" t="s">
        <v>2067</v>
      </c>
      <c r="W447" s="7" t="s">
        <v>2069</v>
      </c>
    </row>
    <row r="448" spans="1:23" ht="20.100000000000001" customHeight="1" x14ac:dyDescent="0.25">
      <c r="A448" s="3" t="s">
        <v>316</v>
      </c>
      <c r="B448" s="4" t="s">
        <v>2057</v>
      </c>
      <c r="C448" s="4" t="s">
        <v>4979</v>
      </c>
      <c r="D448" s="4" t="s">
        <v>2059</v>
      </c>
      <c r="E448" s="4" t="s">
        <v>1952</v>
      </c>
      <c r="F448" s="4" t="s">
        <v>1953</v>
      </c>
      <c r="G448" s="4" t="s">
        <v>2057</v>
      </c>
      <c r="H448" s="4" t="s">
        <v>1950</v>
      </c>
      <c r="I448" s="4" t="s">
        <v>1951</v>
      </c>
      <c r="J448" s="4" t="s">
        <v>4980</v>
      </c>
      <c r="K448" s="4" t="s">
        <v>4981</v>
      </c>
      <c r="L448" s="4" t="s">
        <v>4982</v>
      </c>
      <c r="M448" s="4" t="s">
        <v>2078</v>
      </c>
      <c r="N448" s="8">
        <v>46234</v>
      </c>
      <c r="O448" s="8">
        <v>46356</v>
      </c>
      <c r="P448" s="4" t="s">
        <v>1953</v>
      </c>
      <c r="Q448" s="4" t="s">
        <v>1951</v>
      </c>
      <c r="R448" s="4" t="s">
        <v>4983</v>
      </c>
      <c r="S448" s="4" t="s">
        <v>4984</v>
      </c>
      <c r="T448" s="4" t="s">
        <v>2067</v>
      </c>
      <c r="U448" s="4" t="s">
        <v>2358</v>
      </c>
      <c r="V448" s="4" t="s">
        <v>2067</v>
      </c>
      <c r="W448" s="4" t="s">
        <v>2069</v>
      </c>
    </row>
    <row r="449" spans="1:23" ht="20.100000000000001" customHeight="1" x14ac:dyDescent="0.25">
      <c r="A449" s="6" t="s">
        <v>4985</v>
      </c>
      <c r="B449" s="7" t="s">
        <v>2057</v>
      </c>
      <c r="C449" s="7" t="s">
        <v>4986</v>
      </c>
      <c r="D449" s="7" t="s">
        <v>2059</v>
      </c>
      <c r="E449" s="7" t="s">
        <v>2189</v>
      </c>
      <c r="F449" s="7" t="s">
        <v>2190</v>
      </c>
      <c r="G449" s="7" t="s">
        <v>2057</v>
      </c>
      <c r="H449" s="7" t="s">
        <v>1950</v>
      </c>
      <c r="I449" s="7" t="s">
        <v>1951</v>
      </c>
      <c r="J449" s="7" t="s">
        <v>4987</v>
      </c>
      <c r="K449" s="7" t="s">
        <v>4988</v>
      </c>
      <c r="L449" s="7" t="s">
        <v>4989</v>
      </c>
      <c r="M449" s="7" t="s">
        <v>2078</v>
      </c>
      <c r="N449" s="9">
        <v>46234</v>
      </c>
      <c r="O449" s="9">
        <v>46356</v>
      </c>
      <c r="P449" s="7" t="s">
        <v>2195</v>
      </c>
      <c r="Q449" s="7" t="s">
        <v>1951</v>
      </c>
      <c r="R449" s="7" t="s">
        <v>2342</v>
      </c>
      <c r="S449" s="7" t="s">
        <v>4990</v>
      </c>
      <c r="T449" s="7" t="s">
        <v>2067</v>
      </c>
      <c r="U449" s="7" t="s">
        <v>2198</v>
      </c>
      <c r="V449" s="7" t="s">
        <v>2067</v>
      </c>
      <c r="W449" s="7" t="s">
        <v>2069</v>
      </c>
    </row>
    <row r="450" spans="1:23" ht="20.100000000000001" customHeight="1" x14ac:dyDescent="0.25">
      <c r="A450" s="3" t="s">
        <v>4991</v>
      </c>
      <c r="B450" s="4" t="s">
        <v>2084</v>
      </c>
      <c r="C450" s="4" t="s">
        <v>4992</v>
      </c>
      <c r="D450" s="4" t="s">
        <v>2059</v>
      </c>
      <c r="E450" s="4" t="s">
        <v>2111</v>
      </c>
      <c r="F450" s="4" t="s">
        <v>2112</v>
      </c>
      <c r="G450" s="4" t="s">
        <v>2084</v>
      </c>
      <c r="H450" s="4" t="s">
        <v>4772</v>
      </c>
      <c r="I450" s="4" t="s">
        <v>1951</v>
      </c>
      <c r="J450" s="4" t="s">
        <v>4993</v>
      </c>
      <c r="K450" s="4" t="s">
        <v>4994</v>
      </c>
      <c r="L450" s="4" t="s">
        <v>4995</v>
      </c>
      <c r="M450" s="4" t="s">
        <v>2078</v>
      </c>
      <c r="N450" s="8">
        <v>46234</v>
      </c>
      <c r="O450" s="8">
        <v>46356</v>
      </c>
      <c r="P450" s="4" t="s">
        <v>2112</v>
      </c>
      <c r="Q450" s="4" t="s">
        <v>1951</v>
      </c>
      <c r="R450" s="4" t="s">
        <v>4874</v>
      </c>
      <c r="S450" s="4" t="s">
        <v>4996</v>
      </c>
      <c r="T450" s="4" t="s">
        <v>2067</v>
      </c>
      <c r="U450" s="4" t="s">
        <v>2119</v>
      </c>
      <c r="V450" s="4" t="s">
        <v>2067</v>
      </c>
      <c r="W450" s="4" t="s">
        <v>2082</v>
      </c>
    </row>
    <row r="451" spans="1:23" ht="20.100000000000001" customHeight="1" x14ac:dyDescent="0.25">
      <c r="A451" s="6" t="s">
        <v>1260</v>
      </c>
      <c r="B451" s="7" t="s">
        <v>2057</v>
      </c>
      <c r="C451" s="7" t="s">
        <v>4997</v>
      </c>
      <c r="D451" s="7" t="s">
        <v>2059</v>
      </c>
      <c r="E451" s="7" t="s">
        <v>1947</v>
      </c>
      <c r="F451" s="7" t="s">
        <v>1948</v>
      </c>
      <c r="G451" s="7" t="s">
        <v>2057</v>
      </c>
      <c r="H451" s="7" t="s">
        <v>1950</v>
      </c>
      <c r="I451" s="7" t="s">
        <v>1951</v>
      </c>
      <c r="J451" s="7" t="s">
        <v>4998</v>
      </c>
      <c r="K451" s="7" t="s">
        <v>4999</v>
      </c>
      <c r="L451" s="7" t="s">
        <v>5000</v>
      </c>
      <c r="M451" s="7" t="s">
        <v>2078</v>
      </c>
      <c r="N451" s="9">
        <v>46234</v>
      </c>
      <c r="O451" s="9">
        <v>46356</v>
      </c>
      <c r="P451" s="7" t="s">
        <v>2090</v>
      </c>
      <c r="Q451" s="7" t="s">
        <v>1951</v>
      </c>
      <c r="R451" s="7" t="s">
        <v>5001</v>
      </c>
      <c r="S451" s="7" t="s">
        <v>5002</v>
      </c>
      <c r="T451" s="7" t="s">
        <v>2067</v>
      </c>
      <c r="U451" s="7" t="s">
        <v>2768</v>
      </c>
      <c r="V451" s="7" t="s">
        <v>2067</v>
      </c>
      <c r="W451" s="7" t="s">
        <v>2069</v>
      </c>
    </row>
    <row r="452" spans="1:23" ht="20.100000000000001" customHeight="1" x14ac:dyDescent="0.25">
      <c r="A452" s="3" t="s">
        <v>1198</v>
      </c>
      <c r="B452" s="4" t="s">
        <v>2057</v>
      </c>
      <c r="C452" s="4" t="s">
        <v>5003</v>
      </c>
      <c r="D452" s="4" t="s">
        <v>2059</v>
      </c>
      <c r="E452" s="4" t="s">
        <v>1947</v>
      </c>
      <c r="F452" s="4" t="s">
        <v>1948</v>
      </c>
      <c r="G452" s="4" t="s">
        <v>2057</v>
      </c>
      <c r="H452" s="4" t="s">
        <v>4692</v>
      </c>
      <c r="I452" s="4" t="s">
        <v>1951</v>
      </c>
      <c r="J452" s="4" t="s">
        <v>5004</v>
      </c>
      <c r="K452" s="4" t="s">
        <v>5005</v>
      </c>
      <c r="L452" s="4" t="s">
        <v>5006</v>
      </c>
      <c r="M452" s="4" t="s">
        <v>2078</v>
      </c>
      <c r="N452" s="8">
        <v>46234</v>
      </c>
      <c r="O452" s="8">
        <v>46356</v>
      </c>
      <c r="P452" s="4" t="s">
        <v>2090</v>
      </c>
      <c r="Q452" s="4" t="s">
        <v>1951</v>
      </c>
      <c r="R452" s="4" t="s">
        <v>5007</v>
      </c>
      <c r="S452" s="4" t="s">
        <v>5008</v>
      </c>
      <c r="T452" s="4" t="s">
        <v>2067</v>
      </c>
      <c r="U452" s="4" t="s">
        <v>2768</v>
      </c>
      <c r="V452" s="4" t="s">
        <v>2067</v>
      </c>
      <c r="W452" s="4" t="s">
        <v>2069</v>
      </c>
    </row>
    <row r="453" spans="1:23" ht="20.100000000000001" customHeight="1" x14ac:dyDescent="0.25">
      <c r="A453" s="6" t="s">
        <v>686</v>
      </c>
      <c r="B453" s="7" t="s">
        <v>2057</v>
      </c>
      <c r="C453" s="7" t="s">
        <v>5009</v>
      </c>
      <c r="D453" s="7" t="s">
        <v>2059</v>
      </c>
      <c r="E453" s="7" t="s">
        <v>2189</v>
      </c>
      <c r="F453" s="7" t="s">
        <v>2190</v>
      </c>
      <c r="G453" s="7" t="s">
        <v>2057</v>
      </c>
      <c r="H453" s="7" t="s">
        <v>1950</v>
      </c>
      <c r="I453" s="7" t="s">
        <v>1951</v>
      </c>
      <c r="J453" s="7" t="s">
        <v>5010</v>
      </c>
      <c r="K453" s="7" t="s">
        <v>5011</v>
      </c>
      <c r="L453" s="7" t="s">
        <v>5012</v>
      </c>
      <c r="M453" s="7" t="s">
        <v>2078</v>
      </c>
      <c r="N453" s="9">
        <v>45992</v>
      </c>
      <c r="O453" s="9">
        <v>46356</v>
      </c>
      <c r="P453" s="7" t="s">
        <v>2195</v>
      </c>
      <c r="Q453" s="7" t="s">
        <v>1951</v>
      </c>
      <c r="R453" s="7" t="s">
        <v>5013</v>
      </c>
      <c r="S453" s="7" t="s">
        <v>5014</v>
      </c>
      <c r="T453" s="7" t="s">
        <v>2067</v>
      </c>
      <c r="U453" s="7" t="s">
        <v>2198</v>
      </c>
      <c r="V453" s="7" t="s">
        <v>2067</v>
      </c>
      <c r="W453" s="7" t="s">
        <v>2069</v>
      </c>
    </row>
    <row r="454" spans="1:23" ht="20.100000000000001" customHeight="1" x14ac:dyDescent="0.25">
      <c r="A454" s="3" t="s">
        <v>5015</v>
      </c>
      <c r="B454" s="4" t="s">
        <v>2057</v>
      </c>
      <c r="C454" s="4" t="s">
        <v>5016</v>
      </c>
      <c r="D454" s="4" t="s">
        <v>2059</v>
      </c>
      <c r="E454" s="4" t="s">
        <v>1947</v>
      </c>
      <c r="F454" s="4" t="s">
        <v>1948</v>
      </c>
      <c r="G454" s="4" t="s">
        <v>2057</v>
      </c>
      <c r="H454" s="4" t="s">
        <v>4715</v>
      </c>
      <c r="I454" s="4" t="s">
        <v>1951</v>
      </c>
      <c r="J454" s="4" t="s">
        <v>5017</v>
      </c>
      <c r="K454" s="4" t="s">
        <v>5018</v>
      </c>
      <c r="L454" s="4" t="s">
        <v>5019</v>
      </c>
      <c r="M454" s="4" t="s">
        <v>2078</v>
      </c>
      <c r="N454" s="8">
        <v>46234</v>
      </c>
      <c r="O454" s="8">
        <v>46356</v>
      </c>
      <c r="P454" s="4" t="s">
        <v>2090</v>
      </c>
      <c r="Q454" s="4" t="s">
        <v>1951</v>
      </c>
      <c r="R454" s="4" t="s">
        <v>5020</v>
      </c>
      <c r="S454" s="4" t="s">
        <v>5021</v>
      </c>
      <c r="T454" s="4" t="s">
        <v>2067</v>
      </c>
      <c r="U454" s="4" t="s">
        <v>2768</v>
      </c>
      <c r="V454" s="4" t="s">
        <v>2067</v>
      </c>
      <c r="W454" s="4" t="s">
        <v>2069</v>
      </c>
    </row>
    <row r="455" spans="1:23" ht="20.100000000000001" customHeight="1" x14ac:dyDescent="0.25">
      <c r="A455" s="6" t="s">
        <v>5022</v>
      </c>
      <c r="B455" s="7" t="s">
        <v>2057</v>
      </c>
      <c r="C455" s="7" t="s">
        <v>5023</v>
      </c>
      <c r="D455" s="7" t="s">
        <v>2059</v>
      </c>
      <c r="E455" s="7" t="s">
        <v>2189</v>
      </c>
      <c r="F455" s="7" t="s">
        <v>2190</v>
      </c>
      <c r="G455" s="7" t="s">
        <v>2057</v>
      </c>
      <c r="H455" s="7" t="s">
        <v>4692</v>
      </c>
      <c r="I455" s="7" t="s">
        <v>1951</v>
      </c>
      <c r="J455" s="7" t="s">
        <v>5024</v>
      </c>
      <c r="K455" s="7" t="s">
        <v>5025</v>
      </c>
      <c r="L455" s="7" t="s">
        <v>5026</v>
      </c>
      <c r="M455" s="7" t="s">
        <v>2078</v>
      </c>
      <c r="N455" s="9">
        <v>46234</v>
      </c>
      <c r="O455" s="9">
        <v>46356</v>
      </c>
      <c r="P455" s="7" t="s">
        <v>2195</v>
      </c>
      <c r="Q455" s="7" t="s">
        <v>1951</v>
      </c>
      <c r="R455" s="7" t="s">
        <v>4971</v>
      </c>
      <c r="S455" s="7" t="s">
        <v>5027</v>
      </c>
      <c r="T455" s="7" t="s">
        <v>2067</v>
      </c>
      <c r="U455" s="7" t="s">
        <v>2198</v>
      </c>
      <c r="V455" s="7" t="s">
        <v>2067</v>
      </c>
      <c r="W455" s="7" t="s">
        <v>2069</v>
      </c>
    </row>
    <row r="456" spans="1:23" ht="20.100000000000001" customHeight="1" x14ac:dyDescent="0.25">
      <c r="A456" s="3" t="s">
        <v>284</v>
      </c>
      <c r="B456" s="4" t="s">
        <v>2057</v>
      </c>
      <c r="C456" s="4" t="s">
        <v>1949</v>
      </c>
      <c r="D456" s="4" t="s">
        <v>2059</v>
      </c>
      <c r="E456" s="4" t="s">
        <v>1952</v>
      </c>
      <c r="F456" s="4" t="s">
        <v>1953</v>
      </c>
      <c r="G456" s="4" t="s">
        <v>2057</v>
      </c>
      <c r="H456" s="4" t="s">
        <v>1950</v>
      </c>
      <c r="I456" s="4" t="s">
        <v>1951</v>
      </c>
      <c r="J456" s="4" t="s">
        <v>5028</v>
      </c>
      <c r="K456" s="4" t="s">
        <v>5029</v>
      </c>
      <c r="L456" s="4" t="s">
        <v>5030</v>
      </c>
      <c r="M456" s="4" t="s">
        <v>2078</v>
      </c>
      <c r="N456" s="8">
        <v>46234</v>
      </c>
      <c r="O456" s="8">
        <v>46356</v>
      </c>
      <c r="P456" s="4" t="s">
        <v>1953</v>
      </c>
      <c r="Q456" s="4" t="s">
        <v>1951</v>
      </c>
      <c r="R456" s="4" t="s">
        <v>3605</v>
      </c>
      <c r="S456" s="4" t="s">
        <v>5031</v>
      </c>
      <c r="T456" s="4" t="s">
        <v>2067</v>
      </c>
      <c r="U456" s="4" t="s">
        <v>2358</v>
      </c>
      <c r="V456" s="4" t="s">
        <v>2067</v>
      </c>
      <c r="W456" s="4" t="s">
        <v>2069</v>
      </c>
    </row>
    <row r="457" spans="1:23" ht="20.100000000000001" customHeight="1" x14ac:dyDescent="0.25">
      <c r="A457" s="6" t="s">
        <v>5032</v>
      </c>
      <c r="B457" s="7" t="s">
        <v>2057</v>
      </c>
      <c r="C457" s="7" t="s">
        <v>5033</v>
      </c>
      <c r="D457" s="7" t="s">
        <v>2059</v>
      </c>
      <c r="E457" s="7" t="s">
        <v>2189</v>
      </c>
      <c r="F457" s="7" t="s">
        <v>2190</v>
      </c>
      <c r="G457" s="7" t="s">
        <v>2057</v>
      </c>
      <c r="H457" s="7" t="s">
        <v>1950</v>
      </c>
      <c r="I457" s="7" t="s">
        <v>1951</v>
      </c>
      <c r="J457" s="7" t="s">
        <v>5034</v>
      </c>
      <c r="K457" s="7" t="s">
        <v>5035</v>
      </c>
      <c r="L457" s="7" t="s">
        <v>5036</v>
      </c>
      <c r="M457" s="7" t="s">
        <v>2078</v>
      </c>
      <c r="N457" s="9">
        <v>46234</v>
      </c>
      <c r="O457" s="9">
        <v>46356</v>
      </c>
      <c r="P457" s="7" t="s">
        <v>2195</v>
      </c>
      <c r="Q457" s="7" t="s">
        <v>1951</v>
      </c>
      <c r="R457" s="7" t="s">
        <v>5037</v>
      </c>
      <c r="S457" s="7" t="s">
        <v>5038</v>
      </c>
      <c r="T457" s="7" t="s">
        <v>2067</v>
      </c>
      <c r="U457" s="7" t="s">
        <v>2198</v>
      </c>
      <c r="V457" s="7" t="s">
        <v>2067</v>
      </c>
      <c r="W457" s="7" t="s">
        <v>2069</v>
      </c>
    </row>
    <row r="458" spans="1:23" ht="20.100000000000001" customHeight="1" x14ac:dyDescent="0.25">
      <c r="A458" s="3" t="s">
        <v>1710</v>
      </c>
      <c r="B458" s="4" t="s">
        <v>2084</v>
      </c>
      <c r="C458" s="4" t="s">
        <v>5039</v>
      </c>
      <c r="D458" s="4" t="s">
        <v>2059</v>
      </c>
      <c r="E458" s="4" t="s">
        <v>1947</v>
      </c>
      <c r="F458" s="4" t="s">
        <v>1948</v>
      </c>
      <c r="G458" s="4" t="s">
        <v>2084</v>
      </c>
      <c r="H458" s="4" t="s">
        <v>5040</v>
      </c>
      <c r="I458" s="4" t="s">
        <v>1951</v>
      </c>
      <c r="J458" s="4" t="s">
        <v>5041</v>
      </c>
      <c r="K458" s="4" t="s">
        <v>5042</v>
      </c>
      <c r="L458" s="4" t="s">
        <v>5043</v>
      </c>
      <c r="M458" s="4" t="s">
        <v>2078</v>
      </c>
      <c r="N458" s="8">
        <v>45992</v>
      </c>
      <c r="O458" s="8">
        <v>46356</v>
      </c>
      <c r="P458" s="4" t="s">
        <v>2090</v>
      </c>
      <c r="Q458" s="4" t="s">
        <v>1951</v>
      </c>
      <c r="R458" s="4" t="s">
        <v>5044</v>
      </c>
      <c r="S458" s="4" t="s">
        <v>5045</v>
      </c>
      <c r="T458" s="4" t="s">
        <v>2067</v>
      </c>
      <c r="U458" s="4" t="s">
        <v>2146</v>
      </c>
      <c r="V458" s="4" t="s">
        <v>2067</v>
      </c>
      <c r="W458" s="4" t="s">
        <v>2069</v>
      </c>
    </row>
    <row r="459" spans="1:23" ht="20.100000000000001" customHeight="1" x14ac:dyDescent="0.25">
      <c r="A459" s="6" t="s">
        <v>1808</v>
      </c>
      <c r="B459" s="7" t="s">
        <v>2057</v>
      </c>
      <c r="C459" s="7" t="s">
        <v>5046</v>
      </c>
      <c r="D459" s="7" t="s">
        <v>2059</v>
      </c>
      <c r="E459" s="7" t="s">
        <v>1947</v>
      </c>
      <c r="F459" s="7" t="s">
        <v>1948</v>
      </c>
      <c r="G459" s="7" t="s">
        <v>2057</v>
      </c>
      <c r="H459" s="7" t="s">
        <v>1950</v>
      </c>
      <c r="I459" s="7" t="s">
        <v>1951</v>
      </c>
      <c r="J459" s="7" t="s">
        <v>5047</v>
      </c>
      <c r="K459" s="7" t="s">
        <v>5048</v>
      </c>
      <c r="L459" s="7" t="s">
        <v>5049</v>
      </c>
      <c r="M459" s="7" t="s">
        <v>2078</v>
      </c>
      <c r="N459" s="9">
        <v>46234</v>
      </c>
      <c r="O459" s="9">
        <v>46356</v>
      </c>
      <c r="P459" s="7" t="s">
        <v>2090</v>
      </c>
      <c r="Q459" s="7" t="s">
        <v>1951</v>
      </c>
      <c r="R459" s="7" t="s">
        <v>5050</v>
      </c>
      <c r="S459" s="7" t="s">
        <v>5051</v>
      </c>
      <c r="T459" s="7" t="s">
        <v>2067</v>
      </c>
      <c r="U459" s="7" t="s">
        <v>2768</v>
      </c>
      <c r="V459" s="7" t="s">
        <v>2067</v>
      </c>
      <c r="W459" s="7" t="s">
        <v>2069</v>
      </c>
    </row>
    <row r="460" spans="1:23" ht="20.100000000000001" customHeight="1" x14ac:dyDescent="0.25">
      <c r="A460" s="3" t="s">
        <v>416</v>
      </c>
      <c r="B460" s="4" t="s">
        <v>2057</v>
      </c>
      <c r="C460" s="4" t="s">
        <v>5052</v>
      </c>
      <c r="D460" s="4" t="s">
        <v>2059</v>
      </c>
      <c r="E460" s="4" t="s">
        <v>1947</v>
      </c>
      <c r="F460" s="4" t="s">
        <v>1948</v>
      </c>
      <c r="G460" s="4" t="s">
        <v>2057</v>
      </c>
      <c r="H460" s="4" t="s">
        <v>1950</v>
      </c>
      <c r="I460" s="4" t="s">
        <v>1951</v>
      </c>
      <c r="J460" s="4" t="s">
        <v>5053</v>
      </c>
      <c r="K460" s="4" t="s">
        <v>5054</v>
      </c>
      <c r="L460" s="4" t="s">
        <v>5055</v>
      </c>
      <c r="M460" s="4" t="s">
        <v>2078</v>
      </c>
      <c r="N460" s="8">
        <v>46234</v>
      </c>
      <c r="O460" s="8">
        <v>46356</v>
      </c>
      <c r="P460" s="4" t="s">
        <v>2090</v>
      </c>
      <c r="Q460" s="4" t="s">
        <v>1951</v>
      </c>
      <c r="R460" s="4" t="s">
        <v>5056</v>
      </c>
      <c r="S460" s="4" t="s">
        <v>5057</v>
      </c>
      <c r="T460" s="4" t="s">
        <v>2067</v>
      </c>
      <c r="U460" s="4" t="s">
        <v>2768</v>
      </c>
      <c r="V460" s="4" t="s">
        <v>2067</v>
      </c>
      <c r="W460" s="4" t="s">
        <v>2069</v>
      </c>
    </row>
    <row r="461" spans="1:23" ht="20.100000000000001" customHeight="1" x14ac:dyDescent="0.25">
      <c r="A461" s="6" t="s">
        <v>1284</v>
      </c>
      <c r="B461" s="7" t="s">
        <v>2057</v>
      </c>
      <c r="C461" s="7" t="s">
        <v>5058</v>
      </c>
      <c r="D461" s="7" t="s">
        <v>2059</v>
      </c>
      <c r="E461" s="7" t="s">
        <v>1947</v>
      </c>
      <c r="F461" s="7" t="s">
        <v>1948</v>
      </c>
      <c r="G461" s="7" t="s">
        <v>2057</v>
      </c>
      <c r="H461" s="7" t="s">
        <v>4692</v>
      </c>
      <c r="I461" s="7" t="s">
        <v>1951</v>
      </c>
      <c r="J461" s="7" t="s">
        <v>5059</v>
      </c>
      <c r="K461" s="7" t="s">
        <v>5060</v>
      </c>
      <c r="L461" s="7" t="s">
        <v>5061</v>
      </c>
      <c r="M461" s="7" t="s">
        <v>2078</v>
      </c>
      <c r="N461" s="9">
        <v>46234</v>
      </c>
      <c r="O461" s="9">
        <v>46356</v>
      </c>
      <c r="P461" s="7" t="s">
        <v>2090</v>
      </c>
      <c r="Q461" s="7" t="s">
        <v>1951</v>
      </c>
      <c r="R461" s="7" t="s">
        <v>3873</v>
      </c>
      <c r="S461" s="7" t="s">
        <v>5062</v>
      </c>
      <c r="T461" s="7" t="s">
        <v>2067</v>
      </c>
      <c r="U461" s="7" t="s">
        <v>2768</v>
      </c>
      <c r="V461" s="7" t="s">
        <v>2067</v>
      </c>
      <c r="W461" s="7" t="s">
        <v>2069</v>
      </c>
    </row>
    <row r="462" spans="1:23" ht="20.100000000000001" customHeight="1" x14ac:dyDescent="0.25">
      <c r="A462" s="3" t="s">
        <v>5063</v>
      </c>
      <c r="B462" s="4" t="s">
        <v>2057</v>
      </c>
      <c r="C462" s="4" t="s">
        <v>5064</v>
      </c>
      <c r="D462" s="4" t="s">
        <v>2059</v>
      </c>
      <c r="E462" s="4" t="s">
        <v>2189</v>
      </c>
      <c r="F462" s="4" t="s">
        <v>2190</v>
      </c>
      <c r="G462" s="4" t="s">
        <v>2057</v>
      </c>
      <c r="H462" s="4" t="s">
        <v>4715</v>
      </c>
      <c r="I462" s="4" t="s">
        <v>1951</v>
      </c>
      <c r="J462" s="4" t="s">
        <v>5065</v>
      </c>
      <c r="K462" s="4" t="s">
        <v>5066</v>
      </c>
      <c r="L462" s="4" t="s">
        <v>5067</v>
      </c>
      <c r="M462" s="4" t="s">
        <v>2078</v>
      </c>
      <c r="N462" s="8">
        <v>46234</v>
      </c>
      <c r="O462" s="8">
        <v>46356</v>
      </c>
      <c r="P462" s="4" t="s">
        <v>2195</v>
      </c>
      <c r="Q462" s="4" t="s">
        <v>1951</v>
      </c>
      <c r="R462" s="4" t="s">
        <v>5068</v>
      </c>
      <c r="S462" s="4" t="s">
        <v>5069</v>
      </c>
      <c r="T462" s="4" t="s">
        <v>2067</v>
      </c>
      <c r="U462" s="4" t="s">
        <v>2198</v>
      </c>
      <c r="V462" s="4" t="s">
        <v>2067</v>
      </c>
      <c r="W462" s="4" t="s">
        <v>2069</v>
      </c>
    </row>
    <row r="463" spans="1:23" ht="20.100000000000001" customHeight="1" x14ac:dyDescent="0.25">
      <c r="A463" s="6" t="s">
        <v>1314</v>
      </c>
      <c r="B463" s="7" t="s">
        <v>2057</v>
      </c>
      <c r="C463" s="7" t="s">
        <v>5070</v>
      </c>
      <c r="D463" s="7" t="s">
        <v>2059</v>
      </c>
      <c r="E463" s="7" t="s">
        <v>1947</v>
      </c>
      <c r="F463" s="7" t="s">
        <v>1948</v>
      </c>
      <c r="G463" s="7" t="s">
        <v>2057</v>
      </c>
      <c r="H463" s="7" t="s">
        <v>4692</v>
      </c>
      <c r="I463" s="7" t="s">
        <v>1951</v>
      </c>
      <c r="J463" s="7" t="s">
        <v>5071</v>
      </c>
      <c r="K463" s="7" t="s">
        <v>5072</v>
      </c>
      <c r="L463" s="7" t="s">
        <v>5073</v>
      </c>
      <c r="M463" s="7" t="s">
        <v>2078</v>
      </c>
      <c r="N463" s="9">
        <v>46234</v>
      </c>
      <c r="O463" s="9">
        <v>46356</v>
      </c>
      <c r="P463" s="7" t="s">
        <v>2090</v>
      </c>
      <c r="Q463" s="7" t="s">
        <v>1951</v>
      </c>
      <c r="R463" s="7" t="s">
        <v>5074</v>
      </c>
      <c r="S463" s="7" t="s">
        <v>5075</v>
      </c>
      <c r="T463" s="7" t="s">
        <v>2067</v>
      </c>
      <c r="U463" s="7" t="s">
        <v>2768</v>
      </c>
      <c r="V463" s="7" t="s">
        <v>2067</v>
      </c>
      <c r="W463" s="7" t="s">
        <v>2069</v>
      </c>
    </row>
    <row r="464" spans="1:23" ht="20.100000000000001" customHeight="1" x14ac:dyDescent="0.25">
      <c r="A464" s="3" t="s">
        <v>68</v>
      </c>
      <c r="B464" s="4" t="s">
        <v>2057</v>
      </c>
      <c r="C464" s="4" t="s">
        <v>5076</v>
      </c>
      <c r="D464" s="4" t="s">
        <v>2059</v>
      </c>
      <c r="E464" s="4" t="s">
        <v>1947</v>
      </c>
      <c r="F464" s="4" t="s">
        <v>1948</v>
      </c>
      <c r="G464" s="4" t="s">
        <v>2057</v>
      </c>
      <c r="H464" s="4" t="s">
        <v>1950</v>
      </c>
      <c r="I464" s="4" t="s">
        <v>1951</v>
      </c>
      <c r="J464" s="4" t="s">
        <v>5077</v>
      </c>
      <c r="K464" s="4" t="s">
        <v>5078</v>
      </c>
      <c r="L464" s="4" t="s">
        <v>5079</v>
      </c>
      <c r="M464" s="4" t="s">
        <v>2078</v>
      </c>
      <c r="N464" s="8">
        <v>46234</v>
      </c>
      <c r="O464" s="8">
        <v>46356</v>
      </c>
      <c r="P464" s="4" t="s">
        <v>2090</v>
      </c>
      <c r="Q464" s="4" t="s">
        <v>1951</v>
      </c>
      <c r="R464" s="4" t="s">
        <v>5080</v>
      </c>
      <c r="S464" s="4" t="s">
        <v>5081</v>
      </c>
      <c r="T464" s="4" t="s">
        <v>2067</v>
      </c>
      <c r="U464" s="4" t="s">
        <v>2768</v>
      </c>
      <c r="V464" s="4" t="s">
        <v>2067</v>
      </c>
      <c r="W464" s="4" t="s">
        <v>2069</v>
      </c>
    </row>
    <row r="465" spans="1:23" ht="20.100000000000001" customHeight="1" x14ac:dyDescent="0.25">
      <c r="A465" s="6" t="s">
        <v>298</v>
      </c>
      <c r="B465" s="7" t="s">
        <v>2057</v>
      </c>
      <c r="C465" s="7" t="s">
        <v>5082</v>
      </c>
      <c r="D465" s="7" t="s">
        <v>2059</v>
      </c>
      <c r="E465" s="7" t="s">
        <v>1952</v>
      </c>
      <c r="F465" s="7" t="s">
        <v>1953</v>
      </c>
      <c r="G465" s="7" t="s">
        <v>2057</v>
      </c>
      <c r="H465" s="7" t="s">
        <v>1950</v>
      </c>
      <c r="I465" s="7" t="s">
        <v>1951</v>
      </c>
      <c r="J465" s="7" t="s">
        <v>5083</v>
      </c>
      <c r="K465" s="7" t="s">
        <v>5084</v>
      </c>
      <c r="L465" s="7" t="s">
        <v>5085</v>
      </c>
      <c r="M465" s="7" t="s">
        <v>2078</v>
      </c>
      <c r="N465" s="9">
        <v>46234</v>
      </c>
      <c r="O465" s="9">
        <v>46356</v>
      </c>
      <c r="P465" s="7" t="s">
        <v>1953</v>
      </c>
      <c r="Q465" s="7" t="s">
        <v>1951</v>
      </c>
      <c r="R465" s="7" t="s">
        <v>5086</v>
      </c>
      <c r="S465" s="7" t="s">
        <v>5087</v>
      </c>
      <c r="T465" s="7" t="s">
        <v>2067</v>
      </c>
      <c r="U465" s="7" t="s">
        <v>2358</v>
      </c>
      <c r="V465" s="7" t="s">
        <v>2067</v>
      </c>
      <c r="W465" s="7" t="s">
        <v>2069</v>
      </c>
    </row>
    <row r="466" spans="1:23" ht="20.100000000000001" customHeight="1" x14ac:dyDescent="0.25">
      <c r="A466" s="3" t="s">
        <v>334</v>
      </c>
      <c r="B466" s="4" t="s">
        <v>2084</v>
      </c>
      <c r="C466" s="4" t="s">
        <v>5088</v>
      </c>
      <c r="D466" s="4" t="s">
        <v>2059</v>
      </c>
      <c r="E466" s="4" t="s">
        <v>1947</v>
      </c>
      <c r="F466" s="4" t="s">
        <v>1948</v>
      </c>
      <c r="G466" s="4" t="s">
        <v>2084</v>
      </c>
      <c r="H466" s="4" t="s">
        <v>5089</v>
      </c>
      <c r="I466" s="4" t="s">
        <v>1951</v>
      </c>
      <c r="J466" s="4" t="s">
        <v>5090</v>
      </c>
      <c r="K466" s="4" t="s">
        <v>5091</v>
      </c>
      <c r="L466" s="4" t="s">
        <v>5092</v>
      </c>
      <c r="M466" s="4" t="s">
        <v>2078</v>
      </c>
      <c r="N466" s="8">
        <v>46234</v>
      </c>
      <c r="O466" s="8">
        <v>46356</v>
      </c>
      <c r="P466" s="4" t="s">
        <v>2090</v>
      </c>
      <c r="Q466" s="4" t="s">
        <v>1951</v>
      </c>
      <c r="R466" s="4" t="s">
        <v>5093</v>
      </c>
      <c r="S466" s="4" t="s">
        <v>5094</v>
      </c>
      <c r="T466" s="4" t="s">
        <v>2067</v>
      </c>
      <c r="U466" s="4" t="s">
        <v>2146</v>
      </c>
      <c r="V466" s="4" t="s">
        <v>2067</v>
      </c>
      <c r="W466" s="4" t="s">
        <v>2069</v>
      </c>
    </row>
    <row r="467" spans="1:23" ht="20.100000000000001" customHeight="1" x14ac:dyDescent="0.25">
      <c r="A467" s="6" t="s">
        <v>5095</v>
      </c>
      <c r="B467" s="7" t="s">
        <v>2057</v>
      </c>
      <c r="C467" s="7" t="s">
        <v>5096</v>
      </c>
      <c r="D467" s="7" t="s">
        <v>2059</v>
      </c>
      <c r="E467" s="7" t="s">
        <v>2189</v>
      </c>
      <c r="F467" s="7" t="s">
        <v>2190</v>
      </c>
      <c r="G467" s="7" t="s">
        <v>2057</v>
      </c>
      <c r="H467" s="7" t="s">
        <v>4692</v>
      </c>
      <c r="I467" s="7" t="s">
        <v>1951</v>
      </c>
      <c r="J467" s="7" t="s">
        <v>5097</v>
      </c>
      <c r="K467" s="7" t="s">
        <v>5098</v>
      </c>
      <c r="L467" s="7" t="s">
        <v>5099</v>
      </c>
      <c r="M467" s="7" t="s">
        <v>2078</v>
      </c>
      <c r="N467" s="9">
        <v>46052</v>
      </c>
      <c r="O467" s="9">
        <v>46296</v>
      </c>
      <c r="P467" s="7" t="s">
        <v>2195</v>
      </c>
      <c r="Q467" s="7" t="s">
        <v>1951</v>
      </c>
      <c r="R467" s="7" t="s">
        <v>2222</v>
      </c>
      <c r="S467" s="7" t="s">
        <v>5100</v>
      </c>
      <c r="T467" s="7" t="s">
        <v>2067</v>
      </c>
      <c r="U467" s="7" t="s">
        <v>2198</v>
      </c>
      <c r="V467" s="7" t="s">
        <v>2067</v>
      </c>
      <c r="W467" s="7" t="s">
        <v>2069</v>
      </c>
    </row>
    <row r="468" spans="1:23" ht="20.100000000000001" customHeight="1" x14ac:dyDescent="0.25">
      <c r="A468" s="3" t="s">
        <v>1810</v>
      </c>
      <c r="B468" s="4" t="s">
        <v>2084</v>
      </c>
      <c r="C468" s="4" t="s">
        <v>5101</v>
      </c>
      <c r="D468" s="4" t="s">
        <v>2059</v>
      </c>
      <c r="E468" s="4" t="s">
        <v>1947</v>
      </c>
      <c r="F468" s="4" t="s">
        <v>1948</v>
      </c>
      <c r="G468" s="4" t="s">
        <v>2084</v>
      </c>
      <c r="H468" s="4" t="s">
        <v>5089</v>
      </c>
      <c r="I468" s="4" t="s">
        <v>1951</v>
      </c>
      <c r="J468" s="4" t="s">
        <v>5102</v>
      </c>
      <c r="K468" s="4" t="s">
        <v>5103</v>
      </c>
      <c r="L468" s="4" t="s">
        <v>5104</v>
      </c>
      <c r="M468" s="4" t="s">
        <v>2078</v>
      </c>
      <c r="N468" s="8">
        <v>46234</v>
      </c>
      <c r="O468" s="8">
        <v>46356</v>
      </c>
      <c r="P468" s="4" t="s">
        <v>2090</v>
      </c>
      <c r="Q468" s="4" t="s">
        <v>1951</v>
      </c>
      <c r="R468" s="4" t="s">
        <v>5105</v>
      </c>
      <c r="S468" s="4" t="s">
        <v>5106</v>
      </c>
      <c r="T468" s="4" t="s">
        <v>2067</v>
      </c>
      <c r="U468" s="4" t="s">
        <v>2768</v>
      </c>
      <c r="V468" s="4" t="s">
        <v>2067</v>
      </c>
      <c r="W468" s="4" t="s">
        <v>2069</v>
      </c>
    </row>
    <row r="469" spans="1:23" ht="20.100000000000001" customHeight="1" x14ac:dyDescent="0.25">
      <c r="A469" s="6" t="s">
        <v>1620</v>
      </c>
      <c r="B469" s="7" t="s">
        <v>2057</v>
      </c>
      <c r="C469" s="7" t="s">
        <v>5107</v>
      </c>
      <c r="D469" s="7" t="s">
        <v>2059</v>
      </c>
      <c r="E469" s="7" t="s">
        <v>1947</v>
      </c>
      <c r="F469" s="7" t="s">
        <v>1948</v>
      </c>
      <c r="G469" s="7" t="s">
        <v>2057</v>
      </c>
      <c r="H469" s="7" t="s">
        <v>1950</v>
      </c>
      <c r="I469" s="7" t="s">
        <v>1951</v>
      </c>
      <c r="J469" s="7" t="s">
        <v>5108</v>
      </c>
      <c r="K469" s="7" t="s">
        <v>5109</v>
      </c>
      <c r="L469" s="7" t="s">
        <v>5110</v>
      </c>
      <c r="M469" s="7" t="s">
        <v>2078</v>
      </c>
      <c r="N469" s="9">
        <v>46234</v>
      </c>
      <c r="O469" s="9">
        <v>46356</v>
      </c>
      <c r="P469" s="7" t="s">
        <v>2090</v>
      </c>
      <c r="Q469" s="7" t="s">
        <v>1951</v>
      </c>
      <c r="R469" s="7" t="s">
        <v>5111</v>
      </c>
      <c r="S469" s="7" t="s">
        <v>5112</v>
      </c>
      <c r="T469" s="7" t="s">
        <v>2067</v>
      </c>
      <c r="U469" s="7" t="s">
        <v>2768</v>
      </c>
      <c r="V469" s="7" t="s">
        <v>2067</v>
      </c>
      <c r="W469" s="7" t="s">
        <v>2069</v>
      </c>
    </row>
    <row r="470" spans="1:23" ht="20.100000000000001" customHeight="1" x14ac:dyDescent="0.25">
      <c r="A470" s="3" t="s">
        <v>5113</v>
      </c>
      <c r="B470" s="4" t="s">
        <v>2057</v>
      </c>
      <c r="C470" s="4" t="s">
        <v>5114</v>
      </c>
      <c r="D470" s="4" t="s">
        <v>2059</v>
      </c>
      <c r="E470" s="4" t="s">
        <v>2189</v>
      </c>
      <c r="F470" s="4" t="s">
        <v>2190</v>
      </c>
      <c r="G470" s="4" t="s">
        <v>2057</v>
      </c>
      <c r="H470" s="4" t="s">
        <v>1950</v>
      </c>
      <c r="I470" s="4" t="s">
        <v>1951</v>
      </c>
      <c r="J470" s="4" t="s">
        <v>5115</v>
      </c>
      <c r="K470" s="4" t="s">
        <v>5116</v>
      </c>
      <c r="L470" s="4" t="s">
        <v>5117</v>
      </c>
      <c r="M470" s="4" t="s">
        <v>2078</v>
      </c>
      <c r="N470" s="8">
        <v>46234</v>
      </c>
      <c r="O470" s="8">
        <v>46356</v>
      </c>
      <c r="P470" s="4" t="s">
        <v>2195</v>
      </c>
      <c r="Q470" s="4" t="s">
        <v>1951</v>
      </c>
      <c r="R470" s="4" t="s">
        <v>5118</v>
      </c>
      <c r="S470" s="4" t="s">
        <v>5119</v>
      </c>
      <c r="T470" s="4" t="s">
        <v>2067</v>
      </c>
      <c r="U470" s="4" t="s">
        <v>2198</v>
      </c>
      <c r="V470" s="4" t="s">
        <v>2067</v>
      </c>
      <c r="W470" s="4" t="s">
        <v>2069</v>
      </c>
    </row>
    <row r="471" spans="1:23" ht="20.100000000000001" customHeight="1" x14ac:dyDescent="0.25">
      <c r="A471" s="6" t="s">
        <v>5120</v>
      </c>
      <c r="B471" s="7" t="s">
        <v>2057</v>
      </c>
      <c r="C471" s="7" t="s">
        <v>5121</v>
      </c>
      <c r="D471" s="7" t="s">
        <v>2059</v>
      </c>
      <c r="E471" s="7" t="s">
        <v>2189</v>
      </c>
      <c r="F471" s="7" t="s">
        <v>2190</v>
      </c>
      <c r="G471" s="7" t="s">
        <v>2057</v>
      </c>
      <c r="H471" s="7" t="s">
        <v>1950</v>
      </c>
      <c r="I471" s="7" t="s">
        <v>1951</v>
      </c>
      <c r="J471" s="7" t="s">
        <v>5122</v>
      </c>
      <c r="K471" s="7" t="s">
        <v>5123</v>
      </c>
      <c r="L471" s="7" t="s">
        <v>5124</v>
      </c>
      <c r="M471" s="7" t="s">
        <v>2078</v>
      </c>
      <c r="N471" s="9">
        <v>46234</v>
      </c>
      <c r="O471" s="9">
        <v>46356</v>
      </c>
      <c r="P471" s="7" t="s">
        <v>2195</v>
      </c>
      <c r="Q471" s="7" t="s">
        <v>1951</v>
      </c>
      <c r="R471" s="7" t="s">
        <v>4702</v>
      </c>
      <c r="S471" s="7" t="s">
        <v>5125</v>
      </c>
      <c r="T471" s="7" t="s">
        <v>2067</v>
      </c>
      <c r="U471" s="7" t="s">
        <v>2198</v>
      </c>
      <c r="V471" s="7" t="s">
        <v>2067</v>
      </c>
      <c r="W471" s="7" t="s">
        <v>2069</v>
      </c>
    </row>
    <row r="472" spans="1:23" ht="20.100000000000001" customHeight="1" x14ac:dyDescent="0.25">
      <c r="A472" s="3" t="s">
        <v>1985</v>
      </c>
      <c r="B472" s="4" t="s">
        <v>2057</v>
      </c>
      <c r="C472" s="4" t="s">
        <v>1986</v>
      </c>
      <c r="D472" s="4" t="s">
        <v>2059</v>
      </c>
      <c r="E472" s="4" t="s">
        <v>1952</v>
      </c>
      <c r="F472" s="4" t="s">
        <v>1953</v>
      </c>
      <c r="G472" s="4" t="s">
        <v>2057</v>
      </c>
      <c r="H472" s="4" t="s">
        <v>1950</v>
      </c>
      <c r="I472" s="4" t="s">
        <v>1951</v>
      </c>
      <c r="J472" s="4" t="s">
        <v>5126</v>
      </c>
      <c r="K472" s="4" t="s">
        <v>5127</v>
      </c>
      <c r="L472" s="4" t="s">
        <v>5128</v>
      </c>
      <c r="M472" s="4" t="s">
        <v>2078</v>
      </c>
      <c r="N472" s="8">
        <v>46234</v>
      </c>
      <c r="O472" s="8">
        <v>46356</v>
      </c>
      <c r="P472" s="4" t="s">
        <v>1953</v>
      </c>
      <c r="Q472" s="4" t="s">
        <v>1951</v>
      </c>
      <c r="R472" s="4" t="s">
        <v>5129</v>
      </c>
      <c r="S472" s="4" t="s">
        <v>5130</v>
      </c>
      <c r="T472" s="4" t="s">
        <v>2067</v>
      </c>
      <c r="U472" s="4" t="s">
        <v>2358</v>
      </c>
      <c r="V472" s="4" t="s">
        <v>2067</v>
      </c>
      <c r="W472" s="4" t="s">
        <v>2069</v>
      </c>
    </row>
    <row r="473" spans="1:23" ht="20.100000000000001" customHeight="1" x14ac:dyDescent="0.25">
      <c r="A473" s="6" t="s">
        <v>24</v>
      </c>
      <c r="B473" s="7" t="s">
        <v>2057</v>
      </c>
      <c r="C473" s="7" t="s">
        <v>5131</v>
      </c>
      <c r="D473" s="7" t="s">
        <v>2059</v>
      </c>
      <c r="E473" s="7" t="s">
        <v>1947</v>
      </c>
      <c r="F473" s="7" t="s">
        <v>1948</v>
      </c>
      <c r="G473" s="7" t="s">
        <v>2057</v>
      </c>
      <c r="H473" s="7" t="s">
        <v>4715</v>
      </c>
      <c r="I473" s="7" t="s">
        <v>1951</v>
      </c>
      <c r="J473" s="7" t="s">
        <v>5132</v>
      </c>
      <c r="K473" s="7" t="s">
        <v>5133</v>
      </c>
      <c r="L473" s="7" t="s">
        <v>5134</v>
      </c>
      <c r="M473" s="7" t="s">
        <v>2078</v>
      </c>
      <c r="N473" s="9">
        <v>46234</v>
      </c>
      <c r="O473" s="9">
        <v>46356</v>
      </c>
      <c r="P473" s="7" t="s">
        <v>2090</v>
      </c>
      <c r="Q473" s="7" t="s">
        <v>1951</v>
      </c>
      <c r="R473" s="7" t="s">
        <v>5135</v>
      </c>
      <c r="S473" s="7" t="s">
        <v>5136</v>
      </c>
      <c r="T473" s="7" t="s">
        <v>2067</v>
      </c>
      <c r="U473" s="7" t="s">
        <v>2768</v>
      </c>
      <c r="V473" s="7" t="s">
        <v>2067</v>
      </c>
      <c r="W473" s="7" t="s">
        <v>2069</v>
      </c>
    </row>
    <row r="474" spans="1:23" ht="20.100000000000001" customHeight="1" x14ac:dyDescent="0.25">
      <c r="A474" s="3" t="s">
        <v>5137</v>
      </c>
      <c r="B474" s="4" t="s">
        <v>2057</v>
      </c>
      <c r="C474" s="4" t="s">
        <v>5138</v>
      </c>
      <c r="D474" s="4" t="s">
        <v>2059</v>
      </c>
      <c r="E474" s="4" t="s">
        <v>2189</v>
      </c>
      <c r="F474" s="4" t="s">
        <v>2190</v>
      </c>
      <c r="G474" s="4" t="s">
        <v>2057</v>
      </c>
      <c r="H474" s="4" t="s">
        <v>5139</v>
      </c>
      <c r="I474" s="4" t="s">
        <v>1951</v>
      </c>
      <c r="J474" s="4" t="s">
        <v>5140</v>
      </c>
      <c r="K474" s="4" t="s">
        <v>5141</v>
      </c>
      <c r="L474" s="4" t="s">
        <v>5142</v>
      </c>
      <c r="M474" s="4" t="s">
        <v>2078</v>
      </c>
      <c r="N474" s="8">
        <v>46234</v>
      </c>
      <c r="O474" s="8">
        <v>46356</v>
      </c>
      <c r="P474" s="4" t="s">
        <v>2195</v>
      </c>
      <c r="Q474" s="4" t="s">
        <v>1951</v>
      </c>
      <c r="R474" s="4" t="s">
        <v>5143</v>
      </c>
      <c r="S474" s="4" t="s">
        <v>5144</v>
      </c>
      <c r="T474" s="4" t="s">
        <v>2067</v>
      </c>
      <c r="U474" s="4" t="s">
        <v>2198</v>
      </c>
      <c r="V474" s="4" t="s">
        <v>2067</v>
      </c>
      <c r="W474" s="4" t="s">
        <v>2082</v>
      </c>
    </row>
    <row r="475" spans="1:23" ht="20.100000000000001" customHeight="1" x14ac:dyDescent="0.25">
      <c r="A475" s="6" t="s">
        <v>356</v>
      </c>
      <c r="B475" s="7" t="s">
        <v>2084</v>
      </c>
      <c r="C475" s="7" t="s">
        <v>5145</v>
      </c>
      <c r="D475" s="7" t="s">
        <v>2059</v>
      </c>
      <c r="E475" s="7" t="s">
        <v>2367</v>
      </c>
      <c r="F475" s="7" t="s">
        <v>2368</v>
      </c>
      <c r="G475" s="7" t="s">
        <v>2084</v>
      </c>
      <c r="H475" s="7" t="s">
        <v>4772</v>
      </c>
      <c r="I475" s="7" t="s">
        <v>1951</v>
      </c>
      <c r="J475" s="7" t="s">
        <v>5146</v>
      </c>
      <c r="K475" s="7" t="s">
        <v>5147</v>
      </c>
      <c r="L475" s="7" t="s">
        <v>5148</v>
      </c>
      <c r="M475" s="7" t="s">
        <v>2078</v>
      </c>
      <c r="N475" s="9">
        <v>46052</v>
      </c>
      <c r="O475" s="9">
        <v>46296</v>
      </c>
      <c r="P475" s="7" t="s">
        <v>2368</v>
      </c>
      <c r="Q475" s="7" t="s">
        <v>1951</v>
      </c>
      <c r="R475" s="7" t="s">
        <v>5149</v>
      </c>
      <c r="S475" s="7" t="s">
        <v>5150</v>
      </c>
      <c r="T475" s="7" t="s">
        <v>2067</v>
      </c>
      <c r="U475" s="7" t="s">
        <v>2374</v>
      </c>
      <c r="V475" s="7" t="s">
        <v>2067</v>
      </c>
      <c r="W475" s="7" t="s">
        <v>2082</v>
      </c>
    </row>
    <row r="476" spans="1:23" ht="20.100000000000001" customHeight="1" x14ac:dyDescent="0.25">
      <c r="A476" s="3" t="s">
        <v>892</v>
      </c>
      <c r="B476" s="4" t="s">
        <v>2057</v>
      </c>
      <c r="C476" s="4" t="s">
        <v>5151</v>
      </c>
      <c r="D476" s="4" t="s">
        <v>2059</v>
      </c>
      <c r="E476" s="4" t="s">
        <v>1947</v>
      </c>
      <c r="F476" s="4" t="s">
        <v>1948</v>
      </c>
      <c r="G476" s="4" t="s">
        <v>2057</v>
      </c>
      <c r="H476" s="4" t="s">
        <v>1950</v>
      </c>
      <c r="I476" s="4" t="s">
        <v>1951</v>
      </c>
      <c r="J476" s="4" t="s">
        <v>5152</v>
      </c>
      <c r="K476" s="4" t="s">
        <v>5153</v>
      </c>
      <c r="L476" s="4" t="s">
        <v>5154</v>
      </c>
      <c r="M476" s="4" t="s">
        <v>2078</v>
      </c>
      <c r="N476" s="8">
        <v>46234</v>
      </c>
      <c r="O476" s="8">
        <v>46356</v>
      </c>
      <c r="P476" s="4" t="s">
        <v>2090</v>
      </c>
      <c r="Q476" s="4" t="s">
        <v>1951</v>
      </c>
      <c r="R476" s="4" t="s">
        <v>4250</v>
      </c>
      <c r="S476" s="4" t="s">
        <v>5155</v>
      </c>
      <c r="T476" s="4" t="s">
        <v>2067</v>
      </c>
      <c r="U476" s="4" t="s">
        <v>2768</v>
      </c>
      <c r="V476" s="4" t="s">
        <v>2067</v>
      </c>
      <c r="W476" s="4" t="s">
        <v>2069</v>
      </c>
    </row>
    <row r="477" spans="1:23" ht="20.100000000000001" customHeight="1" x14ac:dyDescent="0.25">
      <c r="A477" s="6" t="s">
        <v>494</v>
      </c>
      <c r="B477" s="7" t="s">
        <v>2057</v>
      </c>
      <c r="C477" s="7" t="s">
        <v>5156</v>
      </c>
      <c r="D477" s="7" t="s">
        <v>2059</v>
      </c>
      <c r="E477" s="7" t="s">
        <v>1952</v>
      </c>
      <c r="F477" s="7" t="s">
        <v>1953</v>
      </c>
      <c r="G477" s="7" t="s">
        <v>2057</v>
      </c>
      <c r="H477" s="7" t="s">
        <v>4715</v>
      </c>
      <c r="I477" s="7" t="s">
        <v>1951</v>
      </c>
      <c r="J477" s="7" t="s">
        <v>5157</v>
      </c>
      <c r="K477" s="7" t="s">
        <v>5158</v>
      </c>
      <c r="L477" s="7" t="s">
        <v>5159</v>
      </c>
      <c r="M477" s="7" t="s">
        <v>2078</v>
      </c>
      <c r="N477" s="9">
        <v>46234</v>
      </c>
      <c r="O477" s="9">
        <v>46356</v>
      </c>
      <c r="P477" s="7" t="s">
        <v>1953</v>
      </c>
      <c r="Q477" s="7" t="s">
        <v>1951</v>
      </c>
      <c r="R477" s="7" t="s">
        <v>5160</v>
      </c>
      <c r="S477" s="7" t="s">
        <v>5161</v>
      </c>
      <c r="T477" s="7" t="s">
        <v>2067</v>
      </c>
      <c r="U477" s="7" t="s">
        <v>2358</v>
      </c>
      <c r="V477" s="7" t="s">
        <v>2067</v>
      </c>
      <c r="W477" s="7" t="s">
        <v>2069</v>
      </c>
    </row>
    <row r="478" spans="1:23" ht="20.100000000000001" customHeight="1" x14ac:dyDescent="0.25">
      <c r="A478" s="3" t="s">
        <v>1468</v>
      </c>
      <c r="B478" s="4" t="s">
        <v>2057</v>
      </c>
      <c r="C478" s="4" t="s">
        <v>5162</v>
      </c>
      <c r="D478" s="4" t="s">
        <v>2059</v>
      </c>
      <c r="E478" s="4" t="s">
        <v>1947</v>
      </c>
      <c r="F478" s="4" t="s">
        <v>1948</v>
      </c>
      <c r="G478" s="4" t="s">
        <v>2057</v>
      </c>
      <c r="H478" s="4" t="s">
        <v>4715</v>
      </c>
      <c r="I478" s="4" t="s">
        <v>1951</v>
      </c>
      <c r="J478" s="4" t="s">
        <v>5163</v>
      </c>
      <c r="K478" s="4" t="s">
        <v>5164</v>
      </c>
      <c r="L478" s="4" t="s">
        <v>5165</v>
      </c>
      <c r="M478" s="4" t="s">
        <v>2078</v>
      </c>
      <c r="N478" s="8">
        <v>46234</v>
      </c>
      <c r="O478" s="8">
        <v>46356</v>
      </c>
      <c r="P478" s="4" t="s">
        <v>2090</v>
      </c>
      <c r="Q478" s="4" t="s">
        <v>1951</v>
      </c>
      <c r="R478" s="4" t="s">
        <v>3754</v>
      </c>
      <c r="S478" s="4" t="s">
        <v>5166</v>
      </c>
      <c r="T478" s="4" t="s">
        <v>2067</v>
      </c>
      <c r="U478" s="4" t="s">
        <v>2146</v>
      </c>
      <c r="V478" s="4" t="s">
        <v>2067</v>
      </c>
      <c r="W478" s="4" t="s">
        <v>2069</v>
      </c>
    </row>
    <row r="479" spans="1:23" ht="20.100000000000001" customHeight="1" x14ac:dyDescent="0.25">
      <c r="A479" s="6" t="s">
        <v>1590</v>
      </c>
      <c r="B479" s="7" t="s">
        <v>2057</v>
      </c>
      <c r="C479" s="7" t="s">
        <v>5167</v>
      </c>
      <c r="D479" s="7" t="s">
        <v>2059</v>
      </c>
      <c r="E479" s="7" t="s">
        <v>1947</v>
      </c>
      <c r="F479" s="7" t="s">
        <v>1948</v>
      </c>
      <c r="G479" s="7" t="s">
        <v>2057</v>
      </c>
      <c r="H479" s="7" t="s">
        <v>5168</v>
      </c>
      <c r="I479" s="7" t="s">
        <v>1951</v>
      </c>
      <c r="J479" s="7" t="s">
        <v>5169</v>
      </c>
      <c r="K479" s="7" t="s">
        <v>5170</v>
      </c>
      <c r="L479" s="7" t="s">
        <v>5171</v>
      </c>
      <c r="M479" s="7" t="s">
        <v>2078</v>
      </c>
      <c r="N479" s="9">
        <v>46234</v>
      </c>
      <c r="O479" s="9">
        <v>46356</v>
      </c>
      <c r="P479" s="7" t="s">
        <v>2090</v>
      </c>
      <c r="Q479" s="7" t="s">
        <v>1951</v>
      </c>
      <c r="R479" s="7" t="s">
        <v>3754</v>
      </c>
      <c r="S479" s="7" t="s">
        <v>5172</v>
      </c>
      <c r="T479" s="7" t="s">
        <v>2067</v>
      </c>
      <c r="U479" s="7" t="s">
        <v>2146</v>
      </c>
      <c r="V479" s="7" t="s">
        <v>2067</v>
      </c>
      <c r="W479" s="7" t="s">
        <v>2082</v>
      </c>
    </row>
    <row r="480" spans="1:23" ht="20.100000000000001" customHeight="1" x14ac:dyDescent="0.25">
      <c r="A480" s="3" t="s">
        <v>254</v>
      </c>
      <c r="B480" s="4" t="s">
        <v>2084</v>
      </c>
      <c r="C480" s="4" t="s">
        <v>5173</v>
      </c>
      <c r="D480" s="4" t="s">
        <v>2059</v>
      </c>
      <c r="E480" s="4" t="s">
        <v>1947</v>
      </c>
      <c r="F480" s="4" t="s">
        <v>1948</v>
      </c>
      <c r="G480" s="4" t="s">
        <v>2084</v>
      </c>
      <c r="H480" s="4" t="s">
        <v>5089</v>
      </c>
      <c r="I480" s="4" t="s">
        <v>1951</v>
      </c>
      <c r="J480" s="4" t="s">
        <v>4649</v>
      </c>
      <c r="K480" s="4" t="s">
        <v>5174</v>
      </c>
      <c r="L480" s="4" t="s">
        <v>5175</v>
      </c>
      <c r="M480" s="4" t="s">
        <v>2078</v>
      </c>
      <c r="N480" s="8">
        <v>46237</v>
      </c>
      <c r="O480" s="8">
        <v>46356</v>
      </c>
      <c r="P480" s="4" t="s">
        <v>2090</v>
      </c>
      <c r="Q480" s="4" t="s">
        <v>1951</v>
      </c>
      <c r="R480" s="4" t="s">
        <v>5176</v>
      </c>
      <c r="S480" s="4" t="s">
        <v>5177</v>
      </c>
      <c r="T480" s="4" t="s">
        <v>2067</v>
      </c>
      <c r="U480" s="4" t="s">
        <v>2146</v>
      </c>
      <c r="V480" s="4" t="s">
        <v>2067</v>
      </c>
      <c r="W480" s="4" t="s">
        <v>2069</v>
      </c>
    </row>
    <row r="481" spans="1:23" ht="20.100000000000001" customHeight="1" x14ac:dyDescent="0.25">
      <c r="A481" s="6" t="s">
        <v>5178</v>
      </c>
      <c r="B481" s="7" t="s">
        <v>2057</v>
      </c>
      <c r="C481" s="7" t="s">
        <v>5179</v>
      </c>
      <c r="D481" s="7" t="s">
        <v>2059</v>
      </c>
      <c r="E481" s="7" t="s">
        <v>2111</v>
      </c>
      <c r="F481" s="7" t="s">
        <v>2112</v>
      </c>
      <c r="G481" s="7" t="s">
        <v>2057</v>
      </c>
      <c r="H481" s="7" t="s">
        <v>5139</v>
      </c>
      <c r="I481" s="7" t="s">
        <v>1951</v>
      </c>
      <c r="J481" s="7" t="s">
        <v>5180</v>
      </c>
      <c r="K481" s="7" t="s">
        <v>5181</v>
      </c>
      <c r="L481" s="7" t="s">
        <v>5182</v>
      </c>
      <c r="M481" s="7" t="s">
        <v>2078</v>
      </c>
      <c r="N481" s="9">
        <v>46108</v>
      </c>
      <c r="O481" s="9">
        <v>46356</v>
      </c>
      <c r="P481" s="7" t="s">
        <v>2112</v>
      </c>
      <c r="Q481" s="7" t="s">
        <v>1951</v>
      </c>
      <c r="R481" s="7" t="s">
        <v>5183</v>
      </c>
      <c r="S481" s="7" t="s">
        <v>5184</v>
      </c>
      <c r="T481" s="7" t="s">
        <v>2067</v>
      </c>
      <c r="U481" s="7" t="s">
        <v>2119</v>
      </c>
      <c r="V481" s="7" t="s">
        <v>2067</v>
      </c>
      <c r="W481" s="7" t="s">
        <v>2082</v>
      </c>
    </row>
    <row r="482" spans="1:23" ht="20.100000000000001" customHeight="1" x14ac:dyDescent="0.25">
      <c r="A482" s="3" t="s">
        <v>26</v>
      </c>
      <c r="B482" s="4" t="s">
        <v>2057</v>
      </c>
      <c r="C482" s="4" t="s">
        <v>5185</v>
      </c>
      <c r="D482" s="4" t="s">
        <v>2059</v>
      </c>
      <c r="E482" s="4" t="s">
        <v>1947</v>
      </c>
      <c r="F482" s="4" t="s">
        <v>1948</v>
      </c>
      <c r="G482" s="4" t="s">
        <v>2057</v>
      </c>
      <c r="H482" s="4" t="s">
        <v>4692</v>
      </c>
      <c r="I482" s="4" t="s">
        <v>1951</v>
      </c>
      <c r="J482" s="4" t="s">
        <v>5186</v>
      </c>
      <c r="K482" s="4" t="s">
        <v>5187</v>
      </c>
      <c r="L482" s="4" t="s">
        <v>5188</v>
      </c>
      <c r="M482" s="4" t="s">
        <v>2078</v>
      </c>
      <c r="N482" s="8">
        <v>46234</v>
      </c>
      <c r="O482" s="8">
        <v>46356</v>
      </c>
      <c r="P482" s="4" t="s">
        <v>2090</v>
      </c>
      <c r="Q482" s="4" t="s">
        <v>1951</v>
      </c>
      <c r="R482" s="4" t="s">
        <v>5189</v>
      </c>
      <c r="S482" s="4" t="s">
        <v>5190</v>
      </c>
      <c r="T482" s="4" t="s">
        <v>2067</v>
      </c>
      <c r="U482" s="4" t="s">
        <v>2768</v>
      </c>
      <c r="V482" s="4" t="s">
        <v>2067</v>
      </c>
      <c r="W482" s="4" t="s">
        <v>2069</v>
      </c>
    </row>
    <row r="483" spans="1:23" ht="20.100000000000001" customHeight="1" x14ac:dyDescent="0.25">
      <c r="A483" s="6" t="s">
        <v>1688</v>
      </c>
      <c r="B483" s="7" t="s">
        <v>2057</v>
      </c>
      <c r="C483" s="7" t="s">
        <v>5191</v>
      </c>
      <c r="D483" s="7" t="s">
        <v>2059</v>
      </c>
      <c r="E483" s="7" t="s">
        <v>1947</v>
      </c>
      <c r="F483" s="7" t="s">
        <v>1948</v>
      </c>
      <c r="G483" s="7" t="s">
        <v>2057</v>
      </c>
      <c r="H483" s="7" t="s">
        <v>4692</v>
      </c>
      <c r="I483" s="7" t="s">
        <v>1951</v>
      </c>
      <c r="J483" s="7" t="s">
        <v>5192</v>
      </c>
      <c r="K483" s="7" t="s">
        <v>5193</v>
      </c>
      <c r="L483" s="7" t="s">
        <v>5194</v>
      </c>
      <c r="M483" s="7" t="s">
        <v>2078</v>
      </c>
      <c r="N483" s="9">
        <v>46234</v>
      </c>
      <c r="O483" s="9">
        <v>46356</v>
      </c>
      <c r="P483" s="7" t="s">
        <v>2090</v>
      </c>
      <c r="Q483" s="7" t="s">
        <v>1951</v>
      </c>
      <c r="R483" s="7" t="s">
        <v>5195</v>
      </c>
      <c r="S483" s="7" t="s">
        <v>5196</v>
      </c>
      <c r="T483" s="7" t="s">
        <v>2067</v>
      </c>
      <c r="U483" s="7" t="s">
        <v>2768</v>
      </c>
      <c r="V483" s="7" t="s">
        <v>2067</v>
      </c>
      <c r="W483" s="7" t="s">
        <v>2069</v>
      </c>
    </row>
    <row r="484" spans="1:23" ht="20.100000000000001" customHeight="1" x14ac:dyDescent="0.25">
      <c r="A484" s="3" t="s">
        <v>5197</v>
      </c>
      <c r="B484" s="4" t="s">
        <v>2057</v>
      </c>
      <c r="C484" s="4" t="s">
        <v>5198</v>
      </c>
      <c r="D484" s="4" t="s">
        <v>2059</v>
      </c>
      <c r="E484" s="4" t="s">
        <v>2111</v>
      </c>
      <c r="F484" s="4" t="s">
        <v>2112</v>
      </c>
      <c r="G484" s="4" t="s">
        <v>2057</v>
      </c>
      <c r="H484" s="4" t="s">
        <v>1950</v>
      </c>
      <c r="I484" s="4" t="s">
        <v>1951</v>
      </c>
      <c r="J484" s="4" t="s">
        <v>5199</v>
      </c>
      <c r="K484" s="4" t="s">
        <v>5200</v>
      </c>
      <c r="L484" s="4" t="s">
        <v>5201</v>
      </c>
      <c r="M484" s="4" t="s">
        <v>2078</v>
      </c>
      <c r="N484" s="8">
        <v>46234</v>
      </c>
      <c r="O484" s="8">
        <v>46356</v>
      </c>
      <c r="P484" s="4" t="s">
        <v>2112</v>
      </c>
      <c r="Q484" s="4" t="s">
        <v>1951</v>
      </c>
      <c r="R484" s="4" t="s">
        <v>2825</v>
      </c>
      <c r="S484" s="4" t="s">
        <v>5202</v>
      </c>
      <c r="T484" s="4" t="s">
        <v>2067</v>
      </c>
      <c r="U484" s="4" t="s">
        <v>2119</v>
      </c>
      <c r="V484" s="4" t="s">
        <v>2067</v>
      </c>
      <c r="W484" s="4" t="s">
        <v>2069</v>
      </c>
    </row>
    <row r="485" spans="1:23" ht="20.100000000000001" customHeight="1" x14ac:dyDescent="0.25">
      <c r="A485" s="6" t="s">
        <v>1028</v>
      </c>
      <c r="B485" s="7" t="s">
        <v>2057</v>
      </c>
      <c r="C485" s="7" t="s">
        <v>5203</v>
      </c>
      <c r="D485" s="7" t="s">
        <v>2059</v>
      </c>
      <c r="E485" s="7" t="s">
        <v>1947</v>
      </c>
      <c r="F485" s="7" t="s">
        <v>1948</v>
      </c>
      <c r="G485" s="7" t="s">
        <v>2057</v>
      </c>
      <c r="H485" s="7" t="s">
        <v>4692</v>
      </c>
      <c r="I485" s="7" t="s">
        <v>1951</v>
      </c>
      <c r="J485" s="7" t="s">
        <v>5204</v>
      </c>
      <c r="K485" s="7" t="s">
        <v>5205</v>
      </c>
      <c r="L485" s="7" t="s">
        <v>5206</v>
      </c>
      <c r="M485" s="7" t="s">
        <v>2078</v>
      </c>
      <c r="N485" s="9">
        <v>46055</v>
      </c>
      <c r="O485" s="9">
        <v>46294</v>
      </c>
      <c r="P485" s="7" t="s">
        <v>2090</v>
      </c>
      <c r="Q485" s="7" t="s">
        <v>1951</v>
      </c>
      <c r="R485" s="7" t="s">
        <v>5207</v>
      </c>
      <c r="S485" s="7" t="s">
        <v>5208</v>
      </c>
      <c r="T485" s="7" t="s">
        <v>2067</v>
      </c>
      <c r="U485" s="7" t="s">
        <v>2768</v>
      </c>
      <c r="V485" s="7" t="s">
        <v>2067</v>
      </c>
      <c r="W485" s="7" t="s">
        <v>2069</v>
      </c>
    </row>
    <row r="486" spans="1:23" ht="20.100000000000001" customHeight="1" x14ac:dyDescent="0.25">
      <c r="A486" s="3" t="s">
        <v>5209</v>
      </c>
      <c r="B486" s="4" t="s">
        <v>2057</v>
      </c>
      <c r="C486" s="4" t="s">
        <v>5210</v>
      </c>
      <c r="D486" s="4" t="s">
        <v>2059</v>
      </c>
      <c r="E486" s="4" t="s">
        <v>2189</v>
      </c>
      <c r="F486" s="4" t="s">
        <v>2190</v>
      </c>
      <c r="G486" s="4" t="s">
        <v>2057</v>
      </c>
      <c r="H486" s="4" t="s">
        <v>4692</v>
      </c>
      <c r="I486" s="4" t="s">
        <v>1951</v>
      </c>
      <c r="J486" s="4" t="s">
        <v>5211</v>
      </c>
      <c r="K486" s="4" t="s">
        <v>5212</v>
      </c>
      <c r="L486" s="4" t="s">
        <v>5213</v>
      </c>
      <c r="M486" s="4" t="s">
        <v>2078</v>
      </c>
      <c r="N486" s="8">
        <v>46234</v>
      </c>
      <c r="O486" s="8">
        <v>46356</v>
      </c>
      <c r="P486" s="4" t="s">
        <v>2195</v>
      </c>
      <c r="Q486" s="4" t="s">
        <v>1951</v>
      </c>
      <c r="R486" s="4" t="s">
        <v>3383</v>
      </c>
      <c r="S486" s="4" t="s">
        <v>5214</v>
      </c>
      <c r="T486" s="4" t="s">
        <v>2067</v>
      </c>
      <c r="U486" s="4" t="s">
        <v>2198</v>
      </c>
      <c r="V486" s="4" t="s">
        <v>2067</v>
      </c>
      <c r="W486" s="4" t="s">
        <v>2069</v>
      </c>
    </row>
    <row r="487" spans="1:23" ht="20.100000000000001" customHeight="1" x14ac:dyDescent="0.25">
      <c r="A487" s="6" t="s">
        <v>320</v>
      </c>
      <c r="B487" s="7" t="s">
        <v>2057</v>
      </c>
      <c r="C487" s="7" t="s">
        <v>5215</v>
      </c>
      <c r="D487" s="7" t="s">
        <v>2059</v>
      </c>
      <c r="E487" s="7" t="s">
        <v>1952</v>
      </c>
      <c r="F487" s="7" t="s">
        <v>1953</v>
      </c>
      <c r="G487" s="7" t="s">
        <v>2057</v>
      </c>
      <c r="H487" s="7" t="s">
        <v>1950</v>
      </c>
      <c r="I487" s="7" t="s">
        <v>1951</v>
      </c>
      <c r="J487" s="7" t="s">
        <v>5216</v>
      </c>
      <c r="K487" s="7" t="s">
        <v>5217</v>
      </c>
      <c r="L487" s="7" t="s">
        <v>5218</v>
      </c>
      <c r="M487" s="7" t="s">
        <v>2078</v>
      </c>
      <c r="N487" s="9">
        <v>46234</v>
      </c>
      <c r="O487" s="9">
        <v>46356</v>
      </c>
      <c r="P487" s="7" t="s">
        <v>1953</v>
      </c>
      <c r="Q487" s="7" t="s">
        <v>1951</v>
      </c>
      <c r="R487" s="7" t="s">
        <v>5219</v>
      </c>
      <c r="S487" s="7" t="s">
        <v>5220</v>
      </c>
      <c r="T487" s="7" t="s">
        <v>2067</v>
      </c>
      <c r="U487" s="7" t="s">
        <v>2358</v>
      </c>
      <c r="V487" s="7" t="s">
        <v>2067</v>
      </c>
      <c r="W487" s="7" t="s">
        <v>2069</v>
      </c>
    </row>
    <row r="488" spans="1:23" ht="20.100000000000001" customHeight="1" x14ac:dyDescent="0.25">
      <c r="A488" s="3" t="s">
        <v>1734</v>
      </c>
      <c r="B488" s="4" t="s">
        <v>2084</v>
      </c>
      <c r="C488" s="4" t="s">
        <v>5221</v>
      </c>
      <c r="D488" s="4" t="s">
        <v>2059</v>
      </c>
      <c r="E488" s="4" t="s">
        <v>1947</v>
      </c>
      <c r="F488" s="4" t="s">
        <v>1948</v>
      </c>
      <c r="G488" s="4" t="s">
        <v>2084</v>
      </c>
      <c r="H488" s="4" t="s">
        <v>4772</v>
      </c>
      <c r="I488" s="4" t="s">
        <v>1951</v>
      </c>
      <c r="J488" s="4" t="s">
        <v>5222</v>
      </c>
      <c r="K488" s="4" t="s">
        <v>5223</v>
      </c>
      <c r="L488" s="4" t="s">
        <v>5224</v>
      </c>
      <c r="M488" s="4" t="s">
        <v>2078</v>
      </c>
      <c r="N488" s="8">
        <v>46121</v>
      </c>
      <c r="O488" s="8">
        <v>46356</v>
      </c>
      <c r="P488" s="4" t="s">
        <v>2090</v>
      </c>
      <c r="Q488" s="4" t="s">
        <v>1951</v>
      </c>
      <c r="R488" s="4" t="s">
        <v>5225</v>
      </c>
      <c r="S488" s="4" t="s">
        <v>5226</v>
      </c>
      <c r="T488" s="4" t="s">
        <v>2067</v>
      </c>
      <c r="U488" s="4" t="s">
        <v>2146</v>
      </c>
      <c r="V488" s="4" t="s">
        <v>2067</v>
      </c>
      <c r="W488" s="4" t="s">
        <v>2082</v>
      </c>
    </row>
    <row r="489" spans="1:23" ht="20.100000000000001" customHeight="1" x14ac:dyDescent="0.25">
      <c r="A489" s="6" t="s">
        <v>5227</v>
      </c>
      <c r="B489" s="7" t="s">
        <v>2057</v>
      </c>
      <c r="C489" s="7" t="s">
        <v>5228</v>
      </c>
      <c r="D489" s="7" t="s">
        <v>2059</v>
      </c>
      <c r="E489" s="7" t="s">
        <v>2189</v>
      </c>
      <c r="F489" s="7" t="s">
        <v>2190</v>
      </c>
      <c r="G489" s="7" t="s">
        <v>2057</v>
      </c>
      <c r="H489" s="7" t="s">
        <v>5229</v>
      </c>
      <c r="I489" s="7" t="s">
        <v>2021</v>
      </c>
      <c r="J489" s="7" t="s">
        <v>5230</v>
      </c>
      <c r="K489" s="7" t="s">
        <v>5231</v>
      </c>
      <c r="L489" s="7" t="s">
        <v>5232</v>
      </c>
      <c r="M489" s="7" t="s">
        <v>2078</v>
      </c>
      <c r="N489" s="9">
        <v>46234</v>
      </c>
      <c r="O489" s="9">
        <v>46356</v>
      </c>
      <c r="P489" s="7" t="s">
        <v>2195</v>
      </c>
      <c r="Q489" s="7" t="s">
        <v>2021</v>
      </c>
      <c r="R489" s="7" t="s">
        <v>5233</v>
      </c>
      <c r="S489" s="7" t="s">
        <v>5234</v>
      </c>
      <c r="T489" s="7" t="s">
        <v>2067</v>
      </c>
      <c r="U489" s="7" t="s">
        <v>2198</v>
      </c>
      <c r="V489" s="7" t="s">
        <v>2067</v>
      </c>
      <c r="W489" s="7" t="s">
        <v>2069</v>
      </c>
    </row>
    <row r="490" spans="1:23" ht="20.100000000000001" customHeight="1" x14ac:dyDescent="0.25">
      <c r="A490" s="3" t="s">
        <v>5235</v>
      </c>
      <c r="B490" s="4" t="s">
        <v>2057</v>
      </c>
      <c r="C490" s="4" t="s">
        <v>5236</v>
      </c>
      <c r="D490" s="4" t="s">
        <v>2059</v>
      </c>
      <c r="E490" s="4" t="s">
        <v>2111</v>
      </c>
      <c r="F490" s="4" t="s">
        <v>2112</v>
      </c>
      <c r="G490" s="4" t="s">
        <v>2057</v>
      </c>
      <c r="H490" s="4" t="s">
        <v>2020</v>
      </c>
      <c r="I490" s="4" t="s">
        <v>2021</v>
      </c>
      <c r="J490" s="4" t="s">
        <v>5237</v>
      </c>
      <c r="K490" s="4" t="s">
        <v>5238</v>
      </c>
      <c r="L490" s="4" t="s">
        <v>5239</v>
      </c>
      <c r="M490" s="4" t="s">
        <v>2078</v>
      </c>
      <c r="N490" s="8">
        <v>46234</v>
      </c>
      <c r="O490" s="8">
        <v>46356</v>
      </c>
      <c r="P490" s="4" t="s">
        <v>2112</v>
      </c>
      <c r="Q490" s="4" t="s">
        <v>2021</v>
      </c>
      <c r="R490" s="4" t="s">
        <v>5219</v>
      </c>
      <c r="S490" s="4" t="s">
        <v>5240</v>
      </c>
      <c r="T490" s="4" t="s">
        <v>2067</v>
      </c>
      <c r="U490" s="4" t="s">
        <v>2119</v>
      </c>
      <c r="V490" s="4" t="s">
        <v>2067</v>
      </c>
      <c r="W490" s="4" t="s">
        <v>2069</v>
      </c>
    </row>
    <row r="491" spans="1:23" ht="20.100000000000001" customHeight="1" x14ac:dyDescent="0.25">
      <c r="A491" s="6" t="s">
        <v>1726</v>
      </c>
      <c r="B491" s="7" t="s">
        <v>2057</v>
      </c>
      <c r="C491" s="7" t="s">
        <v>5241</v>
      </c>
      <c r="D491" s="7" t="s">
        <v>2059</v>
      </c>
      <c r="E491" s="7" t="s">
        <v>1947</v>
      </c>
      <c r="F491" s="7" t="s">
        <v>1948</v>
      </c>
      <c r="G491" s="7" t="s">
        <v>2057</v>
      </c>
      <c r="H491" s="7" t="s">
        <v>5242</v>
      </c>
      <c r="I491" s="7" t="s">
        <v>2021</v>
      </c>
      <c r="J491" s="7" t="s">
        <v>5243</v>
      </c>
      <c r="K491" s="7" t="s">
        <v>5244</v>
      </c>
      <c r="L491" s="7" t="s">
        <v>5245</v>
      </c>
      <c r="M491" s="7" t="s">
        <v>2064</v>
      </c>
      <c r="N491" s="9">
        <v>45687</v>
      </c>
      <c r="O491" s="9"/>
      <c r="P491" s="7" t="s">
        <v>2090</v>
      </c>
      <c r="Q491" s="7" t="s">
        <v>2021</v>
      </c>
      <c r="R491" s="7" t="s">
        <v>5246</v>
      </c>
      <c r="S491" s="7" t="s">
        <v>5247</v>
      </c>
      <c r="T491" s="7" t="s">
        <v>2067</v>
      </c>
      <c r="U491" s="7" t="s">
        <v>2768</v>
      </c>
      <c r="V491" s="7" t="s">
        <v>2067</v>
      </c>
      <c r="W491" s="7" t="s">
        <v>2069</v>
      </c>
    </row>
    <row r="492" spans="1:23" ht="20.100000000000001" customHeight="1" x14ac:dyDescent="0.25">
      <c r="A492" s="3" t="s">
        <v>998</v>
      </c>
      <c r="B492" s="4" t="s">
        <v>2084</v>
      </c>
      <c r="C492" s="4" t="s">
        <v>5248</v>
      </c>
      <c r="D492" s="4" t="s">
        <v>2059</v>
      </c>
      <c r="E492" s="4" t="s">
        <v>1947</v>
      </c>
      <c r="F492" s="4" t="s">
        <v>1948</v>
      </c>
      <c r="G492" s="4" t="s">
        <v>2084</v>
      </c>
      <c r="H492" s="4" t="s">
        <v>5249</v>
      </c>
      <c r="I492" s="4" t="s">
        <v>2021</v>
      </c>
      <c r="J492" s="4" t="s">
        <v>5250</v>
      </c>
      <c r="K492" s="4" t="s">
        <v>5251</v>
      </c>
      <c r="L492" s="4" t="s">
        <v>5252</v>
      </c>
      <c r="M492" s="4" t="s">
        <v>2064</v>
      </c>
      <c r="N492" s="8">
        <v>45509</v>
      </c>
      <c r="O492" s="8"/>
      <c r="P492" s="4" t="s">
        <v>2090</v>
      </c>
      <c r="Q492" s="4" t="s">
        <v>2021</v>
      </c>
      <c r="R492" s="4" t="s">
        <v>5253</v>
      </c>
      <c r="S492" s="4" t="s">
        <v>4274</v>
      </c>
      <c r="T492" s="4" t="s">
        <v>2067</v>
      </c>
      <c r="U492" s="4" t="s">
        <v>2768</v>
      </c>
      <c r="V492" s="4" t="s">
        <v>2067</v>
      </c>
      <c r="W492" s="4" t="s">
        <v>2069</v>
      </c>
    </row>
    <row r="493" spans="1:23" ht="20.100000000000001" customHeight="1" x14ac:dyDescent="0.25">
      <c r="A493" s="6" t="s">
        <v>102</v>
      </c>
      <c r="B493" s="7" t="s">
        <v>2057</v>
      </c>
      <c r="C493" s="7" t="s">
        <v>5254</v>
      </c>
      <c r="D493" s="7" t="s">
        <v>2059</v>
      </c>
      <c r="E493" s="7" t="s">
        <v>1952</v>
      </c>
      <c r="F493" s="7" t="s">
        <v>1953</v>
      </c>
      <c r="G493" s="7" t="s">
        <v>2057</v>
      </c>
      <c r="H493" s="7" t="s">
        <v>2020</v>
      </c>
      <c r="I493" s="7" t="s">
        <v>2021</v>
      </c>
      <c r="J493" s="7" t="s">
        <v>5255</v>
      </c>
      <c r="K493" s="7" t="s">
        <v>5256</v>
      </c>
      <c r="L493" s="7" t="s">
        <v>5257</v>
      </c>
      <c r="M493" s="7" t="s">
        <v>2064</v>
      </c>
      <c r="N493" s="9">
        <v>45687</v>
      </c>
      <c r="O493" s="9"/>
      <c r="P493" s="7" t="s">
        <v>1953</v>
      </c>
      <c r="Q493" s="7" t="s">
        <v>2021</v>
      </c>
      <c r="R493" s="7" t="s">
        <v>5258</v>
      </c>
      <c r="S493" s="7" t="s">
        <v>5259</v>
      </c>
      <c r="T493" s="7" t="s">
        <v>2067</v>
      </c>
      <c r="U493" s="7" t="s">
        <v>2358</v>
      </c>
      <c r="V493" s="7" t="s">
        <v>2067</v>
      </c>
      <c r="W493" s="7" t="s">
        <v>2069</v>
      </c>
    </row>
    <row r="494" spans="1:23" ht="20.100000000000001" customHeight="1" x14ac:dyDescent="0.25">
      <c r="A494" s="3" t="s">
        <v>574</v>
      </c>
      <c r="B494" s="4" t="s">
        <v>2057</v>
      </c>
      <c r="C494" s="4" t="s">
        <v>5260</v>
      </c>
      <c r="D494" s="4" t="s">
        <v>2059</v>
      </c>
      <c r="E494" s="4" t="s">
        <v>1952</v>
      </c>
      <c r="F494" s="4" t="s">
        <v>1953</v>
      </c>
      <c r="G494" s="4" t="s">
        <v>2057</v>
      </c>
      <c r="H494" s="4" t="s">
        <v>4662</v>
      </c>
      <c r="I494" s="4" t="s">
        <v>2021</v>
      </c>
      <c r="J494" s="4" t="s">
        <v>5261</v>
      </c>
      <c r="K494" s="4" t="s">
        <v>5262</v>
      </c>
      <c r="L494" s="4" t="s">
        <v>5263</v>
      </c>
      <c r="M494" s="4" t="s">
        <v>2078</v>
      </c>
      <c r="N494" s="8">
        <v>46234</v>
      </c>
      <c r="O494" s="8">
        <v>46356</v>
      </c>
      <c r="P494" s="4" t="s">
        <v>1953</v>
      </c>
      <c r="Q494" s="4" t="s">
        <v>2021</v>
      </c>
      <c r="R494" s="4" t="s">
        <v>5264</v>
      </c>
      <c r="S494" s="4" t="s">
        <v>5265</v>
      </c>
      <c r="T494" s="4" t="s">
        <v>2067</v>
      </c>
      <c r="U494" s="4" t="s">
        <v>2358</v>
      </c>
      <c r="V494" s="4" t="s">
        <v>2067</v>
      </c>
      <c r="W494" s="4" t="s">
        <v>2069</v>
      </c>
    </row>
    <row r="495" spans="1:23" ht="20.100000000000001" customHeight="1" x14ac:dyDescent="0.25">
      <c r="A495" s="6" t="s">
        <v>1328</v>
      </c>
      <c r="B495" s="7" t="s">
        <v>2057</v>
      </c>
      <c r="C495" s="7" t="s">
        <v>5266</v>
      </c>
      <c r="D495" s="7" t="s">
        <v>2059</v>
      </c>
      <c r="E495" s="7" t="s">
        <v>1947</v>
      </c>
      <c r="F495" s="7" t="s">
        <v>1948</v>
      </c>
      <c r="G495" s="7" t="s">
        <v>2057</v>
      </c>
      <c r="H495" s="7" t="s">
        <v>5267</v>
      </c>
      <c r="I495" s="7" t="s">
        <v>2021</v>
      </c>
      <c r="J495" s="7" t="s">
        <v>5268</v>
      </c>
      <c r="K495" s="7" t="s">
        <v>5269</v>
      </c>
      <c r="L495" s="7" t="s">
        <v>5270</v>
      </c>
      <c r="M495" s="7" t="s">
        <v>2064</v>
      </c>
      <c r="N495" s="9">
        <v>44963</v>
      </c>
      <c r="O495" s="9"/>
      <c r="P495" s="7" t="s">
        <v>2090</v>
      </c>
      <c r="Q495" s="7" t="s">
        <v>2021</v>
      </c>
      <c r="R495" s="7" t="s">
        <v>5271</v>
      </c>
      <c r="S495" s="7" t="s">
        <v>5272</v>
      </c>
      <c r="T495" s="7" t="s">
        <v>2067</v>
      </c>
      <c r="U495" s="7" t="s">
        <v>2768</v>
      </c>
      <c r="V495" s="7" t="s">
        <v>2067</v>
      </c>
      <c r="W495" s="7" t="s">
        <v>2069</v>
      </c>
    </row>
    <row r="496" spans="1:23" ht="20.100000000000001" customHeight="1" x14ac:dyDescent="0.25">
      <c r="A496" s="3" t="s">
        <v>1724</v>
      </c>
      <c r="B496" s="4" t="s">
        <v>2057</v>
      </c>
      <c r="C496" s="4" t="s">
        <v>5273</v>
      </c>
      <c r="D496" s="4" t="s">
        <v>2059</v>
      </c>
      <c r="E496" s="4" t="s">
        <v>1947</v>
      </c>
      <c r="F496" s="4" t="s">
        <v>1948</v>
      </c>
      <c r="G496" s="4" t="s">
        <v>2057</v>
      </c>
      <c r="H496" s="4" t="s">
        <v>5274</v>
      </c>
      <c r="I496" s="4" t="s">
        <v>2021</v>
      </c>
      <c r="J496" s="4" t="s">
        <v>5275</v>
      </c>
      <c r="K496" s="4" t="s">
        <v>5276</v>
      </c>
      <c r="L496" s="4" t="s">
        <v>5277</v>
      </c>
      <c r="M496" s="4" t="s">
        <v>2078</v>
      </c>
      <c r="N496" s="8">
        <v>46234</v>
      </c>
      <c r="O496" s="8">
        <v>46356</v>
      </c>
      <c r="P496" s="4" t="s">
        <v>2090</v>
      </c>
      <c r="Q496" s="4" t="s">
        <v>2021</v>
      </c>
      <c r="R496" s="4" t="s">
        <v>5278</v>
      </c>
      <c r="S496" s="4" t="s">
        <v>5279</v>
      </c>
      <c r="T496" s="4" t="s">
        <v>2067</v>
      </c>
      <c r="U496" s="4" t="s">
        <v>2768</v>
      </c>
      <c r="V496" s="4" t="s">
        <v>2067</v>
      </c>
      <c r="W496" s="4" t="s">
        <v>2069</v>
      </c>
    </row>
    <row r="497" spans="1:23" ht="20.100000000000001" customHeight="1" x14ac:dyDescent="0.25">
      <c r="A497" s="6" t="s">
        <v>5280</v>
      </c>
      <c r="B497" s="7" t="s">
        <v>2057</v>
      </c>
      <c r="C497" s="7" t="s">
        <v>5281</v>
      </c>
      <c r="D497" s="7" t="s">
        <v>2059</v>
      </c>
      <c r="E497" s="7" t="s">
        <v>1947</v>
      </c>
      <c r="F497" s="7" t="s">
        <v>1948</v>
      </c>
      <c r="G497" s="7" t="s">
        <v>2057</v>
      </c>
      <c r="H497" s="7" t="s">
        <v>5282</v>
      </c>
      <c r="I497" s="7" t="s">
        <v>2021</v>
      </c>
      <c r="J497" s="7" t="s">
        <v>5283</v>
      </c>
      <c r="K497" s="7" t="s">
        <v>5284</v>
      </c>
      <c r="L497" s="7" t="s">
        <v>5285</v>
      </c>
      <c r="M497" s="7" t="s">
        <v>2078</v>
      </c>
      <c r="N497" s="9">
        <v>46234</v>
      </c>
      <c r="O497" s="9">
        <v>46356</v>
      </c>
      <c r="P497" s="7" t="s">
        <v>2090</v>
      </c>
      <c r="Q497" s="7" t="s">
        <v>2021</v>
      </c>
      <c r="R497" s="7" t="s">
        <v>5286</v>
      </c>
      <c r="S497" s="7" t="s">
        <v>5287</v>
      </c>
      <c r="T497" s="7" t="s">
        <v>2067</v>
      </c>
      <c r="U497" s="7" t="s">
        <v>2768</v>
      </c>
      <c r="V497" s="7" t="s">
        <v>2067</v>
      </c>
      <c r="W497" s="7" t="s">
        <v>2082</v>
      </c>
    </row>
    <row r="498" spans="1:23" ht="20.100000000000001" customHeight="1" x14ac:dyDescent="0.25">
      <c r="A498" s="3" t="s">
        <v>1330</v>
      </c>
      <c r="B498" s="4" t="s">
        <v>2057</v>
      </c>
      <c r="C498" s="4" t="s">
        <v>5288</v>
      </c>
      <c r="D498" s="4" t="s">
        <v>2059</v>
      </c>
      <c r="E498" s="4" t="s">
        <v>1947</v>
      </c>
      <c r="F498" s="4" t="s">
        <v>1948</v>
      </c>
      <c r="G498" s="4" t="s">
        <v>2057</v>
      </c>
      <c r="H498" s="4" t="s">
        <v>5289</v>
      </c>
      <c r="I498" s="4" t="s">
        <v>2021</v>
      </c>
      <c r="J498" s="4" t="s">
        <v>5290</v>
      </c>
      <c r="K498" s="4" t="s">
        <v>5291</v>
      </c>
      <c r="L498" s="4" t="s">
        <v>5292</v>
      </c>
      <c r="M498" s="4" t="s">
        <v>2064</v>
      </c>
      <c r="N498" s="8">
        <v>44963</v>
      </c>
      <c r="O498" s="8"/>
      <c r="P498" s="4" t="s">
        <v>2090</v>
      </c>
      <c r="Q498" s="4" t="s">
        <v>2021</v>
      </c>
      <c r="R498" s="4" t="s">
        <v>5293</v>
      </c>
      <c r="S498" s="4" t="s">
        <v>5294</v>
      </c>
      <c r="T498" s="4" t="s">
        <v>2067</v>
      </c>
      <c r="U498" s="4" t="s">
        <v>2768</v>
      </c>
      <c r="V498" s="4" t="s">
        <v>2067</v>
      </c>
      <c r="W498" s="4" t="s">
        <v>2069</v>
      </c>
    </row>
    <row r="499" spans="1:23" ht="20.100000000000001" customHeight="1" x14ac:dyDescent="0.25">
      <c r="A499" s="6" t="s">
        <v>5295</v>
      </c>
      <c r="B499" s="7" t="s">
        <v>2057</v>
      </c>
      <c r="C499" s="7" t="s">
        <v>5296</v>
      </c>
      <c r="D499" s="7" t="s">
        <v>2059</v>
      </c>
      <c r="E499" s="7" t="s">
        <v>2111</v>
      </c>
      <c r="F499" s="7" t="s">
        <v>2112</v>
      </c>
      <c r="G499" s="7" t="s">
        <v>2057</v>
      </c>
      <c r="H499" s="7" t="s">
        <v>4662</v>
      </c>
      <c r="I499" s="7" t="s">
        <v>2021</v>
      </c>
      <c r="J499" s="7" t="s">
        <v>5297</v>
      </c>
      <c r="K499" s="7" t="s">
        <v>5298</v>
      </c>
      <c r="L499" s="7" t="s">
        <v>5299</v>
      </c>
      <c r="M499" s="7" t="s">
        <v>2078</v>
      </c>
      <c r="N499" s="9">
        <v>46234</v>
      </c>
      <c r="O499" s="9">
        <v>46356</v>
      </c>
      <c r="P499" s="7" t="s">
        <v>2112</v>
      </c>
      <c r="Q499" s="7" t="s">
        <v>2021</v>
      </c>
      <c r="R499" s="7" t="s">
        <v>2228</v>
      </c>
      <c r="S499" s="7" t="s">
        <v>5300</v>
      </c>
      <c r="T499" s="7" t="s">
        <v>2067</v>
      </c>
      <c r="U499" s="7" t="s">
        <v>2119</v>
      </c>
      <c r="V499" s="7" t="s">
        <v>2067</v>
      </c>
      <c r="W499" s="7" t="s">
        <v>2069</v>
      </c>
    </row>
    <row r="500" spans="1:23" ht="20.100000000000001" customHeight="1" x14ac:dyDescent="0.25">
      <c r="A500" s="3" t="s">
        <v>1334</v>
      </c>
      <c r="B500" s="4" t="s">
        <v>2057</v>
      </c>
      <c r="C500" s="4" t="s">
        <v>5301</v>
      </c>
      <c r="D500" s="4" t="s">
        <v>2059</v>
      </c>
      <c r="E500" s="4" t="s">
        <v>1947</v>
      </c>
      <c r="F500" s="4" t="s">
        <v>1948</v>
      </c>
      <c r="G500" s="4" t="s">
        <v>2057</v>
      </c>
      <c r="H500" s="4" t="s">
        <v>4662</v>
      </c>
      <c r="I500" s="4" t="s">
        <v>2021</v>
      </c>
      <c r="J500" s="4" t="s">
        <v>5302</v>
      </c>
      <c r="K500" s="4" t="s">
        <v>5303</v>
      </c>
      <c r="L500" s="4" t="s">
        <v>5304</v>
      </c>
      <c r="M500" s="4" t="s">
        <v>2064</v>
      </c>
      <c r="N500" s="8">
        <v>45992</v>
      </c>
      <c r="O500" s="8"/>
      <c r="P500" s="4" t="s">
        <v>2090</v>
      </c>
      <c r="Q500" s="4" t="s">
        <v>2021</v>
      </c>
      <c r="R500" s="4" t="s">
        <v>5305</v>
      </c>
      <c r="S500" s="4" t="s">
        <v>5306</v>
      </c>
      <c r="T500" s="4" t="s">
        <v>2067</v>
      </c>
      <c r="U500" s="4" t="s">
        <v>2768</v>
      </c>
      <c r="V500" s="4" t="s">
        <v>2067</v>
      </c>
      <c r="W500" s="4" t="s">
        <v>2069</v>
      </c>
    </row>
    <row r="501" spans="1:23" ht="20.100000000000001" customHeight="1" x14ac:dyDescent="0.25">
      <c r="A501" s="6" t="s">
        <v>38</v>
      </c>
      <c r="B501" s="7" t="s">
        <v>2057</v>
      </c>
      <c r="C501" s="7" t="s">
        <v>5307</v>
      </c>
      <c r="D501" s="7" t="s">
        <v>2059</v>
      </c>
      <c r="E501" s="7" t="s">
        <v>2673</v>
      </c>
      <c r="F501" s="7" t="s">
        <v>2674</v>
      </c>
      <c r="G501" s="7" t="s">
        <v>2057</v>
      </c>
      <c r="H501" s="7" t="s">
        <v>5229</v>
      </c>
      <c r="I501" s="7" t="s">
        <v>2021</v>
      </c>
      <c r="J501" s="7" t="s">
        <v>5308</v>
      </c>
      <c r="K501" s="7" t="s">
        <v>5309</v>
      </c>
      <c r="L501" s="7" t="s">
        <v>5310</v>
      </c>
      <c r="M501" s="7" t="s">
        <v>3316</v>
      </c>
      <c r="N501" s="9">
        <v>45687</v>
      </c>
      <c r="O501" s="9">
        <v>46356</v>
      </c>
      <c r="P501" s="7" t="s">
        <v>2674</v>
      </c>
      <c r="Q501" s="7" t="s">
        <v>2021</v>
      </c>
      <c r="R501" s="7" t="s">
        <v>5311</v>
      </c>
      <c r="S501" s="7" t="s">
        <v>5312</v>
      </c>
      <c r="T501" s="7" t="s">
        <v>2067</v>
      </c>
      <c r="U501" s="7" t="s">
        <v>2680</v>
      </c>
      <c r="V501" s="7" t="s">
        <v>2067</v>
      </c>
      <c r="W501" s="7" t="s">
        <v>2069</v>
      </c>
    </row>
    <row r="502" spans="1:23" ht="20.100000000000001" customHeight="1" x14ac:dyDescent="0.25">
      <c r="A502" s="3" t="s">
        <v>5313</v>
      </c>
      <c r="B502" s="4" t="s">
        <v>2057</v>
      </c>
      <c r="C502" s="4" t="s">
        <v>5314</v>
      </c>
      <c r="D502" s="4" t="s">
        <v>2059</v>
      </c>
      <c r="E502" s="4" t="s">
        <v>2189</v>
      </c>
      <c r="F502" s="4" t="s">
        <v>2190</v>
      </c>
      <c r="G502" s="4" t="s">
        <v>2057</v>
      </c>
      <c r="H502" s="4" t="s">
        <v>4662</v>
      </c>
      <c r="I502" s="4" t="s">
        <v>2021</v>
      </c>
      <c r="J502" s="4" t="s">
        <v>5315</v>
      </c>
      <c r="K502" s="4" t="s">
        <v>5316</v>
      </c>
      <c r="L502" s="4" t="s">
        <v>5317</v>
      </c>
      <c r="M502" s="4" t="s">
        <v>2064</v>
      </c>
      <c r="N502" s="8">
        <v>45687</v>
      </c>
      <c r="O502" s="8"/>
      <c r="P502" s="4" t="s">
        <v>2195</v>
      </c>
      <c r="Q502" s="4" t="s">
        <v>2021</v>
      </c>
      <c r="R502" s="4" t="s">
        <v>5318</v>
      </c>
      <c r="S502" s="4" t="s">
        <v>5319</v>
      </c>
      <c r="T502" s="4" t="s">
        <v>2067</v>
      </c>
      <c r="U502" s="4" t="s">
        <v>2198</v>
      </c>
      <c r="V502" s="4" t="s">
        <v>2067</v>
      </c>
      <c r="W502" s="4" t="s">
        <v>2069</v>
      </c>
    </row>
    <row r="503" spans="1:23" ht="20.100000000000001" customHeight="1" x14ac:dyDescent="0.25">
      <c r="A503" s="6" t="s">
        <v>1292</v>
      </c>
      <c r="B503" s="7" t="s">
        <v>2057</v>
      </c>
      <c r="C503" s="7" t="s">
        <v>5320</v>
      </c>
      <c r="D503" s="7" t="s">
        <v>2059</v>
      </c>
      <c r="E503" s="7" t="s">
        <v>1947</v>
      </c>
      <c r="F503" s="7" t="s">
        <v>1948</v>
      </c>
      <c r="G503" s="7" t="s">
        <v>2057</v>
      </c>
      <c r="H503" s="7" t="s">
        <v>4662</v>
      </c>
      <c r="I503" s="7" t="s">
        <v>2021</v>
      </c>
      <c r="J503" s="7" t="s">
        <v>5321</v>
      </c>
      <c r="K503" s="7" t="s">
        <v>5322</v>
      </c>
      <c r="L503" s="7" t="s">
        <v>5323</v>
      </c>
      <c r="M503" s="7" t="s">
        <v>2064</v>
      </c>
      <c r="N503" s="9">
        <v>46052</v>
      </c>
      <c r="O503" s="9"/>
      <c r="P503" s="7" t="s">
        <v>2090</v>
      </c>
      <c r="Q503" s="7" t="s">
        <v>2021</v>
      </c>
      <c r="R503" s="7" t="s">
        <v>5324</v>
      </c>
      <c r="S503" s="7" t="s">
        <v>5325</v>
      </c>
      <c r="T503" s="7" t="s">
        <v>2067</v>
      </c>
      <c r="U503" s="7" t="s">
        <v>2768</v>
      </c>
      <c r="V503" s="7" t="s">
        <v>2067</v>
      </c>
      <c r="W503" s="7" t="s">
        <v>2069</v>
      </c>
    </row>
    <row r="504" spans="1:23" ht="20.100000000000001" customHeight="1" x14ac:dyDescent="0.25">
      <c r="A504" s="3" t="s">
        <v>1104</v>
      </c>
      <c r="B504" s="4" t="s">
        <v>2057</v>
      </c>
      <c r="C504" s="4" t="s">
        <v>5326</v>
      </c>
      <c r="D504" s="4" t="s">
        <v>2059</v>
      </c>
      <c r="E504" s="4" t="s">
        <v>1947</v>
      </c>
      <c r="F504" s="4" t="s">
        <v>1948</v>
      </c>
      <c r="G504" s="4" t="s">
        <v>2057</v>
      </c>
      <c r="H504" s="4" t="s">
        <v>2020</v>
      </c>
      <c r="I504" s="4" t="s">
        <v>2021</v>
      </c>
      <c r="J504" s="4" t="s">
        <v>5327</v>
      </c>
      <c r="K504" s="4" t="s">
        <v>5328</v>
      </c>
      <c r="L504" s="4" t="s">
        <v>5329</v>
      </c>
      <c r="M504" s="4" t="s">
        <v>2064</v>
      </c>
      <c r="N504" s="8">
        <v>46052</v>
      </c>
      <c r="O504" s="8"/>
      <c r="P504" s="4" t="s">
        <v>2090</v>
      </c>
      <c r="Q504" s="4" t="s">
        <v>2021</v>
      </c>
      <c r="R504" s="4" t="s">
        <v>5330</v>
      </c>
      <c r="S504" s="4" t="s">
        <v>5331</v>
      </c>
      <c r="T504" s="4" t="s">
        <v>2067</v>
      </c>
      <c r="U504" s="4" t="s">
        <v>2768</v>
      </c>
      <c r="V504" s="4" t="s">
        <v>2067</v>
      </c>
      <c r="W504" s="4" t="s">
        <v>2069</v>
      </c>
    </row>
    <row r="505" spans="1:23" ht="20.100000000000001" customHeight="1" x14ac:dyDescent="0.25">
      <c r="A505" s="6" t="s">
        <v>1318</v>
      </c>
      <c r="B505" s="7" t="s">
        <v>2057</v>
      </c>
      <c r="C505" s="7" t="s">
        <v>5332</v>
      </c>
      <c r="D505" s="7" t="s">
        <v>2059</v>
      </c>
      <c r="E505" s="7" t="s">
        <v>1947</v>
      </c>
      <c r="F505" s="7" t="s">
        <v>1948</v>
      </c>
      <c r="G505" s="7" t="s">
        <v>2057</v>
      </c>
      <c r="H505" s="7" t="s">
        <v>2020</v>
      </c>
      <c r="I505" s="7" t="s">
        <v>2021</v>
      </c>
      <c r="J505" s="7" t="s">
        <v>5333</v>
      </c>
      <c r="K505" s="7" t="s">
        <v>5334</v>
      </c>
      <c r="L505" s="7" t="s">
        <v>5335</v>
      </c>
      <c r="M505" s="7" t="s">
        <v>2064</v>
      </c>
      <c r="N505" s="9">
        <v>45687</v>
      </c>
      <c r="O505" s="9"/>
      <c r="P505" s="7" t="s">
        <v>2090</v>
      </c>
      <c r="Q505" s="7" t="s">
        <v>2021</v>
      </c>
      <c r="R505" s="7" t="s">
        <v>5336</v>
      </c>
      <c r="S505" s="7" t="s">
        <v>5337</v>
      </c>
      <c r="T505" s="7" t="s">
        <v>2067</v>
      </c>
      <c r="U505" s="7" t="s">
        <v>2768</v>
      </c>
      <c r="V505" s="7" t="s">
        <v>2067</v>
      </c>
      <c r="W505" s="7" t="s">
        <v>2069</v>
      </c>
    </row>
    <row r="506" spans="1:23" ht="20.100000000000001" customHeight="1" x14ac:dyDescent="0.25">
      <c r="A506" s="3" t="s">
        <v>5338</v>
      </c>
      <c r="B506" s="4" t="s">
        <v>2057</v>
      </c>
      <c r="C506" s="4" t="s">
        <v>5339</v>
      </c>
      <c r="D506" s="4" t="s">
        <v>2059</v>
      </c>
      <c r="E506" s="4" t="s">
        <v>2673</v>
      </c>
      <c r="F506" s="4" t="s">
        <v>2674</v>
      </c>
      <c r="G506" s="4" t="s">
        <v>2057</v>
      </c>
      <c r="H506" s="4" t="s">
        <v>4662</v>
      </c>
      <c r="I506" s="4" t="s">
        <v>2021</v>
      </c>
      <c r="J506" s="4" t="s">
        <v>5340</v>
      </c>
      <c r="K506" s="4" t="s">
        <v>5341</v>
      </c>
      <c r="L506" s="4" t="s">
        <v>5342</v>
      </c>
      <c r="M506" s="4" t="s">
        <v>2078</v>
      </c>
      <c r="N506" s="8">
        <v>46234</v>
      </c>
      <c r="O506" s="8">
        <v>46356</v>
      </c>
      <c r="P506" s="4" t="s">
        <v>2674</v>
      </c>
      <c r="Q506" s="4" t="s">
        <v>2021</v>
      </c>
      <c r="R506" s="4" t="s">
        <v>5343</v>
      </c>
      <c r="S506" s="4" t="s">
        <v>5344</v>
      </c>
      <c r="T506" s="4" t="s">
        <v>2067</v>
      </c>
      <c r="U506" s="4" t="s">
        <v>2680</v>
      </c>
      <c r="V506" s="4" t="s">
        <v>2067</v>
      </c>
      <c r="W506" s="4" t="s">
        <v>2069</v>
      </c>
    </row>
    <row r="507" spans="1:23" ht="20.100000000000001" customHeight="1" x14ac:dyDescent="0.25">
      <c r="A507" s="6" t="s">
        <v>1326</v>
      </c>
      <c r="B507" s="7" t="s">
        <v>2057</v>
      </c>
      <c r="C507" s="7" t="s">
        <v>5345</v>
      </c>
      <c r="D507" s="7" t="s">
        <v>2059</v>
      </c>
      <c r="E507" s="7" t="s">
        <v>1947</v>
      </c>
      <c r="F507" s="7" t="s">
        <v>1948</v>
      </c>
      <c r="G507" s="7" t="s">
        <v>2057</v>
      </c>
      <c r="H507" s="7" t="s">
        <v>4662</v>
      </c>
      <c r="I507" s="7" t="s">
        <v>2021</v>
      </c>
      <c r="J507" s="7" t="s">
        <v>5346</v>
      </c>
      <c r="K507" s="7" t="s">
        <v>5347</v>
      </c>
      <c r="L507" s="7" t="s">
        <v>5348</v>
      </c>
      <c r="M507" s="7" t="s">
        <v>2064</v>
      </c>
      <c r="N507" s="9">
        <v>45687</v>
      </c>
      <c r="O507" s="9"/>
      <c r="P507" s="7" t="s">
        <v>2090</v>
      </c>
      <c r="Q507" s="7" t="s">
        <v>2021</v>
      </c>
      <c r="R507" s="7" t="s">
        <v>5349</v>
      </c>
      <c r="S507" s="7" t="s">
        <v>5350</v>
      </c>
      <c r="T507" s="7" t="s">
        <v>2067</v>
      </c>
      <c r="U507" s="7" t="s">
        <v>2768</v>
      </c>
      <c r="V507" s="7" t="s">
        <v>2067</v>
      </c>
      <c r="W507" s="7" t="s">
        <v>2069</v>
      </c>
    </row>
    <row r="508" spans="1:23" ht="20.100000000000001" customHeight="1" x14ac:dyDescent="0.25">
      <c r="A508" s="3" t="s">
        <v>5351</v>
      </c>
      <c r="B508" s="4" t="s">
        <v>2057</v>
      </c>
      <c r="C508" s="4" t="s">
        <v>5352</v>
      </c>
      <c r="D508" s="4" t="s">
        <v>2059</v>
      </c>
      <c r="E508" s="4" t="s">
        <v>1947</v>
      </c>
      <c r="F508" s="4" t="s">
        <v>1948</v>
      </c>
      <c r="G508" s="4" t="s">
        <v>2057</v>
      </c>
      <c r="H508" s="4" t="s">
        <v>4662</v>
      </c>
      <c r="I508" s="4" t="s">
        <v>2021</v>
      </c>
      <c r="J508" s="4" t="s">
        <v>5353</v>
      </c>
      <c r="K508" s="4" t="s">
        <v>5354</v>
      </c>
      <c r="L508" s="4" t="s">
        <v>5355</v>
      </c>
      <c r="M508" s="4" t="s">
        <v>2078</v>
      </c>
      <c r="N508" s="8">
        <v>46234</v>
      </c>
      <c r="O508" s="8">
        <v>46356</v>
      </c>
      <c r="P508" s="4" t="s">
        <v>2090</v>
      </c>
      <c r="Q508" s="4" t="s">
        <v>2021</v>
      </c>
      <c r="R508" s="4" t="s">
        <v>5356</v>
      </c>
      <c r="S508" s="4" t="s">
        <v>5357</v>
      </c>
      <c r="T508" s="4" t="s">
        <v>2067</v>
      </c>
      <c r="U508" s="4" t="s">
        <v>2768</v>
      </c>
      <c r="V508" s="4" t="s">
        <v>2067</v>
      </c>
      <c r="W508" s="4" t="s">
        <v>2069</v>
      </c>
    </row>
    <row r="509" spans="1:23" ht="20.100000000000001" customHeight="1" x14ac:dyDescent="0.25">
      <c r="A509" s="6" t="s">
        <v>594</v>
      </c>
      <c r="B509" s="7" t="s">
        <v>2057</v>
      </c>
      <c r="C509" s="7" t="s">
        <v>5358</v>
      </c>
      <c r="D509" s="7" t="s">
        <v>2059</v>
      </c>
      <c r="E509" s="7" t="s">
        <v>1952</v>
      </c>
      <c r="F509" s="7" t="s">
        <v>1953</v>
      </c>
      <c r="G509" s="7" t="s">
        <v>2057</v>
      </c>
      <c r="H509" s="7" t="s">
        <v>4662</v>
      </c>
      <c r="I509" s="7" t="s">
        <v>2021</v>
      </c>
      <c r="J509" s="7" t="s">
        <v>5359</v>
      </c>
      <c r="K509" s="7" t="s">
        <v>5360</v>
      </c>
      <c r="L509" s="7" t="s">
        <v>5361</v>
      </c>
      <c r="M509" s="7" t="s">
        <v>2064</v>
      </c>
      <c r="N509" s="9">
        <v>45687</v>
      </c>
      <c r="O509" s="9"/>
      <c r="P509" s="7" t="s">
        <v>1953</v>
      </c>
      <c r="Q509" s="7" t="s">
        <v>2021</v>
      </c>
      <c r="R509" s="7" t="s">
        <v>5362</v>
      </c>
      <c r="S509" s="7" t="s">
        <v>5363</v>
      </c>
      <c r="T509" s="7" t="s">
        <v>2067</v>
      </c>
      <c r="U509" s="7" t="s">
        <v>2358</v>
      </c>
      <c r="V509" s="7" t="s">
        <v>2067</v>
      </c>
      <c r="W509" s="7" t="s">
        <v>2069</v>
      </c>
    </row>
    <row r="510" spans="1:23" ht="20.100000000000001" customHeight="1" x14ac:dyDescent="0.25">
      <c r="A510" s="3" t="s">
        <v>5364</v>
      </c>
      <c r="B510" s="4" t="s">
        <v>2057</v>
      </c>
      <c r="C510" s="4" t="s">
        <v>5365</v>
      </c>
      <c r="D510" s="4" t="s">
        <v>2059</v>
      </c>
      <c r="E510" s="4" t="s">
        <v>2673</v>
      </c>
      <c r="F510" s="4" t="s">
        <v>2674</v>
      </c>
      <c r="G510" s="4" t="s">
        <v>2057</v>
      </c>
      <c r="H510" s="4" t="s">
        <v>4662</v>
      </c>
      <c r="I510" s="4" t="s">
        <v>2021</v>
      </c>
      <c r="J510" s="4" t="s">
        <v>5366</v>
      </c>
      <c r="K510" s="4" t="s">
        <v>5367</v>
      </c>
      <c r="L510" s="4" t="s">
        <v>5368</v>
      </c>
      <c r="M510" s="4" t="s">
        <v>2078</v>
      </c>
      <c r="N510" s="8">
        <v>46234</v>
      </c>
      <c r="O510" s="8">
        <v>46356</v>
      </c>
      <c r="P510" s="4" t="s">
        <v>2674</v>
      </c>
      <c r="Q510" s="4" t="s">
        <v>2021</v>
      </c>
      <c r="R510" s="4" t="s">
        <v>5369</v>
      </c>
      <c r="S510" s="4" t="s">
        <v>5370</v>
      </c>
      <c r="T510" s="4" t="s">
        <v>2067</v>
      </c>
      <c r="U510" s="4" t="s">
        <v>2680</v>
      </c>
      <c r="V510" s="4" t="s">
        <v>2067</v>
      </c>
      <c r="W510" s="4" t="s">
        <v>2069</v>
      </c>
    </row>
    <row r="511" spans="1:23" ht="20.100000000000001" customHeight="1" x14ac:dyDescent="0.25">
      <c r="A511" s="6" t="s">
        <v>1106</v>
      </c>
      <c r="B511" s="7" t="s">
        <v>2057</v>
      </c>
      <c r="C511" s="7" t="s">
        <v>5371</v>
      </c>
      <c r="D511" s="7" t="s">
        <v>2059</v>
      </c>
      <c r="E511" s="7" t="s">
        <v>1947</v>
      </c>
      <c r="F511" s="7" t="s">
        <v>1948</v>
      </c>
      <c r="G511" s="7" t="s">
        <v>2057</v>
      </c>
      <c r="H511" s="7" t="s">
        <v>2020</v>
      </c>
      <c r="I511" s="7" t="s">
        <v>2021</v>
      </c>
      <c r="J511" s="7" t="s">
        <v>5372</v>
      </c>
      <c r="K511" s="7" t="s">
        <v>5373</v>
      </c>
      <c r="L511" s="7" t="s">
        <v>5374</v>
      </c>
      <c r="M511" s="7" t="s">
        <v>2064</v>
      </c>
      <c r="N511" s="9">
        <v>46052</v>
      </c>
      <c r="O511" s="9"/>
      <c r="P511" s="7" t="s">
        <v>2090</v>
      </c>
      <c r="Q511" s="7" t="s">
        <v>2021</v>
      </c>
      <c r="R511" s="7" t="s">
        <v>5375</v>
      </c>
      <c r="S511" s="7" t="s">
        <v>5376</v>
      </c>
      <c r="T511" s="7" t="s">
        <v>2067</v>
      </c>
      <c r="U511" s="7" t="s">
        <v>2768</v>
      </c>
      <c r="V511" s="7" t="s">
        <v>2067</v>
      </c>
      <c r="W511" s="7" t="s">
        <v>2069</v>
      </c>
    </row>
    <row r="512" spans="1:23" ht="20.100000000000001" customHeight="1" x14ac:dyDescent="0.25">
      <c r="A512" s="3" t="s">
        <v>1190</v>
      </c>
      <c r="B512" s="4" t="s">
        <v>2057</v>
      </c>
      <c r="C512" s="4" t="s">
        <v>5377</v>
      </c>
      <c r="D512" s="4" t="s">
        <v>2059</v>
      </c>
      <c r="E512" s="4" t="s">
        <v>1947</v>
      </c>
      <c r="F512" s="4" t="s">
        <v>1948</v>
      </c>
      <c r="G512" s="4" t="s">
        <v>2057</v>
      </c>
      <c r="H512" s="4" t="s">
        <v>2020</v>
      </c>
      <c r="I512" s="4" t="s">
        <v>2021</v>
      </c>
      <c r="J512" s="4" t="s">
        <v>5378</v>
      </c>
      <c r="K512" s="4" t="s">
        <v>5379</v>
      </c>
      <c r="L512" s="4" t="s">
        <v>5380</v>
      </c>
      <c r="M512" s="4" t="s">
        <v>2078</v>
      </c>
      <c r="N512" s="8">
        <v>46234</v>
      </c>
      <c r="O512" s="8">
        <v>46356</v>
      </c>
      <c r="P512" s="4" t="s">
        <v>2090</v>
      </c>
      <c r="Q512" s="4" t="s">
        <v>2021</v>
      </c>
      <c r="R512" s="4" t="s">
        <v>5381</v>
      </c>
      <c r="S512" s="4" t="s">
        <v>5382</v>
      </c>
      <c r="T512" s="4" t="s">
        <v>2067</v>
      </c>
      <c r="U512" s="4" t="s">
        <v>2768</v>
      </c>
      <c r="V512" s="4" t="s">
        <v>2067</v>
      </c>
      <c r="W512" s="4" t="s">
        <v>2069</v>
      </c>
    </row>
    <row r="513" spans="1:23" ht="20.100000000000001" customHeight="1" x14ac:dyDescent="0.25">
      <c r="A513" s="6" t="s">
        <v>5383</v>
      </c>
      <c r="B513" s="7" t="s">
        <v>2057</v>
      </c>
      <c r="C513" s="7" t="s">
        <v>5384</v>
      </c>
      <c r="D513" s="7" t="s">
        <v>2059</v>
      </c>
      <c r="E513" s="7" t="s">
        <v>2189</v>
      </c>
      <c r="F513" s="7" t="s">
        <v>2190</v>
      </c>
      <c r="G513" s="7" t="s">
        <v>2057</v>
      </c>
      <c r="H513" s="7" t="s">
        <v>2020</v>
      </c>
      <c r="I513" s="7" t="s">
        <v>2021</v>
      </c>
      <c r="J513" s="7" t="s">
        <v>5385</v>
      </c>
      <c r="K513" s="7" t="s">
        <v>5386</v>
      </c>
      <c r="L513" s="7" t="s">
        <v>5387</v>
      </c>
      <c r="M513" s="7" t="s">
        <v>2064</v>
      </c>
      <c r="N513" s="9">
        <v>45509</v>
      </c>
      <c r="O513" s="9"/>
      <c r="P513" s="7" t="s">
        <v>2195</v>
      </c>
      <c r="Q513" s="7" t="s">
        <v>2021</v>
      </c>
      <c r="R513" s="7" t="s">
        <v>5388</v>
      </c>
      <c r="S513" s="7" t="s">
        <v>5389</v>
      </c>
      <c r="T513" s="7" t="s">
        <v>2067</v>
      </c>
      <c r="U513" s="7" t="s">
        <v>2198</v>
      </c>
      <c r="V513" s="7" t="s">
        <v>2067</v>
      </c>
      <c r="W513" s="7" t="s">
        <v>2069</v>
      </c>
    </row>
    <row r="514" spans="1:23" ht="20.100000000000001" customHeight="1" x14ac:dyDescent="0.25">
      <c r="A514" s="3" t="s">
        <v>1438</v>
      </c>
      <c r="B514" s="4" t="s">
        <v>2057</v>
      </c>
      <c r="C514" s="4" t="s">
        <v>5390</v>
      </c>
      <c r="D514" s="4" t="s">
        <v>2059</v>
      </c>
      <c r="E514" s="4" t="s">
        <v>1947</v>
      </c>
      <c r="F514" s="4" t="s">
        <v>1948</v>
      </c>
      <c r="G514" s="4" t="s">
        <v>2057</v>
      </c>
      <c r="H514" s="4" t="s">
        <v>2020</v>
      </c>
      <c r="I514" s="4" t="s">
        <v>2021</v>
      </c>
      <c r="J514" s="4" t="s">
        <v>5391</v>
      </c>
      <c r="K514" s="4" t="s">
        <v>5392</v>
      </c>
      <c r="L514" s="4" t="s">
        <v>5393</v>
      </c>
      <c r="M514" s="4" t="s">
        <v>2064</v>
      </c>
      <c r="N514" s="8">
        <v>45509</v>
      </c>
      <c r="O514" s="8"/>
      <c r="P514" s="4" t="s">
        <v>2090</v>
      </c>
      <c r="Q514" s="4" t="s">
        <v>2021</v>
      </c>
      <c r="R514" s="4" t="s">
        <v>5394</v>
      </c>
      <c r="S514" s="4" t="s">
        <v>5395</v>
      </c>
      <c r="T514" s="4" t="s">
        <v>2067</v>
      </c>
      <c r="U514" s="4" t="s">
        <v>2768</v>
      </c>
      <c r="V514" s="4" t="s">
        <v>2067</v>
      </c>
      <c r="W514" s="4" t="s">
        <v>2069</v>
      </c>
    </row>
    <row r="515" spans="1:23" ht="20.100000000000001" customHeight="1" x14ac:dyDescent="0.25">
      <c r="A515" s="6" t="s">
        <v>1108</v>
      </c>
      <c r="B515" s="7" t="s">
        <v>2057</v>
      </c>
      <c r="C515" s="7" t="s">
        <v>5396</v>
      </c>
      <c r="D515" s="7" t="s">
        <v>2059</v>
      </c>
      <c r="E515" s="7" t="s">
        <v>1947</v>
      </c>
      <c r="F515" s="7" t="s">
        <v>1948</v>
      </c>
      <c r="G515" s="7" t="s">
        <v>2057</v>
      </c>
      <c r="H515" s="7" t="s">
        <v>5229</v>
      </c>
      <c r="I515" s="7" t="s">
        <v>2021</v>
      </c>
      <c r="J515" s="7" t="s">
        <v>5397</v>
      </c>
      <c r="K515" s="7" t="s">
        <v>5398</v>
      </c>
      <c r="L515" s="7" t="s">
        <v>5399</v>
      </c>
      <c r="M515" s="7" t="s">
        <v>2064</v>
      </c>
      <c r="N515" s="9">
        <v>46052</v>
      </c>
      <c r="O515" s="9"/>
      <c r="P515" s="7" t="s">
        <v>2090</v>
      </c>
      <c r="Q515" s="7" t="s">
        <v>2021</v>
      </c>
      <c r="R515" s="7" t="s">
        <v>5400</v>
      </c>
      <c r="S515" s="7" t="s">
        <v>5401</v>
      </c>
      <c r="T515" s="7" t="s">
        <v>2067</v>
      </c>
      <c r="U515" s="7" t="s">
        <v>2768</v>
      </c>
      <c r="V515" s="7" t="s">
        <v>2067</v>
      </c>
      <c r="W515" s="7" t="s">
        <v>2069</v>
      </c>
    </row>
    <row r="516" spans="1:23" ht="20.100000000000001" customHeight="1" x14ac:dyDescent="0.25">
      <c r="A516" s="3" t="s">
        <v>5402</v>
      </c>
      <c r="B516" s="4" t="s">
        <v>2057</v>
      </c>
      <c r="C516" s="4" t="s">
        <v>5403</v>
      </c>
      <c r="D516" s="4" t="s">
        <v>2059</v>
      </c>
      <c r="E516" s="4" t="s">
        <v>2111</v>
      </c>
      <c r="F516" s="4" t="s">
        <v>2112</v>
      </c>
      <c r="G516" s="4" t="s">
        <v>2057</v>
      </c>
      <c r="H516" s="4" t="s">
        <v>4662</v>
      </c>
      <c r="I516" s="4" t="s">
        <v>2021</v>
      </c>
      <c r="J516" s="4" t="s">
        <v>5404</v>
      </c>
      <c r="K516" s="4" t="s">
        <v>5405</v>
      </c>
      <c r="L516" s="4" t="s">
        <v>5406</v>
      </c>
      <c r="M516" s="4" t="s">
        <v>2078</v>
      </c>
      <c r="N516" s="8">
        <v>46234</v>
      </c>
      <c r="O516" s="8">
        <v>46356</v>
      </c>
      <c r="P516" s="4" t="s">
        <v>2112</v>
      </c>
      <c r="Q516" s="4" t="s">
        <v>2021</v>
      </c>
      <c r="R516" s="4" t="s">
        <v>5407</v>
      </c>
      <c r="S516" s="4" t="s">
        <v>5408</v>
      </c>
      <c r="T516" s="4" t="s">
        <v>2067</v>
      </c>
      <c r="U516" s="4" t="s">
        <v>2119</v>
      </c>
      <c r="V516" s="4" t="s">
        <v>2067</v>
      </c>
      <c r="W516" s="4" t="s">
        <v>2069</v>
      </c>
    </row>
    <row r="517" spans="1:23" ht="20.100000000000001" customHeight="1" x14ac:dyDescent="0.25">
      <c r="A517" s="6" t="s">
        <v>1210</v>
      </c>
      <c r="B517" s="7" t="s">
        <v>2057</v>
      </c>
      <c r="C517" s="7" t="s">
        <v>5409</v>
      </c>
      <c r="D517" s="7" t="s">
        <v>2059</v>
      </c>
      <c r="E517" s="7" t="s">
        <v>1947</v>
      </c>
      <c r="F517" s="7" t="s">
        <v>1948</v>
      </c>
      <c r="G517" s="7" t="s">
        <v>2057</v>
      </c>
      <c r="H517" s="7" t="s">
        <v>5410</v>
      </c>
      <c r="I517" s="7" t="s">
        <v>2021</v>
      </c>
      <c r="J517" s="7" t="s">
        <v>5411</v>
      </c>
      <c r="K517" s="7" t="s">
        <v>5412</v>
      </c>
      <c r="L517" s="7" t="s">
        <v>5413</v>
      </c>
      <c r="M517" s="7" t="s">
        <v>2064</v>
      </c>
      <c r="N517" s="9">
        <v>42387</v>
      </c>
      <c r="O517" s="9"/>
      <c r="P517" s="7" t="s">
        <v>2090</v>
      </c>
      <c r="Q517" s="7" t="s">
        <v>2021</v>
      </c>
      <c r="R517" s="7" t="s">
        <v>5414</v>
      </c>
      <c r="S517" s="7" t="s">
        <v>5415</v>
      </c>
      <c r="T517" s="7" t="s">
        <v>2067</v>
      </c>
      <c r="U517" s="7" t="s">
        <v>2768</v>
      </c>
      <c r="V517" s="7" t="s">
        <v>2067</v>
      </c>
      <c r="W517" s="7" t="s">
        <v>2069</v>
      </c>
    </row>
    <row r="518" spans="1:23" ht="20.100000000000001" customHeight="1" x14ac:dyDescent="0.25">
      <c r="A518" s="3" t="s">
        <v>5416</v>
      </c>
      <c r="B518" s="4" t="s">
        <v>2057</v>
      </c>
      <c r="C518" s="4" t="s">
        <v>5417</v>
      </c>
      <c r="D518" s="4" t="s">
        <v>2059</v>
      </c>
      <c r="E518" s="4" t="s">
        <v>2189</v>
      </c>
      <c r="F518" s="4" t="s">
        <v>2190</v>
      </c>
      <c r="G518" s="4" t="s">
        <v>2057</v>
      </c>
      <c r="H518" s="4" t="s">
        <v>4662</v>
      </c>
      <c r="I518" s="4" t="s">
        <v>2021</v>
      </c>
      <c r="J518" s="4" t="s">
        <v>5418</v>
      </c>
      <c r="K518" s="4" t="s">
        <v>5419</v>
      </c>
      <c r="L518" s="4" t="s">
        <v>5420</v>
      </c>
      <c r="M518" s="4" t="s">
        <v>2078</v>
      </c>
      <c r="N518" s="8">
        <v>46234</v>
      </c>
      <c r="O518" s="8">
        <v>46356</v>
      </c>
      <c r="P518" s="4" t="s">
        <v>2195</v>
      </c>
      <c r="Q518" s="4" t="s">
        <v>2021</v>
      </c>
      <c r="R518" s="4" t="s">
        <v>5421</v>
      </c>
      <c r="S518" s="4" t="s">
        <v>5422</v>
      </c>
      <c r="T518" s="4" t="s">
        <v>2067</v>
      </c>
      <c r="U518" s="4" t="s">
        <v>2198</v>
      </c>
      <c r="V518" s="4" t="s">
        <v>2067</v>
      </c>
      <c r="W518" s="4" t="s">
        <v>2069</v>
      </c>
    </row>
    <row r="519" spans="1:23" ht="20.100000000000001" customHeight="1" x14ac:dyDescent="0.25">
      <c r="A519" s="6" t="s">
        <v>514</v>
      </c>
      <c r="B519" s="7" t="s">
        <v>2057</v>
      </c>
      <c r="C519" s="7" t="s">
        <v>5423</v>
      </c>
      <c r="D519" s="7" t="s">
        <v>2059</v>
      </c>
      <c r="E519" s="7" t="s">
        <v>1952</v>
      </c>
      <c r="F519" s="7" t="s">
        <v>1953</v>
      </c>
      <c r="G519" s="7" t="s">
        <v>2057</v>
      </c>
      <c r="H519" s="7" t="s">
        <v>4662</v>
      </c>
      <c r="I519" s="7" t="s">
        <v>2021</v>
      </c>
      <c r="J519" s="7" t="s">
        <v>5424</v>
      </c>
      <c r="K519" s="7" t="s">
        <v>5425</v>
      </c>
      <c r="L519" s="7" t="s">
        <v>5426</v>
      </c>
      <c r="M519" s="7" t="s">
        <v>2078</v>
      </c>
      <c r="N519" s="9">
        <v>46234</v>
      </c>
      <c r="O519" s="9">
        <v>46356</v>
      </c>
      <c r="P519" s="7" t="s">
        <v>1953</v>
      </c>
      <c r="Q519" s="7" t="s">
        <v>2021</v>
      </c>
      <c r="R519" s="7" t="s">
        <v>5427</v>
      </c>
      <c r="S519" s="7" t="s">
        <v>5428</v>
      </c>
      <c r="T519" s="7" t="s">
        <v>2067</v>
      </c>
      <c r="U519" s="7" t="s">
        <v>2358</v>
      </c>
      <c r="V519" s="7" t="s">
        <v>2067</v>
      </c>
      <c r="W519" s="7" t="s">
        <v>2069</v>
      </c>
    </row>
    <row r="520" spans="1:23" ht="20.100000000000001" customHeight="1" x14ac:dyDescent="0.25">
      <c r="A520" s="3" t="s">
        <v>660</v>
      </c>
      <c r="B520" s="4" t="s">
        <v>2057</v>
      </c>
      <c r="C520" s="4" t="s">
        <v>5429</v>
      </c>
      <c r="D520" s="4" t="s">
        <v>2059</v>
      </c>
      <c r="E520" s="4" t="s">
        <v>2189</v>
      </c>
      <c r="F520" s="4" t="s">
        <v>2190</v>
      </c>
      <c r="G520" s="4" t="s">
        <v>2057</v>
      </c>
      <c r="H520" s="4" t="s">
        <v>4662</v>
      </c>
      <c r="I520" s="4" t="s">
        <v>2021</v>
      </c>
      <c r="J520" s="4" t="s">
        <v>5430</v>
      </c>
      <c r="K520" s="4" t="s">
        <v>5431</v>
      </c>
      <c r="L520" s="4" t="s">
        <v>5432</v>
      </c>
      <c r="M520" s="4" t="s">
        <v>2078</v>
      </c>
      <c r="N520" s="8">
        <v>46234</v>
      </c>
      <c r="O520" s="8">
        <v>46356</v>
      </c>
      <c r="P520" s="4" t="s">
        <v>2195</v>
      </c>
      <c r="Q520" s="4" t="s">
        <v>2021</v>
      </c>
      <c r="R520" s="4" t="s">
        <v>5433</v>
      </c>
      <c r="S520" s="4" t="s">
        <v>5434</v>
      </c>
      <c r="T520" s="4" t="s">
        <v>2067</v>
      </c>
      <c r="U520" s="4" t="s">
        <v>2198</v>
      </c>
      <c r="V520" s="4" t="s">
        <v>2067</v>
      </c>
      <c r="W520" s="4" t="s">
        <v>2069</v>
      </c>
    </row>
    <row r="521" spans="1:23" ht="20.100000000000001" customHeight="1" x14ac:dyDescent="0.25">
      <c r="A521" s="6" t="s">
        <v>5435</v>
      </c>
      <c r="B521" s="7" t="s">
        <v>2057</v>
      </c>
      <c r="C521" s="7" t="s">
        <v>5436</v>
      </c>
      <c r="D521" s="7" t="s">
        <v>2059</v>
      </c>
      <c r="E521" s="7" t="s">
        <v>2189</v>
      </c>
      <c r="F521" s="7" t="s">
        <v>2190</v>
      </c>
      <c r="G521" s="7" t="s">
        <v>2057</v>
      </c>
      <c r="H521" s="7" t="s">
        <v>4662</v>
      </c>
      <c r="I521" s="7" t="s">
        <v>2021</v>
      </c>
      <c r="J521" s="7" t="s">
        <v>5437</v>
      </c>
      <c r="K521" s="7" t="s">
        <v>5438</v>
      </c>
      <c r="L521" s="7" t="s">
        <v>5439</v>
      </c>
      <c r="M521" s="7" t="s">
        <v>2078</v>
      </c>
      <c r="N521" s="9">
        <v>46052</v>
      </c>
      <c r="O521" s="9">
        <v>46296</v>
      </c>
      <c r="P521" s="7" t="s">
        <v>2195</v>
      </c>
      <c r="Q521" s="7" t="s">
        <v>2021</v>
      </c>
      <c r="R521" s="7" t="s">
        <v>5440</v>
      </c>
      <c r="S521" s="7" t="s">
        <v>5441</v>
      </c>
      <c r="T521" s="7" t="s">
        <v>2067</v>
      </c>
      <c r="U521" s="7" t="s">
        <v>2198</v>
      </c>
      <c r="V521" s="7" t="s">
        <v>2067</v>
      </c>
      <c r="W521" s="7" t="s">
        <v>2069</v>
      </c>
    </row>
    <row r="522" spans="1:23" ht="20.100000000000001" customHeight="1" x14ac:dyDescent="0.25">
      <c r="A522" s="3" t="s">
        <v>5442</v>
      </c>
      <c r="B522" s="4" t="s">
        <v>2057</v>
      </c>
      <c r="C522" s="4" t="s">
        <v>5443</v>
      </c>
      <c r="D522" s="4" t="s">
        <v>2059</v>
      </c>
      <c r="E522" s="4" t="s">
        <v>2189</v>
      </c>
      <c r="F522" s="4" t="s">
        <v>2190</v>
      </c>
      <c r="G522" s="4" t="s">
        <v>2057</v>
      </c>
      <c r="H522" s="4" t="s">
        <v>4662</v>
      </c>
      <c r="I522" s="4" t="s">
        <v>2021</v>
      </c>
      <c r="J522" s="4" t="s">
        <v>5444</v>
      </c>
      <c r="K522" s="4" t="s">
        <v>5445</v>
      </c>
      <c r="L522" s="4" t="s">
        <v>5446</v>
      </c>
      <c r="M522" s="4" t="s">
        <v>2078</v>
      </c>
      <c r="N522" s="8">
        <v>46234</v>
      </c>
      <c r="O522" s="8">
        <v>46356</v>
      </c>
      <c r="P522" s="4" t="s">
        <v>2195</v>
      </c>
      <c r="Q522" s="4" t="s">
        <v>2021</v>
      </c>
      <c r="R522" s="4" t="s">
        <v>5447</v>
      </c>
      <c r="S522" s="4" t="s">
        <v>5448</v>
      </c>
      <c r="T522" s="4" t="s">
        <v>2067</v>
      </c>
      <c r="U522" s="4" t="s">
        <v>2198</v>
      </c>
      <c r="V522" s="4" t="s">
        <v>2067</v>
      </c>
      <c r="W522" s="4" t="s">
        <v>2069</v>
      </c>
    </row>
    <row r="523" spans="1:23" ht="20.100000000000001" customHeight="1" x14ac:dyDescent="0.25">
      <c r="A523" s="6" t="s">
        <v>5449</v>
      </c>
      <c r="B523" s="7" t="s">
        <v>2057</v>
      </c>
      <c r="C523" s="7" t="s">
        <v>5450</v>
      </c>
      <c r="D523" s="7" t="s">
        <v>2059</v>
      </c>
      <c r="E523" s="7" t="s">
        <v>2111</v>
      </c>
      <c r="F523" s="7" t="s">
        <v>2112</v>
      </c>
      <c r="G523" s="7" t="s">
        <v>2057</v>
      </c>
      <c r="H523" s="7" t="s">
        <v>4662</v>
      </c>
      <c r="I523" s="7" t="s">
        <v>2021</v>
      </c>
      <c r="J523" s="7" t="s">
        <v>5451</v>
      </c>
      <c r="K523" s="7" t="s">
        <v>5452</v>
      </c>
      <c r="L523" s="7" t="s">
        <v>5453</v>
      </c>
      <c r="M523" s="7" t="s">
        <v>2078</v>
      </c>
      <c r="N523" s="9">
        <v>46234</v>
      </c>
      <c r="O523" s="9">
        <v>46356</v>
      </c>
      <c r="P523" s="7" t="s">
        <v>2112</v>
      </c>
      <c r="Q523" s="7" t="s">
        <v>2021</v>
      </c>
      <c r="R523" s="7" t="s">
        <v>5454</v>
      </c>
      <c r="S523" s="7" t="s">
        <v>5455</v>
      </c>
      <c r="T523" s="7" t="s">
        <v>2067</v>
      </c>
      <c r="U523" s="7" t="s">
        <v>2119</v>
      </c>
      <c r="V523" s="7" t="s">
        <v>2067</v>
      </c>
      <c r="W523" s="7" t="s">
        <v>2069</v>
      </c>
    </row>
    <row r="524" spans="1:23" ht="20.100000000000001" customHeight="1" x14ac:dyDescent="0.25">
      <c r="A524" s="3" t="s">
        <v>1670</v>
      </c>
      <c r="B524" s="4" t="s">
        <v>2057</v>
      </c>
      <c r="C524" s="4" t="s">
        <v>5456</v>
      </c>
      <c r="D524" s="4" t="s">
        <v>2059</v>
      </c>
      <c r="E524" s="4" t="s">
        <v>1947</v>
      </c>
      <c r="F524" s="4" t="s">
        <v>1948</v>
      </c>
      <c r="G524" s="4" t="s">
        <v>2057</v>
      </c>
      <c r="H524" s="4" t="s">
        <v>4662</v>
      </c>
      <c r="I524" s="4" t="s">
        <v>2021</v>
      </c>
      <c r="J524" s="4" t="s">
        <v>5457</v>
      </c>
      <c r="K524" s="4" t="s">
        <v>5458</v>
      </c>
      <c r="L524" s="4" t="s">
        <v>5459</v>
      </c>
      <c r="M524" s="4" t="s">
        <v>2078</v>
      </c>
      <c r="N524" s="8">
        <v>46234</v>
      </c>
      <c r="O524" s="8">
        <v>46356</v>
      </c>
      <c r="P524" s="4" t="s">
        <v>2090</v>
      </c>
      <c r="Q524" s="4" t="s">
        <v>2021</v>
      </c>
      <c r="R524" s="4" t="s">
        <v>5460</v>
      </c>
      <c r="S524" s="4" t="s">
        <v>5461</v>
      </c>
      <c r="T524" s="4" t="s">
        <v>2067</v>
      </c>
      <c r="U524" s="4" t="s">
        <v>2768</v>
      </c>
      <c r="V524" s="4" t="s">
        <v>2067</v>
      </c>
      <c r="W524" s="4" t="s">
        <v>2069</v>
      </c>
    </row>
    <row r="525" spans="1:23" ht="20.100000000000001" customHeight="1" x14ac:dyDescent="0.25">
      <c r="A525" s="6" t="s">
        <v>5462</v>
      </c>
      <c r="B525" s="7" t="s">
        <v>2057</v>
      </c>
      <c r="C525" s="7" t="s">
        <v>5463</v>
      </c>
      <c r="D525" s="7" t="s">
        <v>2059</v>
      </c>
      <c r="E525" s="7" t="s">
        <v>2111</v>
      </c>
      <c r="F525" s="7" t="s">
        <v>2112</v>
      </c>
      <c r="G525" s="7" t="s">
        <v>2057</v>
      </c>
      <c r="H525" s="7" t="s">
        <v>4662</v>
      </c>
      <c r="I525" s="7" t="s">
        <v>2021</v>
      </c>
      <c r="J525" s="7" t="s">
        <v>5464</v>
      </c>
      <c r="K525" s="7" t="s">
        <v>5465</v>
      </c>
      <c r="L525" s="7" t="s">
        <v>5466</v>
      </c>
      <c r="M525" s="7" t="s">
        <v>2078</v>
      </c>
      <c r="N525" s="9">
        <v>46234</v>
      </c>
      <c r="O525" s="9">
        <v>46356</v>
      </c>
      <c r="P525" s="7" t="s">
        <v>2112</v>
      </c>
      <c r="Q525" s="7" t="s">
        <v>2021</v>
      </c>
      <c r="R525" s="7" t="s">
        <v>5467</v>
      </c>
      <c r="S525" s="7" t="s">
        <v>5468</v>
      </c>
      <c r="T525" s="7" t="s">
        <v>2067</v>
      </c>
      <c r="U525" s="7" t="s">
        <v>2119</v>
      </c>
      <c r="V525" s="7" t="s">
        <v>2067</v>
      </c>
      <c r="W525" s="7" t="s">
        <v>2069</v>
      </c>
    </row>
    <row r="526" spans="1:23" ht="20.100000000000001" customHeight="1" x14ac:dyDescent="0.25">
      <c r="A526" s="3" t="s">
        <v>5469</v>
      </c>
      <c r="B526" s="4" t="s">
        <v>2057</v>
      </c>
      <c r="C526" s="4" t="s">
        <v>5470</v>
      </c>
      <c r="D526" s="4" t="s">
        <v>2059</v>
      </c>
      <c r="E526" s="4" t="s">
        <v>2189</v>
      </c>
      <c r="F526" s="4" t="s">
        <v>2190</v>
      </c>
      <c r="G526" s="4" t="s">
        <v>2057</v>
      </c>
      <c r="H526" s="4" t="s">
        <v>4662</v>
      </c>
      <c r="I526" s="4" t="s">
        <v>2021</v>
      </c>
      <c r="J526" s="4" t="s">
        <v>5471</v>
      </c>
      <c r="K526" s="4" t="s">
        <v>5472</v>
      </c>
      <c r="L526" s="4" t="s">
        <v>5473</v>
      </c>
      <c r="M526" s="4" t="s">
        <v>2078</v>
      </c>
      <c r="N526" s="8">
        <v>46234</v>
      </c>
      <c r="O526" s="8">
        <v>46356</v>
      </c>
      <c r="P526" s="4" t="s">
        <v>2195</v>
      </c>
      <c r="Q526" s="4" t="s">
        <v>2021</v>
      </c>
      <c r="R526" s="4" t="s">
        <v>5474</v>
      </c>
      <c r="S526" s="4" t="s">
        <v>5475</v>
      </c>
      <c r="T526" s="4" t="s">
        <v>2067</v>
      </c>
      <c r="U526" s="4" t="s">
        <v>2198</v>
      </c>
      <c r="V526" s="4" t="s">
        <v>2067</v>
      </c>
      <c r="W526" s="4" t="s">
        <v>2069</v>
      </c>
    </row>
    <row r="527" spans="1:23" ht="20.100000000000001" customHeight="1" x14ac:dyDescent="0.25">
      <c r="A527" s="6" t="s">
        <v>5476</v>
      </c>
      <c r="B527" s="7" t="s">
        <v>2057</v>
      </c>
      <c r="C527" s="7" t="s">
        <v>5477</v>
      </c>
      <c r="D527" s="7" t="s">
        <v>2059</v>
      </c>
      <c r="E527" s="7" t="s">
        <v>2189</v>
      </c>
      <c r="F527" s="7" t="s">
        <v>2190</v>
      </c>
      <c r="G527" s="7" t="s">
        <v>2057</v>
      </c>
      <c r="H527" s="7" t="s">
        <v>4662</v>
      </c>
      <c r="I527" s="7" t="s">
        <v>2021</v>
      </c>
      <c r="J527" s="7" t="s">
        <v>5478</v>
      </c>
      <c r="K527" s="7" t="s">
        <v>5479</v>
      </c>
      <c r="L527" s="7" t="s">
        <v>5480</v>
      </c>
      <c r="M527" s="7" t="s">
        <v>2078</v>
      </c>
      <c r="N527" s="9">
        <v>46052</v>
      </c>
      <c r="O527" s="9">
        <v>46296</v>
      </c>
      <c r="P527" s="7" t="s">
        <v>2195</v>
      </c>
      <c r="Q527" s="7" t="s">
        <v>2021</v>
      </c>
      <c r="R527" s="7" t="s">
        <v>5481</v>
      </c>
      <c r="S527" s="7" t="s">
        <v>5482</v>
      </c>
      <c r="T527" s="7" t="s">
        <v>2067</v>
      </c>
      <c r="U527" s="7" t="s">
        <v>2198</v>
      </c>
      <c r="V527" s="7" t="s">
        <v>2067</v>
      </c>
      <c r="W527" s="7" t="s">
        <v>2069</v>
      </c>
    </row>
    <row r="528" spans="1:23" ht="20.100000000000001" customHeight="1" x14ac:dyDescent="0.25">
      <c r="A528" s="3" t="s">
        <v>1668</v>
      </c>
      <c r="B528" s="4" t="s">
        <v>2057</v>
      </c>
      <c r="C528" s="4" t="s">
        <v>5483</v>
      </c>
      <c r="D528" s="4" t="s">
        <v>2059</v>
      </c>
      <c r="E528" s="4" t="s">
        <v>1947</v>
      </c>
      <c r="F528" s="4" t="s">
        <v>1948</v>
      </c>
      <c r="G528" s="4" t="s">
        <v>2057</v>
      </c>
      <c r="H528" s="4" t="s">
        <v>4662</v>
      </c>
      <c r="I528" s="4" t="s">
        <v>2021</v>
      </c>
      <c r="J528" s="4" t="s">
        <v>5484</v>
      </c>
      <c r="K528" s="4" t="s">
        <v>5485</v>
      </c>
      <c r="L528" s="4" t="s">
        <v>5486</v>
      </c>
      <c r="M528" s="4" t="s">
        <v>2064</v>
      </c>
      <c r="N528" s="8">
        <v>46052</v>
      </c>
      <c r="O528" s="8"/>
      <c r="P528" s="4" t="s">
        <v>2090</v>
      </c>
      <c r="Q528" s="4" t="s">
        <v>2021</v>
      </c>
      <c r="R528" s="4" t="s">
        <v>5487</v>
      </c>
      <c r="S528" s="4" t="s">
        <v>5488</v>
      </c>
      <c r="T528" s="4" t="s">
        <v>2067</v>
      </c>
      <c r="U528" s="4" t="s">
        <v>2768</v>
      </c>
      <c r="V528" s="4" t="s">
        <v>2067</v>
      </c>
      <c r="W528" s="4" t="s">
        <v>2069</v>
      </c>
    </row>
    <row r="529" spans="1:23" ht="20.100000000000001" customHeight="1" x14ac:dyDescent="0.25">
      <c r="A529" s="6" t="s">
        <v>5489</v>
      </c>
      <c r="B529" s="7" t="s">
        <v>2057</v>
      </c>
      <c r="C529" s="7" t="s">
        <v>5490</v>
      </c>
      <c r="D529" s="7" t="s">
        <v>2059</v>
      </c>
      <c r="E529" s="7" t="s">
        <v>2673</v>
      </c>
      <c r="F529" s="7" t="s">
        <v>2674</v>
      </c>
      <c r="G529" s="7" t="s">
        <v>2057</v>
      </c>
      <c r="H529" s="7" t="s">
        <v>4662</v>
      </c>
      <c r="I529" s="7" t="s">
        <v>2021</v>
      </c>
      <c r="J529" s="7" t="s">
        <v>5491</v>
      </c>
      <c r="K529" s="7" t="s">
        <v>5492</v>
      </c>
      <c r="L529" s="7" t="s">
        <v>5493</v>
      </c>
      <c r="M529" s="7" t="s">
        <v>2078</v>
      </c>
      <c r="N529" s="9">
        <v>46052</v>
      </c>
      <c r="O529" s="9">
        <v>46296</v>
      </c>
      <c r="P529" s="7" t="s">
        <v>2674</v>
      </c>
      <c r="Q529" s="7" t="s">
        <v>2021</v>
      </c>
      <c r="R529" s="7" t="s">
        <v>5494</v>
      </c>
      <c r="S529" s="7" t="s">
        <v>5495</v>
      </c>
      <c r="T529" s="7" t="s">
        <v>2067</v>
      </c>
      <c r="U529" s="7" t="s">
        <v>2680</v>
      </c>
      <c r="V529" s="7" t="s">
        <v>2067</v>
      </c>
      <c r="W529" s="7" t="s">
        <v>2069</v>
      </c>
    </row>
    <row r="530" spans="1:23" ht="20.100000000000001" customHeight="1" x14ac:dyDescent="0.25">
      <c r="A530" s="3" t="s">
        <v>1490</v>
      </c>
      <c r="B530" s="4" t="s">
        <v>2057</v>
      </c>
      <c r="C530" s="4" t="s">
        <v>5496</v>
      </c>
      <c r="D530" s="4" t="s">
        <v>2059</v>
      </c>
      <c r="E530" s="4" t="s">
        <v>1947</v>
      </c>
      <c r="F530" s="4" t="s">
        <v>1948</v>
      </c>
      <c r="G530" s="4" t="s">
        <v>2057</v>
      </c>
      <c r="H530" s="4" t="s">
        <v>4662</v>
      </c>
      <c r="I530" s="4" t="s">
        <v>2021</v>
      </c>
      <c r="J530" s="4" t="s">
        <v>5497</v>
      </c>
      <c r="K530" s="4" t="s">
        <v>5498</v>
      </c>
      <c r="L530" s="4" t="s">
        <v>5499</v>
      </c>
      <c r="M530" s="4" t="s">
        <v>2064</v>
      </c>
      <c r="N530" s="8">
        <v>45992</v>
      </c>
      <c r="O530" s="8"/>
      <c r="P530" s="4" t="s">
        <v>2090</v>
      </c>
      <c r="Q530" s="4" t="s">
        <v>2021</v>
      </c>
      <c r="R530" s="4" t="s">
        <v>2228</v>
      </c>
      <c r="S530" s="4" t="s">
        <v>5259</v>
      </c>
      <c r="T530" s="4" t="s">
        <v>2067</v>
      </c>
      <c r="U530" s="4" t="s">
        <v>2768</v>
      </c>
      <c r="V530" s="4" t="s">
        <v>2067</v>
      </c>
      <c r="W530" s="4" t="s">
        <v>2069</v>
      </c>
    </row>
    <row r="531" spans="1:23" ht="20.100000000000001" customHeight="1" x14ac:dyDescent="0.25">
      <c r="A531" s="6" t="s">
        <v>1322</v>
      </c>
      <c r="B531" s="7" t="s">
        <v>2057</v>
      </c>
      <c r="C531" s="7" t="s">
        <v>5500</v>
      </c>
      <c r="D531" s="7" t="s">
        <v>2059</v>
      </c>
      <c r="E531" s="7" t="s">
        <v>1947</v>
      </c>
      <c r="F531" s="7" t="s">
        <v>1948</v>
      </c>
      <c r="G531" s="7" t="s">
        <v>2057</v>
      </c>
      <c r="H531" s="7" t="s">
        <v>4662</v>
      </c>
      <c r="I531" s="7" t="s">
        <v>2021</v>
      </c>
      <c r="J531" s="7" t="s">
        <v>5501</v>
      </c>
      <c r="K531" s="7" t="s">
        <v>5502</v>
      </c>
      <c r="L531" s="7" t="s">
        <v>5503</v>
      </c>
      <c r="M531" s="7" t="s">
        <v>2078</v>
      </c>
      <c r="N531" s="9">
        <v>46052</v>
      </c>
      <c r="O531" s="9">
        <v>46296</v>
      </c>
      <c r="P531" s="7" t="s">
        <v>2090</v>
      </c>
      <c r="Q531" s="7" t="s">
        <v>2021</v>
      </c>
      <c r="R531" s="7" t="s">
        <v>5504</v>
      </c>
      <c r="S531" s="7" t="s">
        <v>5505</v>
      </c>
      <c r="T531" s="7" t="s">
        <v>2067</v>
      </c>
      <c r="U531" s="7" t="s">
        <v>2768</v>
      </c>
      <c r="V531" s="7" t="s">
        <v>2067</v>
      </c>
      <c r="W531" s="7" t="s">
        <v>2069</v>
      </c>
    </row>
    <row r="532" spans="1:23" ht="20.100000000000001" customHeight="1" x14ac:dyDescent="0.25">
      <c r="A532" s="3" t="s">
        <v>876</v>
      </c>
      <c r="B532" s="4" t="s">
        <v>2057</v>
      </c>
      <c r="C532" s="4" t="s">
        <v>5506</v>
      </c>
      <c r="D532" s="4" t="s">
        <v>2059</v>
      </c>
      <c r="E532" s="4" t="s">
        <v>1947</v>
      </c>
      <c r="F532" s="4" t="s">
        <v>1948</v>
      </c>
      <c r="G532" s="4" t="s">
        <v>2057</v>
      </c>
      <c r="H532" s="4" t="s">
        <v>4662</v>
      </c>
      <c r="I532" s="4" t="s">
        <v>2021</v>
      </c>
      <c r="J532" s="4" t="s">
        <v>5507</v>
      </c>
      <c r="K532" s="4" t="s">
        <v>5508</v>
      </c>
      <c r="L532" s="4" t="s">
        <v>5509</v>
      </c>
      <c r="M532" s="4" t="s">
        <v>2078</v>
      </c>
      <c r="N532" s="8">
        <v>46052</v>
      </c>
      <c r="O532" s="8">
        <v>46296</v>
      </c>
      <c r="P532" s="4" t="s">
        <v>2090</v>
      </c>
      <c r="Q532" s="4" t="s">
        <v>2021</v>
      </c>
      <c r="R532" s="4" t="s">
        <v>4178</v>
      </c>
      <c r="S532" s="4" t="s">
        <v>5510</v>
      </c>
      <c r="T532" s="4" t="s">
        <v>2067</v>
      </c>
      <c r="U532" s="4" t="s">
        <v>2768</v>
      </c>
      <c r="V532" s="4" t="s">
        <v>2067</v>
      </c>
      <c r="W532" s="4" t="s">
        <v>2069</v>
      </c>
    </row>
    <row r="533" spans="1:23" ht="20.100000000000001" customHeight="1" x14ac:dyDescent="0.25">
      <c r="A533" s="6" t="s">
        <v>5511</v>
      </c>
      <c r="B533" s="7" t="s">
        <v>2057</v>
      </c>
      <c r="C533" s="7" t="s">
        <v>5512</v>
      </c>
      <c r="D533" s="7" t="s">
        <v>2059</v>
      </c>
      <c r="E533" s="7" t="s">
        <v>2189</v>
      </c>
      <c r="F533" s="7" t="s">
        <v>2190</v>
      </c>
      <c r="G533" s="7" t="s">
        <v>2057</v>
      </c>
      <c r="H533" s="7" t="s">
        <v>4662</v>
      </c>
      <c r="I533" s="7" t="s">
        <v>2021</v>
      </c>
      <c r="J533" s="7" t="s">
        <v>5513</v>
      </c>
      <c r="K533" s="7" t="s">
        <v>5514</v>
      </c>
      <c r="L533" s="7" t="s">
        <v>5515</v>
      </c>
      <c r="M533" s="7" t="s">
        <v>2078</v>
      </c>
      <c r="N533" s="9">
        <v>46234</v>
      </c>
      <c r="O533" s="9">
        <v>46356</v>
      </c>
      <c r="P533" s="7" t="s">
        <v>2195</v>
      </c>
      <c r="Q533" s="7" t="s">
        <v>2021</v>
      </c>
      <c r="R533" s="7" t="s">
        <v>4638</v>
      </c>
      <c r="S533" s="7" t="s">
        <v>5516</v>
      </c>
      <c r="T533" s="7" t="s">
        <v>2067</v>
      </c>
      <c r="U533" s="7" t="s">
        <v>2198</v>
      </c>
      <c r="V533" s="7" t="s">
        <v>2067</v>
      </c>
      <c r="W533" s="7" t="s">
        <v>2069</v>
      </c>
    </row>
    <row r="534" spans="1:23" ht="20.100000000000001" customHeight="1" x14ac:dyDescent="0.25">
      <c r="A534" s="3" t="s">
        <v>614</v>
      </c>
      <c r="B534" s="4" t="s">
        <v>2057</v>
      </c>
      <c r="C534" s="4" t="s">
        <v>5517</v>
      </c>
      <c r="D534" s="4" t="s">
        <v>2059</v>
      </c>
      <c r="E534" s="4" t="s">
        <v>2131</v>
      </c>
      <c r="F534" s="4" t="s">
        <v>2132</v>
      </c>
      <c r="G534" s="4" t="s">
        <v>2057</v>
      </c>
      <c r="H534" s="4" t="s">
        <v>4662</v>
      </c>
      <c r="I534" s="4" t="s">
        <v>2021</v>
      </c>
      <c r="J534" s="4" t="s">
        <v>5518</v>
      </c>
      <c r="K534" s="4" t="s">
        <v>5519</v>
      </c>
      <c r="L534" s="4" t="s">
        <v>5520</v>
      </c>
      <c r="M534" s="4" t="s">
        <v>2078</v>
      </c>
      <c r="N534" s="8">
        <v>46234</v>
      </c>
      <c r="O534" s="8">
        <v>46356</v>
      </c>
      <c r="P534" s="4" t="s">
        <v>2132</v>
      </c>
      <c r="Q534" s="4" t="s">
        <v>2021</v>
      </c>
      <c r="R534" s="4" t="s">
        <v>5521</v>
      </c>
      <c r="S534" s="4" t="s">
        <v>5522</v>
      </c>
      <c r="T534" s="4" t="s">
        <v>2067</v>
      </c>
      <c r="U534" s="4" t="s">
        <v>2138</v>
      </c>
      <c r="V534" s="4" t="s">
        <v>2067</v>
      </c>
      <c r="W534" s="4" t="s">
        <v>2069</v>
      </c>
    </row>
    <row r="535" spans="1:23" ht="20.100000000000001" customHeight="1" x14ac:dyDescent="0.25">
      <c r="A535" s="6" t="s">
        <v>1286</v>
      </c>
      <c r="B535" s="7" t="s">
        <v>2057</v>
      </c>
      <c r="C535" s="7" t="s">
        <v>5523</v>
      </c>
      <c r="D535" s="7" t="s">
        <v>2059</v>
      </c>
      <c r="E535" s="7" t="s">
        <v>1947</v>
      </c>
      <c r="F535" s="7" t="s">
        <v>1948</v>
      </c>
      <c r="G535" s="7" t="s">
        <v>2057</v>
      </c>
      <c r="H535" s="7" t="s">
        <v>4662</v>
      </c>
      <c r="I535" s="7" t="s">
        <v>2021</v>
      </c>
      <c r="J535" s="7" t="s">
        <v>5524</v>
      </c>
      <c r="K535" s="7" t="s">
        <v>5525</v>
      </c>
      <c r="L535" s="7" t="s">
        <v>5526</v>
      </c>
      <c r="M535" s="7" t="s">
        <v>2064</v>
      </c>
      <c r="N535" s="9">
        <v>46052</v>
      </c>
      <c r="O535" s="9"/>
      <c r="P535" s="7" t="s">
        <v>2090</v>
      </c>
      <c r="Q535" s="7" t="s">
        <v>2021</v>
      </c>
      <c r="R535" s="7" t="s">
        <v>5527</v>
      </c>
      <c r="S535" s="7" t="s">
        <v>4274</v>
      </c>
      <c r="T535" s="7" t="s">
        <v>2067</v>
      </c>
      <c r="U535" s="7" t="s">
        <v>2768</v>
      </c>
      <c r="V535" s="7" t="s">
        <v>2067</v>
      </c>
      <c r="W535" s="7" t="s">
        <v>2069</v>
      </c>
    </row>
    <row r="536" spans="1:23" ht="20.100000000000001" customHeight="1" x14ac:dyDescent="0.25">
      <c r="A536" s="3" t="s">
        <v>28</v>
      </c>
      <c r="B536" s="4" t="s">
        <v>2057</v>
      </c>
      <c r="C536" s="4" t="s">
        <v>5528</v>
      </c>
      <c r="D536" s="4" t="s">
        <v>2059</v>
      </c>
      <c r="E536" s="4" t="s">
        <v>2673</v>
      </c>
      <c r="F536" s="4" t="s">
        <v>2674</v>
      </c>
      <c r="G536" s="4" t="s">
        <v>2057</v>
      </c>
      <c r="H536" s="4" t="s">
        <v>4662</v>
      </c>
      <c r="I536" s="4" t="s">
        <v>2021</v>
      </c>
      <c r="J536" s="4" t="s">
        <v>5529</v>
      </c>
      <c r="K536" s="4" t="s">
        <v>5530</v>
      </c>
      <c r="L536" s="4" t="s">
        <v>5531</v>
      </c>
      <c r="M536" s="4" t="s">
        <v>2078</v>
      </c>
      <c r="N536" s="8">
        <v>46234</v>
      </c>
      <c r="O536" s="8">
        <v>46356</v>
      </c>
      <c r="P536" s="4" t="s">
        <v>2674</v>
      </c>
      <c r="Q536" s="4" t="s">
        <v>2021</v>
      </c>
      <c r="R536" s="4" t="s">
        <v>4867</v>
      </c>
      <c r="S536" s="4" t="s">
        <v>5532</v>
      </c>
      <c r="T536" s="4" t="s">
        <v>2067</v>
      </c>
      <c r="U536" s="4" t="s">
        <v>2680</v>
      </c>
      <c r="V536" s="4" t="s">
        <v>2067</v>
      </c>
      <c r="W536" s="4" t="s">
        <v>2069</v>
      </c>
    </row>
    <row r="537" spans="1:23" ht="20.100000000000001" customHeight="1" x14ac:dyDescent="0.25">
      <c r="A537" s="6" t="s">
        <v>868</v>
      </c>
      <c r="B537" s="7" t="s">
        <v>2057</v>
      </c>
      <c r="C537" s="7" t="s">
        <v>5533</v>
      </c>
      <c r="D537" s="7" t="s">
        <v>2059</v>
      </c>
      <c r="E537" s="7" t="s">
        <v>1947</v>
      </c>
      <c r="F537" s="7" t="s">
        <v>1948</v>
      </c>
      <c r="G537" s="7" t="s">
        <v>2057</v>
      </c>
      <c r="H537" s="7" t="s">
        <v>4662</v>
      </c>
      <c r="I537" s="7" t="s">
        <v>2021</v>
      </c>
      <c r="J537" s="7" t="s">
        <v>5534</v>
      </c>
      <c r="K537" s="7" t="s">
        <v>5535</v>
      </c>
      <c r="L537" s="7" t="s">
        <v>5536</v>
      </c>
      <c r="M537" s="7" t="s">
        <v>2078</v>
      </c>
      <c r="N537" s="9">
        <v>46234</v>
      </c>
      <c r="O537" s="9">
        <v>46356</v>
      </c>
      <c r="P537" s="7" t="s">
        <v>2090</v>
      </c>
      <c r="Q537" s="7" t="s">
        <v>2021</v>
      </c>
      <c r="R537" s="7" t="s">
        <v>5537</v>
      </c>
      <c r="S537" s="7" t="s">
        <v>5538</v>
      </c>
      <c r="T537" s="7" t="s">
        <v>2067</v>
      </c>
      <c r="U537" s="7" t="s">
        <v>2768</v>
      </c>
      <c r="V537" s="7" t="s">
        <v>2067</v>
      </c>
      <c r="W537" s="7" t="s">
        <v>2069</v>
      </c>
    </row>
    <row r="538" spans="1:23" ht="20.100000000000001" customHeight="1" x14ac:dyDescent="0.25">
      <c r="A538" s="3" t="s">
        <v>5539</v>
      </c>
      <c r="B538" s="4" t="s">
        <v>2057</v>
      </c>
      <c r="C538" s="4" t="s">
        <v>5540</v>
      </c>
      <c r="D538" s="4" t="s">
        <v>2059</v>
      </c>
      <c r="E538" s="4" t="s">
        <v>2189</v>
      </c>
      <c r="F538" s="4" t="s">
        <v>2190</v>
      </c>
      <c r="G538" s="4" t="s">
        <v>2057</v>
      </c>
      <c r="H538" s="4" t="s">
        <v>4662</v>
      </c>
      <c r="I538" s="4" t="s">
        <v>2021</v>
      </c>
      <c r="J538" s="4" t="s">
        <v>5541</v>
      </c>
      <c r="K538" s="4" t="s">
        <v>5542</v>
      </c>
      <c r="L538" s="4" t="s">
        <v>5543</v>
      </c>
      <c r="M538" s="4" t="s">
        <v>2078</v>
      </c>
      <c r="N538" s="8">
        <v>46234</v>
      </c>
      <c r="O538" s="8">
        <v>46356</v>
      </c>
      <c r="P538" s="4" t="s">
        <v>2195</v>
      </c>
      <c r="Q538" s="4" t="s">
        <v>2021</v>
      </c>
      <c r="R538" s="4" t="s">
        <v>5544</v>
      </c>
      <c r="S538" s="4" t="s">
        <v>5545</v>
      </c>
      <c r="T538" s="4" t="s">
        <v>2067</v>
      </c>
      <c r="U538" s="4" t="s">
        <v>2198</v>
      </c>
      <c r="V538" s="4" t="s">
        <v>2067</v>
      </c>
      <c r="W538" s="4" t="s">
        <v>2069</v>
      </c>
    </row>
    <row r="539" spans="1:23" ht="20.100000000000001" customHeight="1" x14ac:dyDescent="0.25">
      <c r="A539" s="6" t="s">
        <v>984</v>
      </c>
      <c r="B539" s="7" t="s">
        <v>2057</v>
      </c>
      <c r="C539" s="7" t="s">
        <v>5546</v>
      </c>
      <c r="D539" s="7" t="s">
        <v>2059</v>
      </c>
      <c r="E539" s="7" t="s">
        <v>1947</v>
      </c>
      <c r="F539" s="7" t="s">
        <v>1948</v>
      </c>
      <c r="G539" s="7" t="s">
        <v>2057</v>
      </c>
      <c r="H539" s="7" t="s">
        <v>4662</v>
      </c>
      <c r="I539" s="7" t="s">
        <v>2021</v>
      </c>
      <c r="J539" s="7" t="s">
        <v>5547</v>
      </c>
      <c r="K539" s="7" t="s">
        <v>5548</v>
      </c>
      <c r="L539" s="7" t="s">
        <v>5549</v>
      </c>
      <c r="M539" s="7" t="s">
        <v>2078</v>
      </c>
      <c r="N539" s="9">
        <v>46234</v>
      </c>
      <c r="O539" s="9">
        <v>46356</v>
      </c>
      <c r="P539" s="7" t="s">
        <v>2090</v>
      </c>
      <c r="Q539" s="7" t="s">
        <v>2021</v>
      </c>
      <c r="R539" s="7" t="s">
        <v>5550</v>
      </c>
      <c r="S539" s="7" t="s">
        <v>5551</v>
      </c>
      <c r="T539" s="7" t="s">
        <v>2067</v>
      </c>
      <c r="U539" s="7" t="s">
        <v>2768</v>
      </c>
      <c r="V539" s="7" t="s">
        <v>2067</v>
      </c>
      <c r="W539" s="7" t="s">
        <v>2069</v>
      </c>
    </row>
    <row r="540" spans="1:23" ht="20.100000000000001" customHeight="1" x14ac:dyDescent="0.25">
      <c r="A540" s="3" t="s">
        <v>1532</v>
      </c>
      <c r="B540" s="4" t="s">
        <v>2057</v>
      </c>
      <c r="C540" s="4" t="s">
        <v>5552</v>
      </c>
      <c r="D540" s="4" t="s">
        <v>2059</v>
      </c>
      <c r="E540" s="4" t="s">
        <v>1947</v>
      </c>
      <c r="F540" s="4" t="s">
        <v>1948</v>
      </c>
      <c r="G540" s="4" t="s">
        <v>2057</v>
      </c>
      <c r="H540" s="4" t="s">
        <v>4662</v>
      </c>
      <c r="I540" s="4" t="s">
        <v>2021</v>
      </c>
      <c r="J540" s="4" t="s">
        <v>5553</v>
      </c>
      <c r="K540" s="4" t="s">
        <v>5554</v>
      </c>
      <c r="L540" s="4" t="s">
        <v>5555</v>
      </c>
      <c r="M540" s="4" t="s">
        <v>2078</v>
      </c>
      <c r="N540" s="8">
        <v>46052</v>
      </c>
      <c r="O540" s="8">
        <v>46296</v>
      </c>
      <c r="P540" s="4" t="s">
        <v>2090</v>
      </c>
      <c r="Q540" s="4" t="s">
        <v>2021</v>
      </c>
      <c r="R540" s="4" t="s">
        <v>5556</v>
      </c>
      <c r="S540" s="4" t="s">
        <v>5557</v>
      </c>
      <c r="T540" s="4" t="s">
        <v>2067</v>
      </c>
      <c r="U540" s="4" t="s">
        <v>2768</v>
      </c>
      <c r="V540" s="4" t="s">
        <v>2067</v>
      </c>
      <c r="W540" s="4" t="s">
        <v>2069</v>
      </c>
    </row>
    <row r="541" spans="1:23" ht="20.100000000000001" customHeight="1" x14ac:dyDescent="0.25">
      <c r="A541" s="6" t="s">
        <v>1526</v>
      </c>
      <c r="B541" s="7" t="s">
        <v>2057</v>
      </c>
      <c r="C541" s="7" t="s">
        <v>5558</v>
      </c>
      <c r="D541" s="7" t="s">
        <v>2059</v>
      </c>
      <c r="E541" s="7" t="s">
        <v>1947</v>
      </c>
      <c r="F541" s="7" t="s">
        <v>1948</v>
      </c>
      <c r="G541" s="7" t="s">
        <v>2057</v>
      </c>
      <c r="H541" s="7" t="s">
        <v>4662</v>
      </c>
      <c r="I541" s="7" t="s">
        <v>2021</v>
      </c>
      <c r="J541" s="7" t="s">
        <v>5559</v>
      </c>
      <c r="K541" s="7" t="s">
        <v>5560</v>
      </c>
      <c r="L541" s="7" t="s">
        <v>5561</v>
      </c>
      <c r="M541" s="7" t="s">
        <v>2078</v>
      </c>
      <c r="N541" s="9">
        <v>45992</v>
      </c>
      <c r="O541" s="9">
        <v>46356</v>
      </c>
      <c r="P541" s="7" t="s">
        <v>2090</v>
      </c>
      <c r="Q541" s="7" t="s">
        <v>2021</v>
      </c>
      <c r="R541" s="7" t="s">
        <v>2297</v>
      </c>
      <c r="S541" s="7" t="s">
        <v>5562</v>
      </c>
      <c r="T541" s="7" t="s">
        <v>2067</v>
      </c>
      <c r="U541" s="7" t="s">
        <v>2768</v>
      </c>
      <c r="V541" s="7" t="s">
        <v>2067</v>
      </c>
      <c r="W541" s="7" t="s">
        <v>2069</v>
      </c>
    </row>
    <row r="542" spans="1:23" ht="20.100000000000001" customHeight="1" x14ac:dyDescent="0.25">
      <c r="A542" s="3" t="s">
        <v>1530</v>
      </c>
      <c r="B542" s="4" t="s">
        <v>2057</v>
      </c>
      <c r="C542" s="4" t="s">
        <v>5563</v>
      </c>
      <c r="D542" s="4" t="s">
        <v>2059</v>
      </c>
      <c r="E542" s="4" t="s">
        <v>1947</v>
      </c>
      <c r="F542" s="4" t="s">
        <v>1948</v>
      </c>
      <c r="G542" s="4" t="s">
        <v>2057</v>
      </c>
      <c r="H542" s="4" t="s">
        <v>4662</v>
      </c>
      <c r="I542" s="4" t="s">
        <v>2021</v>
      </c>
      <c r="J542" s="4" t="s">
        <v>5564</v>
      </c>
      <c r="K542" s="4" t="s">
        <v>5565</v>
      </c>
      <c r="L542" s="4" t="s">
        <v>5566</v>
      </c>
      <c r="M542" s="4" t="s">
        <v>2078</v>
      </c>
      <c r="N542" s="8">
        <v>46234</v>
      </c>
      <c r="O542" s="8">
        <v>46356</v>
      </c>
      <c r="P542" s="4" t="s">
        <v>2090</v>
      </c>
      <c r="Q542" s="4" t="s">
        <v>2021</v>
      </c>
      <c r="R542" s="4" t="s">
        <v>2803</v>
      </c>
      <c r="S542" s="4" t="s">
        <v>5567</v>
      </c>
      <c r="T542" s="4" t="s">
        <v>2067</v>
      </c>
      <c r="U542" s="4" t="s">
        <v>2768</v>
      </c>
      <c r="V542" s="4" t="s">
        <v>2067</v>
      </c>
      <c r="W542" s="4" t="s">
        <v>2069</v>
      </c>
    </row>
    <row r="543" spans="1:23" ht="20.100000000000001" customHeight="1" x14ac:dyDescent="0.25">
      <c r="A543" s="6" t="s">
        <v>5568</v>
      </c>
      <c r="B543" s="7" t="s">
        <v>2057</v>
      </c>
      <c r="C543" s="7" t="s">
        <v>5569</v>
      </c>
      <c r="D543" s="7" t="s">
        <v>2059</v>
      </c>
      <c r="E543" s="7" t="s">
        <v>2111</v>
      </c>
      <c r="F543" s="7" t="s">
        <v>2112</v>
      </c>
      <c r="G543" s="7" t="s">
        <v>2057</v>
      </c>
      <c r="H543" s="7" t="s">
        <v>4662</v>
      </c>
      <c r="I543" s="7" t="s">
        <v>2021</v>
      </c>
      <c r="J543" s="7" t="s">
        <v>5570</v>
      </c>
      <c r="K543" s="7" t="s">
        <v>5571</v>
      </c>
      <c r="L543" s="7" t="s">
        <v>5572</v>
      </c>
      <c r="M543" s="7" t="s">
        <v>2078</v>
      </c>
      <c r="N543" s="9">
        <v>46234</v>
      </c>
      <c r="O543" s="9">
        <v>46356</v>
      </c>
      <c r="P543" s="7" t="s">
        <v>2112</v>
      </c>
      <c r="Q543" s="7" t="s">
        <v>2021</v>
      </c>
      <c r="R543" s="7" t="s">
        <v>5573</v>
      </c>
      <c r="S543" s="7" t="s">
        <v>5574</v>
      </c>
      <c r="T543" s="7" t="s">
        <v>2067</v>
      </c>
      <c r="U543" s="7" t="s">
        <v>2119</v>
      </c>
      <c r="V543" s="7" t="s">
        <v>2067</v>
      </c>
      <c r="W543" s="7" t="s">
        <v>2069</v>
      </c>
    </row>
    <row r="544" spans="1:23" ht="20.100000000000001" customHeight="1" x14ac:dyDescent="0.25">
      <c r="A544" s="3" t="s">
        <v>5575</v>
      </c>
      <c r="B544" s="4" t="s">
        <v>2057</v>
      </c>
      <c r="C544" s="4" t="s">
        <v>5576</v>
      </c>
      <c r="D544" s="4" t="s">
        <v>2059</v>
      </c>
      <c r="E544" s="4" t="s">
        <v>2673</v>
      </c>
      <c r="F544" s="4" t="s">
        <v>2674</v>
      </c>
      <c r="G544" s="4" t="s">
        <v>2057</v>
      </c>
      <c r="H544" s="4" t="s">
        <v>4662</v>
      </c>
      <c r="I544" s="4" t="s">
        <v>2021</v>
      </c>
      <c r="J544" s="4" t="s">
        <v>5577</v>
      </c>
      <c r="K544" s="4" t="s">
        <v>5578</v>
      </c>
      <c r="L544" s="4" t="s">
        <v>5579</v>
      </c>
      <c r="M544" s="4" t="s">
        <v>2078</v>
      </c>
      <c r="N544" s="8">
        <v>46234</v>
      </c>
      <c r="O544" s="8">
        <v>46356</v>
      </c>
      <c r="P544" s="4" t="s">
        <v>2674</v>
      </c>
      <c r="Q544" s="4" t="s">
        <v>2021</v>
      </c>
      <c r="R544" s="4" t="s">
        <v>5580</v>
      </c>
      <c r="S544" s="4" t="s">
        <v>5581</v>
      </c>
      <c r="T544" s="4" t="s">
        <v>2067</v>
      </c>
      <c r="U544" s="4" t="s">
        <v>2680</v>
      </c>
      <c r="V544" s="4" t="s">
        <v>2067</v>
      </c>
      <c r="W544" s="4" t="s">
        <v>2069</v>
      </c>
    </row>
    <row r="545" spans="1:23" ht="20.100000000000001" customHeight="1" x14ac:dyDescent="0.25">
      <c r="A545" s="6" t="s">
        <v>34</v>
      </c>
      <c r="B545" s="7" t="s">
        <v>2057</v>
      </c>
      <c r="C545" s="7" t="s">
        <v>5582</v>
      </c>
      <c r="D545" s="7" t="s">
        <v>2059</v>
      </c>
      <c r="E545" s="7" t="s">
        <v>2673</v>
      </c>
      <c r="F545" s="7" t="s">
        <v>2674</v>
      </c>
      <c r="G545" s="7" t="s">
        <v>2057</v>
      </c>
      <c r="H545" s="7" t="s">
        <v>2020</v>
      </c>
      <c r="I545" s="7" t="s">
        <v>2021</v>
      </c>
      <c r="J545" s="7" t="s">
        <v>5583</v>
      </c>
      <c r="K545" s="7" t="s">
        <v>5584</v>
      </c>
      <c r="L545" s="7" t="s">
        <v>5585</v>
      </c>
      <c r="M545" s="7" t="s">
        <v>2078</v>
      </c>
      <c r="N545" s="9">
        <v>46234</v>
      </c>
      <c r="O545" s="9">
        <v>46356</v>
      </c>
      <c r="P545" s="7" t="s">
        <v>2674</v>
      </c>
      <c r="Q545" s="7" t="s">
        <v>2021</v>
      </c>
      <c r="R545" s="7" t="s">
        <v>5586</v>
      </c>
      <c r="S545" s="7" t="s">
        <v>5587</v>
      </c>
      <c r="T545" s="7" t="s">
        <v>2067</v>
      </c>
      <c r="U545" s="7" t="s">
        <v>2680</v>
      </c>
      <c r="V545" s="7" t="s">
        <v>2067</v>
      </c>
      <c r="W545" s="7" t="s">
        <v>2069</v>
      </c>
    </row>
    <row r="546" spans="1:23" ht="20.100000000000001" customHeight="1" x14ac:dyDescent="0.25">
      <c r="A546" s="3" t="s">
        <v>5588</v>
      </c>
      <c r="B546" s="4" t="s">
        <v>2057</v>
      </c>
      <c r="C546" s="4" t="s">
        <v>5589</v>
      </c>
      <c r="D546" s="4" t="s">
        <v>2059</v>
      </c>
      <c r="E546" s="4" t="s">
        <v>1952</v>
      </c>
      <c r="F546" s="4" t="s">
        <v>1953</v>
      </c>
      <c r="G546" s="4" t="s">
        <v>2057</v>
      </c>
      <c r="H546" s="4" t="s">
        <v>2020</v>
      </c>
      <c r="I546" s="4" t="s">
        <v>2021</v>
      </c>
      <c r="J546" s="4" t="s">
        <v>5590</v>
      </c>
      <c r="K546" s="4" t="s">
        <v>5591</v>
      </c>
      <c r="L546" s="4" t="s">
        <v>5592</v>
      </c>
      <c r="M546" s="4" t="s">
        <v>2078</v>
      </c>
      <c r="N546" s="8">
        <v>46234</v>
      </c>
      <c r="O546" s="8">
        <v>46356</v>
      </c>
      <c r="P546" s="4" t="s">
        <v>1953</v>
      </c>
      <c r="Q546" s="4" t="s">
        <v>2021</v>
      </c>
      <c r="R546" s="4" t="s">
        <v>5593</v>
      </c>
      <c r="S546" s="4" t="s">
        <v>5594</v>
      </c>
      <c r="T546" s="4" t="s">
        <v>2067</v>
      </c>
      <c r="U546" s="4" t="s">
        <v>2358</v>
      </c>
      <c r="V546" s="4" t="s">
        <v>2067</v>
      </c>
      <c r="W546" s="4" t="s">
        <v>2069</v>
      </c>
    </row>
    <row r="547" spans="1:23" ht="20.100000000000001" customHeight="1" x14ac:dyDescent="0.25">
      <c r="A547" s="6" t="s">
        <v>22</v>
      </c>
      <c r="B547" s="7" t="s">
        <v>2057</v>
      </c>
      <c r="C547" s="7" t="s">
        <v>5595</v>
      </c>
      <c r="D547" s="7" t="s">
        <v>2059</v>
      </c>
      <c r="E547" s="7" t="s">
        <v>2673</v>
      </c>
      <c r="F547" s="7" t="s">
        <v>2674</v>
      </c>
      <c r="G547" s="7" t="s">
        <v>2057</v>
      </c>
      <c r="H547" s="7" t="s">
        <v>4662</v>
      </c>
      <c r="I547" s="7" t="s">
        <v>2021</v>
      </c>
      <c r="J547" s="7" t="s">
        <v>5596</v>
      </c>
      <c r="K547" s="7" t="s">
        <v>5597</v>
      </c>
      <c r="L547" s="7" t="s">
        <v>5598</v>
      </c>
      <c r="M547" s="7" t="s">
        <v>2078</v>
      </c>
      <c r="N547" s="9">
        <v>46234</v>
      </c>
      <c r="O547" s="9">
        <v>46356</v>
      </c>
      <c r="P547" s="7" t="s">
        <v>2674</v>
      </c>
      <c r="Q547" s="7" t="s">
        <v>2021</v>
      </c>
      <c r="R547" s="7" t="s">
        <v>5599</v>
      </c>
      <c r="S547" s="7" t="s">
        <v>5600</v>
      </c>
      <c r="T547" s="7" t="s">
        <v>2067</v>
      </c>
      <c r="U547" s="7" t="s">
        <v>2680</v>
      </c>
      <c r="V547" s="7" t="s">
        <v>2067</v>
      </c>
      <c r="W547" s="7" t="s">
        <v>2069</v>
      </c>
    </row>
    <row r="548" spans="1:23" ht="20.100000000000001" customHeight="1" x14ac:dyDescent="0.25">
      <c r="A548" s="3" t="s">
        <v>1228</v>
      </c>
      <c r="B548" s="4" t="s">
        <v>2057</v>
      </c>
      <c r="C548" s="4" t="s">
        <v>5601</v>
      </c>
      <c r="D548" s="4" t="s">
        <v>2059</v>
      </c>
      <c r="E548" s="4" t="s">
        <v>1947</v>
      </c>
      <c r="F548" s="4" t="s">
        <v>1948</v>
      </c>
      <c r="G548" s="4" t="s">
        <v>2057</v>
      </c>
      <c r="H548" s="4" t="s">
        <v>4662</v>
      </c>
      <c r="I548" s="4" t="s">
        <v>2021</v>
      </c>
      <c r="J548" s="4" t="s">
        <v>5602</v>
      </c>
      <c r="K548" s="4" t="s">
        <v>5603</v>
      </c>
      <c r="L548" s="4" t="s">
        <v>5604</v>
      </c>
      <c r="M548" s="4" t="s">
        <v>2064</v>
      </c>
      <c r="N548" s="8">
        <v>46052</v>
      </c>
      <c r="O548" s="8"/>
      <c r="P548" s="4" t="s">
        <v>2090</v>
      </c>
      <c r="Q548" s="4" t="s">
        <v>2021</v>
      </c>
      <c r="R548" s="4" t="s">
        <v>5605</v>
      </c>
      <c r="S548" s="4" t="s">
        <v>5606</v>
      </c>
      <c r="T548" s="4" t="s">
        <v>2067</v>
      </c>
      <c r="U548" s="4" t="s">
        <v>2768</v>
      </c>
      <c r="V548" s="4" t="s">
        <v>2067</v>
      </c>
      <c r="W548" s="4" t="s">
        <v>2069</v>
      </c>
    </row>
    <row r="549" spans="1:23" ht="20.100000000000001" customHeight="1" x14ac:dyDescent="0.25">
      <c r="A549" s="6" t="s">
        <v>618</v>
      </c>
      <c r="B549" s="7" t="s">
        <v>2057</v>
      </c>
      <c r="C549" s="7" t="s">
        <v>5607</v>
      </c>
      <c r="D549" s="7" t="s">
        <v>2059</v>
      </c>
      <c r="E549" s="7" t="s">
        <v>1952</v>
      </c>
      <c r="F549" s="7" t="s">
        <v>1953</v>
      </c>
      <c r="G549" s="7" t="s">
        <v>2057</v>
      </c>
      <c r="H549" s="7" t="s">
        <v>4662</v>
      </c>
      <c r="I549" s="7" t="s">
        <v>2021</v>
      </c>
      <c r="J549" s="7" t="s">
        <v>5608</v>
      </c>
      <c r="K549" s="7" t="s">
        <v>5609</v>
      </c>
      <c r="L549" s="7" t="s">
        <v>5610</v>
      </c>
      <c r="M549" s="7" t="s">
        <v>2078</v>
      </c>
      <c r="N549" s="9">
        <v>46234</v>
      </c>
      <c r="O549" s="9">
        <v>46356</v>
      </c>
      <c r="P549" s="7" t="s">
        <v>1953</v>
      </c>
      <c r="Q549" s="7" t="s">
        <v>2021</v>
      </c>
      <c r="R549" s="7" t="s">
        <v>5611</v>
      </c>
      <c r="S549" s="7" t="s">
        <v>5612</v>
      </c>
      <c r="T549" s="7" t="s">
        <v>2067</v>
      </c>
      <c r="U549" s="7" t="s">
        <v>2358</v>
      </c>
      <c r="V549" s="7" t="s">
        <v>2067</v>
      </c>
      <c r="W549" s="7" t="s">
        <v>2069</v>
      </c>
    </row>
    <row r="550" spans="1:23" ht="20.100000000000001" customHeight="1" x14ac:dyDescent="0.25">
      <c r="A550" s="3" t="s">
        <v>732</v>
      </c>
      <c r="B550" s="4" t="s">
        <v>2057</v>
      </c>
      <c r="C550" s="4" t="s">
        <v>5613</v>
      </c>
      <c r="D550" s="4" t="s">
        <v>2059</v>
      </c>
      <c r="E550" s="4" t="s">
        <v>2673</v>
      </c>
      <c r="F550" s="4" t="s">
        <v>2674</v>
      </c>
      <c r="G550" s="4" t="s">
        <v>2057</v>
      </c>
      <c r="H550" s="4" t="s">
        <v>4662</v>
      </c>
      <c r="I550" s="4" t="s">
        <v>2021</v>
      </c>
      <c r="J550" s="4" t="s">
        <v>5614</v>
      </c>
      <c r="K550" s="4" t="s">
        <v>5615</v>
      </c>
      <c r="L550" s="4" t="s">
        <v>5616</v>
      </c>
      <c r="M550" s="4" t="s">
        <v>2078</v>
      </c>
      <c r="N550" s="8">
        <v>46234</v>
      </c>
      <c r="O550" s="8">
        <v>46356</v>
      </c>
      <c r="P550" s="4" t="s">
        <v>2674</v>
      </c>
      <c r="Q550" s="4" t="s">
        <v>2021</v>
      </c>
      <c r="R550" s="4" t="s">
        <v>5617</v>
      </c>
      <c r="S550" s="4" t="s">
        <v>5618</v>
      </c>
      <c r="T550" s="4" t="s">
        <v>2067</v>
      </c>
      <c r="U550" s="4" t="s">
        <v>2680</v>
      </c>
      <c r="V550" s="4" t="s">
        <v>2067</v>
      </c>
      <c r="W550" s="4" t="s">
        <v>2069</v>
      </c>
    </row>
    <row r="551" spans="1:23" ht="20.100000000000001" customHeight="1" x14ac:dyDescent="0.25">
      <c r="A551" s="6" t="s">
        <v>584</v>
      </c>
      <c r="B551" s="7" t="s">
        <v>2057</v>
      </c>
      <c r="C551" s="7" t="s">
        <v>5619</v>
      </c>
      <c r="D551" s="7" t="s">
        <v>2059</v>
      </c>
      <c r="E551" s="7" t="s">
        <v>1952</v>
      </c>
      <c r="F551" s="7" t="s">
        <v>1953</v>
      </c>
      <c r="G551" s="7" t="s">
        <v>2057</v>
      </c>
      <c r="H551" s="7" t="s">
        <v>4662</v>
      </c>
      <c r="I551" s="7" t="s">
        <v>2021</v>
      </c>
      <c r="J551" s="7" t="s">
        <v>5620</v>
      </c>
      <c r="K551" s="7" t="s">
        <v>5621</v>
      </c>
      <c r="L551" s="7" t="s">
        <v>5622</v>
      </c>
      <c r="M551" s="7" t="s">
        <v>2078</v>
      </c>
      <c r="N551" s="9">
        <v>46234</v>
      </c>
      <c r="O551" s="9">
        <v>46356</v>
      </c>
      <c r="P551" s="7" t="s">
        <v>1953</v>
      </c>
      <c r="Q551" s="7" t="s">
        <v>2021</v>
      </c>
      <c r="R551" s="7" t="s">
        <v>5623</v>
      </c>
      <c r="S551" s="7" t="s">
        <v>5624</v>
      </c>
      <c r="T551" s="7" t="s">
        <v>2067</v>
      </c>
      <c r="U551" s="7" t="s">
        <v>2358</v>
      </c>
      <c r="V551" s="7" t="s">
        <v>2067</v>
      </c>
      <c r="W551" s="7" t="s">
        <v>2069</v>
      </c>
    </row>
    <row r="552" spans="1:23" ht="20.100000000000001" customHeight="1" x14ac:dyDescent="0.25">
      <c r="A552" s="3" t="s">
        <v>1566</v>
      </c>
      <c r="B552" s="4" t="s">
        <v>2057</v>
      </c>
      <c r="C552" s="4" t="s">
        <v>5625</v>
      </c>
      <c r="D552" s="4" t="s">
        <v>2059</v>
      </c>
      <c r="E552" s="4" t="s">
        <v>2189</v>
      </c>
      <c r="F552" s="4" t="s">
        <v>2190</v>
      </c>
      <c r="G552" s="4" t="s">
        <v>2057</v>
      </c>
      <c r="H552" s="4" t="s">
        <v>4662</v>
      </c>
      <c r="I552" s="4" t="s">
        <v>2021</v>
      </c>
      <c r="J552" s="4" t="s">
        <v>5626</v>
      </c>
      <c r="K552" s="4" t="s">
        <v>5627</v>
      </c>
      <c r="L552" s="4" t="s">
        <v>5628</v>
      </c>
      <c r="M552" s="4" t="s">
        <v>2078</v>
      </c>
      <c r="N552" s="8">
        <v>46234</v>
      </c>
      <c r="O552" s="8">
        <v>46356</v>
      </c>
      <c r="P552" s="4" t="s">
        <v>2195</v>
      </c>
      <c r="Q552" s="4" t="s">
        <v>2021</v>
      </c>
      <c r="R552" s="4" t="s">
        <v>3873</v>
      </c>
      <c r="S552" s="4" t="s">
        <v>5629</v>
      </c>
      <c r="T552" s="4" t="s">
        <v>2067</v>
      </c>
      <c r="U552" s="4" t="s">
        <v>2198</v>
      </c>
      <c r="V552" s="4" t="s">
        <v>2067</v>
      </c>
      <c r="W552" s="4" t="s">
        <v>2069</v>
      </c>
    </row>
    <row r="553" spans="1:23" ht="20.100000000000001" customHeight="1" x14ac:dyDescent="0.25">
      <c r="A553" s="6" t="s">
        <v>5630</v>
      </c>
      <c r="B553" s="7" t="s">
        <v>2057</v>
      </c>
      <c r="C553" s="7" t="s">
        <v>5631</v>
      </c>
      <c r="D553" s="7" t="s">
        <v>2059</v>
      </c>
      <c r="E553" s="7" t="s">
        <v>2673</v>
      </c>
      <c r="F553" s="7" t="s">
        <v>2674</v>
      </c>
      <c r="G553" s="7" t="s">
        <v>2057</v>
      </c>
      <c r="H553" s="7" t="s">
        <v>4662</v>
      </c>
      <c r="I553" s="7" t="s">
        <v>2021</v>
      </c>
      <c r="J553" s="7" t="s">
        <v>5632</v>
      </c>
      <c r="K553" s="7" t="s">
        <v>5633</v>
      </c>
      <c r="L553" s="7" t="s">
        <v>5634</v>
      </c>
      <c r="M553" s="7" t="s">
        <v>2078</v>
      </c>
      <c r="N553" s="9">
        <v>46234</v>
      </c>
      <c r="O553" s="9">
        <v>46356</v>
      </c>
      <c r="P553" s="7" t="s">
        <v>2674</v>
      </c>
      <c r="Q553" s="7" t="s">
        <v>2021</v>
      </c>
      <c r="R553" s="7" t="s">
        <v>3834</v>
      </c>
      <c r="S553" s="7" t="s">
        <v>5635</v>
      </c>
      <c r="T553" s="7" t="s">
        <v>2067</v>
      </c>
      <c r="U553" s="7" t="s">
        <v>2680</v>
      </c>
      <c r="V553" s="7" t="s">
        <v>2067</v>
      </c>
      <c r="W553" s="7" t="s">
        <v>2069</v>
      </c>
    </row>
    <row r="554" spans="1:23" ht="20.100000000000001" customHeight="1" x14ac:dyDescent="0.25">
      <c r="A554" s="3" t="s">
        <v>2018</v>
      </c>
      <c r="B554" s="4" t="s">
        <v>2057</v>
      </c>
      <c r="C554" s="4" t="s">
        <v>2019</v>
      </c>
      <c r="D554" s="4" t="s">
        <v>2059</v>
      </c>
      <c r="E554" s="4" t="s">
        <v>1947</v>
      </c>
      <c r="F554" s="4" t="s">
        <v>1948</v>
      </c>
      <c r="G554" s="4" t="s">
        <v>2057</v>
      </c>
      <c r="H554" s="4" t="s">
        <v>2020</v>
      </c>
      <c r="I554" s="4" t="s">
        <v>2021</v>
      </c>
      <c r="J554" s="4" t="s">
        <v>5636</v>
      </c>
      <c r="K554" s="4" t="s">
        <v>5637</v>
      </c>
      <c r="L554" s="4" t="s">
        <v>5638</v>
      </c>
      <c r="M554" s="4" t="s">
        <v>2078</v>
      </c>
      <c r="N554" s="8">
        <v>46234</v>
      </c>
      <c r="O554" s="8">
        <v>46356</v>
      </c>
      <c r="P554" s="4" t="s">
        <v>2090</v>
      </c>
      <c r="Q554" s="4" t="s">
        <v>2021</v>
      </c>
      <c r="R554" s="4" t="s">
        <v>5639</v>
      </c>
      <c r="S554" s="4" t="s">
        <v>5640</v>
      </c>
      <c r="T554" s="4" t="s">
        <v>2067</v>
      </c>
      <c r="U554" s="4" t="s">
        <v>2146</v>
      </c>
      <c r="V554" s="4" t="s">
        <v>2067</v>
      </c>
      <c r="W554" s="4" t="s">
        <v>2069</v>
      </c>
    </row>
    <row r="555" spans="1:23" ht="20.100000000000001" customHeight="1" x14ac:dyDescent="0.25">
      <c r="A555" s="6" t="s">
        <v>5641</v>
      </c>
      <c r="B555" s="7" t="s">
        <v>2057</v>
      </c>
      <c r="C555" s="7" t="s">
        <v>5642</v>
      </c>
      <c r="D555" s="7" t="s">
        <v>2059</v>
      </c>
      <c r="E555" s="7" t="s">
        <v>2111</v>
      </c>
      <c r="F555" s="7" t="s">
        <v>2112</v>
      </c>
      <c r="G555" s="7" t="s">
        <v>2057</v>
      </c>
      <c r="H555" s="7" t="s">
        <v>5282</v>
      </c>
      <c r="I555" s="7" t="s">
        <v>2021</v>
      </c>
      <c r="J555" s="7" t="s">
        <v>5643</v>
      </c>
      <c r="K555" s="7" t="s">
        <v>5644</v>
      </c>
      <c r="L555" s="7" t="s">
        <v>5645</v>
      </c>
      <c r="M555" s="7" t="s">
        <v>2078</v>
      </c>
      <c r="N555" s="9">
        <v>46234</v>
      </c>
      <c r="O555" s="9">
        <v>46356</v>
      </c>
      <c r="P555" s="7" t="s">
        <v>2112</v>
      </c>
      <c r="Q555" s="7" t="s">
        <v>2021</v>
      </c>
      <c r="R555" s="7" t="s">
        <v>5646</v>
      </c>
      <c r="S555" s="7" t="s">
        <v>5647</v>
      </c>
      <c r="T555" s="7" t="s">
        <v>2067</v>
      </c>
      <c r="U555" s="7" t="s">
        <v>2119</v>
      </c>
      <c r="V555" s="7" t="s">
        <v>2067</v>
      </c>
      <c r="W555" s="7" t="s">
        <v>2082</v>
      </c>
    </row>
    <row r="556" spans="1:23" ht="20.100000000000001" customHeight="1" x14ac:dyDescent="0.25">
      <c r="A556" s="3" t="s">
        <v>5648</v>
      </c>
      <c r="B556" s="4" t="s">
        <v>2057</v>
      </c>
      <c r="C556" s="4" t="s">
        <v>5649</v>
      </c>
      <c r="D556" s="4" t="s">
        <v>2059</v>
      </c>
      <c r="E556" s="4" t="s">
        <v>2673</v>
      </c>
      <c r="F556" s="4" t="s">
        <v>2674</v>
      </c>
      <c r="G556" s="4" t="s">
        <v>2057</v>
      </c>
      <c r="H556" s="4" t="s">
        <v>5650</v>
      </c>
      <c r="I556" s="4" t="s">
        <v>2021</v>
      </c>
      <c r="J556" s="4" t="s">
        <v>5651</v>
      </c>
      <c r="K556" s="4" t="s">
        <v>5652</v>
      </c>
      <c r="L556" s="4" t="s">
        <v>5653</v>
      </c>
      <c r="M556" s="4" t="s">
        <v>2078</v>
      </c>
      <c r="N556" s="8">
        <v>46108</v>
      </c>
      <c r="O556" s="8">
        <v>46356</v>
      </c>
      <c r="P556" s="4" t="s">
        <v>2674</v>
      </c>
      <c r="Q556" s="4" t="s">
        <v>2021</v>
      </c>
      <c r="R556" s="4" t="s">
        <v>5654</v>
      </c>
      <c r="S556" s="4" t="s">
        <v>5655</v>
      </c>
      <c r="T556" s="4" t="s">
        <v>2067</v>
      </c>
      <c r="U556" s="4" t="s">
        <v>2680</v>
      </c>
      <c r="V556" s="4" t="s">
        <v>2067</v>
      </c>
      <c r="W556" s="4" t="s">
        <v>2082</v>
      </c>
    </row>
    <row r="557" spans="1:23" ht="20.100000000000001" customHeight="1" x14ac:dyDescent="0.25">
      <c r="A557" s="6" t="s">
        <v>988</v>
      </c>
      <c r="B557" s="7" t="s">
        <v>2057</v>
      </c>
      <c r="C557" s="7" t="s">
        <v>5656</v>
      </c>
      <c r="D557" s="7" t="s">
        <v>2059</v>
      </c>
      <c r="E557" s="7" t="s">
        <v>1947</v>
      </c>
      <c r="F557" s="7" t="s">
        <v>1948</v>
      </c>
      <c r="G557" s="7" t="s">
        <v>2057</v>
      </c>
      <c r="H557" s="7" t="s">
        <v>4662</v>
      </c>
      <c r="I557" s="7" t="s">
        <v>2021</v>
      </c>
      <c r="J557" s="7" t="s">
        <v>5657</v>
      </c>
      <c r="K557" s="7" t="s">
        <v>5658</v>
      </c>
      <c r="L557" s="7" t="s">
        <v>5659</v>
      </c>
      <c r="M557" s="7" t="s">
        <v>2078</v>
      </c>
      <c r="N557" s="9">
        <v>46234</v>
      </c>
      <c r="O557" s="9">
        <v>46356</v>
      </c>
      <c r="P557" s="7" t="s">
        <v>2090</v>
      </c>
      <c r="Q557" s="7" t="s">
        <v>2021</v>
      </c>
      <c r="R557" s="7" t="s">
        <v>5660</v>
      </c>
      <c r="S557" s="7" t="s">
        <v>5661</v>
      </c>
      <c r="T557" s="7" t="s">
        <v>2067</v>
      </c>
      <c r="U557" s="7" t="s">
        <v>2768</v>
      </c>
      <c r="V557" s="7" t="s">
        <v>2067</v>
      </c>
      <c r="W557" s="7" t="s">
        <v>2069</v>
      </c>
    </row>
    <row r="558" spans="1:23" ht="20.100000000000001" customHeight="1" x14ac:dyDescent="0.25">
      <c r="A558" s="3" t="s">
        <v>5662</v>
      </c>
      <c r="B558" s="4" t="s">
        <v>2057</v>
      </c>
      <c r="C558" s="4" t="s">
        <v>5663</v>
      </c>
      <c r="D558" s="4" t="s">
        <v>2059</v>
      </c>
      <c r="E558" s="4" t="s">
        <v>2111</v>
      </c>
      <c r="F558" s="4" t="s">
        <v>2112</v>
      </c>
      <c r="G558" s="4" t="s">
        <v>2057</v>
      </c>
      <c r="H558" s="4" t="s">
        <v>4662</v>
      </c>
      <c r="I558" s="4" t="s">
        <v>2021</v>
      </c>
      <c r="J558" s="4" t="s">
        <v>5664</v>
      </c>
      <c r="K558" s="4" t="s">
        <v>5665</v>
      </c>
      <c r="L558" s="4" t="s">
        <v>5666</v>
      </c>
      <c r="M558" s="4" t="s">
        <v>2078</v>
      </c>
      <c r="N558" s="8">
        <v>46234</v>
      </c>
      <c r="O558" s="8">
        <v>46356</v>
      </c>
      <c r="P558" s="4" t="s">
        <v>2112</v>
      </c>
      <c r="Q558" s="4" t="s">
        <v>2021</v>
      </c>
      <c r="R558" s="4" t="s">
        <v>5667</v>
      </c>
      <c r="S558" s="4" t="s">
        <v>5668</v>
      </c>
      <c r="T558" s="4" t="s">
        <v>2067</v>
      </c>
      <c r="U558" s="4" t="s">
        <v>2119</v>
      </c>
      <c r="V558" s="4" t="s">
        <v>2067</v>
      </c>
      <c r="W558" s="4" t="s">
        <v>2069</v>
      </c>
    </row>
    <row r="559" spans="1:23" ht="20.100000000000001" customHeight="1" x14ac:dyDescent="0.25">
      <c r="A559" s="6" t="s">
        <v>5669</v>
      </c>
      <c r="B559" s="7" t="s">
        <v>2057</v>
      </c>
      <c r="C559" s="7" t="s">
        <v>5670</v>
      </c>
      <c r="D559" s="7" t="s">
        <v>2059</v>
      </c>
      <c r="E559" s="7" t="s">
        <v>2111</v>
      </c>
      <c r="F559" s="7" t="s">
        <v>2112</v>
      </c>
      <c r="G559" s="7" t="s">
        <v>2057</v>
      </c>
      <c r="H559" s="7" t="s">
        <v>4662</v>
      </c>
      <c r="I559" s="7" t="s">
        <v>2021</v>
      </c>
      <c r="J559" s="7" t="s">
        <v>5671</v>
      </c>
      <c r="K559" s="7" t="s">
        <v>5672</v>
      </c>
      <c r="L559" s="7" t="s">
        <v>5673</v>
      </c>
      <c r="M559" s="7" t="s">
        <v>2078</v>
      </c>
      <c r="N559" s="9">
        <v>46234</v>
      </c>
      <c r="O559" s="9">
        <v>46356</v>
      </c>
      <c r="P559" s="7" t="s">
        <v>2112</v>
      </c>
      <c r="Q559" s="7" t="s">
        <v>2021</v>
      </c>
      <c r="R559" s="7" t="s">
        <v>4638</v>
      </c>
      <c r="S559" s="7" t="s">
        <v>5674</v>
      </c>
      <c r="T559" s="7" t="s">
        <v>2067</v>
      </c>
      <c r="U559" s="7" t="s">
        <v>2119</v>
      </c>
      <c r="V559" s="7" t="s">
        <v>2067</v>
      </c>
      <c r="W559" s="7" t="s">
        <v>2069</v>
      </c>
    </row>
    <row r="560" spans="1:23" ht="20.100000000000001" customHeight="1" x14ac:dyDescent="0.25">
      <c r="A560" s="3" t="s">
        <v>5675</v>
      </c>
      <c r="B560" s="4" t="s">
        <v>2057</v>
      </c>
      <c r="C560" s="4" t="s">
        <v>5676</v>
      </c>
      <c r="D560" s="4" t="s">
        <v>2059</v>
      </c>
      <c r="E560" s="4" t="s">
        <v>2189</v>
      </c>
      <c r="F560" s="4" t="s">
        <v>2190</v>
      </c>
      <c r="G560" s="4" t="s">
        <v>2057</v>
      </c>
      <c r="H560" s="4" t="s">
        <v>5282</v>
      </c>
      <c r="I560" s="4" t="s">
        <v>2021</v>
      </c>
      <c r="J560" s="4" t="s">
        <v>5677</v>
      </c>
      <c r="K560" s="4" t="s">
        <v>5678</v>
      </c>
      <c r="L560" s="4" t="s">
        <v>5679</v>
      </c>
      <c r="M560" s="4" t="s">
        <v>2078</v>
      </c>
      <c r="N560" s="8">
        <v>46234</v>
      </c>
      <c r="O560" s="8">
        <v>46356</v>
      </c>
      <c r="P560" s="4" t="s">
        <v>2195</v>
      </c>
      <c r="Q560" s="4" t="s">
        <v>2021</v>
      </c>
      <c r="R560" s="4" t="s">
        <v>5487</v>
      </c>
      <c r="S560" s="4" t="s">
        <v>5680</v>
      </c>
      <c r="T560" s="4" t="s">
        <v>2067</v>
      </c>
      <c r="U560" s="4" t="s">
        <v>2198</v>
      </c>
      <c r="V560" s="4" t="s">
        <v>2067</v>
      </c>
      <c r="W560" s="4" t="s">
        <v>2082</v>
      </c>
    </row>
    <row r="561" spans="1:23" ht="20.100000000000001" customHeight="1" x14ac:dyDescent="0.25">
      <c r="A561" s="6" t="s">
        <v>820</v>
      </c>
      <c r="B561" s="7" t="s">
        <v>2057</v>
      </c>
      <c r="C561" s="7" t="s">
        <v>5681</v>
      </c>
      <c r="D561" s="7" t="s">
        <v>2059</v>
      </c>
      <c r="E561" s="7" t="s">
        <v>1947</v>
      </c>
      <c r="F561" s="7" t="s">
        <v>1948</v>
      </c>
      <c r="G561" s="7" t="s">
        <v>2057</v>
      </c>
      <c r="H561" s="7" t="s">
        <v>4662</v>
      </c>
      <c r="I561" s="7" t="s">
        <v>2021</v>
      </c>
      <c r="J561" s="7" t="s">
        <v>5682</v>
      </c>
      <c r="K561" s="7" t="s">
        <v>5683</v>
      </c>
      <c r="L561" s="7" t="s">
        <v>5684</v>
      </c>
      <c r="M561" s="7" t="s">
        <v>2078</v>
      </c>
      <c r="N561" s="9">
        <v>46234</v>
      </c>
      <c r="O561" s="9">
        <v>46356</v>
      </c>
      <c r="P561" s="7" t="s">
        <v>2090</v>
      </c>
      <c r="Q561" s="7" t="s">
        <v>2021</v>
      </c>
      <c r="R561" s="7" t="s">
        <v>5685</v>
      </c>
      <c r="S561" s="7" t="s">
        <v>5686</v>
      </c>
      <c r="T561" s="7" t="s">
        <v>2067</v>
      </c>
      <c r="U561" s="7" t="s">
        <v>2768</v>
      </c>
      <c r="V561" s="7" t="s">
        <v>2067</v>
      </c>
      <c r="W561" s="7" t="s">
        <v>2069</v>
      </c>
    </row>
    <row r="562" spans="1:23" ht="20.100000000000001" customHeight="1" x14ac:dyDescent="0.25">
      <c r="A562" s="3" t="s">
        <v>5687</v>
      </c>
      <c r="B562" s="4" t="s">
        <v>2057</v>
      </c>
      <c r="C562" s="4" t="s">
        <v>5688</v>
      </c>
      <c r="D562" s="4" t="s">
        <v>2059</v>
      </c>
      <c r="E562" s="4" t="s">
        <v>2111</v>
      </c>
      <c r="F562" s="4" t="s">
        <v>2112</v>
      </c>
      <c r="G562" s="4" t="s">
        <v>2057</v>
      </c>
      <c r="H562" s="4" t="s">
        <v>4662</v>
      </c>
      <c r="I562" s="4" t="s">
        <v>2021</v>
      </c>
      <c r="J562" s="4" t="s">
        <v>5689</v>
      </c>
      <c r="K562" s="4" t="s">
        <v>5690</v>
      </c>
      <c r="L562" s="4" t="s">
        <v>5691</v>
      </c>
      <c r="M562" s="4" t="s">
        <v>2078</v>
      </c>
      <c r="N562" s="8">
        <v>46234</v>
      </c>
      <c r="O562" s="8">
        <v>46356</v>
      </c>
      <c r="P562" s="4" t="s">
        <v>2112</v>
      </c>
      <c r="Q562" s="4" t="s">
        <v>2021</v>
      </c>
      <c r="R562" s="4" t="s">
        <v>5692</v>
      </c>
      <c r="S562" s="4" t="s">
        <v>5693</v>
      </c>
      <c r="T562" s="4" t="s">
        <v>2067</v>
      </c>
      <c r="U562" s="4" t="s">
        <v>2119</v>
      </c>
      <c r="V562" s="4" t="s">
        <v>2067</v>
      </c>
      <c r="W562" s="4" t="s">
        <v>2069</v>
      </c>
    </row>
    <row r="563" spans="1:23" ht="20.100000000000001" customHeight="1" x14ac:dyDescent="0.25">
      <c r="A563" s="6" t="s">
        <v>924</v>
      </c>
      <c r="B563" s="7" t="s">
        <v>2057</v>
      </c>
      <c r="C563" s="7" t="s">
        <v>5694</v>
      </c>
      <c r="D563" s="7" t="s">
        <v>2059</v>
      </c>
      <c r="E563" s="7" t="s">
        <v>1947</v>
      </c>
      <c r="F563" s="7" t="s">
        <v>1948</v>
      </c>
      <c r="G563" s="7" t="s">
        <v>2057</v>
      </c>
      <c r="H563" s="7" t="s">
        <v>4662</v>
      </c>
      <c r="I563" s="7" t="s">
        <v>2021</v>
      </c>
      <c r="J563" s="7" t="s">
        <v>5695</v>
      </c>
      <c r="K563" s="7" t="s">
        <v>5696</v>
      </c>
      <c r="L563" s="7" t="s">
        <v>5697</v>
      </c>
      <c r="M563" s="7" t="s">
        <v>2078</v>
      </c>
      <c r="N563" s="9">
        <v>46234</v>
      </c>
      <c r="O563" s="9">
        <v>46356</v>
      </c>
      <c r="P563" s="7" t="s">
        <v>2090</v>
      </c>
      <c r="Q563" s="7" t="s">
        <v>2021</v>
      </c>
      <c r="R563" s="7" t="s">
        <v>4890</v>
      </c>
      <c r="S563" s="7" t="s">
        <v>5698</v>
      </c>
      <c r="T563" s="7" t="s">
        <v>2067</v>
      </c>
      <c r="U563" s="7" t="s">
        <v>2768</v>
      </c>
      <c r="V563" s="7" t="s">
        <v>2067</v>
      </c>
      <c r="W563" s="7" t="s">
        <v>2069</v>
      </c>
    </row>
    <row r="564" spans="1:23" ht="20.100000000000001" customHeight="1" x14ac:dyDescent="0.25">
      <c r="A564" s="3" t="s">
        <v>118</v>
      </c>
      <c r="B564" s="4" t="s">
        <v>2057</v>
      </c>
      <c r="C564" s="4" t="s">
        <v>5699</v>
      </c>
      <c r="D564" s="4" t="s">
        <v>2059</v>
      </c>
      <c r="E564" s="4" t="s">
        <v>1952</v>
      </c>
      <c r="F564" s="4" t="s">
        <v>1953</v>
      </c>
      <c r="G564" s="4" t="s">
        <v>2057</v>
      </c>
      <c r="H564" s="4" t="s">
        <v>5282</v>
      </c>
      <c r="I564" s="4" t="s">
        <v>2021</v>
      </c>
      <c r="J564" s="4" t="s">
        <v>5700</v>
      </c>
      <c r="K564" s="4" t="s">
        <v>5701</v>
      </c>
      <c r="L564" s="4" t="s">
        <v>5702</v>
      </c>
      <c r="M564" s="4" t="s">
        <v>2078</v>
      </c>
      <c r="N564" s="8">
        <v>46121</v>
      </c>
      <c r="O564" s="8">
        <v>46356</v>
      </c>
      <c r="P564" s="4" t="s">
        <v>1953</v>
      </c>
      <c r="Q564" s="4" t="s">
        <v>2021</v>
      </c>
      <c r="R564" s="4" t="s">
        <v>4145</v>
      </c>
      <c r="S564" s="4" t="s">
        <v>5703</v>
      </c>
      <c r="T564" s="4" t="s">
        <v>2067</v>
      </c>
      <c r="U564" s="4" t="s">
        <v>2358</v>
      </c>
      <c r="V564" s="4" t="s">
        <v>2067</v>
      </c>
      <c r="W564" s="4" t="s">
        <v>2082</v>
      </c>
    </row>
    <row r="565" spans="1:23" ht="20.100000000000001" customHeight="1" x14ac:dyDescent="0.25">
      <c r="A565" s="6" t="s">
        <v>5704</v>
      </c>
      <c r="B565" s="7" t="s">
        <v>2057</v>
      </c>
      <c r="C565" s="7" t="s">
        <v>5705</v>
      </c>
      <c r="D565" s="7" t="s">
        <v>2059</v>
      </c>
      <c r="E565" s="7" t="s">
        <v>2189</v>
      </c>
      <c r="F565" s="7" t="s">
        <v>2190</v>
      </c>
      <c r="G565" s="7" t="s">
        <v>2057</v>
      </c>
      <c r="H565" s="7" t="s">
        <v>4662</v>
      </c>
      <c r="I565" s="7" t="s">
        <v>2021</v>
      </c>
      <c r="J565" s="7" t="s">
        <v>5706</v>
      </c>
      <c r="K565" s="7" t="s">
        <v>5707</v>
      </c>
      <c r="L565" s="7" t="s">
        <v>5708</v>
      </c>
      <c r="M565" s="7" t="s">
        <v>2078</v>
      </c>
      <c r="N565" s="9">
        <v>46055</v>
      </c>
      <c r="O565" s="9">
        <v>46294</v>
      </c>
      <c r="P565" s="7" t="s">
        <v>2195</v>
      </c>
      <c r="Q565" s="7" t="s">
        <v>2021</v>
      </c>
      <c r="R565" s="7" t="s">
        <v>5487</v>
      </c>
      <c r="S565" s="7" t="s">
        <v>5709</v>
      </c>
      <c r="T565" s="7" t="s">
        <v>2067</v>
      </c>
      <c r="U565" s="7" t="s">
        <v>2198</v>
      </c>
      <c r="V565" s="7" t="s">
        <v>2067</v>
      </c>
      <c r="W565" s="7" t="s">
        <v>2069</v>
      </c>
    </row>
    <row r="566" spans="1:23" ht="20.100000000000001" customHeight="1" x14ac:dyDescent="0.25">
      <c r="A566" s="3" t="s">
        <v>1552</v>
      </c>
      <c r="B566" s="4" t="s">
        <v>2057</v>
      </c>
      <c r="C566" s="4" t="s">
        <v>5710</v>
      </c>
      <c r="D566" s="4" t="s">
        <v>2059</v>
      </c>
      <c r="E566" s="4" t="s">
        <v>1947</v>
      </c>
      <c r="F566" s="4" t="s">
        <v>1948</v>
      </c>
      <c r="G566" s="4" t="s">
        <v>2057</v>
      </c>
      <c r="H566" s="4" t="s">
        <v>4662</v>
      </c>
      <c r="I566" s="4" t="s">
        <v>2021</v>
      </c>
      <c r="J566" s="4" t="s">
        <v>5711</v>
      </c>
      <c r="K566" s="4" t="s">
        <v>5712</v>
      </c>
      <c r="L566" s="4" t="s">
        <v>5713</v>
      </c>
      <c r="M566" s="4" t="s">
        <v>2078</v>
      </c>
      <c r="N566" s="8">
        <v>46234</v>
      </c>
      <c r="O566" s="8">
        <v>46356</v>
      </c>
      <c r="P566" s="4" t="s">
        <v>2090</v>
      </c>
      <c r="Q566" s="4" t="s">
        <v>2021</v>
      </c>
      <c r="R566" s="4" t="s">
        <v>5714</v>
      </c>
      <c r="S566" s="4" t="s">
        <v>5715</v>
      </c>
      <c r="T566" s="4" t="s">
        <v>2067</v>
      </c>
      <c r="U566" s="4" t="s">
        <v>2146</v>
      </c>
      <c r="V566" s="4" t="s">
        <v>2067</v>
      </c>
      <c r="W566" s="4" t="s">
        <v>2069</v>
      </c>
    </row>
    <row r="567" spans="1:23" ht="20.100000000000001" customHeight="1" x14ac:dyDescent="0.25">
      <c r="A567" s="6" t="s">
        <v>5716</v>
      </c>
      <c r="B567" s="7" t="s">
        <v>2057</v>
      </c>
      <c r="C567" s="7" t="s">
        <v>5717</v>
      </c>
      <c r="D567" s="7" t="s">
        <v>2059</v>
      </c>
      <c r="E567" s="7" t="s">
        <v>2673</v>
      </c>
      <c r="F567" s="7" t="s">
        <v>2674</v>
      </c>
      <c r="G567" s="7" t="s">
        <v>2057</v>
      </c>
      <c r="H567" s="7" t="s">
        <v>5650</v>
      </c>
      <c r="I567" s="7" t="s">
        <v>2021</v>
      </c>
      <c r="J567" s="7" t="s">
        <v>5718</v>
      </c>
      <c r="K567" s="7" t="s">
        <v>5719</v>
      </c>
      <c r="L567" s="7" t="s">
        <v>5720</v>
      </c>
      <c r="M567" s="7" t="s">
        <v>2078</v>
      </c>
      <c r="N567" s="9">
        <v>46108</v>
      </c>
      <c r="O567" s="9">
        <v>46356</v>
      </c>
      <c r="P567" s="7" t="s">
        <v>2674</v>
      </c>
      <c r="Q567" s="7" t="s">
        <v>2021</v>
      </c>
      <c r="R567" s="7" t="s">
        <v>5118</v>
      </c>
      <c r="S567" s="7" t="s">
        <v>5721</v>
      </c>
      <c r="T567" s="7" t="s">
        <v>2067</v>
      </c>
      <c r="U567" s="7" t="s">
        <v>2680</v>
      </c>
      <c r="V567" s="7" t="s">
        <v>2067</v>
      </c>
      <c r="W567" s="7" t="s">
        <v>2082</v>
      </c>
    </row>
    <row r="568" spans="1:23" ht="20.100000000000001" customHeight="1" x14ac:dyDescent="0.25">
      <c r="A568" s="3" t="s">
        <v>5722</v>
      </c>
      <c r="B568" s="4" t="s">
        <v>2057</v>
      </c>
      <c r="C568" s="4" t="s">
        <v>5723</v>
      </c>
      <c r="D568" s="4" t="s">
        <v>2059</v>
      </c>
      <c r="E568" s="4" t="s">
        <v>2189</v>
      </c>
      <c r="F568" s="4" t="s">
        <v>2190</v>
      </c>
      <c r="G568" s="4" t="s">
        <v>2057</v>
      </c>
      <c r="H568" s="4" t="s">
        <v>4662</v>
      </c>
      <c r="I568" s="4" t="s">
        <v>2021</v>
      </c>
      <c r="J568" s="4" t="s">
        <v>5724</v>
      </c>
      <c r="K568" s="4" t="s">
        <v>5725</v>
      </c>
      <c r="L568" s="4" t="s">
        <v>5726</v>
      </c>
      <c r="M568" s="4" t="s">
        <v>2078</v>
      </c>
      <c r="N568" s="8">
        <v>46055</v>
      </c>
      <c r="O568" s="8">
        <v>46294</v>
      </c>
      <c r="P568" s="4" t="s">
        <v>2195</v>
      </c>
      <c r="Q568" s="4" t="s">
        <v>2021</v>
      </c>
      <c r="R568" s="4" t="s">
        <v>2297</v>
      </c>
      <c r="S568" s="4" t="s">
        <v>5727</v>
      </c>
      <c r="T568" s="4" t="s">
        <v>2067</v>
      </c>
      <c r="U568" s="4" t="s">
        <v>2198</v>
      </c>
      <c r="V568" s="4" t="s">
        <v>2067</v>
      </c>
      <c r="W568" s="4" t="s">
        <v>2069</v>
      </c>
    </row>
    <row r="569" spans="1:23" ht="20.100000000000001" customHeight="1" x14ac:dyDescent="0.25">
      <c r="A569" s="6" t="s">
        <v>5728</v>
      </c>
      <c r="B569" s="7" t="s">
        <v>2057</v>
      </c>
      <c r="C569" s="7" t="s">
        <v>5729</v>
      </c>
      <c r="D569" s="7" t="s">
        <v>2059</v>
      </c>
      <c r="E569" s="7" t="s">
        <v>2189</v>
      </c>
      <c r="F569" s="7" t="s">
        <v>2190</v>
      </c>
      <c r="G569" s="7" t="s">
        <v>2057</v>
      </c>
      <c r="H569" s="7" t="s">
        <v>4662</v>
      </c>
      <c r="I569" s="7" t="s">
        <v>2021</v>
      </c>
      <c r="J569" s="7" t="s">
        <v>5730</v>
      </c>
      <c r="K569" s="7" t="s">
        <v>5731</v>
      </c>
      <c r="L569" s="7" t="s">
        <v>5732</v>
      </c>
      <c r="M569" s="7" t="s">
        <v>2078</v>
      </c>
      <c r="N569" s="9">
        <v>46234</v>
      </c>
      <c r="O569" s="9">
        <v>46356</v>
      </c>
      <c r="P569" s="7" t="s">
        <v>2195</v>
      </c>
      <c r="Q569" s="7" t="s">
        <v>2021</v>
      </c>
      <c r="R569" s="7" t="s">
        <v>5733</v>
      </c>
      <c r="S569" s="7" t="s">
        <v>5734</v>
      </c>
      <c r="T569" s="7" t="s">
        <v>2067</v>
      </c>
      <c r="U569" s="7" t="s">
        <v>2198</v>
      </c>
      <c r="V569" s="7" t="s">
        <v>2067</v>
      </c>
      <c r="W569" s="7" t="s">
        <v>2069</v>
      </c>
    </row>
    <row r="570" spans="1:23" ht="20.100000000000001" customHeight="1" x14ac:dyDescent="0.25">
      <c r="A570" s="3" t="s">
        <v>5735</v>
      </c>
      <c r="B570" s="4" t="s">
        <v>2057</v>
      </c>
      <c r="C570" s="4" t="s">
        <v>5736</v>
      </c>
      <c r="D570" s="4" t="s">
        <v>2059</v>
      </c>
      <c r="E570" s="4" t="s">
        <v>2111</v>
      </c>
      <c r="F570" s="4" t="s">
        <v>2112</v>
      </c>
      <c r="G570" s="4" t="s">
        <v>2057</v>
      </c>
      <c r="H570" s="4" t="s">
        <v>4662</v>
      </c>
      <c r="I570" s="4" t="s">
        <v>2021</v>
      </c>
      <c r="J570" s="4" t="s">
        <v>5737</v>
      </c>
      <c r="K570" s="4" t="s">
        <v>5738</v>
      </c>
      <c r="L570" s="4" t="s">
        <v>5739</v>
      </c>
      <c r="M570" s="4" t="s">
        <v>2078</v>
      </c>
      <c r="N570" s="8">
        <v>46090</v>
      </c>
      <c r="O570" s="8">
        <v>46294</v>
      </c>
      <c r="P570" s="4" t="s">
        <v>2112</v>
      </c>
      <c r="Q570" s="4" t="s">
        <v>2021</v>
      </c>
      <c r="R570" s="4" t="s">
        <v>5740</v>
      </c>
      <c r="S570" s="4" t="s">
        <v>5741</v>
      </c>
      <c r="T570" s="4" t="s">
        <v>2067</v>
      </c>
      <c r="U570" s="4" t="s">
        <v>2119</v>
      </c>
      <c r="V570" s="4" t="s">
        <v>2067</v>
      </c>
      <c r="W570" s="4" t="s">
        <v>2069</v>
      </c>
    </row>
    <row r="571" spans="1:23" ht="20.100000000000001" customHeight="1" x14ac:dyDescent="0.25">
      <c r="A571" s="6" t="s">
        <v>586</v>
      </c>
      <c r="B571" s="7" t="s">
        <v>2057</v>
      </c>
      <c r="C571" s="7" t="s">
        <v>5742</v>
      </c>
      <c r="D571" s="7" t="s">
        <v>2059</v>
      </c>
      <c r="E571" s="7" t="s">
        <v>1952</v>
      </c>
      <c r="F571" s="7" t="s">
        <v>1953</v>
      </c>
      <c r="G571" s="7" t="s">
        <v>2057</v>
      </c>
      <c r="H571" s="7" t="s">
        <v>4662</v>
      </c>
      <c r="I571" s="7" t="s">
        <v>2021</v>
      </c>
      <c r="J571" s="7" t="s">
        <v>5743</v>
      </c>
      <c r="K571" s="7" t="s">
        <v>5744</v>
      </c>
      <c r="L571" s="7" t="s">
        <v>5745</v>
      </c>
      <c r="M571" s="7" t="s">
        <v>2078</v>
      </c>
      <c r="N571" s="9">
        <v>46234</v>
      </c>
      <c r="O571" s="9">
        <v>46356</v>
      </c>
      <c r="P571" s="7" t="s">
        <v>1953</v>
      </c>
      <c r="Q571" s="7" t="s">
        <v>2021</v>
      </c>
      <c r="R571" s="7" t="s">
        <v>5746</v>
      </c>
      <c r="S571" s="7" t="s">
        <v>5747</v>
      </c>
      <c r="T571" s="7" t="s">
        <v>2067</v>
      </c>
      <c r="U571" s="7" t="s">
        <v>2358</v>
      </c>
      <c r="V571" s="7" t="s">
        <v>2067</v>
      </c>
      <c r="W571" s="7" t="s">
        <v>2069</v>
      </c>
    </row>
    <row r="572" spans="1:23" ht="20.100000000000001" customHeight="1" x14ac:dyDescent="0.25">
      <c r="A572" s="3" t="s">
        <v>738</v>
      </c>
      <c r="B572" s="4" t="s">
        <v>2057</v>
      </c>
      <c r="C572" s="4" t="s">
        <v>5748</v>
      </c>
      <c r="D572" s="4" t="s">
        <v>2059</v>
      </c>
      <c r="E572" s="4" t="s">
        <v>1947</v>
      </c>
      <c r="F572" s="4" t="s">
        <v>1948</v>
      </c>
      <c r="G572" s="4" t="s">
        <v>2057</v>
      </c>
      <c r="H572" s="4" t="s">
        <v>5749</v>
      </c>
      <c r="I572" s="4" t="s">
        <v>1978</v>
      </c>
      <c r="J572" s="4" t="s">
        <v>5750</v>
      </c>
      <c r="K572" s="4" t="s">
        <v>5751</v>
      </c>
      <c r="L572" s="4" t="s">
        <v>5752</v>
      </c>
      <c r="M572" s="4" t="s">
        <v>2064</v>
      </c>
      <c r="N572" s="8">
        <v>42387</v>
      </c>
      <c r="O572" s="8"/>
      <c r="P572" s="4" t="s">
        <v>2090</v>
      </c>
      <c r="Q572" s="4" t="s">
        <v>1978</v>
      </c>
      <c r="R572" s="4" t="s">
        <v>5753</v>
      </c>
      <c r="S572" s="4" t="s">
        <v>5754</v>
      </c>
      <c r="T572" s="4" t="s">
        <v>2067</v>
      </c>
      <c r="U572" s="4" t="s">
        <v>2093</v>
      </c>
      <c r="V572" s="4" t="s">
        <v>2067</v>
      </c>
      <c r="W572" s="4" t="s">
        <v>2069</v>
      </c>
    </row>
    <row r="573" spans="1:23" ht="20.100000000000001" customHeight="1" x14ac:dyDescent="0.25">
      <c r="A573" s="6" t="s">
        <v>5755</v>
      </c>
      <c r="B573" s="7" t="s">
        <v>2084</v>
      </c>
      <c r="C573" s="7" t="s">
        <v>5756</v>
      </c>
      <c r="D573" s="7" t="s">
        <v>2059</v>
      </c>
      <c r="E573" s="7" t="s">
        <v>1947</v>
      </c>
      <c r="F573" s="7" t="s">
        <v>1948</v>
      </c>
      <c r="G573" s="7" t="s">
        <v>2084</v>
      </c>
      <c r="H573" s="7" t="s">
        <v>1977</v>
      </c>
      <c r="I573" s="7" t="s">
        <v>1978</v>
      </c>
      <c r="J573" s="7" t="s">
        <v>5757</v>
      </c>
      <c r="K573" s="7" t="s">
        <v>5758</v>
      </c>
      <c r="L573" s="7" t="s">
        <v>5759</v>
      </c>
      <c r="M573" s="7" t="s">
        <v>2078</v>
      </c>
      <c r="N573" s="9">
        <v>45992</v>
      </c>
      <c r="O573" s="9">
        <v>46356</v>
      </c>
      <c r="P573" s="7" t="s">
        <v>2090</v>
      </c>
      <c r="Q573" s="7" t="s">
        <v>1978</v>
      </c>
      <c r="R573" s="7" t="s">
        <v>3217</v>
      </c>
      <c r="S573" s="7" t="s">
        <v>5760</v>
      </c>
      <c r="T573" s="7" t="s">
        <v>2067</v>
      </c>
      <c r="U573" s="7" t="s">
        <v>2146</v>
      </c>
      <c r="V573" s="7" t="s">
        <v>2067</v>
      </c>
      <c r="W573" s="7" t="s">
        <v>2069</v>
      </c>
    </row>
    <row r="574" spans="1:23" ht="20.100000000000001" customHeight="1" x14ac:dyDescent="0.25">
      <c r="A574" s="3" t="s">
        <v>314</v>
      </c>
      <c r="B574" s="4" t="s">
        <v>2057</v>
      </c>
      <c r="C574" s="4" t="s">
        <v>5761</v>
      </c>
      <c r="D574" s="4" t="s">
        <v>2059</v>
      </c>
      <c r="E574" s="4" t="s">
        <v>5762</v>
      </c>
      <c r="F574" s="4" t="s">
        <v>5763</v>
      </c>
      <c r="G574" s="4" t="s">
        <v>2057</v>
      </c>
      <c r="H574" s="4" t="s">
        <v>5764</v>
      </c>
      <c r="I574" s="4" t="s">
        <v>1978</v>
      </c>
      <c r="J574" s="4" t="s">
        <v>5765</v>
      </c>
      <c r="K574" s="4" t="s">
        <v>5766</v>
      </c>
      <c r="L574" s="4" t="s">
        <v>5767</v>
      </c>
      <c r="M574" s="4" t="s">
        <v>2078</v>
      </c>
      <c r="N574" s="8">
        <v>46052</v>
      </c>
      <c r="O574" s="8">
        <v>46355</v>
      </c>
      <c r="P574" s="4" t="s">
        <v>5763</v>
      </c>
      <c r="Q574" s="4" t="s">
        <v>1978</v>
      </c>
      <c r="R574" s="4" t="s">
        <v>4947</v>
      </c>
      <c r="S574" s="4" t="s">
        <v>5768</v>
      </c>
      <c r="T574" s="4" t="s">
        <v>2067</v>
      </c>
      <c r="U574" s="4" t="s">
        <v>5769</v>
      </c>
      <c r="V574" s="4" t="s">
        <v>2067</v>
      </c>
      <c r="W574" s="4" t="s">
        <v>2069</v>
      </c>
    </row>
    <row r="575" spans="1:23" ht="20.100000000000001" customHeight="1" x14ac:dyDescent="0.25">
      <c r="A575" s="6" t="s">
        <v>1078</v>
      </c>
      <c r="B575" s="7" t="s">
        <v>2084</v>
      </c>
      <c r="C575" s="7" t="s">
        <v>5770</v>
      </c>
      <c r="D575" s="7" t="s">
        <v>2059</v>
      </c>
      <c r="E575" s="7" t="s">
        <v>1947</v>
      </c>
      <c r="F575" s="7" t="s">
        <v>1948</v>
      </c>
      <c r="G575" s="7" t="s">
        <v>2084</v>
      </c>
      <c r="H575" s="7" t="s">
        <v>5771</v>
      </c>
      <c r="I575" s="7" t="s">
        <v>1978</v>
      </c>
      <c r="J575" s="7" t="s">
        <v>5772</v>
      </c>
      <c r="K575" s="7" t="s">
        <v>5773</v>
      </c>
      <c r="L575" s="7" t="s">
        <v>5774</v>
      </c>
      <c r="M575" s="7" t="s">
        <v>2064</v>
      </c>
      <c r="N575" s="9">
        <v>45509</v>
      </c>
      <c r="O575" s="9"/>
      <c r="P575" s="7" t="s">
        <v>2090</v>
      </c>
      <c r="Q575" s="7" t="s">
        <v>1978</v>
      </c>
      <c r="R575" s="7" t="s">
        <v>5775</v>
      </c>
      <c r="S575" s="7" t="s">
        <v>5776</v>
      </c>
      <c r="T575" s="7" t="s">
        <v>2067</v>
      </c>
      <c r="U575" s="7" t="s">
        <v>2146</v>
      </c>
      <c r="V575" s="7" t="s">
        <v>2067</v>
      </c>
      <c r="W575" s="7" t="s">
        <v>2069</v>
      </c>
    </row>
    <row r="576" spans="1:23" ht="20.100000000000001" customHeight="1" x14ac:dyDescent="0.25">
      <c r="A576" s="3" t="s">
        <v>5777</v>
      </c>
      <c r="B576" s="4" t="s">
        <v>2084</v>
      </c>
      <c r="C576" s="4" t="s">
        <v>5778</v>
      </c>
      <c r="D576" s="4" t="s">
        <v>2059</v>
      </c>
      <c r="E576" s="4" t="s">
        <v>3064</v>
      </c>
      <c r="F576" s="4" t="s">
        <v>3065</v>
      </c>
      <c r="G576" s="4" t="s">
        <v>2084</v>
      </c>
      <c r="H576" s="4" t="s">
        <v>5779</v>
      </c>
      <c r="I576" s="4" t="s">
        <v>1978</v>
      </c>
      <c r="J576" s="4" t="s">
        <v>5780</v>
      </c>
      <c r="K576" s="4" t="s">
        <v>5781</v>
      </c>
      <c r="L576" s="4" t="s">
        <v>5782</v>
      </c>
      <c r="M576" s="4" t="s">
        <v>2078</v>
      </c>
      <c r="N576" s="8">
        <v>46024</v>
      </c>
      <c r="O576" s="8">
        <v>46355</v>
      </c>
      <c r="P576" s="4" t="s">
        <v>3065</v>
      </c>
      <c r="Q576" s="4" t="s">
        <v>1978</v>
      </c>
      <c r="R576" s="4" t="s">
        <v>5783</v>
      </c>
      <c r="S576" s="4" t="s">
        <v>5784</v>
      </c>
      <c r="T576" s="4" t="s">
        <v>2067</v>
      </c>
      <c r="U576" s="4" t="s">
        <v>3073</v>
      </c>
      <c r="V576" s="4" t="s">
        <v>2067</v>
      </c>
      <c r="W576" s="4" t="s">
        <v>2069</v>
      </c>
    </row>
    <row r="577" spans="1:23" ht="20.100000000000001" customHeight="1" x14ac:dyDescent="0.25">
      <c r="A577" s="6" t="s">
        <v>248</v>
      </c>
      <c r="B577" s="7" t="s">
        <v>2084</v>
      </c>
      <c r="C577" s="7" t="s">
        <v>5785</v>
      </c>
      <c r="D577" s="7" t="s">
        <v>2059</v>
      </c>
      <c r="E577" s="7" t="s">
        <v>1940</v>
      </c>
      <c r="F577" s="7" t="s">
        <v>1941</v>
      </c>
      <c r="G577" s="7" t="s">
        <v>2084</v>
      </c>
      <c r="H577" s="7" t="s">
        <v>5786</v>
      </c>
      <c r="I577" s="7" t="s">
        <v>1978</v>
      </c>
      <c r="J577" s="7" t="s">
        <v>5787</v>
      </c>
      <c r="K577" s="7" t="s">
        <v>5788</v>
      </c>
      <c r="L577" s="7" t="s">
        <v>5789</v>
      </c>
      <c r="M577" s="7" t="s">
        <v>2078</v>
      </c>
      <c r="N577" s="9">
        <v>46052</v>
      </c>
      <c r="O577" s="9">
        <v>46355</v>
      </c>
      <c r="P577" s="7" t="s">
        <v>1941</v>
      </c>
      <c r="Q577" s="7" t="s">
        <v>1978</v>
      </c>
      <c r="R577" s="7" t="s">
        <v>5790</v>
      </c>
      <c r="S577" s="7" t="s">
        <v>5791</v>
      </c>
      <c r="T577" s="7" t="s">
        <v>2067</v>
      </c>
      <c r="U577" s="7" t="s">
        <v>2068</v>
      </c>
      <c r="V577" s="7" t="s">
        <v>2067</v>
      </c>
      <c r="W577" s="7" t="s">
        <v>2069</v>
      </c>
    </row>
    <row r="578" spans="1:23" ht="20.100000000000001" customHeight="1" x14ac:dyDescent="0.25">
      <c r="A578" s="3" t="s">
        <v>5792</v>
      </c>
      <c r="B578" s="4" t="s">
        <v>2057</v>
      </c>
      <c r="C578" s="4" t="s">
        <v>5793</v>
      </c>
      <c r="D578" s="4" t="s">
        <v>2059</v>
      </c>
      <c r="E578" s="4" t="s">
        <v>1947</v>
      </c>
      <c r="F578" s="4" t="s">
        <v>1948</v>
      </c>
      <c r="G578" s="4" t="s">
        <v>2057</v>
      </c>
      <c r="H578" s="4" t="s">
        <v>5794</v>
      </c>
      <c r="I578" s="4" t="s">
        <v>1978</v>
      </c>
      <c r="J578" s="4" t="s">
        <v>5795</v>
      </c>
      <c r="K578" s="4" t="s">
        <v>5796</v>
      </c>
      <c r="L578" s="4" t="s">
        <v>5797</v>
      </c>
      <c r="M578" s="4" t="s">
        <v>2064</v>
      </c>
      <c r="N578" s="8">
        <v>45278</v>
      </c>
      <c r="O578" s="8"/>
      <c r="P578" s="4" t="s">
        <v>2090</v>
      </c>
      <c r="Q578" s="4" t="s">
        <v>1978</v>
      </c>
      <c r="R578" s="4" t="s">
        <v>5798</v>
      </c>
      <c r="S578" s="4" t="s">
        <v>5799</v>
      </c>
      <c r="T578" s="4" t="s">
        <v>2067</v>
      </c>
      <c r="U578" s="4" t="s">
        <v>2093</v>
      </c>
      <c r="V578" s="4" t="s">
        <v>2067</v>
      </c>
      <c r="W578" s="4" t="s">
        <v>2069</v>
      </c>
    </row>
    <row r="579" spans="1:23" ht="20.100000000000001" customHeight="1" x14ac:dyDescent="0.25">
      <c r="A579" s="6" t="s">
        <v>250</v>
      </c>
      <c r="B579" s="7" t="s">
        <v>2084</v>
      </c>
      <c r="C579" s="7" t="s">
        <v>5800</v>
      </c>
      <c r="D579" s="7" t="s">
        <v>2059</v>
      </c>
      <c r="E579" s="7" t="s">
        <v>1979</v>
      </c>
      <c r="F579" s="7" t="s">
        <v>1980</v>
      </c>
      <c r="G579" s="7" t="s">
        <v>2084</v>
      </c>
      <c r="H579" s="7" t="s">
        <v>5786</v>
      </c>
      <c r="I579" s="7" t="s">
        <v>1978</v>
      </c>
      <c r="J579" s="7" t="s">
        <v>5801</v>
      </c>
      <c r="K579" s="7" t="s">
        <v>5802</v>
      </c>
      <c r="L579" s="7" t="s">
        <v>5803</v>
      </c>
      <c r="M579" s="7" t="s">
        <v>2064</v>
      </c>
      <c r="N579" s="9">
        <v>44963</v>
      </c>
      <c r="O579" s="9"/>
      <c r="P579" s="7" t="s">
        <v>1980</v>
      </c>
      <c r="Q579" s="7" t="s">
        <v>1978</v>
      </c>
      <c r="R579" s="7" t="s">
        <v>5804</v>
      </c>
      <c r="S579" s="7" t="s">
        <v>5805</v>
      </c>
      <c r="T579" s="7" t="s">
        <v>2067</v>
      </c>
      <c r="U579" s="7" t="s">
        <v>2299</v>
      </c>
      <c r="V579" s="7" t="s">
        <v>2067</v>
      </c>
      <c r="W579" s="7" t="s">
        <v>2069</v>
      </c>
    </row>
    <row r="580" spans="1:23" ht="20.100000000000001" customHeight="1" x14ac:dyDescent="0.25">
      <c r="A580" s="3" t="s">
        <v>1170</v>
      </c>
      <c r="B580" s="4" t="s">
        <v>2084</v>
      </c>
      <c r="C580" s="4" t="s">
        <v>5806</v>
      </c>
      <c r="D580" s="4" t="s">
        <v>2059</v>
      </c>
      <c r="E580" s="4" t="s">
        <v>1947</v>
      </c>
      <c r="F580" s="4" t="s">
        <v>1948</v>
      </c>
      <c r="G580" s="4" t="s">
        <v>2084</v>
      </c>
      <c r="H580" s="4" t="s">
        <v>1977</v>
      </c>
      <c r="I580" s="4" t="s">
        <v>1978</v>
      </c>
      <c r="J580" s="4" t="s">
        <v>5807</v>
      </c>
      <c r="K580" s="4" t="s">
        <v>5808</v>
      </c>
      <c r="L580" s="4" t="s">
        <v>5809</v>
      </c>
      <c r="M580" s="4" t="s">
        <v>2078</v>
      </c>
      <c r="N580" s="8">
        <v>46024</v>
      </c>
      <c r="O580" s="8">
        <v>46355</v>
      </c>
      <c r="P580" s="4" t="s">
        <v>2090</v>
      </c>
      <c r="Q580" s="4" t="s">
        <v>1978</v>
      </c>
      <c r="R580" s="4" t="s">
        <v>4638</v>
      </c>
      <c r="S580" s="4" t="s">
        <v>5810</v>
      </c>
      <c r="T580" s="4" t="s">
        <v>2067</v>
      </c>
      <c r="U580" s="4" t="s">
        <v>2146</v>
      </c>
      <c r="V580" s="4" t="s">
        <v>2067</v>
      </c>
      <c r="W580" s="4" t="s">
        <v>2069</v>
      </c>
    </row>
    <row r="581" spans="1:23" ht="20.100000000000001" customHeight="1" x14ac:dyDescent="0.25">
      <c r="A581" s="6" t="s">
        <v>5811</v>
      </c>
      <c r="B581" s="7" t="s">
        <v>2084</v>
      </c>
      <c r="C581" s="7" t="s">
        <v>5812</v>
      </c>
      <c r="D581" s="7" t="s">
        <v>2059</v>
      </c>
      <c r="E581" s="7" t="s">
        <v>1947</v>
      </c>
      <c r="F581" s="7" t="s">
        <v>1948</v>
      </c>
      <c r="G581" s="7" t="s">
        <v>2084</v>
      </c>
      <c r="H581" s="7" t="s">
        <v>1977</v>
      </c>
      <c r="I581" s="7" t="s">
        <v>1978</v>
      </c>
      <c r="J581" s="7" t="s">
        <v>5813</v>
      </c>
      <c r="K581" s="7" t="s">
        <v>5814</v>
      </c>
      <c r="L581" s="7" t="s">
        <v>5815</v>
      </c>
      <c r="M581" s="7" t="s">
        <v>2078</v>
      </c>
      <c r="N581" s="9">
        <v>45992</v>
      </c>
      <c r="O581" s="9">
        <v>46356</v>
      </c>
      <c r="P581" s="7" t="s">
        <v>2090</v>
      </c>
      <c r="Q581" s="7" t="s">
        <v>1978</v>
      </c>
      <c r="R581" s="7" t="s">
        <v>5816</v>
      </c>
      <c r="S581" s="7" t="s">
        <v>5817</v>
      </c>
      <c r="T581" s="7" t="s">
        <v>2067</v>
      </c>
      <c r="U581" s="7" t="s">
        <v>2146</v>
      </c>
      <c r="V581" s="7" t="s">
        <v>2067</v>
      </c>
      <c r="W581" s="7" t="s">
        <v>2069</v>
      </c>
    </row>
    <row r="582" spans="1:23" ht="20.100000000000001" customHeight="1" x14ac:dyDescent="0.25">
      <c r="A582" s="3" t="s">
        <v>764</v>
      </c>
      <c r="B582" s="4" t="s">
        <v>2057</v>
      </c>
      <c r="C582" s="4" t="s">
        <v>5818</v>
      </c>
      <c r="D582" s="4" t="s">
        <v>2059</v>
      </c>
      <c r="E582" s="4" t="s">
        <v>1947</v>
      </c>
      <c r="F582" s="4" t="s">
        <v>1948</v>
      </c>
      <c r="G582" s="4" t="s">
        <v>2057</v>
      </c>
      <c r="H582" s="4" t="s">
        <v>5749</v>
      </c>
      <c r="I582" s="4" t="s">
        <v>1978</v>
      </c>
      <c r="J582" s="4" t="s">
        <v>5819</v>
      </c>
      <c r="K582" s="4" t="s">
        <v>5820</v>
      </c>
      <c r="L582" s="4" t="s">
        <v>5821</v>
      </c>
      <c r="M582" s="4" t="s">
        <v>2078</v>
      </c>
      <c r="N582" s="8">
        <v>46042</v>
      </c>
      <c r="O582" s="8">
        <v>46355</v>
      </c>
      <c r="P582" s="4" t="s">
        <v>2090</v>
      </c>
      <c r="Q582" s="4" t="s">
        <v>1978</v>
      </c>
      <c r="R582" s="4" t="s">
        <v>5544</v>
      </c>
      <c r="S582" s="4" t="s">
        <v>5822</v>
      </c>
      <c r="T582" s="4" t="s">
        <v>2067</v>
      </c>
      <c r="U582" s="4" t="s">
        <v>2146</v>
      </c>
      <c r="V582" s="4" t="s">
        <v>2067</v>
      </c>
      <c r="W582" s="4" t="s">
        <v>2069</v>
      </c>
    </row>
    <row r="583" spans="1:23" ht="20.100000000000001" customHeight="1" x14ac:dyDescent="0.25">
      <c r="A583" s="6" t="s">
        <v>1975</v>
      </c>
      <c r="B583" s="7" t="s">
        <v>2084</v>
      </c>
      <c r="C583" s="7" t="s">
        <v>1976</v>
      </c>
      <c r="D583" s="7" t="s">
        <v>2059</v>
      </c>
      <c r="E583" s="7" t="s">
        <v>1979</v>
      </c>
      <c r="F583" s="7" t="s">
        <v>1980</v>
      </c>
      <c r="G583" s="7" t="s">
        <v>2084</v>
      </c>
      <c r="H583" s="7" t="s">
        <v>1977</v>
      </c>
      <c r="I583" s="7" t="s">
        <v>1978</v>
      </c>
      <c r="J583" s="7" t="s">
        <v>5823</v>
      </c>
      <c r="K583" s="7" t="s">
        <v>5824</v>
      </c>
      <c r="L583" s="7" t="s">
        <v>5825</v>
      </c>
      <c r="M583" s="7" t="s">
        <v>2078</v>
      </c>
      <c r="N583" s="9">
        <v>45992</v>
      </c>
      <c r="O583" s="9">
        <v>46356</v>
      </c>
      <c r="P583" s="7" t="s">
        <v>1980</v>
      </c>
      <c r="Q583" s="7" t="s">
        <v>1978</v>
      </c>
      <c r="R583" s="7" t="s">
        <v>5826</v>
      </c>
      <c r="S583" s="7" t="s">
        <v>5827</v>
      </c>
      <c r="T583" s="7" t="s">
        <v>2067</v>
      </c>
      <c r="U583" s="7" t="s">
        <v>2299</v>
      </c>
      <c r="V583" s="7" t="s">
        <v>2067</v>
      </c>
      <c r="W583" s="7" t="s">
        <v>2069</v>
      </c>
    </row>
    <row r="584" spans="1:23" ht="20.100000000000001" customHeight="1" x14ac:dyDescent="0.25">
      <c r="A584" s="3" t="s">
        <v>5828</v>
      </c>
      <c r="B584" s="4" t="s">
        <v>2084</v>
      </c>
      <c r="C584" s="4" t="s">
        <v>5829</v>
      </c>
      <c r="D584" s="4" t="s">
        <v>2059</v>
      </c>
      <c r="E584" s="4" t="s">
        <v>2111</v>
      </c>
      <c r="F584" s="4" t="s">
        <v>2112</v>
      </c>
      <c r="G584" s="4" t="s">
        <v>2084</v>
      </c>
      <c r="H584" s="4" t="s">
        <v>1977</v>
      </c>
      <c r="I584" s="4" t="s">
        <v>1978</v>
      </c>
      <c r="J584" s="4" t="s">
        <v>5830</v>
      </c>
      <c r="K584" s="4" t="s">
        <v>5831</v>
      </c>
      <c r="L584" s="4" t="s">
        <v>5832</v>
      </c>
      <c r="M584" s="4" t="s">
        <v>2078</v>
      </c>
      <c r="N584" s="8">
        <v>45992</v>
      </c>
      <c r="O584" s="8">
        <v>46356</v>
      </c>
      <c r="P584" s="4" t="s">
        <v>2112</v>
      </c>
      <c r="Q584" s="4" t="s">
        <v>1978</v>
      </c>
      <c r="R584" s="4" t="s">
        <v>5833</v>
      </c>
      <c r="S584" s="4" t="s">
        <v>5834</v>
      </c>
      <c r="T584" s="4" t="s">
        <v>2067</v>
      </c>
      <c r="U584" s="4" t="s">
        <v>2119</v>
      </c>
      <c r="V584" s="4" t="s">
        <v>2067</v>
      </c>
      <c r="W584" s="4" t="s">
        <v>2069</v>
      </c>
    </row>
    <row r="585" spans="1:23" ht="20.100000000000001" customHeight="1" x14ac:dyDescent="0.25">
      <c r="A585" s="6" t="s">
        <v>268</v>
      </c>
      <c r="B585" s="7" t="s">
        <v>2084</v>
      </c>
      <c r="C585" s="7" t="s">
        <v>5835</v>
      </c>
      <c r="D585" s="7" t="s">
        <v>2059</v>
      </c>
      <c r="E585" s="7" t="s">
        <v>1979</v>
      </c>
      <c r="F585" s="7" t="s">
        <v>1980</v>
      </c>
      <c r="G585" s="7" t="s">
        <v>2084</v>
      </c>
      <c r="H585" s="7" t="s">
        <v>5771</v>
      </c>
      <c r="I585" s="7" t="s">
        <v>1978</v>
      </c>
      <c r="J585" s="7" t="s">
        <v>5836</v>
      </c>
      <c r="K585" s="7" t="s">
        <v>5837</v>
      </c>
      <c r="L585" s="7" t="s">
        <v>5838</v>
      </c>
      <c r="M585" s="7" t="s">
        <v>2078</v>
      </c>
      <c r="N585" s="9">
        <v>45992</v>
      </c>
      <c r="O585" s="9">
        <v>46356</v>
      </c>
      <c r="P585" s="7" t="s">
        <v>1980</v>
      </c>
      <c r="Q585" s="7" t="s">
        <v>1978</v>
      </c>
      <c r="R585" s="7" t="s">
        <v>5839</v>
      </c>
      <c r="S585" s="7" t="s">
        <v>5840</v>
      </c>
      <c r="T585" s="7" t="s">
        <v>2067</v>
      </c>
      <c r="U585" s="7" t="s">
        <v>2299</v>
      </c>
      <c r="V585" s="7" t="s">
        <v>2067</v>
      </c>
      <c r="W585" s="7" t="s">
        <v>2069</v>
      </c>
    </row>
    <row r="586" spans="1:23" ht="20.100000000000001" customHeight="1" x14ac:dyDescent="0.25">
      <c r="A586" s="3" t="s">
        <v>652</v>
      </c>
      <c r="B586" s="4" t="s">
        <v>2057</v>
      </c>
      <c r="C586" s="4" t="s">
        <v>5841</v>
      </c>
      <c r="D586" s="4" t="s">
        <v>2059</v>
      </c>
      <c r="E586" s="4" t="s">
        <v>2131</v>
      </c>
      <c r="F586" s="4" t="s">
        <v>2132</v>
      </c>
      <c r="G586" s="4" t="s">
        <v>2057</v>
      </c>
      <c r="H586" s="4" t="s">
        <v>5842</v>
      </c>
      <c r="I586" s="4" t="s">
        <v>1978</v>
      </c>
      <c r="J586" s="4" t="s">
        <v>5843</v>
      </c>
      <c r="K586" s="4" t="s">
        <v>5844</v>
      </c>
      <c r="L586" s="4" t="s">
        <v>5845</v>
      </c>
      <c r="M586" s="4" t="s">
        <v>2078</v>
      </c>
      <c r="N586" s="8">
        <v>46052</v>
      </c>
      <c r="O586" s="8">
        <v>46355</v>
      </c>
      <c r="P586" s="4" t="s">
        <v>2132</v>
      </c>
      <c r="Q586" s="4" t="s">
        <v>1978</v>
      </c>
      <c r="R586" s="4" t="s">
        <v>5846</v>
      </c>
      <c r="S586" s="4" t="s">
        <v>5847</v>
      </c>
      <c r="T586" s="4" t="s">
        <v>2067</v>
      </c>
      <c r="U586" s="4" t="s">
        <v>2138</v>
      </c>
      <c r="V586" s="4" t="s">
        <v>2067</v>
      </c>
      <c r="W586" s="4" t="s">
        <v>2069</v>
      </c>
    </row>
    <row r="587" spans="1:23" ht="20.100000000000001" customHeight="1" x14ac:dyDescent="0.25">
      <c r="A587" s="6" t="s">
        <v>1058</v>
      </c>
      <c r="B587" s="7" t="s">
        <v>2057</v>
      </c>
      <c r="C587" s="7" t="s">
        <v>5848</v>
      </c>
      <c r="D587" s="7" t="s">
        <v>2059</v>
      </c>
      <c r="E587" s="7" t="s">
        <v>1947</v>
      </c>
      <c r="F587" s="7" t="s">
        <v>1948</v>
      </c>
      <c r="G587" s="7" t="s">
        <v>2057</v>
      </c>
      <c r="H587" s="7" t="s">
        <v>5749</v>
      </c>
      <c r="I587" s="7" t="s">
        <v>1978</v>
      </c>
      <c r="J587" s="7" t="s">
        <v>5849</v>
      </c>
      <c r="K587" s="7" t="s">
        <v>5850</v>
      </c>
      <c r="L587" s="7" t="s">
        <v>5851</v>
      </c>
      <c r="M587" s="7" t="s">
        <v>2078</v>
      </c>
      <c r="N587" s="9">
        <v>46052</v>
      </c>
      <c r="O587" s="9">
        <v>46355</v>
      </c>
      <c r="P587" s="7" t="s">
        <v>2090</v>
      </c>
      <c r="Q587" s="7" t="s">
        <v>1978</v>
      </c>
      <c r="R587" s="7" t="s">
        <v>5852</v>
      </c>
      <c r="S587" s="7" t="s">
        <v>5853</v>
      </c>
      <c r="T587" s="7" t="s">
        <v>2067</v>
      </c>
      <c r="U587" s="7" t="s">
        <v>2146</v>
      </c>
      <c r="V587" s="7" t="s">
        <v>2067</v>
      </c>
      <c r="W587" s="7" t="s">
        <v>2069</v>
      </c>
    </row>
    <row r="588" spans="1:23" ht="20.100000000000001" customHeight="1" x14ac:dyDescent="0.25">
      <c r="A588" s="3" t="s">
        <v>1296</v>
      </c>
      <c r="B588" s="4" t="s">
        <v>2084</v>
      </c>
      <c r="C588" s="4" t="s">
        <v>5854</v>
      </c>
      <c r="D588" s="4" t="s">
        <v>2059</v>
      </c>
      <c r="E588" s="4" t="s">
        <v>1947</v>
      </c>
      <c r="F588" s="4" t="s">
        <v>1948</v>
      </c>
      <c r="G588" s="4" t="s">
        <v>2084</v>
      </c>
      <c r="H588" s="4" t="s">
        <v>5779</v>
      </c>
      <c r="I588" s="4" t="s">
        <v>1978</v>
      </c>
      <c r="J588" s="4" t="s">
        <v>5855</v>
      </c>
      <c r="K588" s="4" t="s">
        <v>5856</v>
      </c>
      <c r="L588" s="4" t="s">
        <v>5857</v>
      </c>
      <c r="M588" s="4" t="s">
        <v>2078</v>
      </c>
      <c r="N588" s="8">
        <v>46052</v>
      </c>
      <c r="O588" s="8">
        <v>46355</v>
      </c>
      <c r="P588" s="4" t="s">
        <v>2090</v>
      </c>
      <c r="Q588" s="4" t="s">
        <v>1978</v>
      </c>
      <c r="R588" s="4" t="s">
        <v>5858</v>
      </c>
      <c r="S588" s="4" t="s">
        <v>5859</v>
      </c>
      <c r="T588" s="4" t="s">
        <v>2067</v>
      </c>
      <c r="U588" s="4" t="s">
        <v>2146</v>
      </c>
      <c r="V588" s="4" t="s">
        <v>2067</v>
      </c>
      <c r="W588" s="4" t="s">
        <v>2069</v>
      </c>
    </row>
    <row r="589" spans="1:23" ht="20.100000000000001" customHeight="1" x14ac:dyDescent="0.25">
      <c r="A589" s="6" t="s">
        <v>10</v>
      </c>
      <c r="B589" s="7" t="s">
        <v>2084</v>
      </c>
      <c r="C589" s="7" t="s">
        <v>5860</v>
      </c>
      <c r="D589" s="7" t="s">
        <v>2059</v>
      </c>
      <c r="E589" s="7" t="s">
        <v>3520</v>
      </c>
      <c r="F589" s="7" t="s">
        <v>3521</v>
      </c>
      <c r="G589" s="7" t="s">
        <v>2084</v>
      </c>
      <c r="H589" s="7" t="s">
        <v>5861</v>
      </c>
      <c r="I589" s="7" t="s">
        <v>1978</v>
      </c>
      <c r="J589" s="7" t="s">
        <v>5862</v>
      </c>
      <c r="K589" s="7" t="s">
        <v>5863</v>
      </c>
      <c r="L589" s="7" t="s">
        <v>5864</v>
      </c>
      <c r="M589" s="7" t="s">
        <v>2064</v>
      </c>
      <c r="N589" s="9">
        <v>45146</v>
      </c>
      <c r="O589" s="9"/>
      <c r="P589" s="7" t="s">
        <v>3521</v>
      </c>
      <c r="Q589" s="7" t="s">
        <v>1978</v>
      </c>
      <c r="R589" s="7" t="s">
        <v>5865</v>
      </c>
      <c r="S589" s="7" t="s">
        <v>5866</v>
      </c>
      <c r="T589" s="7" t="s">
        <v>2067</v>
      </c>
      <c r="U589" s="7" t="s">
        <v>3527</v>
      </c>
      <c r="V589" s="7" t="s">
        <v>2067</v>
      </c>
      <c r="W589" s="7" t="s">
        <v>2069</v>
      </c>
    </row>
    <row r="590" spans="1:23" ht="20.100000000000001" customHeight="1" x14ac:dyDescent="0.25">
      <c r="A590" s="3" t="s">
        <v>692</v>
      </c>
      <c r="B590" s="4" t="s">
        <v>2084</v>
      </c>
      <c r="C590" s="4" t="s">
        <v>5867</v>
      </c>
      <c r="D590" s="4" t="s">
        <v>2059</v>
      </c>
      <c r="E590" s="4" t="s">
        <v>4160</v>
      </c>
      <c r="F590" s="4" t="s">
        <v>4161</v>
      </c>
      <c r="G590" s="4" t="s">
        <v>2084</v>
      </c>
      <c r="H590" s="4" t="s">
        <v>5779</v>
      </c>
      <c r="I590" s="4" t="s">
        <v>1978</v>
      </c>
      <c r="J590" s="4" t="s">
        <v>5868</v>
      </c>
      <c r="K590" s="4" t="s">
        <v>5869</v>
      </c>
      <c r="L590" s="4" t="s">
        <v>5870</v>
      </c>
      <c r="M590" s="4" t="s">
        <v>2078</v>
      </c>
      <c r="N590" s="8">
        <v>45992</v>
      </c>
      <c r="O590" s="8">
        <v>46356</v>
      </c>
      <c r="P590" s="4" t="s">
        <v>4161</v>
      </c>
      <c r="Q590" s="4" t="s">
        <v>1978</v>
      </c>
      <c r="R590" s="4" t="s">
        <v>5871</v>
      </c>
      <c r="S590" s="4" t="s">
        <v>5872</v>
      </c>
      <c r="T590" s="4" t="s">
        <v>2067</v>
      </c>
      <c r="U590" s="4" t="s">
        <v>4167</v>
      </c>
      <c r="V590" s="4" t="s">
        <v>2067</v>
      </c>
      <c r="W590" s="4" t="s">
        <v>2069</v>
      </c>
    </row>
    <row r="591" spans="1:23" ht="20.100000000000001" customHeight="1" x14ac:dyDescent="0.25">
      <c r="A591" s="6" t="s">
        <v>5873</v>
      </c>
      <c r="B591" s="7" t="s">
        <v>2084</v>
      </c>
      <c r="C591" s="7" t="s">
        <v>5874</v>
      </c>
      <c r="D591" s="7" t="s">
        <v>2059</v>
      </c>
      <c r="E591" s="7" t="s">
        <v>2673</v>
      </c>
      <c r="F591" s="7" t="s">
        <v>2674</v>
      </c>
      <c r="G591" s="7" t="s">
        <v>2084</v>
      </c>
      <c r="H591" s="7" t="s">
        <v>5779</v>
      </c>
      <c r="I591" s="7" t="s">
        <v>1978</v>
      </c>
      <c r="J591" s="7" t="s">
        <v>5875</v>
      </c>
      <c r="K591" s="7" t="s">
        <v>5876</v>
      </c>
      <c r="L591" s="7" t="s">
        <v>5877</v>
      </c>
      <c r="M591" s="7" t="s">
        <v>2078</v>
      </c>
      <c r="N591" s="9">
        <v>45992</v>
      </c>
      <c r="O591" s="9">
        <v>46356</v>
      </c>
      <c r="P591" s="7" t="s">
        <v>2674</v>
      </c>
      <c r="Q591" s="7" t="s">
        <v>1978</v>
      </c>
      <c r="R591" s="7" t="s">
        <v>5878</v>
      </c>
      <c r="S591" s="7" t="s">
        <v>5879</v>
      </c>
      <c r="T591" s="7" t="s">
        <v>2067</v>
      </c>
      <c r="U591" s="7" t="s">
        <v>2680</v>
      </c>
      <c r="V591" s="7" t="s">
        <v>2067</v>
      </c>
      <c r="W591" s="7" t="s">
        <v>2069</v>
      </c>
    </row>
    <row r="592" spans="1:23" ht="20.100000000000001" customHeight="1" x14ac:dyDescent="0.25">
      <c r="A592" s="3" t="s">
        <v>1624</v>
      </c>
      <c r="B592" s="4" t="s">
        <v>2084</v>
      </c>
      <c r="C592" s="4" t="s">
        <v>5880</v>
      </c>
      <c r="D592" s="4" t="s">
        <v>2059</v>
      </c>
      <c r="E592" s="4" t="s">
        <v>1947</v>
      </c>
      <c r="F592" s="4" t="s">
        <v>1948</v>
      </c>
      <c r="G592" s="4" t="s">
        <v>2084</v>
      </c>
      <c r="H592" s="4" t="s">
        <v>5881</v>
      </c>
      <c r="I592" s="4" t="s">
        <v>1978</v>
      </c>
      <c r="J592" s="4" t="s">
        <v>5882</v>
      </c>
      <c r="K592" s="4" t="s">
        <v>5883</v>
      </c>
      <c r="L592" s="4" t="s">
        <v>5884</v>
      </c>
      <c r="M592" s="4" t="s">
        <v>2064</v>
      </c>
      <c r="N592" s="8">
        <v>45146</v>
      </c>
      <c r="O592" s="8"/>
      <c r="P592" s="4" t="s">
        <v>2090</v>
      </c>
      <c r="Q592" s="4" t="s">
        <v>1978</v>
      </c>
      <c r="R592" s="4" t="s">
        <v>5885</v>
      </c>
      <c r="S592" s="4" t="s">
        <v>5886</v>
      </c>
      <c r="T592" s="4" t="s">
        <v>2067</v>
      </c>
      <c r="U592" s="4" t="s">
        <v>2146</v>
      </c>
      <c r="V592" s="4" t="s">
        <v>2067</v>
      </c>
      <c r="W592" s="4" t="s">
        <v>2069</v>
      </c>
    </row>
    <row r="593" spans="1:23" ht="20.100000000000001" customHeight="1" x14ac:dyDescent="0.25">
      <c r="A593" s="6" t="s">
        <v>174</v>
      </c>
      <c r="B593" s="7" t="s">
        <v>2084</v>
      </c>
      <c r="C593" s="7" t="s">
        <v>5887</v>
      </c>
      <c r="D593" s="7" t="s">
        <v>2059</v>
      </c>
      <c r="E593" s="7" t="s">
        <v>1947</v>
      </c>
      <c r="F593" s="7" t="s">
        <v>1948</v>
      </c>
      <c r="G593" s="7" t="s">
        <v>2084</v>
      </c>
      <c r="H593" s="7" t="s">
        <v>5771</v>
      </c>
      <c r="I593" s="7" t="s">
        <v>1978</v>
      </c>
      <c r="J593" s="7" t="s">
        <v>5888</v>
      </c>
      <c r="K593" s="7" t="s">
        <v>5889</v>
      </c>
      <c r="L593" s="7" t="s">
        <v>5890</v>
      </c>
      <c r="M593" s="7" t="s">
        <v>2078</v>
      </c>
      <c r="N593" s="9">
        <v>45992</v>
      </c>
      <c r="O593" s="9">
        <v>46356</v>
      </c>
      <c r="P593" s="7" t="s">
        <v>2090</v>
      </c>
      <c r="Q593" s="7" t="s">
        <v>1978</v>
      </c>
      <c r="R593" s="7" t="s">
        <v>5891</v>
      </c>
      <c r="S593" s="7" t="s">
        <v>5892</v>
      </c>
      <c r="T593" s="7" t="s">
        <v>2067</v>
      </c>
      <c r="U593" s="7" t="s">
        <v>2146</v>
      </c>
      <c r="V593" s="7" t="s">
        <v>2067</v>
      </c>
      <c r="W593" s="7" t="s">
        <v>2069</v>
      </c>
    </row>
    <row r="594" spans="1:23" ht="20.100000000000001" customHeight="1" x14ac:dyDescent="0.25">
      <c r="A594" s="3" t="s">
        <v>1258</v>
      </c>
      <c r="B594" s="4" t="s">
        <v>2084</v>
      </c>
      <c r="C594" s="4" t="s">
        <v>5893</v>
      </c>
      <c r="D594" s="4" t="s">
        <v>2059</v>
      </c>
      <c r="E594" s="4" t="s">
        <v>1947</v>
      </c>
      <c r="F594" s="4" t="s">
        <v>1948</v>
      </c>
      <c r="G594" s="4" t="s">
        <v>2084</v>
      </c>
      <c r="H594" s="4" t="s">
        <v>5771</v>
      </c>
      <c r="I594" s="4" t="s">
        <v>1978</v>
      </c>
      <c r="J594" s="4" t="s">
        <v>5894</v>
      </c>
      <c r="K594" s="4" t="s">
        <v>5895</v>
      </c>
      <c r="L594" s="4" t="s">
        <v>5896</v>
      </c>
      <c r="M594" s="4" t="s">
        <v>2078</v>
      </c>
      <c r="N594" s="8">
        <v>45992</v>
      </c>
      <c r="O594" s="8">
        <v>46356</v>
      </c>
      <c r="P594" s="4" t="s">
        <v>2090</v>
      </c>
      <c r="Q594" s="4" t="s">
        <v>1978</v>
      </c>
      <c r="R594" s="4" t="s">
        <v>5897</v>
      </c>
      <c r="S594" s="4" t="s">
        <v>5898</v>
      </c>
      <c r="T594" s="4" t="s">
        <v>2067</v>
      </c>
      <c r="U594" s="4" t="s">
        <v>2146</v>
      </c>
      <c r="V594" s="4" t="s">
        <v>2067</v>
      </c>
      <c r="W594" s="4" t="s">
        <v>2069</v>
      </c>
    </row>
    <row r="595" spans="1:23" ht="20.100000000000001" customHeight="1" x14ac:dyDescent="0.25">
      <c r="A595" s="6" t="s">
        <v>1554</v>
      </c>
      <c r="B595" s="7" t="s">
        <v>2084</v>
      </c>
      <c r="C595" s="7" t="s">
        <v>5899</v>
      </c>
      <c r="D595" s="7" t="s">
        <v>2059</v>
      </c>
      <c r="E595" s="7" t="s">
        <v>1947</v>
      </c>
      <c r="F595" s="7" t="s">
        <v>1948</v>
      </c>
      <c r="G595" s="7" t="s">
        <v>2084</v>
      </c>
      <c r="H595" s="7" t="s">
        <v>1977</v>
      </c>
      <c r="I595" s="7" t="s">
        <v>1978</v>
      </c>
      <c r="J595" s="7" t="s">
        <v>5900</v>
      </c>
      <c r="K595" s="7" t="s">
        <v>5901</v>
      </c>
      <c r="L595" s="7" t="s">
        <v>5902</v>
      </c>
      <c r="M595" s="7" t="s">
        <v>2064</v>
      </c>
      <c r="N595" s="9">
        <v>44599</v>
      </c>
      <c r="O595" s="9"/>
      <c r="P595" s="7" t="s">
        <v>2090</v>
      </c>
      <c r="Q595" s="7" t="s">
        <v>1978</v>
      </c>
      <c r="R595" s="7" t="s">
        <v>5007</v>
      </c>
      <c r="S595" s="7" t="s">
        <v>5903</v>
      </c>
      <c r="T595" s="7" t="s">
        <v>2067</v>
      </c>
      <c r="U595" s="7" t="s">
        <v>3153</v>
      </c>
      <c r="V595" s="7" t="s">
        <v>2067</v>
      </c>
      <c r="W595" s="7" t="s">
        <v>2069</v>
      </c>
    </row>
    <row r="596" spans="1:23" ht="20.100000000000001" customHeight="1" x14ac:dyDescent="0.25">
      <c r="A596" s="3" t="s">
        <v>1168</v>
      </c>
      <c r="B596" s="4" t="s">
        <v>2057</v>
      </c>
      <c r="C596" s="4" t="s">
        <v>5904</v>
      </c>
      <c r="D596" s="4" t="s">
        <v>2059</v>
      </c>
      <c r="E596" s="4" t="s">
        <v>1947</v>
      </c>
      <c r="F596" s="4" t="s">
        <v>1948</v>
      </c>
      <c r="G596" s="4" t="s">
        <v>2057</v>
      </c>
      <c r="H596" s="4" t="s">
        <v>5842</v>
      </c>
      <c r="I596" s="4" t="s">
        <v>1978</v>
      </c>
      <c r="J596" s="4" t="s">
        <v>5905</v>
      </c>
      <c r="K596" s="4" t="s">
        <v>5906</v>
      </c>
      <c r="L596" s="4" t="s">
        <v>5907</v>
      </c>
      <c r="M596" s="4" t="s">
        <v>2078</v>
      </c>
      <c r="N596" s="8">
        <v>46052</v>
      </c>
      <c r="O596" s="8">
        <v>46355</v>
      </c>
      <c r="P596" s="4" t="s">
        <v>2090</v>
      </c>
      <c r="Q596" s="4" t="s">
        <v>1978</v>
      </c>
      <c r="R596" s="4" t="s">
        <v>5908</v>
      </c>
      <c r="S596" s="4" t="s">
        <v>5909</v>
      </c>
      <c r="T596" s="4" t="s">
        <v>2067</v>
      </c>
      <c r="U596" s="4" t="s">
        <v>2146</v>
      </c>
      <c r="V596" s="4" t="s">
        <v>2067</v>
      </c>
      <c r="W596" s="4" t="s">
        <v>2069</v>
      </c>
    </row>
    <row r="597" spans="1:23" ht="20.100000000000001" customHeight="1" x14ac:dyDescent="0.25">
      <c r="A597" s="6" t="s">
        <v>5910</v>
      </c>
      <c r="B597" s="7" t="s">
        <v>2084</v>
      </c>
      <c r="C597" s="7" t="s">
        <v>5911</v>
      </c>
      <c r="D597" s="7" t="s">
        <v>2059</v>
      </c>
      <c r="E597" s="7" t="s">
        <v>2131</v>
      </c>
      <c r="F597" s="7" t="s">
        <v>2132</v>
      </c>
      <c r="G597" s="7" t="s">
        <v>2084</v>
      </c>
      <c r="H597" s="7" t="s">
        <v>1977</v>
      </c>
      <c r="I597" s="7" t="s">
        <v>1978</v>
      </c>
      <c r="J597" s="7" t="s">
        <v>5912</v>
      </c>
      <c r="K597" s="7" t="s">
        <v>5913</v>
      </c>
      <c r="L597" s="7" t="s">
        <v>5914</v>
      </c>
      <c r="M597" s="7" t="s">
        <v>2078</v>
      </c>
      <c r="N597" s="9">
        <v>45992</v>
      </c>
      <c r="O597" s="9">
        <v>46356</v>
      </c>
      <c r="P597" s="7" t="s">
        <v>2132</v>
      </c>
      <c r="Q597" s="7" t="s">
        <v>1978</v>
      </c>
      <c r="R597" s="7" t="s">
        <v>5915</v>
      </c>
      <c r="S597" s="7" t="s">
        <v>5916</v>
      </c>
      <c r="T597" s="7" t="s">
        <v>2067</v>
      </c>
      <c r="U597" s="7" t="s">
        <v>2138</v>
      </c>
      <c r="V597" s="7" t="s">
        <v>2067</v>
      </c>
      <c r="W597" s="7" t="s">
        <v>2069</v>
      </c>
    </row>
    <row r="598" spans="1:23" ht="20.100000000000001" customHeight="1" x14ac:dyDescent="0.25">
      <c r="A598" s="3" t="s">
        <v>474</v>
      </c>
      <c r="B598" s="4" t="s">
        <v>2084</v>
      </c>
      <c r="C598" s="4" t="s">
        <v>5917</v>
      </c>
      <c r="D598" s="4" t="s">
        <v>2059</v>
      </c>
      <c r="E598" s="4" t="s">
        <v>4160</v>
      </c>
      <c r="F598" s="4" t="s">
        <v>4161</v>
      </c>
      <c r="G598" s="4" t="s">
        <v>2084</v>
      </c>
      <c r="H598" s="4" t="s">
        <v>5918</v>
      </c>
      <c r="I598" s="4" t="s">
        <v>1978</v>
      </c>
      <c r="J598" s="4" t="s">
        <v>5919</v>
      </c>
      <c r="K598" s="4" t="s">
        <v>5920</v>
      </c>
      <c r="L598" s="4" t="s">
        <v>5921</v>
      </c>
      <c r="M598" s="4" t="s">
        <v>2064</v>
      </c>
      <c r="N598" s="8">
        <v>45327</v>
      </c>
      <c r="O598" s="8"/>
      <c r="P598" s="4" t="s">
        <v>4161</v>
      </c>
      <c r="Q598" s="4" t="s">
        <v>1978</v>
      </c>
      <c r="R598" s="4" t="s">
        <v>3085</v>
      </c>
      <c r="S598" s="4" t="s">
        <v>5922</v>
      </c>
      <c r="T598" s="4" t="s">
        <v>2067</v>
      </c>
      <c r="U598" s="4" t="s">
        <v>4167</v>
      </c>
      <c r="V598" s="4" t="s">
        <v>2067</v>
      </c>
      <c r="W598" s="4" t="s">
        <v>2069</v>
      </c>
    </row>
    <row r="599" spans="1:23" ht="20.100000000000001" customHeight="1" x14ac:dyDescent="0.25">
      <c r="A599" s="6" t="s">
        <v>504</v>
      </c>
      <c r="B599" s="7" t="s">
        <v>2084</v>
      </c>
      <c r="C599" s="7" t="s">
        <v>5923</v>
      </c>
      <c r="D599" s="7" t="s">
        <v>2059</v>
      </c>
      <c r="E599" s="7" t="s">
        <v>1940</v>
      </c>
      <c r="F599" s="7" t="s">
        <v>1941</v>
      </c>
      <c r="G599" s="7" t="s">
        <v>2084</v>
      </c>
      <c r="H599" s="7" t="s">
        <v>1977</v>
      </c>
      <c r="I599" s="7" t="s">
        <v>1978</v>
      </c>
      <c r="J599" s="7" t="s">
        <v>5924</v>
      </c>
      <c r="K599" s="7" t="s">
        <v>5925</v>
      </c>
      <c r="L599" s="7" t="s">
        <v>5926</v>
      </c>
      <c r="M599" s="7" t="s">
        <v>2078</v>
      </c>
      <c r="N599" s="9">
        <v>45992</v>
      </c>
      <c r="O599" s="9">
        <v>46356</v>
      </c>
      <c r="P599" s="7" t="s">
        <v>1941</v>
      </c>
      <c r="Q599" s="7" t="s">
        <v>1978</v>
      </c>
      <c r="R599" s="7" t="s">
        <v>5927</v>
      </c>
      <c r="S599" s="7" t="s">
        <v>5928</v>
      </c>
      <c r="T599" s="7" t="s">
        <v>2067</v>
      </c>
      <c r="U599" s="7" t="s">
        <v>2068</v>
      </c>
      <c r="V599" s="7" t="s">
        <v>2067</v>
      </c>
      <c r="W599" s="7" t="s">
        <v>2069</v>
      </c>
    </row>
    <row r="600" spans="1:23" ht="20.100000000000001" customHeight="1" x14ac:dyDescent="0.25">
      <c r="A600" s="3" t="s">
        <v>1294</v>
      </c>
      <c r="B600" s="4" t="s">
        <v>2057</v>
      </c>
      <c r="C600" s="4" t="s">
        <v>5929</v>
      </c>
      <c r="D600" s="4" t="s">
        <v>2059</v>
      </c>
      <c r="E600" s="4" t="s">
        <v>1947</v>
      </c>
      <c r="F600" s="4" t="s">
        <v>1948</v>
      </c>
      <c r="G600" s="4" t="s">
        <v>2057</v>
      </c>
      <c r="H600" s="4" t="s">
        <v>5842</v>
      </c>
      <c r="I600" s="4" t="s">
        <v>1978</v>
      </c>
      <c r="J600" s="4" t="s">
        <v>5930</v>
      </c>
      <c r="K600" s="4" t="s">
        <v>5931</v>
      </c>
      <c r="L600" s="4" t="s">
        <v>5932</v>
      </c>
      <c r="M600" s="4" t="s">
        <v>2078</v>
      </c>
      <c r="N600" s="8">
        <v>46052</v>
      </c>
      <c r="O600" s="8">
        <v>46355</v>
      </c>
      <c r="P600" s="4" t="s">
        <v>2090</v>
      </c>
      <c r="Q600" s="4" t="s">
        <v>1978</v>
      </c>
      <c r="R600" s="4" t="s">
        <v>5933</v>
      </c>
      <c r="S600" s="4" t="s">
        <v>5934</v>
      </c>
      <c r="T600" s="4" t="s">
        <v>2067</v>
      </c>
      <c r="U600" s="4" t="s">
        <v>2146</v>
      </c>
      <c r="V600" s="4" t="s">
        <v>2067</v>
      </c>
      <c r="W600" s="4" t="s">
        <v>2069</v>
      </c>
    </row>
    <row r="601" spans="1:23" ht="20.100000000000001" customHeight="1" x14ac:dyDescent="0.25">
      <c r="A601" s="6" t="s">
        <v>424</v>
      </c>
      <c r="B601" s="7" t="s">
        <v>2084</v>
      </c>
      <c r="C601" s="7" t="s">
        <v>5935</v>
      </c>
      <c r="D601" s="7" t="s">
        <v>2059</v>
      </c>
      <c r="E601" s="7" t="s">
        <v>5936</v>
      </c>
      <c r="F601" s="7" t="s">
        <v>5937</v>
      </c>
      <c r="G601" s="7" t="s">
        <v>2084</v>
      </c>
      <c r="H601" s="7" t="s">
        <v>1977</v>
      </c>
      <c r="I601" s="7" t="s">
        <v>1978</v>
      </c>
      <c r="J601" s="7" t="s">
        <v>5938</v>
      </c>
      <c r="K601" s="7" t="s">
        <v>5939</v>
      </c>
      <c r="L601" s="7" t="s">
        <v>5940</v>
      </c>
      <c r="M601" s="7" t="s">
        <v>2078</v>
      </c>
      <c r="N601" s="9">
        <v>46052</v>
      </c>
      <c r="O601" s="9">
        <v>46355</v>
      </c>
      <c r="P601" s="7" t="s">
        <v>5937</v>
      </c>
      <c r="Q601" s="7" t="s">
        <v>1978</v>
      </c>
      <c r="R601" s="7" t="s">
        <v>5941</v>
      </c>
      <c r="S601" s="7" t="s">
        <v>5942</v>
      </c>
      <c r="T601" s="7" t="s">
        <v>2067</v>
      </c>
      <c r="U601" s="7" t="s">
        <v>5937</v>
      </c>
      <c r="V601" s="7" t="s">
        <v>2067</v>
      </c>
      <c r="W601" s="7" t="s">
        <v>2069</v>
      </c>
    </row>
    <row r="602" spans="1:23" ht="20.100000000000001" customHeight="1" x14ac:dyDescent="0.25">
      <c r="A602" s="3" t="s">
        <v>716</v>
      </c>
      <c r="B602" s="4" t="s">
        <v>2084</v>
      </c>
      <c r="C602" s="4" t="s">
        <v>5943</v>
      </c>
      <c r="D602" s="4" t="s">
        <v>2059</v>
      </c>
      <c r="E602" s="4" t="s">
        <v>1947</v>
      </c>
      <c r="F602" s="4" t="s">
        <v>1948</v>
      </c>
      <c r="G602" s="4" t="s">
        <v>2084</v>
      </c>
      <c r="H602" s="4" t="s">
        <v>1977</v>
      </c>
      <c r="I602" s="4" t="s">
        <v>1978</v>
      </c>
      <c r="J602" s="4" t="s">
        <v>5944</v>
      </c>
      <c r="K602" s="4" t="s">
        <v>5945</v>
      </c>
      <c r="L602" s="4" t="s">
        <v>5946</v>
      </c>
      <c r="M602" s="4" t="s">
        <v>2078</v>
      </c>
      <c r="N602" s="8">
        <v>46052</v>
      </c>
      <c r="O602" s="8">
        <v>46355</v>
      </c>
      <c r="P602" s="4" t="s">
        <v>2090</v>
      </c>
      <c r="Q602" s="4" t="s">
        <v>1978</v>
      </c>
      <c r="R602" s="4" t="s">
        <v>5947</v>
      </c>
      <c r="S602" s="4" t="s">
        <v>5948</v>
      </c>
      <c r="T602" s="4" t="s">
        <v>2067</v>
      </c>
      <c r="U602" s="4" t="s">
        <v>2146</v>
      </c>
      <c r="V602" s="4" t="s">
        <v>2067</v>
      </c>
      <c r="W602" s="4" t="s">
        <v>2069</v>
      </c>
    </row>
    <row r="603" spans="1:23" ht="20.100000000000001" customHeight="1" x14ac:dyDescent="0.25">
      <c r="A603" s="6" t="s">
        <v>1740</v>
      </c>
      <c r="B603" s="7" t="s">
        <v>2084</v>
      </c>
      <c r="C603" s="7" t="s">
        <v>5949</v>
      </c>
      <c r="D603" s="7" t="s">
        <v>2059</v>
      </c>
      <c r="E603" s="7" t="s">
        <v>1947</v>
      </c>
      <c r="F603" s="7" t="s">
        <v>1948</v>
      </c>
      <c r="G603" s="7" t="s">
        <v>2084</v>
      </c>
      <c r="H603" s="7" t="s">
        <v>5771</v>
      </c>
      <c r="I603" s="7" t="s">
        <v>1978</v>
      </c>
      <c r="J603" s="7" t="s">
        <v>5950</v>
      </c>
      <c r="K603" s="7" t="s">
        <v>5951</v>
      </c>
      <c r="L603" s="7" t="s">
        <v>5952</v>
      </c>
      <c r="M603" s="7" t="s">
        <v>2078</v>
      </c>
      <c r="N603" s="9">
        <v>45992</v>
      </c>
      <c r="O603" s="9">
        <v>46356</v>
      </c>
      <c r="P603" s="7" t="s">
        <v>2090</v>
      </c>
      <c r="Q603" s="7" t="s">
        <v>1978</v>
      </c>
      <c r="R603" s="7" t="s">
        <v>5953</v>
      </c>
      <c r="S603" s="7" t="s">
        <v>5954</v>
      </c>
      <c r="T603" s="7" t="s">
        <v>2067</v>
      </c>
      <c r="U603" s="7" t="s">
        <v>2146</v>
      </c>
      <c r="V603" s="7" t="s">
        <v>2067</v>
      </c>
      <c r="W603" s="7" t="s">
        <v>2069</v>
      </c>
    </row>
    <row r="604" spans="1:23" ht="20.100000000000001" customHeight="1" x14ac:dyDescent="0.25">
      <c r="A604" s="3" t="s">
        <v>1494</v>
      </c>
      <c r="B604" s="4" t="s">
        <v>2084</v>
      </c>
      <c r="C604" s="4" t="s">
        <v>5955</v>
      </c>
      <c r="D604" s="4" t="s">
        <v>2059</v>
      </c>
      <c r="E604" s="4" t="s">
        <v>1947</v>
      </c>
      <c r="F604" s="4" t="s">
        <v>1948</v>
      </c>
      <c r="G604" s="4" t="s">
        <v>2084</v>
      </c>
      <c r="H604" s="4" t="s">
        <v>5779</v>
      </c>
      <c r="I604" s="4" t="s">
        <v>1978</v>
      </c>
      <c r="J604" s="4" t="s">
        <v>5956</v>
      </c>
      <c r="K604" s="4" t="s">
        <v>5957</v>
      </c>
      <c r="L604" s="4" t="s">
        <v>5958</v>
      </c>
      <c r="M604" s="4" t="s">
        <v>2064</v>
      </c>
      <c r="N604" s="8">
        <v>44781</v>
      </c>
      <c r="O604" s="8"/>
      <c r="P604" s="4" t="s">
        <v>2090</v>
      </c>
      <c r="Q604" s="4" t="s">
        <v>1978</v>
      </c>
      <c r="R604" s="4" t="s">
        <v>5959</v>
      </c>
      <c r="S604" s="4" t="s">
        <v>5960</v>
      </c>
      <c r="T604" s="4" t="s">
        <v>2067</v>
      </c>
      <c r="U604" s="4" t="s">
        <v>2146</v>
      </c>
      <c r="V604" s="4" t="s">
        <v>2067</v>
      </c>
      <c r="W604" s="4" t="s">
        <v>2069</v>
      </c>
    </row>
    <row r="605" spans="1:23" ht="20.100000000000001" customHeight="1" x14ac:dyDescent="0.25">
      <c r="A605" s="6" t="s">
        <v>172</v>
      </c>
      <c r="B605" s="7" t="s">
        <v>2084</v>
      </c>
      <c r="C605" s="7" t="s">
        <v>5961</v>
      </c>
      <c r="D605" s="7" t="s">
        <v>2059</v>
      </c>
      <c r="E605" s="7" t="s">
        <v>1947</v>
      </c>
      <c r="F605" s="7" t="s">
        <v>1948</v>
      </c>
      <c r="G605" s="7" t="s">
        <v>2084</v>
      </c>
      <c r="H605" s="7" t="s">
        <v>5881</v>
      </c>
      <c r="I605" s="7" t="s">
        <v>1978</v>
      </c>
      <c r="J605" s="7" t="s">
        <v>5962</v>
      </c>
      <c r="K605" s="7" t="s">
        <v>5963</v>
      </c>
      <c r="L605" s="7" t="s">
        <v>5964</v>
      </c>
      <c r="M605" s="7" t="s">
        <v>2078</v>
      </c>
      <c r="N605" s="9">
        <v>45992</v>
      </c>
      <c r="O605" s="9">
        <v>46356</v>
      </c>
      <c r="P605" s="7" t="s">
        <v>2090</v>
      </c>
      <c r="Q605" s="7" t="s">
        <v>1978</v>
      </c>
      <c r="R605" s="7" t="s">
        <v>5965</v>
      </c>
      <c r="S605" s="7" t="s">
        <v>5966</v>
      </c>
      <c r="T605" s="7" t="s">
        <v>2067</v>
      </c>
      <c r="U605" s="7" t="s">
        <v>2146</v>
      </c>
      <c r="V605" s="7" t="s">
        <v>2067</v>
      </c>
      <c r="W605" s="7" t="s">
        <v>2069</v>
      </c>
    </row>
    <row r="606" spans="1:23" ht="20.100000000000001" customHeight="1" x14ac:dyDescent="0.25">
      <c r="A606" s="3" t="s">
        <v>5967</v>
      </c>
      <c r="B606" s="4" t="s">
        <v>2084</v>
      </c>
      <c r="C606" s="4" t="s">
        <v>5968</v>
      </c>
      <c r="D606" s="4" t="s">
        <v>2059</v>
      </c>
      <c r="E606" s="4" t="s">
        <v>2111</v>
      </c>
      <c r="F606" s="4" t="s">
        <v>2112</v>
      </c>
      <c r="G606" s="4" t="s">
        <v>2084</v>
      </c>
      <c r="H606" s="4" t="s">
        <v>1977</v>
      </c>
      <c r="I606" s="4" t="s">
        <v>1978</v>
      </c>
      <c r="J606" s="4" t="s">
        <v>5969</v>
      </c>
      <c r="K606" s="4" t="s">
        <v>5970</v>
      </c>
      <c r="L606" s="4" t="s">
        <v>5971</v>
      </c>
      <c r="M606" s="4" t="s">
        <v>2078</v>
      </c>
      <c r="N606" s="8">
        <v>45992</v>
      </c>
      <c r="O606" s="8">
        <v>46356</v>
      </c>
      <c r="P606" s="4" t="s">
        <v>2112</v>
      </c>
      <c r="Q606" s="4" t="s">
        <v>1978</v>
      </c>
      <c r="R606" s="4" t="s">
        <v>5972</v>
      </c>
      <c r="S606" s="4" t="s">
        <v>5973</v>
      </c>
      <c r="T606" s="4" t="s">
        <v>2067</v>
      </c>
      <c r="U606" s="4" t="s">
        <v>2119</v>
      </c>
      <c r="V606" s="4" t="s">
        <v>2067</v>
      </c>
      <c r="W606" s="4" t="s">
        <v>2069</v>
      </c>
    </row>
    <row r="607" spans="1:23" ht="20.100000000000001" customHeight="1" x14ac:dyDescent="0.25">
      <c r="A607" s="6" t="s">
        <v>5974</v>
      </c>
      <c r="B607" s="7" t="s">
        <v>2084</v>
      </c>
      <c r="C607" s="7" t="s">
        <v>5975</v>
      </c>
      <c r="D607" s="7" t="s">
        <v>2059</v>
      </c>
      <c r="E607" s="7" t="s">
        <v>2131</v>
      </c>
      <c r="F607" s="7" t="s">
        <v>2132</v>
      </c>
      <c r="G607" s="7" t="s">
        <v>2084</v>
      </c>
      <c r="H607" s="7" t="s">
        <v>1977</v>
      </c>
      <c r="I607" s="7" t="s">
        <v>1978</v>
      </c>
      <c r="J607" s="7" t="s">
        <v>5976</v>
      </c>
      <c r="K607" s="7" t="s">
        <v>5977</v>
      </c>
      <c r="L607" s="7" t="s">
        <v>5978</v>
      </c>
      <c r="M607" s="7" t="s">
        <v>2078</v>
      </c>
      <c r="N607" s="9">
        <v>46234</v>
      </c>
      <c r="O607" s="9">
        <v>46356</v>
      </c>
      <c r="P607" s="7" t="s">
        <v>2132</v>
      </c>
      <c r="Q607" s="7" t="s">
        <v>1978</v>
      </c>
      <c r="R607" s="7" t="s">
        <v>3711</v>
      </c>
      <c r="S607" s="7" t="s">
        <v>5979</v>
      </c>
      <c r="T607" s="7" t="s">
        <v>2067</v>
      </c>
      <c r="U607" s="7" t="s">
        <v>2138</v>
      </c>
      <c r="V607" s="7" t="s">
        <v>2067</v>
      </c>
      <c r="W607" s="7" t="s">
        <v>2069</v>
      </c>
    </row>
    <row r="608" spans="1:23" ht="20.100000000000001" customHeight="1" x14ac:dyDescent="0.25">
      <c r="A608" s="3" t="s">
        <v>802</v>
      </c>
      <c r="B608" s="4" t="s">
        <v>2084</v>
      </c>
      <c r="C608" s="4" t="s">
        <v>5980</v>
      </c>
      <c r="D608" s="4" t="s">
        <v>2059</v>
      </c>
      <c r="E608" s="4" t="s">
        <v>1947</v>
      </c>
      <c r="F608" s="4" t="s">
        <v>1948</v>
      </c>
      <c r="G608" s="4" t="s">
        <v>2084</v>
      </c>
      <c r="H608" s="4" t="s">
        <v>1977</v>
      </c>
      <c r="I608" s="4" t="s">
        <v>1978</v>
      </c>
      <c r="J608" s="4" t="s">
        <v>5981</v>
      </c>
      <c r="K608" s="4" t="s">
        <v>5982</v>
      </c>
      <c r="L608" s="4" t="s">
        <v>5983</v>
      </c>
      <c r="M608" s="4" t="s">
        <v>2078</v>
      </c>
      <c r="N608" s="8">
        <v>45992</v>
      </c>
      <c r="O608" s="8">
        <v>46356</v>
      </c>
      <c r="P608" s="4" t="s">
        <v>2090</v>
      </c>
      <c r="Q608" s="4" t="s">
        <v>1978</v>
      </c>
      <c r="R608" s="4" t="s">
        <v>2403</v>
      </c>
      <c r="S608" s="4" t="s">
        <v>5984</v>
      </c>
      <c r="T608" s="4" t="s">
        <v>2067</v>
      </c>
      <c r="U608" s="4" t="s">
        <v>2146</v>
      </c>
      <c r="V608" s="4" t="s">
        <v>2067</v>
      </c>
      <c r="W608" s="4" t="s">
        <v>2069</v>
      </c>
    </row>
    <row r="609" spans="1:23" ht="20.100000000000001" customHeight="1" x14ac:dyDescent="0.25">
      <c r="A609" s="6" t="s">
        <v>2001</v>
      </c>
      <c r="B609" s="7" t="s">
        <v>2057</v>
      </c>
      <c r="C609" s="7" t="s">
        <v>2002</v>
      </c>
      <c r="D609" s="7" t="s">
        <v>2059</v>
      </c>
      <c r="E609" s="7" t="s">
        <v>1947</v>
      </c>
      <c r="F609" s="7" t="s">
        <v>1948</v>
      </c>
      <c r="G609" s="7" t="s">
        <v>2057</v>
      </c>
      <c r="H609" s="7" t="s">
        <v>2003</v>
      </c>
      <c r="I609" s="7" t="s">
        <v>1978</v>
      </c>
      <c r="J609" s="7" t="s">
        <v>5985</v>
      </c>
      <c r="K609" s="7" t="s">
        <v>5986</v>
      </c>
      <c r="L609" s="7" t="s">
        <v>5987</v>
      </c>
      <c r="M609" s="7" t="s">
        <v>2078</v>
      </c>
      <c r="N609" s="9">
        <v>46234</v>
      </c>
      <c r="O609" s="9">
        <v>46356</v>
      </c>
      <c r="P609" s="7" t="s">
        <v>2090</v>
      </c>
      <c r="Q609" s="7" t="s">
        <v>1978</v>
      </c>
      <c r="R609" s="7" t="s">
        <v>5988</v>
      </c>
      <c r="S609" s="7" t="s">
        <v>5989</v>
      </c>
      <c r="T609" s="7" t="s">
        <v>2067</v>
      </c>
      <c r="U609" s="7" t="s">
        <v>2146</v>
      </c>
      <c r="V609" s="7" t="s">
        <v>2067</v>
      </c>
      <c r="W609" s="7" t="s">
        <v>2069</v>
      </c>
    </row>
    <row r="610" spans="1:23" ht="20.100000000000001" customHeight="1" x14ac:dyDescent="0.25">
      <c r="A610" s="3" t="s">
        <v>5990</v>
      </c>
      <c r="B610" s="4" t="s">
        <v>2057</v>
      </c>
      <c r="C610" s="4" t="s">
        <v>5991</v>
      </c>
      <c r="D610" s="4" t="s">
        <v>2059</v>
      </c>
      <c r="E610" s="4" t="s">
        <v>1947</v>
      </c>
      <c r="F610" s="4" t="s">
        <v>1948</v>
      </c>
      <c r="G610" s="4" t="s">
        <v>2057</v>
      </c>
      <c r="H610" s="4" t="s">
        <v>5749</v>
      </c>
      <c r="I610" s="4" t="s">
        <v>1978</v>
      </c>
      <c r="J610" s="4" t="s">
        <v>5992</v>
      </c>
      <c r="K610" s="4" t="s">
        <v>5993</v>
      </c>
      <c r="L610" s="4" t="s">
        <v>5994</v>
      </c>
      <c r="M610" s="4" t="s">
        <v>2078</v>
      </c>
      <c r="N610" s="8">
        <v>46052</v>
      </c>
      <c r="O610" s="8">
        <v>46355</v>
      </c>
      <c r="P610" s="4" t="s">
        <v>2090</v>
      </c>
      <c r="Q610" s="4" t="s">
        <v>1978</v>
      </c>
      <c r="R610" s="4" t="s">
        <v>5995</v>
      </c>
      <c r="S610" s="4" t="s">
        <v>5996</v>
      </c>
      <c r="T610" s="4" t="s">
        <v>2067</v>
      </c>
      <c r="U610" s="4" t="s">
        <v>2146</v>
      </c>
      <c r="V610" s="4" t="s">
        <v>2067</v>
      </c>
      <c r="W610" s="4" t="s">
        <v>2069</v>
      </c>
    </row>
    <row r="611" spans="1:23" ht="20.100000000000001" customHeight="1" x14ac:dyDescent="0.25">
      <c r="A611" s="6" t="s">
        <v>5997</v>
      </c>
      <c r="B611" s="7" t="s">
        <v>2084</v>
      </c>
      <c r="C611" s="7" t="s">
        <v>5998</v>
      </c>
      <c r="D611" s="7" t="s">
        <v>2059</v>
      </c>
      <c r="E611" s="7" t="s">
        <v>1983</v>
      </c>
      <c r="F611" s="7" t="s">
        <v>1984</v>
      </c>
      <c r="G611" s="7" t="s">
        <v>2084</v>
      </c>
      <c r="H611" s="7" t="s">
        <v>5881</v>
      </c>
      <c r="I611" s="7" t="s">
        <v>1978</v>
      </c>
      <c r="J611" s="7" t="s">
        <v>5999</v>
      </c>
      <c r="K611" s="7" t="s">
        <v>6000</v>
      </c>
      <c r="L611" s="7" t="s">
        <v>6001</v>
      </c>
      <c r="M611" s="7" t="s">
        <v>2064</v>
      </c>
      <c r="N611" s="9">
        <v>45687</v>
      </c>
      <c r="O611" s="9"/>
      <c r="P611" s="7" t="s">
        <v>2493</v>
      </c>
      <c r="Q611" s="7" t="s">
        <v>1978</v>
      </c>
      <c r="R611" s="7" t="s">
        <v>6002</v>
      </c>
      <c r="S611" s="7" t="s">
        <v>6003</v>
      </c>
      <c r="T611" s="7" t="s">
        <v>2067</v>
      </c>
      <c r="U611" s="7" t="s">
        <v>2496</v>
      </c>
      <c r="V611" s="7" t="s">
        <v>2067</v>
      </c>
      <c r="W611" s="7" t="s">
        <v>2069</v>
      </c>
    </row>
    <row r="612" spans="1:23" ht="20.100000000000001" customHeight="1" x14ac:dyDescent="0.25">
      <c r="A612" s="3" t="s">
        <v>1298</v>
      </c>
      <c r="B612" s="4" t="s">
        <v>2084</v>
      </c>
      <c r="C612" s="4" t="s">
        <v>6004</v>
      </c>
      <c r="D612" s="4" t="s">
        <v>2059</v>
      </c>
      <c r="E612" s="4" t="s">
        <v>1947</v>
      </c>
      <c r="F612" s="4" t="s">
        <v>1948</v>
      </c>
      <c r="G612" s="4" t="s">
        <v>2084</v>
      </c>
      <c r="H612" s="4" t="s">
        <v>1977</v>
      </c>
      <c r="I612" s="4" t="s">
        <v>1978</v>
      </c>
      <c r="J612" s="4" t="s">
        <v>6005</v>
      </c>
      <c r="K612" s="4" t="s">
        <v>6006</v>
      </c>
      <c r="L612" s="4" t="s">
        <v>6007</v>
      </c>
      <c r="M612" s="4" t="s">
        <v>2078</v>
      </c>
      <c r="N612" s="8">
        <v>46234</v>
      </c>
      <c r="O612" s="8">
        <v>46356</v>
      </c>
      <c r="P612" s="4" t="s">
        <v>2090</v>
      </c>
      <c r="Q612" s="4" t="s">
        <v>1978</v>
      </c>
      <c r="R612" s="4" t="s">
        <v>2136</v>
      </c>
      <c r="S612" s="4" t="s">
        <v>6008</v>
      </c>
      <c r="T612" s="4" t="s">
        <v>2067</v>
      </c>
      <c r="U612" s="4" t="s">
        <v>2146</v>
      </c>
      <c r="V612" s="4" t="s">
        <v>2067</v>
      </c>
      <c r="W612" s="4" t="s">
        <v>2069</v>
      </c>
    </row>
    <row r="613" spans="1:23" ht="20.100000000000001" customHeight="1" x14ac:dyDescent="0.25">
      <c r="A613" s="6" t="s">
        <v>1672</v>
      </c>
      <c r="B613" s="7" t="s">
        <v>2084</v>
      </c>
      <c r="C613" s="7" t="s">
        <v>6009</v>
      </c>
      <c r="D613" s="7" t="s">
        <v>2059</v>
      </c>
      <c r="E613" s="7" t="s">
        <v>1947</v>
      </c>
      <c r="F613" s="7" t="s">
        <v>1948</v>
      </c>
      <c r="G613" s="7" t="s">
        <v>2084</v>
      </c>
      <c r="H613" s="7" t="s">
        <v>5881</v>
      </c>
      <c r="I613" s="7" t="s">
        <v>1978</v>
      </c>
      <c r="J613" s="7" t="s">
        <v>6010</v>
      </c>
      <c r="K613" s="7" t="s">
        <v>6011</v>
      </c>
      <c r="L613" s="7" t="s">
        <v>6012</v>
      </c>
      <c r="M613" s="7" t="s">
        <v>2078</v>
      </c>
      <c r="N613" s="9">
        <v>46036</v>
      </c>
      <c r="O613" s="9">
        <v>46355</v>
      </c>
      <c r="P613" s="7" t="s">
        <v>2090</v>
      </c>
      <c r="Q613" s="7" t="s">
        <v>1978</v>
      </c>
      <c r="R613" s="7" t="s">
        <v>6013</v>
      </c>
      <c r="S613" s="7" t="s">
        <v>6014</v>
      </c>
      <c r="T613" s="7" t="s">
        <v>2067</v>
      </c>
      <c r="U613" s="7" t="s">
        <v>2146</v>
      </c>
      <c r="V613" s="7" t="s">
        <v>2067</v>
      </c>
      <c r="W613" s="7" t="s">
        <v>2069</v>
      </c>
    </row>
    <row r="614" spans="1:23" ht="20.100000000000001" customHeight="1" x14ac:dyDescent="0.25">
      <c r="A614" s="3" t="s">
        <v>750</v>
      </c>
      <c r="B614" s="4" t="s">
        <v>2084</v>
      </c>
      <c r="C614" s="4" t="s">
        <v>6015</v>
      </c>
      <c r="D614" s="4" t="s">
        <v>2059</v>
      </c>
      <c r="E614" s="4" t="s">
        <v>1947</v>
      </c>
      <c r="F614" s="4" t="s">
        <v>1948</v>
      </c>
      <c r="G614" s="4" t="s">
        <v>2084</v>
      </c>
      <c r="H614" s="4" t="s">
        <v>1977</v>
      </c>
      <c r="I614" s="4" t="s">
        <v>1978</v>
      </c>
      <c r="J614" s="4" t="s">
        <v>6016</v>
      </c>
      <c r="K614" s="4" t="s">
        <v>6017</v>
      </c>
      <c r="L614" s="4" t="s">
        <v>6018</v>
      </c>
      <c r="M614" s="4" t="s">
        <v>2078</v>
      </c>
      <c r="N614" s="8">
        <v>46234</v>
      </c>
      <c r="O614" s="8">
        <v>46356</v>
      </c>
      <c r="P614" s="4" t="s">
        <v>2090</v>
      </c>
      <c r="Q614" s="4" t="s">
        <v>1978</v>
      </c>
      <c r="R614" s="4" t="s">
        <v>6019</v>
      </c>
      <c r="S614" s="4" t="s">
        <v>6020</v>
      </c>
      <c r="T614" s="4" t="s">
        <v>2067</v>
      </c>
      <c r="U614" s="4" t="s">
        <v>2146</v>
      </c>
      <c r="V614" s="4" t="s">
        <v>2067</v>
      </c>
      <c r="W614" s="4" t="s">
        <v>2069</v>
      </c>
    </row>
    <row r="615" spans="1:23" ht="20.100000000000001" customHeight="1" x14ac:dyDescent="0.25">
      <c r="A615" s="6" t="s">
        <v>164</v>
      </c>
      <c r="B615" s="7" t="s">
        <v>2057</v>
      </c>
      <c r="C615" s="7" t="s">
        <v>6021</v>
      </c>
      <c r="D615" s="7" t="s">
        <v>2059</v>
      </c>
      <c r="E615" s="7" t="s">
        <v>1983</v>
      </c>
      <c r="F615" s="7" t="s">
        <v>6022</v>
      </c>
      <c r="G615" s="7" t="s">
        <v>2057</v>
      </c>
      <c r="H615" s="7" t="s">
        <v>2003</v>
      </c>
      <c r="I615" s="7" t="s">
        <v>1978</v>
      </c>
      <c r="J615" s="7" t="s">
        <v>6023</v>
      </c>
      <c r="K615" s="7" t="s">
        <v>6024</v>
      </c>
      <c r="L615" s="7" t="s">
        <v>6025</v>
      </c>
      <c r="M615" s="7" t="s">
        <v>2078</v>
      </c>
      <c r="N615" s="9">
        <v>45992</v>
      </c>
      <c r="O615" s="9">
        <v>46356</v>
      </c>
      <c r="P615" s="7" t="s">
        <v>6022</v>
      </c>
      <c r="Q615" s="7" t="s">
        <v>1978</v>
      </c>
      <c r="R615" s="7" t="s">
        <v>3454</v>
      </c>
      <c r="S615" s="7" t="s">
        <v>6026</v>
      </c>
      <c r="T615" s="7" t="s">
        <v>2067</v>
      </c>
      <c r="U615" s="7" t="s">
        <v>6027</v>
      </c>
      <c r="V615" s="7" t="s">
        <v>2067</v>
      </c>
      <c r="W615" s="7" t="s">
        <v>2069</v>
      </c>
    </row>
    <row r="616" spans="1:23" ht="20.100000000000001" customHeight="1" x14ac:dyDescent="0.25">
      <c r="A616" s="3" t="s">
        <v>946</v>
      </c>
      <c r="B616" s="4" t="s">
        <v>2057</v>
      </c>
      <c r="C616" s="4" t="s">
        <v>6028</v>
      </c>
      <c r="D616" s="4" t="s">
        <v>2059</v>
      </c>
      <c r="E616" s="4" t="s">
        <v>1947</v>
      </c>
      <c r="F616" s="4" t="s">
        <v>1948</v>
      </c>
      <c r="G616" s="4" t="s">
        <v>2057</v>
      </c>
      <c r="H616" s="4" t="s">
        <v>2003</v>
      </c>
      <c r="I616" s="4" t="s">
        <v>1978</v>
      </c>
      <c r="J616" s="4" t="s">
        <v>6029</v>
      </c>
      <c r="K616" s="4" t="s">
        <v>6030</v>
      </c>
      <c r="L616" s="4" t="s">
        <v>6031</v>
      </c>
      <c r="M616" s="4" t="s">
        <v>2078</v>
      </c>
      <c r="N616" s="8">
        <v>45992</v>
      </c>
      <c r="O616" s="8">
        <v>46356</v>
      </c>
      <c r="P616" s="4" t="s">
        <v>2090</v>
      </c>
      <c r="Q616" s="4" t="s">
        <v>1978</v>
      </c>
      <c r="R616" s="4" t="s">
        <v>6032</v>
      </c>
      <c r="S616" s="4" t="s">
        <v>6033</v>
      </c>
      <c r="T616" s="4" t="s">
        <v>2067</v>
      </c>
      <c r="U616" s="4" t="s">
        <v>2146</v>
      </c>
      <c r="V616" s="4" t="s">
        <v>2067</v>
      </c>
      <c r="W616" s="4" t="s">
        <v>2069</v>
      </c>
    </row>
    <row r="617" spans="1:23" ht="20.100000000000001" customHeight="1" x14ac:dyDescent="0.25">
      <c r="A617" s="6" t="s">
        <v>6034</v>
      </c>
      <c r="B617" s="7" t="s">
        <v>2084</v>
      </c>
      <c r="C617" s="7" t="s">
        <v>6035</v>
      </c>
      <c r="D617" s="7" t="s">
        <v>2059</v>
      </c>
      <c r="E617" s="7" t="s">
        <v>1947</v>
      </c>
      <c r="F617" s="7" t="s">
        <v>1948</v>
      </c>
      <c r="G617" s="7" t="s">
        <v>2084</v>
      </c>
      <c r="H617" s="7" t="s">
        <v>1977</v>
      </c>
      <c r="I617" s="7" t="s">
        <v>1978</v>
      </c>
      <c r="J617" s="7" t="s">
        <v>6036</v>
      </c>
      <c r="K617" s="7" t="s">
        <v>6037</v>
      </c>
      <c r="L617" s="7" t="s">
        <v>6038</v>
      </c>
      <c r="M617" s="7" t="s">
        <v>2078</v>
      </c>
      <c r="N617" s="9">
        <v>45992</v>
      </c>
      <c r="O617" s="9">
        <v>46356</v>
      </c>
      <c r="P617" s="7" t="s">
        <v>2090</v>
      </c>
      <c r="Q617" s="7" t="s">
        <v>1978</v>
      </c>
      <c r="R617" s="7" t="s">
        <v>6039</v>
      </c>
      <c r="S617" s="7" t="s">
        <v>6040</v>
      </c>
      <c r="T617" s="7" t="s">
        <v>2067</v>
      </c>
      <c r="U617" s="7" t="s">
        <v>2146</v>
      </c>
      <c r="V617" s="7" t="s">
        <v>2067</v>
      </c>
      <c r="W617" s="7" t="s">
        <v>2069</v>
      </c>
    </row>
    <row r="618" spans="1:23" ht="20.100000000000001" customHeight="1" x14ac:dyDescent="0.25">
      <c r="A618" s="3" t="s">
        <v>836</v>
      </c>
      <c r="B618" s="4" t="s">
        <v>2057</v>
      </c>
      <c r="C618" s="4" t="s">
        <v>6041</v>
      </c>
      <c r="D618" s="4" t="s">
        <v>2059</v>
      </c>
      <c r="E618" s="4" t="s">
        <v>1947</v>
      </c>
      <c r="F618" s="4" t="s">
        <v>1948</v>
      </c>
      <c r="G618" s="4" t="s">
        <v>2057</v>
      </c>
      <c r="H618" s="4" t="s">
        <v>6042</v>
      </c>
      <c r="I618" s="4" t="s">
        <v>1978</v>
      </c>
      <c r="J618" s="4" t="s">
        <v>6043</v>
      </c>
      <c r="K618" s="4" t="s">
        <v>6044</v>
      </c>
      <c r="L618" s="4" t="s">
        <v>6045</v>
      </c>
      <c r="M618" s="4" t="s">
        <v>2078</v>
      </c>
      <c r="N618" s="8">
        <v>46052</v>
      </c>
      <c r="O618" s="8">
        <v>46355</v>
      </c>
      <c r="P618" s="4" t="s">
        <v>2090</v>
      </c>
      <c r="Q618" s="4" t="s">
        <v>1978</v>
      </c>
      <c r="R618" s="4" t="s">
        <v>6046</v>
      </c>
      <c r="S618" s="4" t="s">
        <v>6047</v>
      </c>
      <c r="T618" s="4" t="s">
        <v>2067</v>
      </c>
      <c r="U618" s="4" t="s">
        <v>3437</v>
      </c>
      <c r="V618" s="4" t="s">
        <v>2067</v>
      </c>
      <c r="W618" s="4" t="s">
        <v>2082</v>
      </c>
    </row>
    <row r="619" spans="1:23" ht="20.100000000000001" customHeight="1" x14ac:dyDescent="0.25">
      <c r="A619" s="6" t="s">
        <v>6048</v>
      </c>
      <c r="B619" s="7" t="s">
        <v>2057</v>
      </c>
      <c r="C619" s="7" t="s">
        <v>6049</v>
      </c>
      <c r="D619" s="7" t="s">
        <v>2059</v>
      </c>
      <c r="E619" s="7" t="s">
        <v>2189</v>
      </c>
      <c r="F619" s="7" t="s">
        <v>2190</v>
      </c>
      <c r="G619" s="7" t="s">
        <v>2057</v>
      </c>
      <c r="H619" s="7" t="s">
        <v>2003</v>
      </c>
      <c r="I619" s="7" t="s">
        <v>1978</v>
      </c>
      <c r="J619" s="7" t="s">
        <v>6050</v>
      </c>
      <c r="K619" s="7" t="s">
        <v>6051</v>
      </c>
      <c r="L619" s="7" t="s">
        <v>6052</v>
      </c>
      <c r="M619" s="7" t="s">
        <v>2078</v>
      </c>
      <c r="N619" s="9">
        <v>46052</v>
      </c>
      <c r="O619" s="9">
        <v>46355</v>
      </c>
      <c r="P619" s="7" t="s">
        <v>2195</v>
      </c>
      <c r="Q619" s="7" t="s">
        <v>1978</v>
      </c>
      <c r="R619" s="7" t="s">
        <v>6053</v>
      </c>
      <c r="S619" s="7" t="s">
        <v>6054</v>
      </c>
      <c r="T619" s="7" t="s">
        <v>2067</v>
      </c>
      <c r="U619" s="7" t="s">
        <v>2198</v>
      </c>
      <c r="V619" s="7" t="s">
        <v>2067</v>
      </c>
      <c r="W619" s="7" t="s">
        <v>2069</v>
      </c>
    </row>
    <row r="620" spans="1:23" ht="20.100000000000001" customHeight="1" x14ac:dyDescent="0.25">
      <c r="A620" s="3" t="s">
        <v>152</v>
      </c>
      <c r="B620" s="4" t="s">
        <v>2057</v>
      </c>
      <c r="C620" s="4" t="s">
        <v>6055</v>
      </c>
      <c r="D620" s="4" t="s">
        <v>2059</v>
      </c>
      <c r="E620" s="4" t="s">
        <v>1947</v>
      </c>
      <c r="F620" s="4" t="s">
        <v>1948</v>
      </c>
      <c r="G620" s="4" t="s">
        <v>2057</v>
      </c>
      <c r="H620" s="4" t="s">
        <v>2003</v>
      </c>
      <c r="I620" s="4" t="s">
        <v>1978</v>
      </c>
      <c r="J620" s="4" t="s">
        <v>6056</v>
      </c>
      <c r="K620" s="4" t="s">
        <v>6057</v>
      </c>
      <c r="L620" s="4" t="s">
        <v>6058</v>
      </c>
      <c r="M620" s="4" t="s">
        <v>2078</v>
      </c>
      <c r="N620" s="8">
        <v>46052</v>
      </c>
      <c r="O620" s="8">
        <v>46355</v>
      </c>
      <c r="P620" s="4" t="s">
        <v>2090</v>
      </c>
      <c r="Q620" s="4" t="s">
        <v>1978</v>
      </c>
      <c r="R620" s="4" t="s">
        <v>6059</v>
      </c>
      <c r="S620" s="4" t="s">
        <v>6060</v>
      </c>
      <c r="T620" s="4" t="s">
        <v>2067</v>
      </c>
      <c r="U620" s="4" t="s">
        <v>3437</v>
      </c>
      <c r="V620" s="4" t="s">
        <v>2067</v>
      </c>
      <c r="W620" s="4" t="s">
        <v>2069</v>
      </c>
    </row>
    <row r="621" spans="1:23" ht="20.100000000000001" customHeight="1" x14ac:dyDescent="0.25">
      <c r="A621" s="6" t="s">
        <v>6061</v>
      </c>
      <c r="B621" s="7" t="s">
        <v>2057</v>
      </c>
      <c r="C621" s="7" t="s">
        <v>6062</v>
      </c>
      <c r="D621" s="7" t="s">
        <v>2059</v>
      </c>
      <c r="E621" s="7" t="s">
        <v>1947</v>
      </c>
      <c r="F621" s="7" t="s">
        <v>1948</v>
      </c>
      <c r="G621" s="7" t="s">
        <v>2057</v>
      </c>
      <c r="H621" s="7" t="s">
        <v>2003</v>
      </c>
      <c r="I621" s="7" t="s">
        <v>1978</v>
      </c>
      <c r="J621" s="7" t="s">
        <v>6063</v>
      </c>
      <c r="K621" s="7" t="s">
        <v>6064</v>
      </c>
      <c r="L621" s="7" t="s">
        <v>6065</v>
      </c>
      <c r="M621" s="7" t="s">
        <v>2078</v>
      </c>
      <c r="N621" s="9">
        <v>46052</v>
      </c>
      <c r="O621" s="9">
        <v>46355</v>
      </c>
      <c r="P621" s="7" t="s">
        <v>2090</v>
      </c>
      <c r="Q621" s="7" t="s">
        <v>1978</v>
      </c>
      <c r="R621" s="7" t="s">
        <v>3383</v>
      </c>
      <c r="S621" s="7" t="s">
        <v>6066</v>
      </c>
      <c r="T621" s="7" t="s">
        <v>2067</v>
      </c>
      <c r="U621" s="7" t="s">
        <v>3437</v>
      </c>
      <c r="V621" s="7" t="s">
        <v>2067</v>
      </c>
      <c r="W621" s="7" t="s">
        <v>2069</v>
      </c>
    </row>
    <row r="622" spans="1:23" ht="20.100000000000001" customHeight="1" x14ac:dyDescent="0.25">
      <c r="A622" s="3" t="s">
        <v>1088</v>
      </c>
      <c r="B622" s="4" t="s">
        <v>2057</v>
      </c>
      <c r="C622" s="4" t="s">
        <v>6067</v>
      </c>
      <c r="D622" s="4" t="s">
        <v>2059</v>
      </c>
      <c r="E622" s="4" t="s">
        <v>1947</v>
      </c>
      <c r="F622" s="4" t="s">
        <v>1948</v>
      </c>
      <c r="G622" s="4" t="s">
        <v>2057</v>
      </c>
      <c r="H622" s="4" t="s">
        <v>5749</v>
      </c>
      <c r="I622" s="4" t="s">
        <v>1978</v>
      </c>
      <c r="J622" s="4" t="s">
        <v>6068</v>
      </c>
      <c r="K622" s="4" t="s">
        <v>6069</v>
      </c>
      <c r="L622" s="4" t="s">
        <v>6070</v>
      </c>
      <c r="M622" s="4" t="s">
        <v>2078</v>
      </c>
      <c r="N622" s="8">
        <v>46052</v>
      </c>
      <c r="O622" s="8">
        <v>46355</v>
      </c>
      <c r="P622" s="4" t="s">
        <v>2090</v>
      </c>
      <c r="Q622" s="4" t="s">
        <v>1978</v>
      </c>
      <c r="R622" s="4" t="s">
        <v>2209</v>
      </c>
      <c r="S622" s="4" t="s">
        <v>6071</v>
      </c>
      <c r="T622" s="4" t="s">
        <v>2067</v>
      </c>
      <c r="U622" s="4" t="s">
        <v>2146</v>
      </c>
      <c r="V622" s="4" t="s">
        <v>2067</v>
      </c>
      <c r="W622" s="4" t="s">
        <v>2069</v>
      </c>
    </row>
    <row r="623" spans="1:23" ht="20.100000000000001" customHeight="1" x14ac:dyDescent="0.25">
      <c r="A623" s="6" t="s">
        <v>1476</v>
      </c>
      <c r="B623" s="7" t="s">
        <v>2057</v>
      </c>
      <c r="C623" s="7" t="s">
        <v>6072</v>
      </c>
      <c r="D623" s="7" t="s">
        <v>2059</v>
      </c>
      <c r="E623" s="7" t="s">
        <v>1947</v>
      </c>
      <c r="F623" s="7" t="s">
        <v>1948</v>
      </c>
      <c r="G623" s="7" t="s">
        <v>2057</v>
      </c>
      <c r="H623" s="7" t="s">
        <v>2003</v>
      </c>
      <c r="I623" s="7" t="s">
        <v>1978</v>
      </c>
      <c r="J623" s="7" t="s">
        <v>6073</v>
      </c>
      <c r="K623" s="7" t="s">
        <v>6074</v>
      </c>
      <c r="L623" s="7" t="s">
        <v>6075</v>
      </c>
      <c r="M623" s="7" t="s">
        <v>2078</v>
      </c>
      <c r="N623" s="9">
        <v>46052</v>
      </c>
      <c r="O623" s="9">
        <v>46355</v>
      </c>
      <c r="P623" s="7" t="s">
        <v>2090</v>
      </c>
      <c r="Q623" s="7" t="s">
        <v>1978</v>
      </c>
      <c r="R623" s="7" t="s">
        <v>6076</v>
      </c>
      <c r="S623" s="7" t="s">
        <v>6077</v>
      </c>
      <c r="T623" s="7" t="s">
        <v>2067</v>
      </c>
      <c r="U623" s="7" t="s">
        <v>3437</v>
      </c>
      <c r="V623" s="7" t="s">
        <v>2067</v>
      </c>
      <c r="W623" s="7" t="s">
        <v>2069</v>
      </c>
    </row>
    <row r="624" spans="1:23" ht="20.100000000000001" customHeight="1" x14ac:dyDescent="0.25">
      <c r="A624" s="3" t="s">
        <v>6078</v>
      </c>
      <c r="B624" s="4" t="s">
        <v>2057</v>
      </c>
      <c r="C624" s="4" t="s">
        <v>6079</v>
      </c>
      <c r="D624" s="4" t="s">
        <v>2059</v>
      </c>
      <c r="E624" s="4" t="s">
        <v>1947</v>
      </c>
      <c r="F624" s="4" t="s">
        <v>1948</v>
      </c>
      <c r="G624" s="4" t="s">
        <v>2057</v>
      </c>
      <c r="H624" s="4" t="s">
        <v>5749</v>
      </c>
      <c r="I624" s="4" t="s">
        <v>1978</v>
      </c>
      <c r="J624" s="4" t="s">
        <v>6080</v>
      </c>
      <c r="K624" s="4" t="s">
        <v>6081</v>
      </c>
      <c r="L624" s="4" t="s">
        <v>6082</v>
      </c>
      <c r="M624" s="4" t="s">
        <v>2078</v>
      </c>
      <c r="N624" s="8">
        <v>46234</v>
      </c>
      <c r="O624" s="8">
        <v>46356</v>
      </c>
      <c r="P624" s="4" t="s">
        <v>2090</v>
      </c>
      <c r="Q624" s="4" t="s">
        <v>1978</v>
      </c>
      <c r="R624" s="4" t="s">
        <v>6083</v>
      </c>
      <c r="S624" s="4" t="s">
        <v>6084</v>
      </c>
      <c r="T624" s="4" t="s">
        <v>2067</v>
      </c>
      <c r="U624" s="4" t="s">
        <v>2146</v>
      </c>
      <c r="V624" s="4" t="s">
        <v>2067</v>
      </c>
      <c r="W624" s="4" t="s">
        <v>2069</v>
      </c>
    </row>
    <row r="625" spans="1:23" ht="20.100000000000001" customHeight="1" x14ac:dyDescent="0.25">
      <c r="A625" s="6" t="s">
        <v>6085</v>
      </c>
      <c r="B625" s="7" t="s">
        <v>2057</v>
      </c>
      <c r="C625" s="7" t="s">
        <v>6086</v>
      </c>
      <c r="D625" s="7" t="s">
        <v>2059</v>
      </c>
      <c r="E625" s="7" t="s">
        <v>2189</v>
      </c>
      <c r="F625" s="7" t="s">
        <v>2190</v>
      </c>
      <c r="G625" s="7" t="s">
        <v>2057</v>
      </c>
      <c r="H625" s="7" t="s">
        <v>5842</v>
      </c>
      <c r="I625" s="7" t="s">
        <v>1978</v>
      </c>
      <c r="J625" s="7" t="s">
        <v>6087</v>
      </c>
      <c r="K625" s="7" t="s">
        <v>6088</v>
      </c>
      <c r="L625" s="7" t="s">
        <v>6089</v>
      </c>
      <c r="M625" s="7" t="s">
        <v>2078</v>
      </c>
      <c r="N625" s="9">
        <v>46052</v>
      </c>
      <c r="O625" s="9">
        <v>46355</v>
      </c>
      <c r="P625" s="7" t="s">
        <v>2195</v>
      </c>
      <c r="Q625" s="7" t="s">
        <v>1978</v>
      </c>
      <c r="R625" s="7" t="s">
        <v>6090</v>
      </c>
      <c r="S625" s="7" t="s">
        <v>6091</v>
      </c>
      <c r="T625" s="7" t="s">
        <v>2067</v>
      </c>
      <c r="U625" s="7" t="s">
        <v>2198</v>
      </c>
      <c r="V625" s="7" t="s">
        <v>2067</v>
      </c>
      <c r="W625" s="7" t="s">
        <v>2069</v>
      </c>
    </row>
    <row r="626" spans="1:23" ht="20.100000000000001" customHeight="1" x14ac:dyDescent="0.25">
      <c r="A626" s="3" t="s">
        <v>14</v>
      </c>
      <c r="B626" s="4" t="s">
        <v>2057</v>
      </c>
      <c r="C626" s="4" t="s">
        <v>6092</v>
      </c>
      <c r="D626" s="4" t="s">
        <v>2059</v>
      </c>
      <c r="E626" s="4" t="s">
        <v>1947</v>
      </c>
      <c r="F626" s="4" t="s">
        <v>1948</v>
      </c>
      <c r="G626" s="4" t="s">
        <v>2057</v>
      </c>
      <c r="H626" s="4" t="s">
        <v>2003</v>
      </c>
      <c r="I626" s="4" t="s">
        <v>1978</v>
      </c>
      <c r="J626" s="4" t="s">
        <v>6093</v>
      </c>
      <c r="K626" s="4" t="s">
        <v>6094</v>
      </c>
      <c r="L626" s="4" t="s">
        <v>6095</v>
      </c>
      <c r="M626" s="4" t="s">
        <v>2078</v>
      </c>
      <c r="N626" s="8">
        <v>46052</v>
      </c>
      <c r="O626" s="8">
        <v>46355</v>
      </c>
      <c r="P626" s="4" t="s">
        <v>2090</v>
      </c>
      <c r="Q626" s="4" t="s">
        <v>1978</v>
      </c>
      <c r="R626" s="4" t="s">
        <v>6096</v>
      </c>
      <c r="S626" s="4" t="s">
        <v>6097</v>
      </c>
      <c r="T626" s="4" t="s">
        <v>2067</v>
      </c>
      <c r="U626" s="4" t="s">
        <v>3437</v>
      </c>
      <c r="V626" s="4" t="s">
        <v>2067</v>
      </c>
      <c r="W626" s="4" t="s">
        <v>2069</v>
      </c>
    </row>
    <row r="627" spans="1:23" ht="20.100000000000001" customHeight="1" x14ac:dyDescent="0.25">
      <c r="A627" s="6" t="s">
        <v>324</v>
      </c>
      <c r="B627" s="7" t="s">
        <v>2057</v>
      </c>
      <c r="C627" s="7" t="s">
        <v>6098</v>
      </c>
      <c r="D627" s="7" t="s">
        <v>2059</v>
      </c>
      <c r="E627" s="7" t="s">
        <v>1952</v>
      </c>
      <c r="F627" s="7" t="s">
        <v>1953</v>
      </c>
      <c r="G627" s="7" t="s">
        <v>2057</v>
      </c>
      <c r="H627" s="7" t="s">
        <v>5842</v>
      </c>
      <c r="I627" s="7" t="s">
        <v>1978</v>
      </c>
      <c r="J627" s="7" t="s">
        <v>6099</v>
      </c>
      <c r="K627" s="7" t="s">
        <v>6100</v>
      </c>
      <c r="L627" s="7" t="s">
        <v>6101</v>
      </c>
      <c r="M627" s="7" t="s">
        <v>2078</v>
      </c>
      <c r="N627" s="9">
        <v>46052</v>
      </c>
      <c r="O627" s="9">
        <v>46355</v>
      </c>
      <c r="P627" s="7" t="s">
        <v>1953</v>
      </c>
      <c r="Q627" s="7" t="s">
        <v>1978</v>
      </c>
      <c r="R627" s="7" t="s">
        <v>6102</v>
      </c>
      <c r="S627" s="7" t="s">
        <v>6103</v>
      </c>
      <c r="T627" s="7" t="s">
        <v>2067</v>
      </c>
      <c r="U627" s="7" t="s">
        <v>2358</v>
      </c>
      <c r="V627" s="7" t="s">
        <v>2067</v>
      </c>
      <c r="W627" s="7" t="s">
        <v>2069</v>
      </c>
    </row>
    <row r="628" spans="1:23" ht="20.100000000000001" customHeight="1" x14ac:dyDescent="0.25">
      <c r="A628" s="3" t="s">
        <v>712</v>
      </c>
      <c r="B628" s="4" t="s">
        <v>2057</v>
      </c>
      <c r="C628" s="4" t="s">
        <v>6104</v>
      </c>
      <c r="D628" s="4" t="s">
        <v>2059</v>
      </c>
      <c r="E628" s="4" t="s">
        <v>1947</v>
      </c>
      <c r="F628" s="4" t="s">
        <v>1948</v>
      </c>
      <c r="G628" s="4" t="s">
        <v>2057</v>
      </c>
      <c r="H628" s="4" t="s">
        <v>5842</v>
      </c>
      <c r="I628" s="4" t="s">
        <v>1978</v>
      </c>
      <c r="J628" s="4" t="s">
        <v>6105</v>
      </c>
      <c r="K628" s="4" t="s">
        <v>6106</v>
      </c>
      <c r="L628" s="4" t="s">
        <v>6107</v>
      </c>
      <c r="M628" s="4" t="s">
        <v>2078</v>
      </c>
      <c r="N628" s="8">
        <v>46052</v>
      </c>
      <c r="O628" s="8">
        <v>46355</v>
      </c>
      <c r="P628" s="4" t="s">
        <v>2090</v>
      </c>
      <c r="Q628" s="4" t="s">
        <v>1978</v>
      </c>
      <c r="R628" s="4" t="s">
        <v>5775</v>
      </c>
      <c r="S628" s="4" t="s">
        <v>6108</v>
      </c>
      <c r="T628" s="4" t="s">
        <v>2067</v>
      </c>
      <c r="U628" s="4" t="s">
        <v>2146</v>
      </c>
      <c r="V628" s="4" t="s">
        <v>2067</v>
      </c>
      <c r="W628" s="4" t="s">
        <v>2069</v>
      </c>
    </row>
    <row r="629" spans="1:23" ht="20.100000000000001" customHeight="1" x14ac:dyDescent="0.25">
      <c r="A629" s="6" t="s">
        <v>1640</v>
      </c>
      <c r="B629" s="7" t="s">
        <v>2057</v>
      </c>
      <c r="C629" s="7" t="s">
        <v>6109</v>
      </c>
      <c r="D629" s="7" t="s">
        <v>2059</v>
      </c>
      <c r="E629" s="7" t="s">
        <v>1947</v>
      </c>
      <c r="F629" s="7" t="s">
        <v>1948</v>
      </c>
      <c r="G629" s="7" t="s">
        <v>2057</v>
      </c>
      <c r="H629" s="7" t="s">
        <v>2003</v>
      </c>
      <c r="I629" s="7" t="s">
        <v>1978</v>
      </c>
      <c r="J629" s="7" t="s">
        <v>6110</v>
      </c>
      <c r="K629" s="7" t="s">
        <v>6111</v>
      </c>
      <c r="L629" s="7" t="s">
        <v>6112</v>
      </c>
      <c r="M629" s="7" t="s">
        <v>2078</v>
      </c>
      <c r="N629" s="9">
        <v>46052</v>
      </c>
      <c r="O629" s="9">
        <v>46296</v>
      </c>
      <c r="P629" s="7" t="s">
        <v>2090</v>
      </c>
      <c r="Q629" s="7" t="s">
        <v>1978</v>
      </c>
      <c r="R629" s="7" t="s">
        <v>2605</v>
      </c>
      <c r="S629" s="7" t="s">
        <v>6113</v>
      </c>
      <c r="T629" s="7" t="s">
        <v>2067</v>
      </c>
      <c r="U629" s="7" t="s">
        <v>3437</v>
      </c>
      <c r="V629" s="7" t="s">
        <v>2067</v>
      </c>
      <c r="W629" s="7" t="s">
        <v>2069</v>
      </c>
    </row>
    <row r="630" spans="1:23" ht="20.100000000000001" customHeight="1" x14ac:dyDescent="0.25">
      <c r="A630" s="3" t="s">
        <v>234</v>
      </c>
      <c r="B630" s="4" t="s">
        <v>2057</v>
      </c>
      <c r="C630" s="4" t="s">
        <v>6114</v>
      </c>
      <c r="D630" s="4" t="s">
        <v>2059</v>
      </c>
      <c r="E630" s="4" t="s">
        <v>1947</v>
      </c>
      <c r="F630" s="4" t="s">
        <v>1948</v>
      </c>
      <c r="G630" s="4" t="s">
        <v>2057</v>
      </c>
      <c r="H630" s="4" t="s">
        <v>2003</v>
      </c>
      <c r="I630" s="4" t="s">
        <v>1978</v>
      </c>
      <c r="J630" s="4" t="s">
        <v>6115</v>
      </c>
      <c r="K630" s="4" t="s">
        <v>6116</v>
      </c>
      <c r="L630" s="4" t="s">
        <v>6117</v>
      </c>
      <c r="M630" s="4" t="s">
        <v>2078</v>
      </c>
      <c r="N630" s="8">
        <v>46052</v>
      </c>
      <c r="O630" s="8">
        <v>46355</v>
      </c>
      <c r="P630" s="4" t="s">
        <v>2090</v>
      </c>
      <c r="Q630" s="4" t="s">
        <v>1978</v>
      </c>
      <c r="R630" s="4" t="s">
        <v>6118</v>
      </c>
      <c r="S630" s="4" t="s">
        <v>6119</v>
      </c>
      <c r="T630" s="4" t="s">
        <v>2067</v>
      </c>
      <c r="U630" s="4" t="s">
        <v>2146</v>
      </c>
      <c r="V630" s="4" t="s">
        <v>2067</v>
      </c>
      <c r="W630" s="4" t="s">
        <v>2069</v>
      </c>
    </row>
    <row r="631" spans="1:23" ht="20.100000000000001" customHeight="1" x14ac:dyDescent="0.25">
      <c r="A631" s="6" t="s">
        <v>162</v>
      </c>
      <c r="B631" s="7" t="s">
        <v>2057</v>
      </c>
      <c r="C631" s="7" t="s">
        <v>6120</v>
      </c>
      <c r="D631" s="7" t="s">
        <v>2059</v>
      </c>
      <c r="E631" s="7" t="s">
        <v>1947</v>
      </c>
      <c r="F631" s="7" t="s">
        <v>1948</v>
      </c>
      <c r="G631" s="7" t="s">
        <v>2057</v>
      </c>
      <c r="H631" s="7" t="s">
        <v>5842</v>
      </c>
      <c r="I631" s="7" t="s">
        <v>1978</v>
      </c>
      <c r="J631" s="7" t="s">
        <v>6121</v>
      </c>
      <c r="K631" s="7" t="s">
        <v>6122</v>
      </c>
      <c r="L631" s="7" t="s">
        <v>6123</v>
      </c>
      <c r="M631" s="7" t="s">
        <v>2078</v>
      </c>
      <c r="N631" s="9">
        <v>46052</v>
      </c>
      <c r="O631" s="9">
        <v>46355</v>
      </c>
      <c r="P631" s="7" t="s">
        <v>2090</v>
      </c>
      <c r="Q631" s="7" t="s">
        <v>1978</v>
      </c>
      <c r="R631" s="7" t="s">
        <v>6124</v>
      </c>
      <c r="S631" s="7" t="s">
        <v>6125</v>
      </c>
      <c r="T631" s="7" t="s">
        <v>2067</v>
      </c>
      <c r="U631" s="7" t="s">
        <v>2146</v>
      </c>
      <c r="V631" s="7" t="s">
        <v>2067</v>
      </c>
      <c r="W631" s="7" t="s">
        <v>2069</v>
      </c>
    </row>
    <row r="632" spans="1:23" ht="20.100000000000001" customHeight="1" x14ac:dyDescent="0.25">
      <c r="A632" s="3" t="s">
        <v>6126</v>
      </c>
      <c r="B632" s="4" t="s">
        <v>2057</v>
      </c>
      <c r="C632" s="4" t="s">
        <v>6127</v>
      </c>
      <c r="D632" s="4" t="s">
        <v>2059</v>
      </c>
      <c r="E632" s="4" t="s">
        <v>6128</v>
      </c>
      <c r="F632" s="4" t="s">
        <v>6129</v>
      </c>
      <c r="G632" s="4" t="s">
        <v>2057</v>
      </c>
      <c r="H632" s="4" t="s">
        <v>2003</v>
      </c>
      <c r="I632" s="4" t="s">
        <v>1978</v>
      </c>
      <c r="J632" s="4" t="s">
        <v>6130</v>
      </c>
      <c r="K632" s="4" t="s">
        <v>6131</v>
      </c>
      <c r="L632" s="4" t="s">
        <v>6132</v>
      </c>
      <c r="M632" s="4" t="s">
        <v>2078</v>
      </c>
      <c r="N632" s="8">
        <v>45992</v>
      </c>
      <c r="O632" s="8">
        <v>46356</v>
      </c>
      <c r="P632" s="4" t="s">
        <v>6129</v>
      </c>
      <c r="Q632" s="4" t="s">
        <v>1978</v>
      </c>
      <c r="R632" s="4" t="s">
        <v>6133</v>
      </c>
      <c r="S632" s="4" t="s">
        <v>6134</v>
      </c>
      <c r="T632" s="4" t="s">
        <v>2067</v>
      </c>
      <c r="U632" s="4" t="s">
        <v>6135</v>
      </c>
      <c r="V632" s="4" t="s">
        <v>2067</v>
      </c>
      <c r="W632" s="4" t="s">
        <v>2069</v>
      </c>
    </row>
    <row r="633" spans="1:23" ht="20.100000000000001" customHeight="1" x14ac:dyDescent="0.25">
      <c r="A633" s="6" t="s">
        <v>492</v>
      </c>
      <c r="B633" s="7" t="s">
        <v>2057</v>
      </c>
      <c r="C633" s="7" t="s">
        <v>6136</v>
      </c>
      <c r="D633" s="7" t="s">
        <v>2059</v>
      </c>
      <c r="E633" s="7" t="s">
        <v>6137</v>
      </c>
      <c r="F633" s="7" t="s">
        <v>6138</v>
      </c>
      <c r="G633" s="7" t="s">
        <v>2057</v>
      </c>
      <c r="H633" s="7" t="s">
        <v>2003</v>
      </c>
      <c r="I633" s="7" t="s">
        <v>1978</v>
      </c>
      <c r="J633" s="7" t="s">
        <v>6139</v>
      </c>
      <c r="K633" s="7" t="s">
        <v>6140</v>
      </c>
      <c r="L633" s="7" t="s">
        <v>6141</v>
      </c>
      <c r="M633" s="7" t="s">
        <v>2078</v>
      </c>
      <c r="N633" s="9">
        <v>46052</v>
      </c>
      <c r="O633" s="9">
        <v>46355</v>
      </c>
      <c r="P633" s="7" t="s">
        <v>6142</v>
      </c>
      <c r="Q633" s="7" t="s">
        <v>1978</v>
      </c>
      <c r="R633" s="7" t="s">
        <v>6143</v>
      </c>
      <c r="S633" s="7" t="s">
        <v>6144</v>
      </c>
      <c r="T633" s="7" t="s">
        <v>2067</v>
      </c>
      <c r="U633" s="7" t="s">
        <v>6145</v>
      </c>
      <c r="V633" s="7" t="s">
        <v>2067</v>
      </c>
      <c r="W633" s="7" t="s">
        <v>2069</v>
      </c>
    </row>
    <row r="634" spans="1:23" ht="20.100000000000001" customHeight="1" x14ac:dyDescent="0.25">
      <c r="A634" s="3" t="s">
        <v>1568</v>
      </c>
      <c r="B634" s="4" t="s">
        <v>2057</v>
      </c>
      <c r="C634" s="4" t="s">
        <v>6146</v>
      </c>
      <c r="D634" s="4" t="s">
        <v>2059</v>
      </c>
      <c r="E634" s="4" t="s">
        <v>1947</v>
      </c>
      <c r="F634" s="4" t="s">
        <v>1948</v>
      </c>
      <c r="G634" s="4" t="s">
        <v>2057</v>
      </c>
      <c r="H634" s="4" t="s">
        <v>5842</v>
      </c>
      <c r="I634" s="4" t="s">
        <v>1978</v>
      </c>
      <c r="J634" s="4" t="s">
        <v>6147</v>
      </c>
      <c r="K634" s="4" t="s">
        <v>6148</v>
      </c>
      <c r="L634" s="4" t="s">
        <v>6149</v>
      </c>
      <c r="M634" s="4" t="s">
        <v>2078</v>
      </c>
      <c r="N634" s="8">
        <v>46052</v>
      </c>
      <c r="O634" s="8">
        <v>46355</v>
      </c>
      <c r="P634" s="4" t="s">
        <v>2090</v>
      </c>
      <c r="Q634" s="4" t="s">
        <v>1978</v>
      </c>
      <c r="R634" s="4" t="s">
        <v>6150</v>
      </c>
      <c r="S634" s="4" t="s">
        <v>6151</v>
      </c>
      <c r="T634" s="4" t="s">
        <v>2067</v>
      </c>
      <c r="U634" s="4" t="s">
        <v>3437</v>
      </c>
      <c r="V634" s="4" t="s">
        <v>2067</v>
      </c>
      <c r="W634" s="4" t="s">
        <v>2069</v>
      </c>
    </row>
    <row r="635" spans="1:23" ht="20.100000000000001" customHeight="1" x14ac:dyDescent="0.25">
      <c r="A635" s="6" t="s">
        <v>1352</v>
      </c>
      <c r="B635" s="7" t="s">
        <v>2057</v>
      </c>
      <c r="C635" s="7" t="s">
        <v>6152</v>
      </c>
      <c r="D635" s="7" t="s">
        <v>2059</v>
      </c>
      <c r="E635" s="7" t="s">
        <v>1947</v>
      </c>
      <c r="F635" s="7" t="s">
        <v>1948</v>
      </c>
      <c r="G635" s="7" t="s">
        <v>2057</v>
      </c>
      <c r="H635" s="7" t="s">
        <v>2003</v>
      </c>
      <c r="I635" s="7" t="s">
        <v>1978</v>
      </c>
      <c r="J635" s="7" t="s">
        <v>6153</v>
      </c>
      <c r="K635" s="7" t="s">
        <v>6154</v>
      </c>
      <c r="L635" s="7" t="s">
        <v>6155</v>
      </c>
      <c r="M635" s="7" t="s">
        <v>2078</v>
      </c>
      <c r="N635" s="9">
        <v>46234</v>
      </c>
      <c r="O635" s="9">
        <v>46356</v>
      </c>
      <c r="P635" s="7" t="s">
        <v>2090</v>
      </c>
      <c r="Q635" s="7" t="s">
        <v>1978</v>
      </c>
      <c r="R635" s="7" t="s">
        <v>6156</v>
      </c>
      <c r="S635" s="7" t="s">
        <v>6157</v>
      </c>
      <c r="T635" s="7" t="s">
        <v>2067</v>
      </c>
      <c r="U635" s="7" t="s">
        <v>2146</v>
      </c>
      <c r="V635" s="7" t="s">
        <v>2067</v>
      </c>
      <c r="W635" s="7" t="s">
        <v>2069</v>
      </c>
    </row>
    <row r="636" spans="1:23" ht="20.100000000000001" customHeight="1" x14ac:dyDescent="0.25">
      <c r="A636" s="3" t="s">
        <v>1372</v>
      </c>
      <c r="B636" s="4" t="s">
        <v>2057</v>
      </c>
      <c r="C636" s="4" t="s">
        <v>6158</v>
      </c>
      <c r="D636" s="4" t="s">
        <v>2059</v>
      </c>
      <c r="E636" s="4" t="s">
        <v>1947</v>
      </c>
      <c r="F636" s="4" t="s">
        <v>1948</v>
      </c>
      <c r="G636" s="4" t="s">
        <v>2057</v>
      </c>
      <c r="H636" s="4" t="s">
        <v>2003</v>
      </c>
      <c r="I636" s="4" t="s">
        <v>1978</v>
      </c>
      <c r="J636" s="4" t="s">
        <v>6159</v>
      </c>
      <c r="K636" s="4" t="s">
        <v>6160</v>
      </c>
      <c r="L636" s="4" t="s">
        <v>6161</v>
      </c>
      <c r="M636" s="4" t="s">
        <v>2078</v>
      </c>
      <c r="N636" s="8">
        <v>46234</v>
      </c>
      <c r="O636" s="8">
        <v>46356</v>
      </c>
      <c r="P636" s="4" t="s">
        <v>2090</v>
      </c>
      <c r="Q636" s="4" t="s">
        <v>1978</v>
      </c>
      <c r="R636" s="4" t="s">
        <v>3000</v>
      </c>
      <c r="S636" s="4" t="s">
        <v>6162</v>
      </c>
      <c r="T636" s="4" t="s">
        <v>2067</v>
      </c>
      <c r="U636" s="4" t="s">
        <v>3437</v>
      </c>
      <c r="V636" s="4" t="s">
        <v>2067</v>
      </c>
      <c r="W636" s="4" t="s">
        <v>2069</v>
      </c>
    </row>
    <row r="637" spans="1:23" ht="20.100000000000001" customHeight="1" x14ac:dyDescent="0.25">
      <c r="A637" s="6" t="s">
        <v>1178</v>
      </c>
      <c r="B637" s="7" t="s">
        <v>2057</v>
      </c>
      <c r="C637" s="7" t="s">
        <v>6163</v>
      </c>
      <c r="D637" s="7" t="s">
        <v>2059</v>
      </c>
      <c r="E637" s="7" t="s">
        <v>1947</v>
      </c>
      <c r="F637" s="7" t="s">
        <v>1948</v>
      </c>
      <c r="G637" s="7" t="s">
        <v>2057</v>
      </c>
      <c r="H637" s="7" t="s">
        <v>6164</v>
      </c>
      <c r="I637" s="7" t="s">
        <v>1978</v>
      </c>
      <c r="J637" s="7" t="s">
        <v>6165</v>
      </c>
      <c r="K637" s="7" t="s">
        <v>6166</v>
      </c>
      <c r="L637" s="7" t="s">
        <v>6167</v>
      </c>
      <c r="M637" s="7" t="s">
        <v>2078</v>
      </c>
      <c r="N637" s="9">
        <v>46052</v>
      </c>
      <c r="O637" s="9">
        <v>46355</v>
      </c>
      <c r="P637" s="7" t="s">
        <v>2090</v>
      </c>
      <c r="Q637" s="7" t="s">
        <v>1978</v>
      </c>
      <c r="R637" s="7" t="s">
        <v>6168</v>
      </c>
      <c r="S637" s="7" t="s">
        <v>6169</v>
      </c>
      <c r="T637" s="7" t="s">
        <v>2067</v>
      </c>
      <c r="U637" s="7" t="s">
        <v>3437</v>
      </c>
      <c r="V637" s="7" t="s">
        <v>2067</v>
      </c>
      <c r="W637" s="7" t="s">
        <v>2069</v>
      </c>
    </row>
    <row r="638" spans="1:23" ht="20.100000000000001" customHeight="1" x14ac:dyDescent="0.25">
      <c r="A638" s="3" t="s">
        <v>1164</v>
      </c>
      <c r="B638" s="4" t="s">
        <v>2057</v>
      </c>
      <c r="C638" s="4" t="s">
        <v>6170</v>
      </c>
      <c r="D638" s="4" t="s">
        <v>2059</v>
      </c>
      <c r="E638" s="4" t="s">
        <v>1947</v>
      </c>
      <c r="F638" s="4" t="s">
        <v>1948</v>
      </c>
      <c r="G638" s="4" t="s">
        <v>2057</v>
      </c>
      <c r="H638" s="4" t="s">
        <v>2003</v>
      </c>
      <c r="I638" s="4" t="s">
        <v>1978</v>
      </c>
      <c r="J638" s="4" t="s">
        <v>6171</v>
      </c>
      <c r="K638" s="4" t="s">
        <v>6172</v>
      </c>
      <c r="L638" s="4" t="s">
        <v>6173</v>
      </c>
      <c r="M638" s="4" t="s">
        <v>2078</v>
      </c>
      <c r="N638" s="8">
        <v>46052</v>
      </c>
      <c r="O638" s="8">
        <v>46355</v>
      </c>
      <c r="P638" s="4" t="s">
        <v>2090</v>
      </c>
      <c r="Q638" s="4" t="s">
        <v>1978</v>
      </c>
      <c r="R638" s="4" t="s">
        <v>6174</v>
      </c>
      <c r="S638" s="4" t="s">
        <v>6175</v>
      </c>
      <c r="T638" s="4" t="s">
        <v>2067</v>
      </c>
      <c r="U638" s="4" t="s">
        <v>2146</v>
      </c>
      <c r="V638" s="4" t="s">
        <v>2067</v>
      </c>
      <c r="W638" s="4" t="s">
        <v>2069</v>
      </c>
    </row>
    <row r="639" spans="1:23" ht="20.100000000000001" customHeight="1" x14ac:dyDescent="0.25">
      <c r="A639" s="6" t="s">
        <v>708</v>
      </c>
      <c r="B639" s="7" t="s">
        <v>2057</v>
      </c>
      <c r="C639" s="7" t="s">
        <v>6176</v>
      </c>
      <c r="D639" s="7" t="s">
        <v>2059</v>
      </c>
      <c r="E639" s="7" t="s">
        <v>1947</v>
      </c>
      <c r="F639" s="7" t="s">
        <v>1948</v>
      </c>
      <c r="G639" s="7" t="s">
        <v>2057</v>
      </c>
      <c r="H639" s="7" t="s">
        <v>5842</v>
      </c>
      <c r="I639" s="7" t="s">
        <v>1978</v>
      </c>
      <c r="J639" s="7" t="s">
        <v>6177</v>
      </c>
      <c r="K639" s="7" t="s">
        <v>6178</v>
      </c>
      <c r="L639" s="7" t="s">
        <v>6179</v>
      </c>
      <c r="M639" s="7" t="s">
        <v>2078</v>
      </c>
      <c r="N639" s="9">
        <v>46052</v>
      </c>
      <c r="O639" s="9">
        <v>46355</v>
      </c>
      <c r="P639" s="7" t="s">
        <v>2090</v>
      </c>
      <c r="Q639" s="7" t="s">
        <v>1978</v>
      </c>
      <c r="R639" s="7" t="s">
        <v>6180</v>
      </c>
      <c r="S639" s="7" t="s">
        <v>6181</v>
      </c>
      <c r="T639" s="7" t="s">
        <v>2067</v>
      </c>
      <c r="U639" s="7" t="s">
        <v>2146</v>
      </c>
      <c r="V639" s="7" t="s">
        <v>2067</v>
      </c>
      <c r="W639" s="7" t="s">
        <v>2069</v>
      </c>
    </row>
    <row r="640" spans="1:23" ht="20.100000000000001" customHeight="1" x14ac:dyDescent="0.25">
      <c r="A640" s="3" t="s">
        <v>994</v>
      </c>
      <c r="B640" s="4" t="s">
        <v>2057</v>
      </c>
      <c r="C640" s="4" t="s">
        <v>6182</v>
      </c>
      <c r="D640" s="4" t="s">
        <v>2059</v>
      </c>
      <c r="E640" s="4" t="s">
        <v>1947</v>
      </c>
      <c r="F640" s="4" t="s">
        <v>1948</v>
      </c>
      <c r="G640" s="4" t="s">
        <v>2057</v>
      </c>
      <c r="H640" s="4" t="s">
        <v>5842</v>
      </c>
      <c r="I640" s="4" t="s">
        <v>1978</v>
      </c>
      <c r="J640" s="4" t="s">
        <v>6183</v>
      </c>
      <c r="K640" s="4" t="s">
        <v>6184</v>
      </c>
      <c r="L640" s="4" t="s">
        <v>6185</v>
      </c>
      <c r="M640" s="4" t="s">
        <v>2078</v>
      </c>
      <c r="N640" s="8">
        <v>46234</v>
      </c>
      <c r="O640" s="8">
        <v>46356</v>
      </c>
      <c r="P640" s="4" t="s">
        <v>2090</v>
      </c>
      <c r="Q640" s="4" t="s">
        <v>1978</v>
      </c>
      <c r="R640" s="4" t="s">
        <v>5646</v>
      </c>
      <c r="S640" s="4" t="s">
        <v>6186</v>
      </c>
      <c r="T640" s="4" t="s">
        <v>2067</v>
      </c>
      <c r="U640" s="4" t="s">
        <v>3437</v>
      </c>
      <c r="V640" s="4" t="s">
        <v>2067</v>
      </c>
      <c r="W640" s="4" t="s">
        <v>2069</v>
      </c>
    </row>
    <row r="641" spans="1:23" ht="20.100000000000001" customHeight="1" x14ac:dyDescent="0.25">
      <c r="A641" s="6" t="s">
        <v>168</v>
      </c>
      <c r="B641" s="7" t="s">
        <v>2057</v>
      </c>
      <c r="C641" s="7" t="s">
        <v>6187</v>
      </c>
      <c r="D641" s="7" t="s">
        <v>2059</v>
      </c>
      <c r="E641" s="7" t="s">
        <v>1947</v>
      </c>
      <c r="F641" s="7" t="s">
        <v>1948</v>
      </c>
      <c r="G641" s="7" t="s">
        <v>2057</v>
      </c>
      <c r="H641" s="7" t="s">
        <v>6164</v>
      </c>
      <c r="I641" s="7" t="s">
        <v>1978</v>
      </c>
      <c r="J641" s="7" t="s">
        <v>6188</v>
      </c>
      <c r="K641" s="7" t="s">
        <v>6189</v>
      </c>
      <c r="L641" s="7" t="s">
        <v>6190</v>
      </c>
      <c r="M641" s="7" t="s">
        <v>2078</v>
      </c>
      <c r="N641" s="9">
        <v>46052</v>
      </c>
      <c r="O641" s="9">
        <v>46355</v>
      </c>
      <c r="P641" s="7" t="s">
        <v>2090</v>
      </c>
      <c r="Q641" s="7" t="s">
        <v>1978</v>
      </c>
      <c r="R641" s="7" t="s">
        <v>6191</v>
      </c>
      <c r="S641" s="7" t="s">
        <v>6192</v>
      </c>
      <c r="T641" s="7" t="s">
        <v>2067</v>
      </c>
      <c r="U641" s="7" t="s">
        <v>2146</v>
      </c>
      <c r="V641" s="7" t="s">
        <v>2067</v>
      </c>
      <c r="W641" s="7" t="s">
        <v>2069</v>
      </c>
    </row>
    <row r="642" spans="1:23" ht="20.100000000000001" customHeight="1" x14ac:dyDescent="0.25">
      <c r="A642" s="3" t="s">
        <v>862</v>
      </c>
      <c r="B642" s="4" t="s">
        <v>2057</v>
      </c>
      <c r="C642" s="4" t="s">
        <v>6193</v>
      </c>
      <c r="D642" s="4" t="s">
        <v>2059</v>
      </c>
      <c r="E642" s="4" t="s">
        <v>1947</v>
      </c>
      <c r="F642" s="4" t="s">
        <v>1948</v>
      </c>
      <c r="G642" s="4" t="s">
        <v>2057</v>
      </c>
      <c r="H642" s="4" t="s">
        <v>2003</v>
      </c>
      <c r="I642" s="4" t="s">
        <v>1978</v>
      </c>
      <c r="J642" s="4" t="s">
        <v>6194</v>
      </c>
      <c r="K642" s="4" t="s">
        <v>6195</v>
      </c>
      <c r="L642" s="4" t="s">
        <v>6196</v>
      </c>
      <c r="M642" s="4" t="s">
        <v>2078</v>
      </c>
      <c r="N642" s="8">
        <v>46052</v>
      </c>
      <c r="O642" s="8">
        <v>46355</v>
      </c>
      <c r="P642" s="4" t="s">
        <v>2090</v>
      </c>
      <c r="Q642" s="4" t="s">
        <v>1978</v>
      </c>
      <c r="R642" s="4" t="s">
        <v>6197</v>
      </c>
      <c r="S642" s="4" t="s">
        <v>6198</v>
      </c>
      <c r="T642" s="4" t="s">
        <v>2067</v>
      </c>
      <c r="U642" s="4" t="s">
        <v>3437</v>
      </c>
      <c r="V642" s="4" t="s">
        <v>2067</v>
      </c>
      <c r="W642" s="4" t="s">
        <v>2069</v>
      </c>
    </row>
    <row r="643" spans="1:23" ht="20.100000000000001" customHeight="1" x14ac:dyDescent="0.25">
      <c r="A643" s="6" t="s">
        <v>1320</v>
      </c>
      <c r="B643" s="7" t="s">
        <v>2057</v>
      </c>
      <c r="C643" s="7" t="s">
        <v>6199</v>
      </c>
      <c r="D643" s="7" t="s">
        <v>2059</v>
      </c>
      <c r="E643" s="7" t="s">
        <v>1947</v>
      </c>
      <c r="F643" s="7" t="s">
        <v>1948</v>
      </c>
      <c r="G643" s="7" t="s">
        <v>2057</v>
      </c>
      <c r="H643" s="7" t="s">
        <v>5842</v>
      </c>
      <c r="I643" s="7" t="s">
        <v>1978</v>
      </c>
      <c r="J643" s="7" t="s">
        <v>6200</v>
      </c>
      <c r="K643" s="7" t="s">
        <v>6201</v>
      </c>
      <c r="L643" s="7" t="s">
        <v>6202</v>
      </c>
      <c r="M643" s="7" t="s">
        <v>2078</v>
      </c>
      <c r="N643" s="9">
        <v>46234</v>
      </c>
      <c r="O643" s="9">
        <v>46356</v>
      </c>
      <c r="P643" s="7" t="s">
        <v>2090</v>
      </c>
      <c r="Q643" s="7" t="s">
        <v>1978</v>
      </c>
      <c r="R643" s="7" t="s">
        <v>6203</v>
      </c>
      <c r="S643" s="7" t="s">
        <v>6204</v>
      </c>
      <c r="T643" s="7" t="s">
        <v>2067</v>
      </c>
      <c r="U643" s="7" t="s">
        <v>2146</v>
      </c>
      <c r="V643" s="7" t="s">
        <v>2067</v>
      </c>
      <c r="W643" s="7" t="s">
        <v>2069</v>
      </c>
    </row>
    <row r="644" spans="1:23" ht="20.100000000000001" customHeight="1" x14ac:dyDescent="0.25">
      <c r="A644" s="3" t="s">
        <v>950</v>
      </c>
      <c r="B644" s="4" t="s">
        <v>2057</v>
      </c>
      <c r="C644" s="4" t="s">
        <v>6205</v>
      </c>
      <c r="D644" s="4" t="s">
        <v>2059</v>
      </c>
      <c r="E644" s="4" t="s">
        <v>1947</v>
      </c>
      <c r="F644" s="4" t="s">
        <v>1948</v>
      </c>
      <c r="G644" s="4" t="s">
        <v>2057</v>
      </c>
      <c r="H644" s="4" t="s">
        <v>2003</v>
      </c>
      <c r="I644" s="4" t="s">
        <v>1978</v>
      </c>
      <c r="J644" s="4" t="s">
        <v>6206</v>
      </c>
      <c r="K644" s="4" t="s">
        <v>6207</v>
      </c>
      <c r="L644" s="4" t="s">
        <v>6208</v>
      </c>
      <c r="M644" s="4" t="s">
        <v>2078</v>
      </c>
      <c r="N644" s="8">
        <v>46058</v>
      </c>
      <c r="O644" s="8">
        <v>46355</v>
      </c>
      <c r="P644" s="4" t="s">
        <v>2090</v>
      </c>
      <c r="Q644" s="4" t="s">
        <v>1978</v>
      </c>
      <c r="R644" s="4" t="s">
        <v>6209</v>
      </c>
      <c r="S644" s="4" t="s">
        <v>6210</v>
      </c>
      <c r="T644" s="4" t="s">
        <v>2067</v>
      </c>
      <c r="U644" s="4" t="s">
        <v>2146</v>
      </c>
      <c r="V644" s="4" t="s">
        <v>2067</v>
      </c>
      <c r="W644" s="4" t="s">
        <v>2069</v>
      </c>
    </row>
    <row r="645" spans="1:23" ht="20.100000000000001" customHeight="1" x14ac:dyDescent="0.25">
      <c r="A645" s="6" t="s">
        <v>1696</v>
      </c>
      <c r="B645" s="7" t="s">
        <v>2057</v>
      </c>
      <c r="C645" s="7" t="s">
        <v>6211</v>
      </c>
      <c r="D645" s="7" t="s">
        <v>2059</v>
      </c>
      <c r="E645" s="7" t="s">
        <v>1947</v>
      </c>
      <c r="F645" s="7" t="s">
        <v>1948</v>
      </c>
      <c r="G645" s="7" t="s">
        <v>2057</v>
      </c>
      <c r="H645" s="7" t="s">
        <v>5842</v>
      </c>
      <c r="I645" s="7" t="s">
        <v>1978</v>
      </c>
      <c r="J645" s="7" t="s">
        <v>6212</v>
      </c>
      <c r="K645" s="7" t="s">
        <v>6213</v>
      </c>
      <c r="L645" s="7" t="s">
        <v>6214</v>
      </c>
      <c r="M645" s="7" t="s">
        <v>2078</v>
      </c>
      <c r="N645" s="9">
        <v>46234</v>
      </c>
      <c r="O645" s="9">
        <v>46356</v>
      </c>
      <c r="P645" s="7" t="s">
        <v>2090</v>
      </c>
      <c r="Q645" s="7" t="s">
        <v>1978</v>
      </c>
      <c r="R645" s="7" t="s">
        <v>6215</v>
      </c>
      <c r="S645" s="7" t="s">
        <v>6216</v>
      </c>
      <c r="T645" s="7" t="s">
        <v>2067</v>
      </c>
      <c r="U645" s="7" t="s">
        <v>2146</v>
      </c>
      <c r="V645" s="7" t="s">
        <v>2067</v>
      </c>
      <c r="W645" s="7" t="s">
        <v>2069</v>
      </c>
    </row>
    <row r="646" spans="1:23" ht="20.100000000000001" customHeight="1" x14ac:dyDescent="0.25">
      <c r="A646" s="3" t="s">
        <v>6217</v>
      </c>
      <c r="B646" s="4" t="s">
        <v>2057</v>
      </c>
      <c r="C646" s="4" t="s">
        <v>6218</v>
      </c>
      <c r="D646" s="4" t="s">
        <v>2059</v>
      </c>
      <c r="E646" s="4" t="s">
        <v>1947</v>
      </c>
      <c r="F646" s="4" t="s">
        <v>1948</v>
      </c>
      <c r="G646" s="4" t="s">
        <v>2057</v>
      </c>
      <c r="H646" s="4" t="s">
        <v>2003</v>
      </c>
      <c r="I646" s="4" t="s">
        <v>1978</v>
      </c>
      <c r="J646" s="4" t="s">
        <v>6219</v>
      </c>
      <c r="K646" s="4" t="s">
        <v>6220</v>
      </c>
      <c r="L646" s="4" t="s">
        <v>6221</v>
      </c>
      <c r="M646" s="4" t="s">
        <v>2078</v>
      </c>
      <c r="N646" s="8">
        <v>46234</v>
      </c>
      <c r="O646" s="8">
        <v>46356</v>
      </c>
      <c r="P646" s="4" t="s">
        <v>2090</v>
      </c>
      <c r="Q646" s="4" t="s">
        <v>1978</v>
      </c>
      <c r="R646" s="4" t="s">
        <v>2222</v>
      </c>
      <c r="S646" s="4" t="s">
        <v>6222</v>
      </c>
      <c r="T646" s="4" t="s">
        <v>2067</v>
      </c>
      <c r="U646" s="4" t="s">
        <v>2146</v>
      </c>
      <c r="V646" s="4" t="s">
        <v>2067</v>
      </c>
      <c r="W646" s="4" t="s">
        <v>2069</v>
      </c>
    </row>
    <row r="647" spans="1:23" ht="20.100000000000001" customHeight="1" x14ac:dyDescent="0.25">
      <c r="A647" s="6" t="s">
        <v>874</v>
      </c>
      <c r="B647" s="7" t="s">
        <v>2057</v>
      </c>
      <c r="C647" s="7" t="s">
        <v>6223</v>
      </c>
      <c r="D647" s="7" t="s">
        <v>2059</v>
      </c>
      <c r="E647" s="7" t="s">
        <v>1947</v>
      </c>
      <c r="F647" s="7" t="s">
        <v>1948</v>
      </c>
      <c r="G647" s="7" t="s">
        <v>2057</v>
      </c>
      <c r="H647" s="7" t="s">
        <v>2003</v>
      </c>
      <c r="I647" s="7" t="s">
        <v>1978</v>
      </c>
      <c r="J647" s="7" t="s">
        <v>6224</v>
      </c>
      <c r="K647" s="7" t="s">
        <v>6225</v>
      </c>
      <c r="L647" s="7" t="s">
        <v>6226</v>
      </c>
      <c r="M647" s="7" t="s">
        <v>2078</v>
      </c>
      <c r="N647" s="9">
        <v>46118</v>
      </c>
      <c r="O647" s="9">
        <v>46294</v>
      </c>
      <c r="P647" s="7" t="s">
        <v>2090</v>
      </c>
      <c r="Q647" s="7" t="s">
        <v>1978</v>
      </c>
      <c r="R647" s="7" t="s">
        <v>6227</v>
      </c>
      <c r="S647" s="7" t="s">
        <v>6228</v>
      </c>
      <c r="T647" s="7" t="s">
        <v>2067</v>
      </c>
      <c r="U647" s="7" t="s">
        <v>2146</v>
      </c>
      <c r="V647" s="7" t="s">
        <v>2067</v>
      </c>
      <c r="W647" s="7" t="s">
        <v>2069</v>
      </c>
    </row>
    <row r="648" spans="1:23" ht="20.100000000000001" customHeight="1" x14ac:dyDescent="0.25">
      <c r="A648" s="3" t="s">
        <v>1694</v>
      </c>
      <c r="B648" s="4" t="s">
        <v>2057</v>
      </c>
      <c r="C648" s="4" t="s">
        <v>6229</v>
      </c>
      <c r="D648" s="4" t="s">
        <v>2059</v>
      </c>
      <c r="E648" s="4" t="s">
        <v>1947</v>
      </c>
      <c r="F648" s="4" t="s">
        <v>1948</v>
      </c>
      <c r="G648" s="4" t="s">
        <v>2057</v>
      </c>
      <c r="H648" s="4" t="s">
        <v>2003</v>
      </c>
      <c r="I648" s="4" t="s">
        <v>1978</v>
      </c>
      <c r="J648" s="4" t="s">
        <v>6230</v>
      </c>
      <c r="K648" s="4" t="s">
        <v>6231</v>
      </c>
      <c r="L648" s="4" t="s">
        <v>6232</v>
      </c>
      <c r="M648" s="4" t="s">
        <v>2078</v>
      </c>
      <c r="N648" s="8">
        <v>46234</v>
      </c>
      <c r="O648" s="8">
        <v>46356</v>
      </c>
      <c r="P648" s="4" t="s">
        <v>2090</v>
      </c>
      <c r="Q648" s="4" t="s">
        <v>1978</v>
      </c>
      <c r="R648" s="4" t="s">
        <v>2711</v>
      </c>
      <c r="S648" s="4" t="s">
        <v>6233</v>
      </c>
      <c r="T648" s="4" t="s">
        <v>2067</v>
      </c>
      <c r="U648" s="4" t="s">
        <v>2146</v>
      </c>
      <c r="V648" s="4" t="s">
        <v>2067</v>
      </c>
      <c r="W648" s="4" t="s">
        <v>2069</v>
      </c>
    </row>
    <row r="649" spans="1:23" ht="20.100000000000001" customHeight="1" x14ac:dyDescent="0.25">
      <c r="A649" s="6" t="s">
        <v>1348</v>
      </c>
      <c r="B649" s="7" t="s">
        <v>2057</v>
      </c>
      <c r="C649" s="7" t="s">
        <v>6234</v>
      </c>
      <c r="D649" s="7" t="s">
        <v>2059</v>
      </c>
      <c r="E649" s="7" t="s">
        <v>1947</v>
      </c>
      <c r="F649" s="7" t="s">
        <v>1948</v>
      </c>
      <c r="G649" s="7" t="s">
        <v>2057</v>
      </c>
      <c r="H649" s="7" t="s">
        <v>5842</v>
      </c>
      <c r="I649" s="7" t="s">
        <v>1978</v>
      </c>
      <c r="J649" s="7" t="s">
        <v>6235</v>
      </c>
      <c r="K649" s="7" t="s">
        <v>6236</v>
      </c>
      <c r="L649" s="7" t="s">
        <v>6237</v>
      </c>
      <c r="M649" s="7" t="s">
        <v>2078</v>
      </c>
      <c r="N649" s="9">
        <v>46234</v>
      </c>
      <c r="O649" s="9">
        <v>46356</v>
      </c>
      <c r="P649" s="7" t="s">
        <v>2090</v>
      </c>
      <c r="Q649" s="7" t="s">
        <v>1978</v>
      </c>
      <c r="R649" s="7" t="s">
        <v>6238</v>
      </c>
      <c r="S649" s="7" t="s">
        <v>6239</v>
      </c>
      <c r="T649" s="7" t="s">
        <v>2067</v>
      </c>
      <c r="U649" s="7" t="s">
        <v>2146</v>
      </c>
      <c r="V649" s="7" t="s">
        <v>2067</v>
      </c>
      <c r="W649" s="7" t="s">
        <v>2069</v>
      </c>
    </row>
    <row r="650" spans="1:23" ht="20.100000000000001" customHeight="1" x14ac:dyDescent="0.25">
      <c r="A650" s="3" t="s">
        <v>1388</v>
      </c>
      <c r="B650" s="4" t="s">
        <v>2057</v>
      </c>
      <c r="C650" s="4" t="s">
        <v>6240</v>
      </c>
      <c r="D650" s="4" t="s">
        <v>2059</v>
      </c>
      <c r="E650" s="4" t="s">
        <v>1947</v>
      </c>
      <c r="F650" s="4" t="s">
        <v>1948</v>
      </c>
      <c r="G650" s="4" t="s">
        <v>2057</v>
      </c>
      <c r="H650" s="4" t="s">
        <v>5842</v>
      </c>
      <c r="I650" s="4" t="s">
        <v>1978</v>
      </c>
      <c r="J650" s="4" t="s">
        <v>6241</v>
      </c>
      <c r="K650" s="4" t="s">
        <v>6242</v>
      </c>
      <c r="L650" s="4" t="s">
        <v>6243</v>
      </c>
      <c r="M650" s="4" t="s">
        <v>2078</v>
      </c>
      <c r="N650" s="8">
        <v>46052</v>
      </c>
      <c r="O650" s="8">
        <v>46296</v>
      </c>
      <c r="P650" s="4" t="s">
        <v>2090</v>
      </c>
      <c r="Q650" s="4" t="s">
        <v>1978</v>
      </c>
      <c r="R650" s="4" t="s">
        <v>6244</v>
      </c>
      <c r="S650" s="4" t="s">
        <v>6245</v>
      </c>
      <c r="T650" s="4" t="s">
        <v>2067</v>
      </c>
      <c r="U650" s="4" t="s">
        <v>2146</v>
      </c>
      <c r="V650" s="4" t="s">
        <v>2067</v>
      </c>
      <c r="W650" s="4" t="s">
        <v>2069</v>
      </c>
    </row>
    <row r="651" spans="1:23" ht="20.100000000000001" customHeight="1" x14ac:dyDescent="0.25">
      <c r="A651" s="6" t="s">
        <v>1232</v>
      </c>
      <c r="B651" s="7" t="s">
        <v>2057</v>
      </c>
      <c r="C651" s="7" t="s">
        <v>6246</v>
      </c>
      <c r="D651" s="7" t="s">
        <v>2059</v>
      </c>
      <c r="E651" s="7" t="s">
        <v>1947</v>
      </c>
      <c r="F651" s="7" t="s">
        <v>1948</v>
      </c>
      <c r="G651" s="7" t="s">
        <v>2057</v>
      </c>
      <c r="H651" s="7" t="s">
        <v>5842</v>
      </c>
      <c r="I651" s="7" t="s">
        <v>1978</v>
      </c>
      <c r="J651" s="7" t="s">
        <v>6247</v>
      </c>
      <c r="K651" s="7" t="s">
        <v>6248</v>
      </c>
      <c r="L651" s="7" t="s">
        <v>6249</v>
      </c>
      <c r="M651" s="7" t="s">
        <v>2078</v>
      </c>
      <c r="N651" s="9">
        <v>46234</v>
      </c>
      <c r="O651" s="9">
        <v>46356</v>
      </c>
      <c r="P651" s="7" t="s">
        <v>2090</v>
      </c>
      <c r="Q651" s="7" t="s">
        <v>1978</v>
      </c>
      <c r="R651" s="7" t="s">
        <v>6250</v>
      </c>
      <c r="S651" s="7" t="s">
        <v>6251</v>
      </c>
      <c r="T651" s="7" t="s">
        <v>2067</v>
      </c>
      <c r="U651" s="7" t="s">
        <v>2146</v>
      </c>
      <c r="V651" s="7" t="s">
        <v>2067</v>
      </c>
      <c r="W651" s="7" t="s">
        <v>2069</v>
      </c>
    </row>
    <row r="652" spans="1:23" ht="20.100000000000001" customHeight="1" x14ac:dyDescent="0.25">
      <c r="A652" s="3" t="s">
        <v>1622</v>
      </c>
      <c r="B652" s="4" t="s">
        <v>2057</v>
      </c>
      <c r="C652" s="4" t="s">
        <v>6252</v>
      </c>
      <c r="D652" s="4" t="s">
        <v>2059</v>
      </c>
      <c r="E652" s="4" t="s">
        <v>1947</v>
      </c>
      <c r="F652" s="4" t="s">
        <v>1948</v>
      </c>
      <c r="G652" s="4" t="s">
        <v>2057</v>
      </c>
      <c r="H652" s="4" t="s">
        <v>6164</v>
      </c>
      <c r="I652" s="4" t="s">
        <v>1978</v>
      </c>
      <c r="J652" s="4" t="s">
        <v>6253</v>
      </c>
      <c r="K652" s="4" t="s">
        <v>6254</v>
      </c>
      <c r="L652" s="4" t="s">
        <v>6255</v>
      </c>
      <c r="M652" s="4" t="s">
        <v>2078</v>
      </c>
      <c r="N652" s="8">
        <v>46234</v>
      </c>
      <c r="O652" s="8">
        <v>46356</v>
      </c>
      <c r="P652" s="4" t="s">
        <v>2090</v>
      </c>
      <c r="Q652" s="4" t="s">
        <v>1978</v>
      </c>
      <c r="R652" s="4" t="s">
        <v>5481</v>
      </c>
      <c r="S652" s="4" t="s">
        <v>6256</v>
      </c>
      <c r="T652" s="4" t="s">
        <v>2067</v>
      </c>
      <c r="U652" s="4" t="s">
        <v>2146</v>
      </c>
      <c r="V652" s="4" t="s">
        <v>2067</v>
      </c>
      <c r="W652" s="4" t="s">
        <v>2069</v>
      </c>
    </row>
    <row r="653" spans="1:23" ht="20.100000000000001" customHeight="1" x14ac:dyDescent="0.25">
      <c r="A653" s="6" t="s">
        <v>1572</v>
      </c>
      <c r="B653" s="7" t="s">
        <v>2057</v>
      </c>
      <c r="C653" s="7" t="s">
        <v>6257</v>
      </c>
      <c r="D653" s="7" t="s">
        <v>2059</v>
      </c>
      <c r="E653" s="7" t="s">
        <v>1947</v>
      </c>
      <c r="F653" s="7" t="s">
        <v>1948</v>
      </c>
      <c r="G653" s="7" t="s">
        <v>2057</v>
      </c>
      <c r="H653" s="7" t="s">
        <v>2003</v>
      </c>
      <c r="I653" s="7" t="s">
        <v>1978</v>
      </c>
      <c r="J653" s="7" t="s">
        <v>6258</v>
      </c>
      <c r="K653" s="7" t="s">
        <v>6259</v>
      </c>
      <c r="L653" s="7" t="s">
        <v>6260</v>
      </c>
      <c r="M653" s="7" t="s">
        <v>2078</v>
      </c>
      <c r="N653" s="9">
        <v>46234</v>
      </c>
      <c r="O653" s="9">
        <v>46356</v>
      </c>
      <c r="P653" s="7" t="s">
        <v>2090</v>
      </c>
      <c r="Q653" s="7" t="s">
        <v>1978</v>
      </c>
      <c r="R653" s="7" t="s">
        <v>2605</v>
      </c>
      <c r="S653" s="7" t="s">
        <v>6261</v>
      </c>
      <c r="T653" s="7" t="s">
        <v>2067</v>
      </c>
      <c r="U653" s="7" t="s">
        <v>2146</v>
      </c>
      <c r="V653" s="7" t="s">
        <v>2067</v>
      </c>
      <c r="W653" s="7" t="s">
        <v>2069</v>
      </c>
    </row>
    <row r="654" spans="1:23" ht="20.100000000000001" customHeight="1" x14ac:dyDescent="0.25">
      <c r="A654" s="3" t="s">
        <v>160</v>
      </c>
      <c r="B654" s="4" t="s">
        <v>2057</v>
      </c>
      <c r="C654" s="4" t="s">
        <v>6262</v>
      </c>
      <c r="D654" s="4" t="s">
        <v>2059</v>
      </c>
      <c r="E654" s="4" t="s">
        <v>1947</v>
      </c>
      <c r="F654" s="4" t="s">
        <v>1948</v>
      </c>
      <c r="G654" s="4" t="s">
        <v>2057</v>
      </c>
      <c r="H654" s="4" t="s">
        <v>5842</v>
      </c>
      <c r="I654" s="4" t="s">
        <v>1978</v>
      </c>
      <c r="J654" s="4" t="s">
        <v>6263</v>
      </c>
      <c r="K654" s="4" t="s">
        <v>6264</v>
      </c>
      <c r="L654" s="4" t="s">
        <v>6265</v>
      </c>
      <c r="M654" s="4" t="s">
        <v>2078</v>
      </c>
      <c r="N654" s="8">
        <v>46052</v>
      </c>
      <c r="O654" s="8">
        <v>46296</v>
      </c>
      <c r="P654" s="4" t="s">
        <v>2090</v>
      </c>
      <c r="Q654" s="4" t="s">
        <v>1978</v>
      </c>
      <c r="R654" s="4" t="s">
        <v>6266</v>
      </c>
      <c r="S654" s="4" t="s">
        <v>6267</v>
      </c>
      <c r="T654" s="4" t="s">
        <v>2067</v>
      </c>
      <c r="U654" s="4" t="s">
        <v>2146</v>
      </c>
      <c r="V654" s="4" t="s">
        <v>2067</v>
      </c>
      <c r="W654" s="4" t="s">
        <v>2069</v>
      </c>
    </row>
    <row r="655" spans="1:23" ht="20.100000000000001" customHeight="1" x14ac:dyDescent="0.25">
      <c r="A655" s="6" t="s">
        <v>910</v>
      </c>
      <c r="B655" s="7" t="s">
        <v>2057</v>
      </c>
      <c r="C655" s="7" t="s">
        <v>6268</v>
      </c>
      <c r="D655" s="7" t="s">
        <v>2059</v>
      </c>
      <c r="E655" s="7" t="s">
        <v>1947</v>
      </c>
      <c r="F655" s="7" t="s">
        <v>1948</v>
      </c>
      <c r="G655" s="7" t="s">
        <v>2057</v>
      </c>
      <c r="H655" s="7" t="s">
        <v>2003</v>
      </c>
      <c r="I655" s="7" t="s">
        <v>1978</v>
      </c>
      <c r="J655" s="7" t="s">
        <v>6269</v>
      </c>
      <c r="K655" s="7" t="s">
        <v>6270</v>
      </c>
      <c r="L655" s="7" t="s">
        <v>6271</v>
      </c>
      <c r="M655" s="7" t="s">
        <v>2078</v>
      </c>
      <c r="N655" s="9">
        <v>46052</v>
      </c>
      <c r="O655" s="9">
        <v>46355</v>
      </c>
      <c r="P655" s="7" t="s">
        <v>2090</v>
      </c>
      <c r="Q655" s="7" t="s">
        <v>1978</v>
      </c>
      <c r="R655" s="7" t="s">
        <v>6013</v>
      </c>
      <c r="S655" s="7" t="s">
        <v>6272</v>
      </c>
      <c r="T655" s="7" t="s">
        <v>2067</v>
      </c>
      <c r="U655" s="7" t="s">
        <v>2146</v>
      </c>
      <c r="V655" s="7" t="s">
        <v>2067</v>
      </c>
      <c r="W655" s="7" t="s">
        <v>2069</v>
      </c>
    </row>
    <row r="656" spans="1:23" ht="20.100000000000001" customHeight="1" x14ac:dyDescent="0.25">
      <c r="A656" s="3" t="s">
        <v>170</v>
      </c>
      <c r="B656" s="4" t="s">
        <v>2057</v>
      </c>
      <c r="C656" s="4" t="s">
        <v>6273</v>
      </c>
      <c r="D656" s="4" t="s">
        <v>2059</v>
      </c>
      <c r="E656" s="4" t="s">
        <v>1947</v>
      </c>
      <c r="F656" s="4" t="s">
        <v>1948</v>
      </c>
      <c r="G656" s="4" t="s">
        <v>2057</v>
      </c>
      <c r="H656" s="4" t="s">
        <v>2003</v>
      </c>
      <c r="I656" s="4" t="s">
        <v>1978</v>
      </c>
      <c r="J656" s="4" t="s">
        <v>6274</v>
      </c>
      <c r="K656" s="4" t="s">
        <v>6275</v>
      </c>
      <c r="L656" s="4" t="s">
        <v>6276</v>
      </c>
      <c r="M656" s="4" t="s">
        <v>2078</v>
      </c>
      <c r="N656" s="8">
        <v>46234</v>
      </c>
      <c r="O656" s="8">
        <v>46356</v>
      </c>
      <c r="P656" s="4" t="s">
        <v>2090</v>
      </c>
      <c r="Q656" s="4" t="s">
        <v>1978</v>
      </c>
      <c r="R656" s="4" t="s">
        <v>6277</v>
      </c>
      <c r="S656" s="4" t="s">
        <v>6278</v>
      </c>
      <c r="T656" s="4" t="s">
        <v>2067</v>
      </c>
      <c r="U656" s="4" t="s">
        <v>2146</v>
      </c>
      <c r="V656" s="4" t="s">
        <v>2067</v>
      </c>
      <c r="W656" s="4" t="s">
        <v>2069</v>
      </c>
    </row>
    <row r="657" spans="1:23" ht="20.100000000000001" customHeight="1" x14ac:dyDescent="0.25">
      <c r="A657" s="6" t="s">
        <v>1278</v>
      </c>
      <c r="B657" s="7" t="s">
        <v>2057</v>
      </c>
      <c r="C657" s="7" t="s">
        <v>6279</v>
      </c>
      <c r="D657" s="7" t="s">
        <v>2059</v>
      </c>
      <c r="E657" s="7" t="s">
        <v>1947</v>
      </c>
      <c r="F657" s="7" t="s">
        <v>1948</v>
      </c>
      <c r="G657" s="7" t="s">
        <v>2057</v>
      </c>
      <c r="H657" s="7" t="s">
        <v>5749</v>
      </c>
      <c r="I657" s="7" t="s">
        <v>1978</v>
      </c>
      <c r="J657" s="7" t="s">
        <v>6280</v>
      </c>
      <c r="K657" s="7" t="s">
        <v>6281</v>
      </c>
      <c r="L657" s="7" t="s">
        <v>6282</v>
      </c>
      <c r="M657" s="7" t="s">
        <v>2078</v>
      </c>
      <c r="N657" s="9">
        <v>46234</v>
      </c>
      <c r="O657" s="9">
        <v>46356</v>
      </c>
      <c r="P657" s="7" t="s">
        <v>2090</v>
      </c>
      <c r="Q657" s="7" t="s">
        <v>1978</v>
      </c>
      <c r="R657" s="7" t="s">
        <v>6283</v>
      </c>
      <c r="S657" s="7" t="s">
        <v>6284</v>
      </c>
      <c r="T657" s="7" t="s">
        <v>2067</v>
      </c>
      <c r="U657" s="7" t="s">
        <v>2146</v>
      </c>
      <c r="V657" s="7" t="s">
        <v>2067</v>
      </c>
      <c r="W657" s="7" t="s">
        <v>2069</v>
      </c>
    </row>
    <row r="658" spans="1:23" ht="20.100000000000001" customHeight="1" x14ac:dyDescent="0.25">
      <c r="A658" s="3" t="s">
        <v>1768</v>
      </c>
      <c r="B658" s="4" t="s">
        <v>2057</v>
      </c>
      <c r="C658" s="4" t="s">
        <v>6285</v>
      </c>
      <c r="D658" s="4" t="s">
        <v>2059</v>
      </c>
      <c r="E658" s="4" t="s">
        <v>1947</v>
      </c>
      <c r="F658" s="4" t="s">
        <v>1948</v>
      </c>
      <c r="G658" s="4" t="s">
        <v>2057</v>
      </c>
      <c r="H658" s="4" t="s">
        <v>2003</v>
      </c>
      <c r="I658" s="4" t="s">
        <v>1978</v>
      </c>
      <c r="J658" s="4" t="s">
        <v>6286</v>
      </c>
      <c r="K658" s="4" t="s">
        <v>6287</v>
      </c>
      <c r="L658" s="4" t="s">
        <v>6288</v>
      </c>
      <c r="M658" s="4" t="s">
        <v>2078</v>
      </c>
      <c r="N658" s="8">
        <v>46234</v>
      </c>
      <c r="O658" s="8">
        <v>46356</v>
      </c>
      <c r="P658" s="4" t="s">
        <v>2090</v>
      </c>
      <c r="Q658" s="4" t="s">
        <v>1978</v>
      </c>
      <c r="R658" s="4" t="s">
        <v>6289</v>
      </c>
      <c r="S658" s="4" t="s">
        <v>6290</v>
      </c>
      <c r="T658" s="4" t="s">
        <v>2067</v>
      </c>
      <c r="U658" s="4" t="s">
        <v>2146</v>
      </c>
      <c r="V658" s="4" t="s">
        <v>2067</v>
      </c>
      <c r="W658" s="4" t="s">
        <v>2069</v>
      </c>
    </row>
    <row r="659" spans="1:23" ht="20.100000000000001" customHeight="1" x14ac:dyDescent="0.25">
      <c r="A659" s="6" t="s">
        <v>1574</v>
      </c>
      <c r="B659" s="7" t="s">
        <v>2057</v>
      </c>
      <c r="C659" s="7" t="s">
        <v>6291</v>
      </c>
      <c r="D659" s="7" t="s">
        <v>2059</v>
      </c>
      <c r="E659" s="7" t="s">
        <v>1947</v>
      </c>
      <c r="F659" s="7" t="s">
        <v>1948</v>
      </c>
      <c r="G659" s="7" t="s">
        <v>2057</v>
      </c>
      <c r="H659" s="7" t="s">
        <v>5842</v>
      </c>
      <c r="I659" s="7" t="s">
        <v>1978</v>
      </c>
      <c r="J659" s="7" t="s">
        <v>6292</v>
      </c>
      <c r="K659" s="7" t="s">
        <v>6293</v>
      </c>
      <c r="L659" s="7" t="s">
        <v>6294</v>
      </c>
      <c r="M659" s="7" t="s">
        <v>2078</v>
      </c>
      <c r="N659" s="9">
        <v>46234</v>
      </c>
      <c r="O659" s="9">
        <v>46356</v>
      </c>
      <c r="P659" s="7" t="s">
        <v>2090</v>
      </c>
      <c r="Q659" s="7" t="s">
        <v>1978</v>
      </c>
      <c r="R659" s="7" t="s">
        <v>3605</v>
      </c>
      <c r="S659" s="7" t="s">
        <v>6295</v>
      </c>
      <c r="T659" s="7" t="s">
        <v>2067</v>
      </c>
      <c r="U659" s="7" t="s">
        <v>2146</v>
      </c>
      <c r="V659" s="7" t="s">
        <v>2067</v>
      </c>
      <c r="W659" s="7" t="s">
        <v>2069</v>
      </c>
    </row>
    <row r="660" spans="1:23" ht="20.100000000000001" customHeight="1" x14ac:dyDescent="0.25">
      <c r="A660" s="3" t="s">
        <v>1550</v>
      </c>
      <c r="B660" s="4" t="s">
        <v>2057</v>
      </c>
      <c r="C660" s="4" t="s">
        <v>6296</v>
      </c>
      <c r="D660" s="4" t="s">
        <v>2059</v>
      </c>
      <c r="E660" s="4" t="s">
        <v>1947</v>
      </c>
      <c r="F660" s="4" t="s">
        <v>1948</v>
      </c>
      <c r="G660" s="4" t="s">
        <v>2057</v>
      </c>
      <c r="H660" s="4" t="s">
        <v>5749</v>
      </c>
      <c r="I660" s="4" t="s">
        <v>1978</v>
      </c>
      <c r="J660" s="4" t="s">
        <v>6297</v>
      </c>
      <c r="K660" s="4" t="s">
        <v>6298</v>
      </c>
      <c r="L660" s="4" t="s">
        <v>6299</v>
      </c>
      <c r="M660" s="4" t="s">
        <v>2078</v>
      </c>
      <c r="N660" s="8">
        <v>46234</v>
      </c>
      <c r="O660" s="8">
        <v>46356</v>
      </c>
      <c r="P660" s="4" t="s">
        <v>2090</v>
      </c>
      <c r="Q660" s="4" t="s">
        <v>1978</v>
      </c>
      <c r="R660" s="4" t="s">
        <v>6300</v>
      </c>
      <c r="S660" s="4" t="s">
        <v>6301</v>
      </c>
      <c r="T660" s="4" t="s">
        <v>2067</v>
      </c>
      <c r="U660" s="4" t="s">
        <v>2146</v>
      </c>
      <c r="V660" s="4" t="s">
        <v>2067</v>
      </c>
      <c r="W660" s="4" t="s">
        <v>2069</v>
      </c>
    </row>
    <row r="661" spans="1:23" ht="20.100000000000001" customHeight="1" x14ac:dyDescent="0.25">
      <c r="A661" s="6" t="s">
        <v>1356</v>
      </c>
      <c r="B661" s="7" t="s">
        <v>2057</v>
      </c>
      <c r="C661" s="7" t="s">
        <v>6302</v>
      </c>
      <c r="D661" s="7" t="s">
        <v>2059</v>
      </c>
      <c r="E661" s="7" t="s">
        <v>1947</v>
      </c>
      <c r="F661" s="7" t="s">
        <v>1948</v>
      </c>
      <c r="G661" s="7" t="s">
        <v>2057</v>
      </c>
      <c r="H661" s="7" t="s">
        <v>5842</v>
      </c>
      <c r="I661" s="7" t="s">
        <v>1978</v>
      </c>
      <c r="J661" s="7" t="s">
        <v>6303</v>
      </c>
      <c r="K661" s="7" t="s">
        <v>6304</v>
      </c>
      <c r="L661" s="7" t="s">
        <v>6305</v>
      </c>
      <c r="M661" s="7" t="s">
        <v>2078</v>
      </c>
      <c r="N661" s="9">
        <v>46234</v>
      </c>
      <c r="O661" s="9">
        <v>46356</v>
      </c>
      <c r="P661" s="7" t="s">
        <v>2090</v>
      </c>
      <c r="Q661" s="7" t="s">
        <v>1978</v>
      </c>
      <c r="R661" s="7" t="s">
        <v>6203</v>
      </c>
      <c r="S661" s="7" t="s">
        <v>6306</v>
      </c>
      <c r="T661" s="7" t="s">
        <v>2067</v>
      </c>
      <c r="U661" s="7" t="s">
        <v>2146</v>
      </c>
      <c r="V661" s="7" t="s">
        <v>2067</v>
      </c>
      <c r="W661" s="7" t="s">
        <v>2069</v>
      </c>
    </row>
    <row r="662" spans="1:23" ht="20.100000000000001" customHeight="1" x14ac:dyDescent="0.25">
      <c r="A662" s="3" t="s">
        <v>1500</v>
      </c>
      <c r="B662" s="4" t="s">
        <v>2084</v>
      </c>
      <c r="C662" s="4" t="s">
        <v>6307</v>
      </c>
      <c r="D662" s="4" t="s">
        <v>2059</v>
      </c>
      <c r="E662" s="4" t="s">
        <v>1947</v>
      </c>
      <c r="F662" s="4" t="s">
        <v>1948</v>
      </c>
      <c r="G662" s="4" t="s">
        <v>2084</v>
      </c>
      <c r="H662" s="4" t="s">
        <v>6308</v>
      </c>
      <c r="I662" s="4" t="s">
        <v>6309</v>
      </c>
      <c r="J662" s="4" t="s">
        <v>6310</v>
      </c>
      <c r="K662" s="4" t="s">
        <v>6311</v>
      </c>
      <c r="L662" s="4" t="s">
        <v>6312</v>
      </c>
      <c r="M662" s="4" t="s">
        <v>2078</v>
      </c>
      <c r="N662" s="8">
        <v>46000</v>
      </c>
      <c r="O662" s="8">
        <v>46355</v>
      </c>
      <c r="P662" s="4" t="s">
        <v>2090</v>
      </c>
      <c r="Q662" s="4" t="s">
        <v>6309</v>
      </c>
      <c r="R662" s="4" t="s">
        <v>3532</v>
      </c>
      <c r="S662" s="4" t="s">
        <v>6313</v>
      </c>
      <c r="T662" s="4" t="s">
        <v>2067</v>
      </c>
      <c r="U662" s="4" t="s">
        <v>2146</v>
      </c>
      <c r="V662" s="4" t="s">
        <v>2067</v>
      </c>
      <c r="W662" s="4" t="s">
        <v>2069</v>
      </c>
    </row>
    <row r="663" spans="1:23" ht="20.100000000000001" customHeight="1" x14ac:dyDescent="0.25">
      <c r="A663" s="6" t="s">
        <v>6314</v>
      </c>
      <c r="B663" s="7" t="s">
        <v>2084</v>
      </c>
      <c r="C663" s="7" t="s">
        <v>6315</v>
      </c>
      <c r="D663" s="7" t="s">
        <v>2059</v>
      </c>
      <c r="E663" s="7" t="s">
        <v>2111</v>
      </c>
      <c r="F663" s="7" t="s">
        <v>2112</v>
      </c>
      <c r="G663" s="7" t="s">
        <v>2084</v>
      </c>
      <c r="H663" s="7" t="s">
        <v>6316</v>
      </c>
      <c r="I663" s="7" t="s">
        <v>6309</v>
      </c>
      <c r="J663" s="7" t="s">
        <v>6317</v>
      </c>
      <c r="K663" s="7" t="s">
        <v>6318</v>
      </c>
      <c r="L663" s="7" t="s">
        <v>6319</v>
      </c>
      <c r="M663" s="7" t="s">
        <v>2078</v>
      </c>
      <c r="N663" s="9">
        <v>45992</v>
      </c>
      <c r="O663" s="9">
        <v>46356</v>
      </c>
      <c r="P663" s="7" t="s">
        <v>2112</v>
      </c>
      <c r="Q663" s="7" t="s">
        <v>6309</v>
      </c>
      <c r="R663" s="7" t="s">
        <v>6320</v>
      </c>
      <c r="S663" s="7" t="s">
        <v>6321</v>
      </c>
      <c r="T663" s="7" t="s">
        <v>2067</v>
      </c>
      <c r="U663" s="7" t="s">
        <v>2119</v>
      </c>
      <c r="V663" s="7" t="s">
        <v>2067</v>
      </c>
      <c r="W663" s="7" t="s">
        <v>2069</v>
      </c>
    </row>
    <row r="664" spans="1:23" ht="20.100000000000001" customHeight="1" x14ac:dyDescent="0.25">
      <c r="A664" s="3" t="s">
        <v>6322</v>
      </c>
      <c r="B664" s="4" t="s">
        <v>2084</v>
      </c>
      <c r="C664" s="4" t="s">
        <v>6323</v>
      </c>
      <c r="D664" s="4" t="s">
        <v>2059</v>
      </c>
      <c r="E664" s="4" t="s">
        <v>1979</v>
      </c>
      <c r="F664" s="4" t="s">
        <v>1980</v>
      </c>
      <c r="G664" s="4" t="s">
        <v>2084</v>
      </c>
      <c r="H664" s="4" t="s">
        <v>6308</v>
      </c>
      <c r="I664" s="4" t="s">
        <v>6309</v>
      </c>
      <c r="J664" s="4" t="s">
        <v>6324</v>
      </c>
      <c r="K664" s="4" t="s">
        <v>6325</v>
      </c>
      <c r="L664" s="4" t="s">
        <v>6326</v>
      </c>
      <c r="M664" s="4" t="s">
        <v>2078</v>
      </c>
      <c r="N664" s="8">
        <v>45992</v>
      </c>
      <c r="O664" s="8">
        <v>46356</v>
      </c>
      <c r="P664" s="4" t="s">
        <v>1980</v>
      </c>
      <c r="Q664" s="4" t="s">
        <v>6309</v>
      </c>
      <c r="R664" s="4" t="s">
        <v>6327</v>
      </c>
      <c r="S664" s="4" t="s">
        <v>6328</v>
      </c>
      <c r="T664" s="4" t="s">
        <v>2067</v>
      </c>
      <c r="U664" s="4" t="s">
        <v>2299</v>
      </c>
      <c r="V664" s="4" t="s">
        <v>2067</v>
      </c>
      <c r="W664" s="4" t="s">
        <v>2069</v>
      </c>
    </row>
    <row r="665" spans="1:23" ht="20.100000000000001" customHeight="1" x14ac:dyDescent="0.25">
      <c r="A665" s="6" t="s">
        <v>6329</v>
      </c>
      <c r="B665" s="7" t="s">
        <v>2084</v>
      </c>
      <c r="C665" s="7" t="s">
        <v>6330</v>
      </c>
      <c r="D665" s="7" t="s">
        <v>2059</v>
      </c>
      <c r="E665" s="7" t="s">
        <v>2131</v>
      </c>
      <c r="F665" s="7" t="s">
        <v>2132</v>
      </c>
      <c r="G665" s="7" t="s">
        <v>2084</v>
      </c>
      <c r="H665" s="7" t="s">
        <v>6331</v>
      </c>
      <c r="I665" s="7" t="s">
        <v>6309</v>
      </c>
      <c r="J665" s="7" t="s">
        <v>6332</v>
      </c>
      <c r="K665" s="7" t="s">
        <v>6333</v>
      </c>
      <c r="L665" s="7" t="s">
        <v>6334</v>
      </c>
      <c r="M665" s="7" t="s">
        <v>2078</v>
      </c>
      <c r="N665" s="9">
        <v>46108</v>
      </c>
      <c r="O665" s="9">
        <v>46356</v>
      </c>
      <c r="P665" s="7" t="s">
        <v>2132</v>
      </c>
      <c r="Q665" s="7" t="s">
        <v>6309</v>
      </c>
      <c r="R665" s="7" t="s">
        <v>6335</v>
      </c>
      <c r="S665" s="7" t="s">
        <v>6336</v>
      </c>
      <c r="T665" s="7" t="s">
        <v>2067</v>
      </c>
      <c r="U665" s="7" t="s">
        <v>2138</v>
      </c>
      <c r="V665" s="7" t="s">
        <v>2067</v>
      </c>
      <c r="W665" s="7" t="s">
        <v>2082</v>
      </c>
    </row>
    <row r="666" spans="1:23" ht="20.100000000000001" customHeight="1" x14ac:dyDescent="0.25">
      <c r="A666" s="3" t="s">
        <v>6337</v>
      </c>
      <c r="B666" s="4" t="s">
        <v>2084</v>
      </c>
      <c r="C666" s="4" t="s">
        <v>6338</v>
      </c>
      <c r="D666" s="4" t="s">
        <v>2059</v>
      </c>
      <c r="E666" s="4" t="s">
        <v>2673</v>
      </c>
      <c r="F666" s="4" t="s">
        <v>2674</v>
      </c>
      <c r="G666" s="4" t="s">
        <v>2084</v>
      </c>
      <c r="H666" s="4" t="s">
        <v>6339</v>
      </c>
      <c r="I666" s="4" t="s">
        <v>6309</v>
      </c>
      <c r="J666" s="4" t="s">
        <v>6340</v>
      </c>
      <c r="K666" s="4" t="s">
        <v>6341</v>
      </c>
      <c r="L666" s="4" t="s">
        <v>6342</v>
      </c>
      <c r="M666" s="4" t="s">
        <v>2078</v>
      </c>
      <c r="N666" s="8">
        <v>46126</v>
      </c>
      <c r="O666" s="8">
        <v>46356</v>
      </c>
      <c r="P666" s="4" t="s">
        <v>2674</v>
      </c>
      <c r="Q666" s="4" t="s">
        <v>6309</v>
      </c>
      <c r="R666" s="4" t="s">
        <v>6343</v>
      </c>
      <c r="S666" s="4" t="s">
        <v>6344</v>
      </c>
      <c r="T666" s="4" t="s">
        <v>2067</v>
      </c>
      <c r="U666" s="4" t="s">
        <v>2680</v>
      </c>
      <c r="V666" s="4" t="s">
        <v>2067</v>
      </c>
      <c r="W666" s="4" t="s">
        <v>2082</v>
      </c>
    </row>
    <row r="667" spans="1:23" ht="20.100000000000001" customHeight="1" x14ac:dyDescent="0.25">
      <c r="A667" s="6" t="s">
        <v>16</v>
      </c>
      <c r="B667" s="7" t="s">
        <v>2084</v>
      </c>
      <c r="C667" s="7" t="s">
        <v>6345</v>
      </c>
      <c r="D667" s="7" t="s">
        <v>2059</v>
      </c>
      <c r="E667" s="7" t="s">
        <v>2673</v>
      </c>
      <c r="F667" s="7" t="s">
        <v>2674</v>
      </c>
      <c r="G667" s="7" t="s">
        <v>2084</v>
      </c>
      <c r="H667" s="7" t="s">
        <v>6346</v>
      </c>
      <c r="I667" s="7" t="s">
        <v>6309</v>
      </c>
      <c r="J667" s="7" t="s">
        <v>6347</v>
      </c>
      <c r="K667" s="7" t="s">
        <v>6348</v>
      </c>
      <c r="L667" s="7" t="s">
        <v>6349</v>
      </c>
      <c r="M667" s="7" t="s">
        <v>2078</v>
      </c>
      <c r="N667" s="9">
        <v>46108</v>
      </c>
      <c r="O667" s="9">
        <v>46356</v>
      </c>
      <c r="P667" s="7" t="s">
        <v>2674</v>
      </c>
      <c r="Q667" s="7" t="s">
        <v>6309</v>
      </c>
      <c r="R667" s="7" t="s">
        <v>6350</v>
      </c>
      <c r="S667" s="7" t="s">
        <v>6351</v>
      </c>
      <c r="T667" s="7" t="s">
        <v>2067</v>
      </c>
      <c r="U667" s="7" t="s">
        <v>2680</v>
      </c>
      <c r="V667" s="7" t="s">
        <v>2067</v>
      </c>
      <c r="W667" s="7" t="s">
        <v>2082</v>
      </c>
    </row>
    <row r="668" spans="1:23" ht="20.100000000000001" customHeight="1" x14ac:dyDescent="0.25">
      <c r="A668" s="3" t="s">
        <v>932</v>
      </c>
      <c r="B668" s="4" t="s">
        <v>2084</v>
      </c>
      <c r="C668" s="4" t="s">
        <v>6352</v>
      </c>
      <c r="D668" s="4" t="s">
        <v>2059</v>
      </c>
      <c r="E668" s="4" t="s">
        <v>1947</v>
      </c>
      <c r="F668" s="4" t="s">
        <v>1948</v>
      </c>
      <c r="G668" s="4" t="s">
        <v>2084</v>
      </c>
      <c r="H668" s="4" t="s">
        <v>1999</v>
      </c>
      <c r="I668" s="4" t="s">
        <v>2000</v>
      </c>
      <c r="J668" s="4" t="s">
        <v>6353</v>
      </c>
      <c r="K668" s="4" t="s">
        <v>6354</v>
      </c>
      <c r="L668" s="4" t="s">
        <v>6355</v>
      </c>
      <c r="M668" s="4" t="s">
        <v>2078</v>
      </c>
      <c r="N668" s="8">
        <v>45992</v>
      </c>
      <c r="O668" s="8">
        <v>46356</v>
      </c>
      <c r="P668" s="4" t="s">
        <v>2090</v>
      </c>
      <c r="Q668" s="4" t="s">
        <v>2000</v>
      </c>
      <c r="R668" s="4" t="s">
        <v>3151</v>
      </c>
      <c r="S668" s="4" t="s">
        <v>6356</v>
      </c>
      <c r="T668" s="4" t="s">
        <v>2067</v>
      </c>
      <c r="U668" s="4" t="s">
        <v>2146</v>
      </c>
      <c r="V668" s="4" t="s">
        <v>2067</v>
      </c>
      <c r="W668" s="4" t="s">
        <v>2069</v>
      </c>
    </row>
    <row r="669" spans="1:23" ht="20.100000000000001" customHeight="1" x14ac:dyDescent="0.25">
      <c r="A669" s="6" t="s">
        <v>604</v>
      </c>
      <c r="B669" s="7" t="s">
        <v>2084</v>
      </c>
      <c r="C669" s="7" t="s">
        <v>6357</v>
      </c>
      <c r="D669" s="7" t="s">
        <v>2059</v>
      </c>
      <c r="E669" s="7" t="s">
        <v>3520</v>
      </c>
      <c r="F669" s="7" t="s">
        <v>3521</v>
      </c>
      <c r="G669" s="7" t="s">
        <v>2084</v>
      </c>
      <c r="H669" s="7" t="s">
        <v>6358</v>
      </c>
      <c r="I669" s="7" t="s">
        <v>2000</v>
      </c>
      <c r="J669" s="7" t="s">
        <v>6359</v>
      </c>
      <c r="K669" s="7" t="s">
        <v>6360</v>
      </c>
      <c r="L669" s="7" t="s">
        <v>6361</v>
      </c>
      <c r="M669" s="7" t="s">
        <v>2078</v>
      </c>
      <c r="N669" s="9">
        <v>45992</v>
      </c>
      <c r="O669" s="9">
        <v>46356</v>
      </c>
      <c r="P669" s="7" t="s">
        <v>3521</v>
      </c>
      <c r="Q669" s="7" t="s">
        <v>2000</v>
      </c>
      <c r="R669" s="7" t="s">
        <v>2605</v>
      </c>
      <c r="S669" s="7" t="s">
        <v>6362</v>
      </c>
      <c r="T669" s="7" t="s">
        <v>2067</v>
      </c>
      <c r="U669" s="7" t="s">
        <v>3527</v>
      </c>
      <c r="V669" s="7" t="s">
        <v>2067</v>
      </c>
      <c r="W669" s="7" t="s">
        <v>2082</v>
      </c>
    </row>
    <row r="670" spans="1:23" ht="20.100000000000001" customHeight="1" x14ac:dyDescent="0.25">
      <c r="A670" s="3" t="s">
        <v>6363</v>
      </c>
      <c r="B670" s="4" t="s">
        <v>2084</v>
      </c>
      <c r="C670" s="4" t="s">
        <v>6364</v>
      </c>
      <c r="D670" s="4" t="s">
        <v>2059</v>
      </c>
      <c r="E670" s="4" t="s">
        <v>1947</v>
      </c>
      <c r="F670" s="4" t="s">
        <v>1948</v>
      </c>
      <c r="G670" s="4" t="s">
        <v>2084</v>
      </c>
      <c r="H670" s="4" t="s">
        <v>6365</v>
      </c>
      <c r="I670" s="4" t="s">
        <v>2000</v>
      </c>
      <c r="J670" s="4" t="s">
        <v>6366</v>
      </c>
      <c r="K670" s="4" t="s">
        <v>6367</v>
      </c>
      <c r="L670" s="4" t="s">
        <v>6368</v>
      </c>
      <c r="M670" s="4" t="s">
        <v>2078</v>
      </c>
      <c r="N670" s="8">
        <v>45992</v>
      </c>
      <c r="O670" s="8">
        <v>46356</v>
      </c>
      <c r="P670" s="4" t="s">
        <v>2090</v>
      </c>
      <c r="Q670" s="4" t="s">
        <v>2000</v>
      </c>
      <c r="R670" s="4" t="s">
        <v>6369</v>
      </c>
      <c r="S670" s="4" t="s">
        <v>6370</v>
      </c>
      <c r="T670" s="4" t="s">
        <v>2067</v>
      </c>
      <c r="U670" s="4" t="s">
        <v>2146</v>
      </c>
      <c r="V670" s="4" t="s">
        <v>2067</v>
      </c>
      <c r="W670" s="4" t="s">
        <v>2069</v>
      </c>
    </row>
    <row r="671" spans="1:23" ht="20.100000000000001" customHeight="1" x14ac:dyDescent="0.25">
      <c r="A671" s="6" t="s">
        <v>1997</v>
      </c>
      <c r="B671" s="7" t="s">
        <v>2084</v>
      </c>
      <c r="C671" s="7" t="s">
        <v>1998</v>
      </c>
      <c r="D671" s="7" t="s">
        <v>2059</v>
      </c>
      <c r="E671" s="7" t="s">
        <v>1947</v>
      </c>
      <c r="F671" s="7" t="s">
        <v>1948</v>
      </c>
      <c r="G671" s="7" t="s">
        <v>2084</v>
      </c>
      <c r="H671" s="7" t="s">
        <v>1999</v>
      </c>
      <c r="I671" s="7" t="s">
        <v>2000</v>
      </c>
      <c r="J671" s="7" t="s">
        <v>6371</v>
      </c>
      <c r="K671" s="7" t="s">
        <v>6372</v>
      </c>
      <c r="L671" s="7" t="s">
        <v>6373</v>
      </c>
      <c r="M671" s="7" t="s">
        <v>2078</v>
      </c>
      <c r="N671" s="9">
        <v>46052</v>
      </c>
      <c r="O671" s="9">
        <v>46355</v>
      </c>
      <c r="P671" s="7" t="s">
        <v>2090</v>
      </c>
      <c r="Q671" s="7" t="s">
        <v>2000</v>
      </c>
      <c r="R671" s="7" t="s">
        <v>4334</v>
      </c>
      <c r="S671" s="7" t="s">
        <v>6374</v>
      </c>
      <c r="T671" s="7" t="s">
        <v>2067</v>
      </c>
      <c r="U671" s="7" t="s">
        <v>2146</v>
      </c>
      <c r="V671" s="7" t="s">
        <v>2067</v>
      </c>
      <c r="W671" s="7" t="s">
        <v>2069</v>
      </c>
    </row>
    <row r="672" spans="1:23" ht="20.100000000000001" customHeight="1" x14ac:dyDescent="0.25">
      <c r="A672" s="3" t="s">
        <v>104</v>
      </c>
      <c r="B672" s="4" t="s">
        <v>2084</v>
      </c>
      <c r="C672" s="4" t="s">
        <v>6375</v>
      </c>
      <c r="D672" s="4" t="s">
        <v>2059</v>
      </c>
      <c r="E672" s="4" t="s">
        <v>3520</v>
      </c>
      <c r="F672" s="4" t="s">
        <v>3521</v>
      </c>
      <c r="G672" s="4" t="s">
        <v>2084</v>
      </c>
      <c r="H672" s="4" t="s">
        <v>6376</v>
      </c>
      <c r="I672" s="4" t="s">
        <v>2000</v>
      </c>
      <c r="J672" s="4" t="s">
        <v>6377</v>
      </c>
      <c r="K672" s="4" t="s">
        <v>6378</v>
      </c>
      <c r="L672" s="4" t="s">
        <v>6379</v>
      </c>
      <c r="M672" s="4" t="s">
        <v>2078</v>
      </c>
      <c r="N672" s="8">
        <v>46052</v>
      </c>
      <c r="O672" s="8">
        <v>46355</v>
      </c>
      <c r="P672" s="4" t="s">
        <v>3521</v>
      </c>
      <c r="Q672" s="4" t="s">
        <v>2000</v>
      </c>
      <c r="R672" s="4" t="s">
        <v>3834</v>
      </c>
      <c r="S672" s="4" t="s">
        <v>6380</v>
      </c>
      <c r="T672" s="4" t="s">
        <v>2067</v>
      </c>
      <c r="U672" s="4" t="s">
        <v>3527</v>
      </c>
      <c r="V672" s="4" t="s">
        <v>2067</v>
      </c>
      <c r="W672" s="4" t="s">
        <v>2069</v>
      </c>
    </row>
    <row r="673" spans="1:23" ht="20.100000000000001" customHeight="1" x14ac:dyDescent="0.25">
      <c r="A673" s="6" t="s">
        <v>260</v>
      </c>
      <c r="B673" s="7" t="s">
        <v>2084</v>
      </c>
      <c r="C673" s="7" t="s">
        <v>6381</v>
      </c>
      <c r="D673" s="7" t="s">
        <v>2059</v>
      </c>
      <c r="E673" s="7" t="s">
        <v>3520</v>
      </c>
      <c r="F673" s="7" t="s">
        <v>3521</v>
      </c>
      <c r="G673" s="7" t="s">
        <v>2084</v>
      </c>
      <c r="H673" s="7" t="s">
        <v>1999</v>
      </c>
      <c r="I673" s="7" t="s">
        <v>2000</v>
      </c>
      <c r="J673" s="7" t="s">
        <v>6382</v>
      </c>
      <c r="K673" s="7" t="s">
        <v>6383</v>
      </c>
      <c r="L673" s="7" t="s">
        <v>6384</v>
      </c>
      <c r="M673" s="7" t="s">
        <v>2078</v>
      </c>
      <c r="N673" s="9">
        <v>46052</v>
      </c>
      <c r="O673" s="9">
        <v>46355</v>
      </c>
      <c r="P673" s="7" t="s">
        <v>3521</v>
      </c>
      <c r="Q673" s="7" t="s">
        <v>2000</v>
      </c>
      <c r="R673" s="7" t="s">
        <v>6385</v>
      </c>
      <c r="S673" s="7" t="s">
        <v>6386</v>
      </c>
      <c r="T673" s="7" t="s">
        <v>2067</v>
      </c>
      <c r="U673" s="7" t="s">
        <v>3527</v>
      </c>
      <c r="V673" s="7" t="s">
        <v>2067</v>
      </c>
      <c r="W673" s="7" t="s">
        <v>2069</v>
      </c>
    </row>
    <row r="674" spans="1:23" ht="20.100000000000001" customHeight="1" x14ac:dyDescent="0.25">
      <c r="A674" s="3" t="s">
        <v>1086</v>
      </c>
      <c r="B674" s="4" t="s">
        <v>2084</v>
      </c>
      <c r="C674" s="4" t="s">
        <v>6387</v>
      </c>
      <c r="D674" s="4" t="s">
        <v>2059</v>
      </c>
      <c r="E674" s="4" t="s">
        <v>1947</v>
      </c>
      <c r="F674" s="4" t="s">
        <v>1948</v>
      </c>
      <c r="G674" s="4" t="s">
        <v>2084</v>
      </c>
      <c r="H674" s="4" t="s">
        <v>6376</v>
      </c>
      <c r="I674" s="4" t="s">
        <v>2000</v>
      </c>
      <c r="J674" s="4" t="s">
        <v>6388</v>
      </c>
      <c r="K674" s="4" t="s">
        <v>6389</v>
      </c>
      <c r="L674" s="4" t="s">
        <v>6390</v>
      </c>
      <c r="M674" s="4" t="s">
        <v>2078</v>
      </c>
      <c r="N674" s="8">
        <v>46052</v>
      </c>
      <c r="O674" s="8">
        <v>46355</v>
      </c>
      <c r="P674" s="4" t="s">
        <v>2090</v>
      </c>
      <c r="Q674" s="4" t="s">
        <v>2000</v>
      </c>
      <c r="R674" s="4" t="s">
        <v>6391</v>
      </c>
      <c r="S674" s="4" t="s">
        <v>6392</v>
      </c>
      <c r="T674" s="4" t="s">
        <v>2067</v>
      </c>
      <c r="U674" s="4" t="s">
        <v>2146</v>
      </c>
      <c r="V674" s="4" t="s">
        <v>2067</v>
      </c>
      <c r="W674" s="4" t="s">
        <v>2069</v>
      </c>
    </row>
    <row r="675" spans="1:23" ht="20.100000000000001" customHeight="1" x14ac:dyDescent="0.25">
      <c r="A675" s="6" t="s">
        <v>6393</v>
      </c>
      <c r="B675" s="7" t="s">
        <v>2084</v>
      </c>
      <c r="C675" s="7" t="s">
        <v>6394</v>
      </c>
      <c r="D675" s="7" t="s">
        <v>2059</v>
      </c>
      <c r="E675" s="7" t="s">
        <v>3064</v>
      </c>
      <c r="F675" s="7" t="s">
        <v>3065</v>
      </c>
      <c r="G675" s="7" t="s">
        <v>2084</v>
      </c>
      <c r="H675" s="7" t="s">
        <v>6395</v>
      </c>
      <c r="I675" s="7" t="s">
        <v>2000</v>
      </c>
      <c r="J675" s="7" t="s">
        <v>6396</v>
      </c>
      <c r="K675" s="7" t="s">
        <v>6397</v>
      </c>
      <c r="L675" s="7" t="s">
        <v>6398</v>
      </c>
      <c r="M675" s="7" t="s">
        <v>2078</v>
      </c>
      <c r="N675" s="9">
        <v>46234</v>
      </c>
      <c r="O675" s="9">
        <v>46356</v>
      </c>
      <c r="P675" s="7" t="s">
        <v>3065</v>
      </c>
      <c r="Q675" s="7" t="s">
        <v>2000</v>
      </c>
      <c r="R675" s="7" t="s">
        <v>6399</v>
      </c>
      <c r="S675" s="7" t="s">
        <v>6400</v>
      </c>
      <c r="T675" s="7" t="s">
        <v>2067</v>
      </c>
      <c r="U675" s="7" t="s">
        <v>3073</v>
      </c>
      <c r="V675" s="7" t="s">
        <v>2067</v>
      </c>
      <c r="W675" s="7" t="s">
        <v>2069</v>
      </c>
    </row>
    <row r="676" spans="1:23" ht="20.100000000000001" customHeight="1" x14ac:dyDescent="0.25">
      <c r="A676" s="3" t="s">
        <v>992</v>
      </c>
      <c r="B676" s="4" t="s">
        <v>2084</v>
      </c>
      <c r="C676" s="4" t="s">
        <v>6401</v>
      </c>
      <c r="D676" s="4" t="s">
        <v>2059</v>
      </c>
      <c r="E676" s="4" t="s">
        <v>1947</v>
      </c>
      <c r="F676" s="4" t="s">
        <v>1948</v>
      </c>
      <c r="G676" s="4" t="s">
        <v>2084</v>
      </c>
      <c r="H676" s="4" t="s">
        <v>6376</v>
      </c>
      <c r="I676" s="4" t="s">
        <v>2000</v>
      </c>
      <c r="J676" s="4" t="s">
        <v>6402</v>
      </c>
      <c r="K676" s="4" t="s">
        <v>6403</v>
      </c>
      <c r="L676" s="4" t="s">
        <v>6404</v>
      </c>
      <c r="M676" s="4" t="s">
        <v>2078</v>
      </c>
      <c r="N676" s="8">
        <v>46108</v>
      </c>
      <c r="O676" s="8">
        <v>46356</v>
      </c>
      <c r="P676" s="4" t="s">
        <v>2090</v>
      </c>
      <c r="Q676" s="4" t="s">
        <v>2000</v>
      </c>
      <c r="R676" s="4" t="s">
        <v>3711</v>
      </c>
      <c r="S676" s="4" t="s">
        <v>6405</v>
      </c>
      <c r="T676" s="4" t="s">
        <v>2067</v>
      </c>
      <c r="U676" s="4" t="s">
        <v>2146</v>
      </c>
      <c r="V676" s="4" t="s">
        <v>2067</v>
      </c>
      <c r="W676" s="4" t="s">
        <v>2069</v>
      </c>
    </row>
    <row r="677" spans="1:23" ht="20.100000000000001" customHeight="1" x14ac:dyDescent="0.25">
      <c r="A677" s="6" t="s">
        <v>308</v>
      </c>
      <c r="B677" s="7" t="s">
        <v>2084</v>
      </c>
      <c r="C677" s="7" t="s">
        <v>6406</v>
      </c>
      <c r="D677" s="7" t="s">
        <v>2059</v>
      </c>
      <c r="E677" s="7" t="s">
        <v>3520</v>
      </c>
      <c r="F677" s="7" t="s">
        <v>3521</v>
      </c>
      <c r="G677" s="7" t="s">
        <v>2084</v>
      </c>
      <c r="H677" s="7" t="s">
        <v>1999</v>
      </c>
      <c r="I677" s="7" t="s">
        <v>2000</v>
      </c>
      <c r="J677" s="7" t="s">
        <v>6407</v>
      </c>
      <c r="K677" s="7" t="s">
        <v>6408</v>
      </c>
      <c r="L677" s="7" t="s">
        <v>6409</v>
      </c>
      <c r="M677" s="7" t="s">
        <v>2078</v>
      </c>
      <c r="N677" s="9">
        <v>46108</v>
      </c>
      <c r="O677" s="9">
        <v>46356</v>
      </c>
      <c r="P677" s="7" t="s">
        <v>3521</v>
      </c>
      <c r="Q677" s="7" t="s">
        <v>2000</v>
      </c>
      <c r="R677" s="7" t="s">
        <v>6410</v>
      </c>
      <c r="S677" s="7" t="s">
        <v>6411</v>
      </c>
      <c r="T677" s="7" t="s">
        <v>2067</v>
      </c>
      <c r="U677" s="7" t="s">
        <v>3527</v>
      </c>
      <c r="V677" s="7" t="s">
        <v>2067</v>
      </c>
      <c r="W677" s="7" t="s">
        <v>2069</v>
      </c>
    </row>
    <row r="678" spans="1:23" ht="20.100000000000001" customHeight="1" x14ac:dyDescent="0.25">
      <c r="A678" s="3" t="s">
        <v>436</v>
      </c>
      <c r="B678" s="4" t="s">
        <v>2084</v>
      </c>
      <c r="C678" s="4" t="s">
        <v>6412</v>
      </c>
      <c r="D678" s="4" t="s">
        <v>2059</v>
      </c>
      <c r="E678" s="4" t="s">
        <v>1983</v>
      </c>
      <c r="F678" s="4" t="s">
        <v>6413</v>
      </c>
      <c r="G678" s="4" t="s">
        <v>2084</v>
      </c>
      <c r="H678" s="4" t="s">
        <v>6376</v>
      </c>
      <c r="I678" s="4" t="s">
        <v>2000</v>
      </c>
      <c r="J678" s="4" t="s">
        <v>6414</v>
      </c>
      <c r="K678" s="4" t="s">
        <v>6415</v>
      </c>
      <c r="L678" s="4" t="s">
        <v>6416</v>
      </c>
      <c r="M678" s="4" t="s">
        <v>2078</v>
      </c>
      <c r="N678" s="8">
        <v>46052</v>
      </c>
      <c r="O678" s="8">
        <v>46355</v>
      </c>
      <c r="P678" s="4" t="s">
        <v>6417</v>
      </c>
      <c r="Q678" s="4" t="s">
        <v>2000</v>
      </c>
      <c r="R678" s="4" t="s">
        <v>3873</v>
      </c>
      <c r="S678" s="4" t="s">
        <v>6418</v>
      </c>
      <c r="T678" s="4" t="s">
        <v>2067</v>
      </c>
      <c r="U678" s="4" t="s">
        <v>6419</v>
      </c>
      <c r="V678" s="4" t="s">
        <v>2067</v>
      </c>
      <c r="W678" s="4" t="s">
        <v>2069</v>
      </c>
    </row>
    <row r="679" spans="1:23" ht="20.100000000000001" customHeight="1" x14ac:dyDescent="0.25">
      <c r="A679" s="6" t="s">
        <v>1370</v>
      </c>
      <c r="B679" s="7" t="s">
        <v>2084</v>
      </c>
      <c r="C679" s="7" t="s">
        <v>6420</v>
      </c>
      <c r="D679" s="7" t="s">
        <v>2059</v>
      </c>
      <c r="E679" s="7" t="s">
        <v>1947</v>
      </c>
      <c r="F679" s="7" t="s">
        <v>1948</v>
      </c>
      <c r="G679" s="7" t="s">
        <v>2084</v>
      </c>
      <c r="H679" s="7" t="s">
        <v>1999</v>
      </c>
      <c r="I679" s="7" t="s">
        <v>2000</v>
      </c>
      <c r="J679" s="7" t="s">
        <v>6421</v>
      </c>
      <c r="K679" s="7" t="s">
        <v>6422</v>
      </c>
      <c r="L679" s="7" t="s">
        <v>6423</v>
      </c>
      <c r="M679" s="7" t="s">
        <v>2078</v>
      </c>
      <c r="N679" s="9">
        <v>46052</v>
      </c>
      <c r="O679" s="9">
        <v>46355</v>
      </c>
      <c r="P679" s="7" t="s">
        <v>2090</v>
      </c>
      <c r="Q679" s="7" t="s">
        <v>2000</v>
      </c>
      <c r="R679" s="7" t="s">
        <v>3383</v>
      </c>
      <c r="S679" s="7" t="s">
        <v>6424</v>
      </c>
      <c r="T679" s="7" t="s">
        <v>2067</v>
      </c>
      <c r="U679" s="7" t="s">
        <v>2146</v>
      </c>
      <c r="V679" s="7" t="s">
        <v>2067</v>
      </c>
      <c r="W679" s="7" t="s">
        <v>2069</v>
      </c>
    </row>
    <row r="680" spans="1:23" ht="20.100000000000001" customHeight="1" x14ac:dyDescent="0.25">
      <c r="A680" s="3" t="s">
        <v>6425</v>
      </c>
      <c r="B680" s="4" t="s">
        <v>2084</v>
      </c>
      <c r="C680" s="4" t="s">
        <v>6426</v>
      </c>
      <c r="D680" s="4" t="s">
        <v>2059</v>
      </c>
      <c r="E680" s="4" t="s">
        <v>4160</v>
      </c>
      <c r="F680" s="4" t="s">
        <v>4161</v>
      </c>
      <c r="G680" s="4" t="s">
        <v>2084</v>
      </c>
      <c r="H680" s="4" t="s">
        <v>6395</v>
      </c>
      <c r="I680" s="4" t="s">
        <v>2000</v>
      </c>
      <c r="J680" s="4" t="s">
        <v>6427</v>
      </c>
      <c r="K680" s="4" t="s">
        <v>6428</v>
      </c>
      <c r="L680" s="4" t="s">
        <v>6429</v>
      </c>
      <c r="M680" s="4" t="s">
        <v>2078</v>
      </c>
      <c r="N680" s="8">
        <v>46108</v>
      </c>
      <c r="O680" s="8">
        <v>46356</v>
      </c>
      <c r="P680" s="4" t="s">
        <v>4161</v>
      </c>
      <c r="Q680" s="4" t="s">
        <v>2000</v>
      </c>
      <c r="R680" s="4" t="s">
        <v>6430</v>
      </c>
      <c r="S680" s="4" t="s">
        <v>6431</v>
      </c>
      <c r="T680" s="4" t="s">
        <v>2067</v>
      </c>
      <c r="U680" s="4" t="s">
        <v>4167</v>
      </c>
      <c r="V680" s="4" t="s">
        <v>2067</v>
      </c>
      <c r="W680" s="4" t="s">
        <v>2069</v>
      </c>
    </row>
    <row r="681" spans="1:23" ht="20.100000000000001" customHeight="1" x14ac:dyDescent="0.25">
      <c r="A681" s="6" t="s">
        <v>276</v>
      </c>
      <c r="B681" s="7" t="s">
        <v>2084</v>
      </c>
      <c r="C681" s="7" t="s">
        <v>6432</v>
      </c>
      <c r="D681" s="7" t="s">
        <v>2059</v>
      </c>
      <c r="E681" s="7" t="s">
        <v>6128</v>
      </c>
      <c r="F681" s="7" t="s">
        <v>6129</v>
      </c>
      <c r="G681" s="7" t="s">
        <v>2084</v>
      </c>
      <c r="H681" s="7" t="s">
        <v>1999</v>
      </c>
      <c r="I681" s="7" t="s">
        <v>2000</v>
      </c>
      <c r="J681" s="7" t="s">
        <v>6433</v>
      </c>
      <c r="K681" s="7" t="s">
        <v>6434</v>
      </c>
      <c r="L681" s="7" t="s">
        <v>6435</v>
      </c>
      <c r="M681" s="7" t="s">
        <v>2078</v>
      </c>
      <c r="N681" s="9">
        <v>46234</v>
      </c>
      <c r="O681" s="9">
        <v>46356</v>
      </c>
      <c r="P681" s="7" t="s">
        <v>6129</v>
      </c>
      <c r="Q681" s="7" t="s">
        <v>2000</v>
      </c>
      <c r="R681" s="7" t="s">
        <v>6436</v>
      </c>
      <c r="S681" s="7" t="s">
        <v>6437</v>
      </c>
      <c r="T681" s="7" t="s">
        <v>2067</v>
      </c>
      <c r="U681" s="7" t="s">
        <v>6135</v>
      </c>
      <c r="V681" s="7" t="s">
        <v>2067</v>
      </c>
      <c r="W681" s="7" t="s">
        <v>2069</v>
      </c>
    </row>
    <row r="682" spans="1:23" ht="20.100000000000001" customHeight="1" x14ac:dyDescent="0.25">
      <c r="A682" s="3" t="s">
        <v>1762</v>
      </c>
      <c r="B682" s="4" t="s">
        <v>2084</v>
      </c>
      <c r="C682" s="4" t="s">
        <v>6438</v>
      </c>
      <c r="D682" s="4" t="s">
        <v>2059</v>
      </c>
      <c r="E682" s="4" t="s">
        <v>1947</v>
      </c>
      <c r="F682" s="4" t="s">
        <v>1948</v>
      </c>
      <c r="G682" s="4" t="s">
        <v>2084</v>
      </c>
      <c r="H682" s="4" t="s">
        <v>1999</v>
      </c>
      <c r="I682" s="4" t="s">
        <v>2000</v>
      </c>
      <c r="J682" s="4" t="s">
        <v>6439</v>
      </c>
      <c r="K682" s="4" t="s">
        <v>6440</v>
      </c>
      <c r="L682" s="4" t="s">
        <v>6441</v>
      </c>
      <c r="M682" s="4" t="s">
        <v>2078</v>
      </c>
      <c r="N682" s="8">
        <v>46234</v>
      </c>
      <c r="O682" s="8">
        <v>46356</v>
      </c>
      <c r="P682" s="4" t="s">
        <v>2090</v>
      </c>
      <c r="Q682" s="4" t="s">
        <v>2000</v>
      </c>
      <c r="R682" s="4" t="s">
        <v>6442</v>
      </c>
      <c r="S682" s="4" t="s">
        <v>6443</v>
      </c>
      <c r="T682" s="4" t="s">
        <v>2067</v>
      </c>
      <c r="U682" s="4" t="s">
        <v>2146</v>
      </c>
      <c r="V682" s="4" t="s">
        <v>2067</v>
      </c>
      <c r="W682" s="4" t="s">
        <v>2069</v>
      </c>
    </row>
    <row r="683" spans="1:23" ht="20.100000000000001" customHeight="1" x14ac:dyDescent="0.25">
      <c r="A683" s="6" t="s">
        <v>6444</v>
      </c>
      <c r="B683" s="7" t="s">
        <v>2084</v>
      </c>
      <c r="C683" s="7" t="s">
        <v>6445</v>
      </c>
      <c r="D683" s="7" t="s">
        <v>2059</v>
      </c>
      <c r="E683" s="7" t="s">
        <v>1947</v>
      </c>
      <c r="F683" s="7" t="s">
        <v>1948</v>
      </c>
      <c r="G683" s="7" t="s">
        <v>2084</v>
      </c>
      <c r="H683" s="7" t="s">
        <v>6376</v>
      </c>
      <c r="I683" s="7" t="s">
        <v>2000</v>
      </c>
      <c r="J683" s="7" t="s">
        <v>6446</v>
      </c>
      <c r="K683" s="7" t="s">
        <v>6447</v>
      </c>
      <c r="L683" s="7" t="s">
        <v>6448</v>
      </c>
      <c r="M683" s="7" t="s">
        <v>2078</v>
      </c>
      <c r="N683" s="9">
        <v>46234</v>
      </c>
      <c r="O683" s="9">
        <v>46356</v>
      </c>
      <c r="P683" s="7" t="s">
        <v>2090</v>
      </c>
      <c r="Q683" s="7" t="s">
        <v>2000</v>
      </c>
      <c r="R683" s="7" t="s">
        <v>6449</v>
      </c>
      <c r="S683" s="7" t="s">
        <v>6450</v>
      </c>
      <c r="T683" s="7" t="s">
        <v>2067</v>
      </c>
      <c r="U683" s="7" t="s">
        <v>2146</v>
      </c>
      <c r="V683" s="7" t="s">
        <v>2067</v>
      </c>
      <c r="W683" s="7" t="s">
        <v>2069</v>
      </c>
    </row>
    <row r="684" spans="1:23" ht="20.100000000000001" customHeight="1" x14ac:dyDescent="0.25">
      <c r="A684" s="3" t="s">
        <v>1502</v>
      </c>
      <c r="B684" s="4" t="s">
        <v>2084</v>
      </c>
      <c r="C684" s="4" t="s">
        <v>6451</v>
      </c>
      <c r="D684" s="4" t="s">
        <v>2059</v>
      </c>
      <c r="E684" s="4" t="s">
        <v>1947</v>
      </c>
      <c r="F684" s="4" t="s">
        <v>1948</v>
      </c>
      <c r="G684" s="4" t="s">
        <v>2084</v>
      </c>
      <c r="H684" s="4" t="s">
        <v>1999</v>
      </c>
      <c r="I684" s="4" t="s">
        <v>2000</v>
      </c>
      <c r="J684" s="4" t="s">
        <v>6452</v>
      </c>
      <c r="K684" s="4" t="s">
        <v>6453</v>
      </c>
      <c r="L684" s="4" t="s">
        <v>6454</v>
      </c>
      <c r="M684" s="4" t="s">
        <v>2078</v>
      </c>
      <c r="N684" s="8">
        <v>46234</v>
      </c>
      <c r="O684" s="8">
        <v>46356</v>
      </c>
      <c r="P684" s="4" t="s">
        <v>2090</v>
      </c>
      <c r="Q684" s="4" t="s">
        <v>2000</v>
      </c>
      <c r="R684" s="4" t="s">
        <v>2825</v>
      </c>
      <c r="S684" s="4" t="s">
        <v>6455</v>
      </c>
      <c r="T684" s="4" t="s">
        <v>2067</v>
      </c>
      <c r="U684" s="4" t="s">
        <v>2146</v>
      </c>
      <c r="V684" s="4" t="s">
        <v>2067</v>
      </c>
      <c r="W684" s="4" t="s">
        <v>2069</v>
      </c>
    </row>
    <row r="685" spans="1:23" ht="20.100000000000001" customHeight="1" x14ac:dyDescent="0.25">
      <c r="A685" s="6" t="s">
        <v>1242</v>
      </c>
      <c r="B685" s="7" t="s">
        <v>2084</v>
      </c>
      <c r="C685" s="7" t="s">
        <v>6456</v>
      </c>
      <c r="D685" s="7" t="s">
        <v>2059</v>
      </c>
      <c r="E685" s="7" t="s">
        <v>1947</v>
      </c>
      <c r="F685" s="7" t="s">
        <v>1948</v>
      </c>
      <c r="G685" s="7" t="s">
        <v>2084</v>
      </c>
      <c r="H685" s="7" t="s">
        <v>6457</v>
      </c>
      <c r="I685" s="7" t="s">
        <v>6458</v>
      </c>
      <c r="J685" s="7" t="s">
        <v>6459</v>
      </c>
      <c r="K685" s="7" t="s">
        <v>6460</v>
      </c>
      <c r="L685" s="7" t="s">
        <v>6461</v>
      </c>
      <c r="M685" s="7" t="s">
        <v>2078</v>
      </c>
      <c r="N685" s="9">
        <v>46000</v>
      </c>
      <c r="O685" s="9">
        <v>46355</v>
      </c>
      <c r="P685" s="7" t="s">
        <v>2090</v>
      </c>
      <c r="Q685" s="7" t="s">
        <v>6458</v>
      </c>
      <c r="R685" s="7" t="s">
        <v>6462</v>
      </c>
      <c r="S685" s="7" t="s">
        <v>6463</v>
      </c>
      <c r="T685" s="7" t="s">
        <v>2067</v>
      </c>
      <c r="U685" s="7" t="s">
        <v>2146</v>
      </c>
      <c r="V685" s="7" t="s">
        <v>2067</v>
      </c>
      <c r="W685" s="7" t="s">
        <v>2069</v>
      </c>
    </row>
    <row r="686" spans="1:23" ht="20.100000000000001" customHeight="1" x14ac:dyDescent="0.25">
      <c r="A686" s="3" t="s">
        <v>146</v>
      </c>
      <c r="B686" s="4" t="s">
        <v>2084</v>
      </c>
      <c r="C686" s="4" t="s">
        <v>6464</v>
      </c>
      <c r="D686" s="4" t="s">
        <v>2059</v>
      </c>
      <c r="E686" s="4" t="s">
        <v>1947</v>
      </c>
      <c r="F686" s="4" t="s">
        <v>1948</v>
      </c>
      <c r="G686" s="4" t="s">
        <v>2084</v>
      </c>
      <c r="H686" s="4" t="s">
        <v>6465</v>
      </c>
      <c r="I686" s="4" t="s">
        <v>6458</v>
      </c>
      <c r="J686" s="4" t="s">
        <v>6466</v>
      </c>
      <c r="K686" s="4" t="s">
        <v>6467</v>
      </c>
      <c r="L686" s="4" t="s">
        <v>6468</v>
      </c>
      <c r="M686" s="4" t="s">
        <v>2078</v>
      </c>
      <c r="N686" s="8">
        <v>46000</v>
      </c>
      <c r="O686" s="8">
        <v>46355</v>
      </c>
      <c r="P686" s="4" t="s">
        <v>2090</v>
      </c>
      <c r="Q686" s="4" t="s">
        <v>6458</v>
      </c>
      <c r="R686" s="4" t="s">
        <v>6469</v>
      </c>
      <c r="S686" s="4" t="s">
        <v>6470</v>
      </c>
      <c r="T686" s="4" t="s">
        <v>2067</v>
      </c>
      <c r="U686" s="4" t="s">
        <v>2146</v>
      </c>
      <c r="V686" s="4" t="s">
        <v>2067</v>
      </c>
      <c r="W686" s="4" t="s">
        <v>2069</v>
      </c>
    </row>
    <row r="687" spans="1:23" ht="20.100000000000001" customHeight="1" x14ac:dyDescent="0.25">
      <c r="A687" s="6" t="s">
        <v>1120</v>
      </c>
      <c r="B687" s="7" t="s">
        <v>2084</v>
      </c>
      <c r="C687" s="7" t="s">
        <v>6471</v>
      </c>
      <c r="D687" s="7" t="s">
        <v>2059</v>
      </c>
      <c r="E687" s="7" t="s">
        <v>1947</v>
      </c>
      <c r="F687" s="7" t="s">
        <v>1948</v>
      </c>
      <c r="G687" s="7" t="s">
        <v>2084</v>
      </c>
      <c r="H687" s="7" t="s">
        <v>6465</v>
      </c>
      <c r="I687" s="7" t="s">
        <v>6458</v>
      </c>
      <c r="J687" s="7" t="s">
        <v>6472</v>
      </c>
      <c r="K687" s="7" t="s">
        <v>6473</v>
      </c>
      <c r="L687" s="7" t="s">
        <v>6474</v>
      </c>
      <c r="M687" s="7" t="s">
        <v>2078</v>
      </c>
      <c r="N687" s="9">
        <v>46000</v>
      </c>
      <c r="O687" s="9">
        <v>46355</v>
      </c>
      <c r="P687" s="7" t="s">
        <v>2090</v>
      </c>
      <c r="Q687" s="7" t="s">
        <v>6458</v>
      </c>
      <c r="R687" s="7" t="s">
        <v>4702</v>
      </c>
      <c r="S687" s="7" t="s">
        <v>6475</v>
      </c>
      <c r="T687" s="7" t="s">
        <v>2067</v>
      </c>
      <c r="U687" s="7" t="s">
        <v>2146</v>
      </c>
      <c r="V687" s="7" t="s">
        <v>2067</v>
      </c>
      <c r="W687" s="7" t="s">
        <v>2069</v>
      </c>
    </row>
    <row r="688" spans="1:23" ht="20.100000000000001" customHeight="1" x14ac:dyDescent="0.25">
      <c r="A688" s="3" t="s">
        <v>1760</v>
      </c>
      <c r="B688" s="4" t="s">
        <v>2084</v>
      </c>
      <c r="C688" s="4" t="s">
        <v>6476</v>
      </c>
      <c r="D688" s="4" t="s">
        <v>2059</v>
      </c>
      <c r="E688" s="4" t="s">
        <v>1947</v>
      </c>
      <c r="F688" s="4" t="s">
        <v>1948</v>
      </c>
      <c r="G688" s="4" t="s">
        <v>2084</v>
      </c>
      <c r="H688" s="4" t="s">
        <v>6465</v>
      </c>
      <c r="I688" s="4" t="s">
        <v>6458</v>
      </c>
      <c r="J688" s="4" t="s">
        <v>6477</v>
      </c>
      <c r="K688" s="4" t="s">
        <v>6478</v>
      </c>
      <c r="L688" s="4" t="s">
        <v>6479</v>
      </c>
      <c r="M688" s="4" t="s">
        <v>2078</v>
      </c>
      <c r="N688" s="8">
        <v>46052</v>
      </c>
      <c r="O688" s="8">
        <v>46355</v>
      </c>
      <c r="P688" s="4" t="s">
        <v>2090</v>
      </c>
      <c r="Q688" s="4" t="s">
        <v>6458</v>
      </c>
      <c r="R688" s="4" t="s">
        <v>6480</v>
      </c>
      <c r="S688" s="4" t="s">
        <v>6481</v>
      </c>
      <c r="T688" s="4" t="s">
        <v>2067</v>
      </c>
      <c r="U688" s="4" t="s">
        <v>2146</v>
      </c>
      <c r="V688" s="4" t="s">
        <v>2067</v>
      </c>
      <c r="W688" s="4" t="s">
        <v>2069</v>
      </c>
    </row>
    <row r="689" spans="1:23" ht="20.100000000000001" customHeight="1" x14ac:dyDescent="0.25">
      <c r="A689" s="6" t="s">
        <v>1718</v>
      </c>
      <c r="B689" s="7" t="s">
        <v>2084</v>
      </c>
      <c r="C689" s="7" t="s">
        <v>6482</v>
      </c>
      <c r="D689" s="7" t="s">
        <v>2059</v>
      </c>
      <c r="E689" s="7" t="s">
        <v>1947</v>
      </c>
      <c r="F689" s="7" t="s">
        <v>1948</v>
      </c>
      <c r="G689" s="7" t="s">
        <v>2084</v>
      </c>
      <c r="H689" s="7" t="s">
        <v>6457</v>
      </c>
      <c r="I689" s="7" t="s">
        <v>6458</v>
      </c>
      <c r="J689" s="7" t="s">
        <v>6483</v>
      </c>
      <c r="K689" s="7" t="s">
        <v>6484</v>
      </c>
      <c r="L689" s="7" t="s">
        <v>6485</v>
      </c>
      <c r="M689" s="7" t="s">
        <v>2078</v>
      </c>
      <c r="N689" s="9">
        <v>46052</v>
      </c>
      <c r="O689" s="9">
        <v>46355</v>
      </c>
      <c r="P689" s="7" t="s">
        <v>2090</v>
      </c>
      <c r="Q689" s="7" t="s">
        <v>6458</v>
      </c>
      <c r="R689" s="7" t="s">
        <v>6486</v>
      </c>
      <c r="S689" s="7" t="s">
        <v>6487</v>
      </c>
      <c r="T689" s="7" t="s">
        <v>2067</v>
      </c>
      <c r="U689" s="7" t="s">
        <v>2146</v>
      </c>
      <c r="V689" s="7" t="s">
        <v>2067</v>
      </c>
      <c r="W689" s="7" t="s">
        <v>2069</v>
      </c>
    </row>
    <row r="690" spans="1:23" ht="20.100000000000001" customHeight="1" x14ac:dyDescent="0.25">
      <c r="A690" s="3" t="s">
        <v>478</v>
      </c>
      <c r="B690" s="4" t="s">
        <v>2084</v>
      </c>
      <c r="C690" s="4" t="s">
        <v>6488</v>
      </c>
      <c r="D690" s="4" t="s">
        <v>2059</v>
      </c>
      <c r="E690" s="4" t="s">
        <v>1947</v>
      </c>
      <c r="F690" s="4" t="s">
        <v>1948</v>
      </c>
      <c r="G690" s="4" t="s">
        <v>2084</v>
      </c>
      <c r="H690" s="4" t="s">
        <v>6489</v>
      </c>
      <c r="I690" s="4" t="s">
        <v>6490</v>
      </c>
      <c r="J690" s="4" t="s">
        <v>6491</v>
      </c>
      <c r="K690" s="4" t="s">
        <v>6492</v>
      </c>
      <c r="L690" s="4" t="s">
        <v>6493</v>
      </c>
      <c r="M690" s="4" t="s">
        <v>2078</v>
      </c>
      <c r="N690" s="8">
        <v>46189</v>
      </c>
      <c r="O690" s="8">
        <v>46356</v>
      </c>
      <c r="P690" s="4" t="s">
        <v>2090</v>
      </c>
      <c r="Q690" s="4" t="s">
        <v>6490</v>
      </c>
      <c r="R690" s="4" t="s">
        <v>6494</v>
      </c>
      <c r="S690" s="4" t="s">
        <v>6495</v>
      </c>
      <c r="T690" s="4" t="s">
        <v>2067</v>
      </c>
      <c r="U690" s="4" t="s">
        <v>2146</v>
      </c>
      <c r="V690" s="4" t="s">
        <v>2067</v>
      </c>
      <c r="W690" s="4" t="s">
        <v>2069</v>
      </c>
    </row>
    <row r="691" spans="1:23" ht="20.100000000000001" customHeight="1" x14ac:dyDescent="0.25">
      <c r="A691" s="6" t="s">
        <v>1080</v>
      </c>
      <c r="B691" s="7" t="s">
        <v>2084</v>
      </c>
      <c r="C691" s="7" t="s">
        <v>6496</v>
      </c>
      <c r="D691" s="7" t="s">
        <v>2059</v>
      </c>
      <c r="E691" s="7" t="s">
        <v>1947</v>
      </c>
      <c r="F691" s="7" t="s">
        <v>1948</v>
      </c>
      <c r="G691" s="7" t="s">
        <v>2084</v>
      </c>
      <c r="H691" s="7" t="s">
        <v>6497</v>
      </c>
      <c r="I691" s="7" t="s">
        <v>6490</v>
      </c>
      <c r="J691" s="7" t="s">
        <v>6498</v>
      </c>
      <c r="K691" s="7" t="s">
        <v>6499</v>
      </c>
      <c r="L691" s="7" t="s">
        <v>6500</v>
      </c>
      <c r="M691" s="7" t="s">
        <v>2078</v>
      </c>
      <c r="N691" s="9">
        <v>46000</v>
      </c>
      <c r="O691" s="9">
        <v>46355</v>
      </c>
      <c r="P691" s="7" t="s">
        <v>2090</v>
      </c>
      <c r="Q691" s="7" t="s">
        <v>6490</v>
      </c>
      <c r="R691" s="7" t="s">
        <v>6501</v>
      </c>
      <c r="S691" s="7" t="s">
        <v>6502</v>
      </c>
      <c r="T691" s="7" t="s">
        <v>2067</v>
      </c>
      <c r="U691" s="7" t="s">
        <v>2146</v>
      </c>
      <c r="V691" s="7" t="s">
        <v>2067</v>
      </c>
      <c r="W691" s="7" t="s">
        <v>2069</v>
      </c>
    </row>
    <row r="692" spans="1:23" ht="20.100000000000001" customHeight="1" x14ac:dyDescent="0.25">
      <c r="A692" s="3" t="s">
        <v>828</v>
      </c>
      <c r="B692" s="4" t="s">
        <v>2084</v>
      </c>
      <c r="C692" s="4" t="s">
        <v>6503</v>
      </c>
      <c r="D692" s="4" t="s">
        <v>2059</v>
      </c>
      <c r="E692" s="4" t="s">
        <v>1947</v>
      </c>
      <c r="F692" s="4" t="s">
        <v>1948</v>
      </c>
      <c r="G692" s="4" t="s">
        <v>2084</v>
      </c>
      <c r="H692" s="4" t="s">
        <v>6504</v>
      </c>
      <c r="I692" s="4" t="s">
        <v>6490</v>
      </c>
      <c r="J692" s="4" t="s">
        <v>6505</v>
      </c>
      <c r="K692" s="4" t="s">
        <v>6506</v>
      </c>
      <c r="L692" s="4" t="s">
        <v>6507</v>
      </c>
      <c r="M692" s="4" t="s">
        <v>2078</v>
      </c>
      <c r="N692" s="8">
        <v>46000</v>
      </c>
      <c r="O692" s="8">
        <v>46355</v>
      </c>
      <c r="P692" s="4" t="s">
        <v>2090</v>
      </c>
      <c r="Q692" s="4" t="s">
        <v>6490</v>
      </c>
      <c r="R692" s="4" t="s">
        <v>6508</v>
      </c>
      <c r="S692" s="4" t="s">
        <v>6509</v>
      </c>
      <c r="T692" s="4" t="s">
        <v>2067</v>
      </c>
      <c r="U692" s="4" t="s">
        <v>2146</v>
      </c>
      <c r="V692" s="4" t="s">
        <v>2067</v>
      </c>
      <c r="W692" s="4" t="s">
        <v>2069</v>
      </c>
    </row>
    <row r="693" spans="1:23" ht="20.100000000000001" customHeight="1" x14ac:dyDescent="0.25">
      <c r="A693" s="6" t="s">
        <v>6510</v>
      </c>
      <c r="B693" s="7" t="s">
        <v>2084</v>
      </c>
      <c r="C693" s="7" t="s">
        <v>6511</v>
      </c>
      <c r="D693" s="7" t="s">
        <v>2059</v>
      </c>
      <c r="E693" s="7" t="s">
        <v>1947</v>
      </c>
      <c r="F693" s="7" t="s">
        <v>1948</v>
      </c>
      <c r="G693" s="7" t="s">
        <v>2084</v>
      </c>
      <c r="H693" s="7" t="s">
        <v>6512</v>
      </c>
      <c r="I693" s="7" t="s">
        <v>6490</v>
      </c>
      <c r="J693" s="7" t="s">
        <v>6513</v>
      </c>
      <c r="K693" s="7" t="s">
        <v>6514</v>
      </c>
      <c r="L693" s="7" t="s">
        <v>6515</v>
      </c>
      <c r="M693" s="7" t="s">
        <v>2078</v>
      </c>
      <c r="N693" s="9">
        <v>46000</v>
      </c>
      <c r="O693" s="9">
        <v>46355</v>
      </c>
      <c r="P693" s="7" t="s">
        <v>2090</v>
      </c>
      <c r="Q693" s="7" t="s">
        <v>6490</v>
      </c>
      <c r="R693" s="7" t="s">
        <v>6516</v>
      </c>
      <c r="S693" s="7" t="s">
        <v>6517</v>
      </c>
      <c r="T693" s="7" t="s">
        <v>2067</v>
      </c>
      <c r="U693" s="7" t="s">
        <v>2146</v>
      </c>
      <c r="V693" s="7" t="s">
        <v>2067</v>
      </c>
      <c r="W693" s="7" t="s">
        <v>2082</v>
      </c>
    </row>
    <row r="694" spans="1:23" ht="20.100000000000001" customHeight="1" x14ac:dyDescent="0.25">
      <c r="A694" s="3" t="s">
        <v>6518</v>
      </c>
      <c r="B694" s="4" t="s">
        <v>2084</v>
      </c>
      <c r="C694" s="4" t="s">
        <v>6519</v>
      </c>
      <c r="D694" s="4" t="s">
        <v>2059</v>
      </c>
      <c r="E694" s="4" t="s">
        <v>1947</v>
      </c>
      <c r="F694" s="4" t="s">
        <v>1948</v>
      </c>
      <c r="G694" s="4" t="s">
        <v>2084</v>
      </c>
      <c r="H694" s="4" t="s">
        <v>6520</v>
      </c>
      <c r="I694" s="4" t="s">
        <v>6521</v>
      </c>
      <c r="J694" s="4" t="s">
        <v>6522</v>
      </c>
      <c r="K694" s="4" t="s">
        <v>6523</v>
      </c>
      <c r="L694" s="4" t="s">
        <v>6524</v>
      </c>
      <c r="M694" s="4" t="s">
        <v>2078</v>
      </c>
      <c r="N694" s="8">
        <v>45981</v>
      </c>
      <c r="O694" s="8">
        <v>46341</v>
      </c>
      <c r="P694" s="4" t="s">
        <v>2090</v>
      </c>
      <c r="Q694" s="4" t="s">
        <v>6521</v>
      </c>
      <c r="R694" s="4" t="s">
        <v>6525</v>
      </c>
      <c r="S694" s="4" t="s">
        <v>6526</v>
      </c>
      <c r="T694" s="4" t="s">
        <v>2067</v>
      </c>
      <c r="U694" s="4" t="s">
        <v>2146</v>
      </c>
      <c r="V694" s="4" t="s">
        <v>2067</v>
      </c>
      <c r="W694" s="4" t="s">
        <v>2069</v>
      </c>
    </row>
    <row r="695" spans="1:23" ht="20.100000000000001" customHeight="1" x14ac:dyDescent="0.25">
      <c r="A695" s="6" t="s">
        <v>666</v>
      </c>
      <c r="B695" s="7" t="s">
        <v>2084</v>
      </c>
      <c r="C695" s="7" t="s">
        <v>6527</v>
      </c>
      <c r="D695" s="7" t="s">
        <v>2059</v>
      </c>
      <c r="E695" s="7" t="s">
        <v>1947</v>
      </c>
      <c r="F695" s="7" t="s">
        <v>1948</v>
      </c>
      <c r="G695" s="7" t="s">
        <v>2084</v>
      </c>
      <c r="H695" s="7" t="s">
        <v>6528</v>
      </c>
      <c r="I695" s="7" t="s">
        <v>6521</v>
      </c>
      <c r="J695" s="7" t="s">
        <v>6529</v>
      </c>
      <c r="K695" s="7" t="s">
        <v>6530</v>
      </c>
      <c r="L695" s="7" t="s">
        <v>6531</v>
      </c>
      <c r="M695" s="7" t="s">
        <v>2078</v>
      </c>
      <c r="N695" s="9">
        <v>46164</v>
      </c>
      <c r="O695" s="9">
        <v>46294</v>
      </c>
      <c r="P695" s="7" t="s">
        <v>2090</v>
      </c>
      <c r="Q695" s="7" t="s">
        <v>6521</v>
      </c>
      <c r="R695" s="7" t="s">
        <v>5343</v>
      </c>
      <c r="S695" s="7" t="s">
        <v>6532</v>
      </c>
      <c r="T695" s="7" t="s">
        <v>2067</v>
      </c>
      <c r="U695" s="7" t="s">
        <v>2146</v>
      </c>
      <c r="V695" s="7" t="s">
        <v>2067</v>
      </c>
      <c r="W695" s="7" t="s">
        <v>2069</v>
      </c>
    </row>
    <row r="696" spans="1:23" ht="20.100000000000001" customHeight="1" x14ac:dyDescent="0.25">
      <c r="A696" s="3" t="s">
        <v>644</v>
      </c>
      <c r="B696" s="4" t="s">
        <v>2084</v>
      </c>
      <c r="C696" s="4" t="s">
        <v>6533</v>
      </c>
      <c r="D696" s="4" t="s">
        <v>2059</v>
      </c>
      <c r="E696" s="4" t="s">
        <v>2072</v>
      </c>
      <c r="F696" s="4" t="s">
        <v>2338</v>
      </c>
      <c r="G696" s="4" t="s">
        <v>2084</v>
      </c>
      <c r="H696" s="4" t="s">
        <v>6534</v>
      </c>
      <c r="I696" s="4" t="s">
        <v>6521</v>
      </c>
      <c r="J696" s="4" t="s">
        <v>6535</v>
      </c>
      <c r="K696" s="4" t="s">
        <v>6536</v>
      </c>
      <c r="L696" s="4" t="s">
        <v>6537</v>
      </c>
      <c r="M696" s="4" t="s">
        <v>2078</v>
      </c>
      <c r="N696" s="8">
        <v>46164</v>
      </c>
      <c r="O696" s="8">
        <v>46294</v>
      </c>
      <c r="P696" s="4" t="s">
        <v>2338</v>
      </c>
      <c r="Q696" s="4" t="s">
        <v>6521</v>
      </c>
      <c r="R696" s="4" t="s">
        <v>6538</v>
      </c>
      <c r="S696" s="4" t="s">
        <v>6539</v>
      </c>
      <c r="T696" s="4" t="s">
        <v>2067</v>
      </c>
      <c r="U696" s="4" t="s">
        <v>2344</v>
      </c>
      <c r="V696" s="4" t="s">
        <v>2067</v>
      </c>
      <c r="W696" s="4" t="s">
        <v>2069</v>
      </c>
    </row>
    <row r="697" spans="1:23" ht="20.100000000000001" customHeight="1" x14ac:dyDescent="0.25">
      <c r="A697" s="6" t="s">
        <v>1266</v>
      </c>
      <c r="B697" s="7" t="s">
        <v>2084</v>
      </c>
      <c r="C697" s="7" t="s">
        <v>6540</v>
      </c>
      <c r="D697" s="7" t="s">
        <v>2059</v>
      </c>
      <c r="E697" s="7" t="s">
        <v>1947</v>
      </c>
      <c r="F697" s="7" t="s">
        <v>1948</v>
      </c>
      <c r="G697" s="7" t="s">
        <v>2084</v>
      </c>
      <c r="H697" s="7" t="s">
        <v>6528</v>
      </c>
      <c r="I697" s="7" t="s">
        <v>6521</v>
      </c>
      <c r="J697" s="7" t="s">
        <v>6541</v>
      </c>
      <c r="K697" s="7" t="s">
        <v>6542</v>
      </c>
      <c r="L697" s="7" t="s">
        <v>6543</v>
      </c>
      <c r="M697" s="7" t="s">
        <v>2078</v>
      </c>
      <c r="N697" s="9">
        <v>46167</v>
      </c>
      <c r="O697" s="9">
        <v>46294</v>
      </c>
      <c r="P697" s="7" t="s">
        <v>2090</v>
      </c>
      <c r="Q697" s="7" t="s">
        <v>6521</v>
      </c>
      <c r="R697" s="7" t="s">
        <v>6544</v>
      </c>
      <c r="S697" s="7" t="s">
        <v>6545</v>
      </c>
      <c r="T697" s="7" t="s">
        <v>2067</v>
      </c>
      <c r="U697" s="7" t="s">
        <v>2146</v>
      </c>
      <c r="V697" s="7" t="s">
        <v>2067</v>
      </c>
      <c r="W697" s="7" t="s">
        <v>2069</v>
      </c>
    </row>
    <row r="698" spans="1:23" ht="20.100000000000001" customHeight="1" x14ac:dyDescent="0.25">
      <c r="A698" s="3" t="s">
        <v>6546</v>
      </c>
      <c r="B698" s="4" t="s">
        <v>2084</v>
      </c>
      <c r="C698" s="4" t="s">
        <v>6547</v>
      </c>
      <c r="D698" s="4" t="s">
        <v>2059</v>
      </c>
      <c r="E698" s="4" t="s">
        <v>1947</v>
      </c>
      <c r="F698" s="4" t="s">
        <v>1948</v>
      </c>
      <c r="G698" s="4" t="s">
        <v>2084</v>
      </c>
      <c r="H698" s="4" t="s">
        <v>6534</v>
      </c>
      <c r="I698" s="4" t="s">
        <v>6521</v>
      </c>
      <c r="J698" s="4" t="s">
        <v>6548</v>
      </c>
      <c r="K698" s="4" t="s">
        <v>6549</v>
      </c>
      <c r="L698" s="4" t="s">
        <v>6550</v>
      </c>
      <c r="M698" s="4" t="s">
        <v>2078</v>
      </c>
      <c r="N698" s="8">
        <v>46234</v>
      </c>
      <c r="O698" s="8">
        <v>46356</v>
      </c>
      <c r="P698" s="4" t="s">
        <v>2090</v>
      </c>
      <c r="Q698" s="4" t="s">
        <v>6521</v>
      </c>
      <c r="R698" s="4" t="s">
        <v>2605</v>
      </c>
      <c r="S698" s="4" t="s">
        <v>6551</v>
      </c>
      <c r="T698" s="4" t="s">
        <v>2067</v>
      </c>
      <c r="U698" s="4" t="s">
        <v>2146</v>
      </c>
      <c r="V698" s="4" t="s">
        <v>2067</v>
      </c>
      <c r="W698" s="4" t="s">
        <v>2069</v>
      </c>
    </row>
    <row r="699" spans="1:23" ht="20.100000000000001" customHeight="1" x14ac:dyDescent="0.25">
      <c r="A699" s="6" t="s">
        <v>136</v>
      </c>
      <c r="B699" s="7" t="s">
        <v>2084</v>
      </c>
      <c r="C699" s="7" t="s">
        <v>6552</v>
      </c>
      <c r="D699" s="7" t="s">
        <v>2059</v>
      </c>
      <c r="E699" s="7" t="s">
        <v>4160</v>
      </c>
      <c r="F699" s="7" t="s">
        <v>4161</v>
      </c>
      <c r="G699" s="7" t="s">
        <v>2084</v>
      </c>
      <c r="H699" s="7" t="s">
        <v>6553</v>
      </c>
      <c r="I699" s="7" t="s">
        <v>6554</v>
      </c>
      <c r="J699" s="7" t="s">
        <v>6555</v>
      </c>
      <c r="K699" s="7" t="s">
        <v>6556</v>
      </c>
      <c r="L699" s="7" t="s">
        <v>6557</v>
      </c>
      <c r="M699" s="7" t="s">
        <v>2078</v>
      </c>
      <c r="N699" s="9">
        <v>46000</v>
      </c>
      <c r="O699" s="9">
        <v>46355</v>
      </c>
      <c r="P699" s="7" t="s">
        <v>4161</v>
      </c>
      <c r="Q699" s="7" t="s">
        <v>6554</v>
      </c>
      <c r="R699" s="7" t="s">
        <v>6558</v>
      </c>
      <c r="S699" s="7" t="s">
        <v>6559</v>
      </c>
      <c r="T699" s="7" t="s">
        <v>2067</v>
      </c>
      <c r="U699" s="7" t="s">
        <v>4167</v>
      </c>
      <c r="V699" s="7" t="s">
        <v>2067</v>
      </c>
      <c r="W699" s="7" t="s">
        <v>2069</v>
      </c>
    </row>
    <row r="700" spans="1:23" ht="20.100000000000001" customHeight="1" x14ac:dyDescent="0.25">
      <c r="A700" s="3" t="s">
        <v>6560</v>
      </c>
      <c r="B700" s="4" t="s">
        <v>2084</v>
      </c>
      <c r="C700" s="4" t="s">
        <v>6561</v>
      </c>
      <c r="D700" s="4" t="s">
        <v>2059</v>
      </c>
      <c r="E700" s="4" t="s">
        <v>3520</v>
      </c>
      <c r="F700" s="4" t="s">
        <v>3521</v>
      </c>
      <c r="G700" s="4" t="s">
        <v>2084</v>
      </c>
      <c r="H700" s="4" t="s">
        <v>6562</v>
      </c>
      <c r="I700" s="4" t="s">
        <v>6554</v>
      </c>
      <c r="J700" s="4" t="s">
        <v>6563</v>
      </c>
      <c r="K700" s="4" t="s">
        <v>6564</v>
      </c>
      <c r="L700" s="4" t="s">
        <v>6565</v>
      </c>
      <c r="M700" s="4" t="s">
        <v>2078</v>
      </c>
      <c r="N700" s="8">
        <v>46234</v>
      </c>
      <c r="O700" s="8">
        <v>46356</v>
      </c>
      <c r="P700" s="4" t="s">
        <v>3521</v>
      </c>
      <c r="Q700" s="4" t="s">
        <v>6554</v>
      </c>
      <c r="R700" s="4" t="s">
        <v>6566</v>
      </c>
      <c r="S700" s="4" t="s">
        <v>6567</v>
      </c>
      <c r="T700" s="4" t="s">
        <v>2067</v>
      </c>
      <c r="U700" s="4" t="s">
        <v>3527</v>
      </c>
      <c r="V700" s="4" t="s">
        <v>2067</v>
      </c>
      <c r="W700" s="4" t="s">
        <v>2082</v>
      </c>
    </row>
    <row r="701" spans="1:23" ht="20.100000000000001" customHeight="1" x14ac:dyDescent="0.25">
      <c r="A701" s="6" t="s">
        <v>678</v>
      </c>
      <c r="B701" s="7" t="s">
        <v>2084</v>
      </c>
      <c r="C701" s="7" t="s">
        <v>6568</v>
      </c>
      <c r="D701" s="7" t="s">
        <v>2059</v>
      </c>
      <c r="E701" s="7" t="s">
        <v>1947</v>
      </c>
      <c r="F701" s="7" t="s">
        <v>1948</v>
      </c>
      <c r="G701" s="7" t="s">
        <v>2084</v>
      </c>
      <c r="H701" s="7" t="s">
        <v>6569</v>
      </c>
      <c r="I701" s="7" t="s">
        <v>6554</v>
      </c>
      <c r="J701" s="7" t="s">
        <v>6570</v>
      </c>
      <c r="K701" s="7" t="s">
        <v>6571</v>
      </c>
      <c r="L701" s="7" t="s">
        <v>6572</v>
      </c>
      <c r="M701" s="7" t="s">
        <v>2078</v>
      </c>
      <c r="N701" s="9">
        <v>46108</v>
      </c>
      <c r="O701" s="9">
        <v>46356</v>
      </c>
      <c r="P701" s="7" t="s">
        <v>2090</v>
      </c>
      <c r="Q701" s="7" t="s">
        <v>6554</v>
      </c>
      <c r="R701" s="7" t="s">
        <v>6573</v>
      </c>
      <c r="S701" s="7" t="s">
        <v>6574</v>
      </c>
      <c r="T701" s="7" t="s">
        <v>2067</v>
      </c>
      <c r="U701" s="7" t="s">
        <v>2146</v>
      </c>
      <c r="V701" s="7" t="s">
        <v>2067</v>
      </c>
      <c r="W701" s="7" t="s">
        <v>2069</v>
      </c>
    </row>
    <row r="702" spans="1:23" ht="20.100000000000001" customHeight="1" x14ac:dyDescent="0.25">
      <c r="A702" s="3" t="s">
        <v>1132</v>
      </c>
      <c r="B702" s="4" t="s">
        <v>2084</v>
      </c>
      <c r="C702" s="4" t="s">
        <v>6575</v>
      </c>
      <c r="D702" s="4" t="s">
        <v>2059</v>
      </c>
      <c r="E702" s="4" t="s">
        <v>1947</v>
      </c>
      <c r="F702" s="4" t="s">
        <v>1948</v>
      </c>
      <c r="G702" s="4" t="s">
        <v>2084</v>
      </c>
      <c r="H702" s="4" t="s">
        <v>6569</v>
      </c>
      <c r="I702" s="4" t="s">
        <v>6554</v>
      </c>
      <c r="J702" s="4" t="s">
        <v>6576</v>
      </c>
      <c r="K702" s="4" t="s">
        <v>6577</v>
      </c>
      <c r="L702" s="4" t="s">
        <v>6578</v>
      </c>
      <c r="M702" s="4" t="s">
        <v>2078</v>
      </c>
      <c r="N702" s="8">
        <v>46234</v>
      </c>
      <c r="O702" s="8">
        <v>46356</v>
      </c>
      <c r="P702" s="4" t="s">
        <v>2090</v>
      </c>
      <c r="Q702" s="4" t="s">
        <v>6554</v>
      </c>
      <c r="R702" s="4" t="s">
        <v>6579</v>
      </c>
      <c r="S702" s="4" t="s">
        <v>6580</v>
      </c>
      <c r="T702" s="4" t="s">
        <v>2067</v>
      </c>
      <c r="U702" s="4" t="s">
        <v>2146</v>
      </c>
      <c r="V702" s="4" t="s">
        <v>2067</v>
      </c>
      <c r="W702" s="4" t="s">
        <v>2069</v>
      </c>
    </row>
    <row r="703" spans="1:23" ht="20.100000000000001" customHeight="1" x14ac:dyDescent="0.25">
      <c r="A703" s="6" t="s">
        <v>138</v>
      </c>
      <c r="B703" s="7" t="s">
        <v>2084</v>
      </c>
      <c r="C703" s="7" t="s">
        <v>6581</v>
      </c>
      <c r="D703" s="7" t="s">
        <v>2059</v>
      </c>
      <c r="E703" s="7" t="s">
        <v>4160</v>
      </c>
      <c r="F703" s="7" t="s">
        <v>4161</v>
      </c>
      <c r="G703" s="7" t="s">
        <v>2084</v>
      </c>
      <c r="H703" s="7" t="s">
        <v>6582</v>
      </c>
      <c r="I703" s="7" t="s">
        <v>6554</v>
      </c>
      <c r="J703" s="7" t="s">
        <v>6583</v>
      </c>
      <c r="K703" s="7" t="s">
        <v>6584</v>
      </c>
      <c r="L703" s="7" t="s">
        <v>6585</v>
      </c>
      <c r="M703" s="7" t="s">
        <v>2078</v>
      </c>
      <c r="N703" s="9">
        <v>46234</v>
      </c>
      <c r="O703" s="9">
        <v>46356</v>
      </c>
      <c r="P703" s="7" t="s">
        <v>4161</v>
      </c>
      <c r="Q703" s="7" t="s">
        <v>6554</v>
      </c>
      <c r="R703" s="7" t="s">
        <v>6586</v>
      </c>
      <c r="S703" s="7" t="s">
        <v>6587</v>
      </c>
      <c r="T703" s="7" t="s">
        <v>2067</v>
      </c>
      <c r="U703" s="7" t="s">
        <v>4167</v>
      </c>
      <c r="V703" s="7" t="s">
        <v>2067</v>
      </c>
      <c r="W703" s="7" t="s">
        <v>2082</v>
      </c>
    </row>
    <row r="704" spans="1:23" ht="20.100000000000001" customHeight="1" x14ac:dyDescent="0.25">
      <c r="A704" s="3" t="s">
        <v>6588</v>
      </c>
      <c r="B704" s="4" t="s">
        <v>2084</v>
      </c>
      <c r="C704" s="4" t="s">
        <v>6589</v>
      </c>
      <c r="D704" s="4" t="s">
        <v>2059</v>
      </c>
      <c r="E704" s="4" t="s">
        <v>2131</v>
      </c>
      <c r="F704" s="4" t="s">
        <v>2132</v>
      </c>
      <c r="G704" s="4" t="s">
        <v>2084</v>
      </c>
      <c r="H704" s="4" t="s">
        <v>6569</v>
      </c>
      <c r="I704" s="4" t="s">
        <v>6554</v>
      </c>
      <c r="J704" s="4" t="s">
        <v>6590</v>
      </c>
      <c r="K704" s="4" t="s">
        <v>6591</v>
      </c>
      <c r="L704" s="4" t="s">
        <v>6592</v>
      </c>
      <c r="M704" s="4" t="s">
        <v>2078</v>
      </c>
      <c r="N704" s="8">
        <v>46108</v>
      </c>
      <c r="O704" s="8">
        <v>46356</v>
      </c>
      <c r="P704" s="4" t="s">
        <v>2132</v>
      </c>
      <c r="Q704" s="4" t="s">
        <v>6554</v>
      </c>
      <c r="R704" s="4" t="s">
        <v>6593</v>
      </c>
      <c r="S704" s="4" t="s">
        <v>6594</v>
      </c>
      <c r="T704" s="4" t="s">
        <v>2067</v>
      </c>
      <c r="U704" s="4" t="s">
        <v>2138</v>
      </c>
      <c r="V704" s="4" t="s">
        <v>2067</v>
      </c>
      <c r="W704" s="4" t="s">
        <v>2069</v>
      </c>
    </row>
    <row r="705" spans="1:23" ht="20.100000000000001" customHeight="1" x14ac:dyDescent="0.25">
      <c r="A705" s="6" t="s">
        <v>6595</v>
      </c>
      <c r="B705" s="7" t="s">
        <v>2084</v>
      </c>
      <c r="C705" s="7" t="s">
        <v>6596</v>
      </c>
      <c r="D705" s="7" t="s">
        <v>2059</v>
      </c>
      <c r="E705" s="7" t="s">
        <v>2131</v>
      </c>
      <c r="F705" s="7" t="s">
        <v>2132</v>
      </c>
      <c r="G705" s="7" t="s">
        <v>2084</v>
      </c>
      <c r="H705" s="7" t="s">
        <v>6597</v>
      </c>
      <c r="I705" s="7" t="s">
        <v>6598</v>
      </c>
      <c r="J705" s="7" t="s">
        <v>6599</v>
      </c>
      <c r="K705" s="7" t="s">
        <v>6600</v>
      </c>
      <c r="L705" s="7" t="s">
        <v>6601</v>
      </c>
      <c r="M705" s="7" t="s">
        <v>2078</v>
      </c>
      <c r="N705" s="9">
        <v>46234</v>
      </c>
      <c r="O705" s="9">
        <v>46356</v>
      </c>
      <c r="P705" s="7" t="s">
        <v>2132</v>
      </c>
      <c r="Q705" s="7" t="s">
        <v>6598</v>
      </c>
      <c r="R705" s="7" t="s">
        <v>2923</v>
      </c>
      <c r="S705" s="7" t="s">
        <v>6602</v>
      </c>
      <c r="T705" s="7" t="s">
        <v>2067</v>
      </c>
      <c r="U705" s="7" t="s">
        <v>2138</v>
      </c>
      <c r="V705" s="7" t="s">
        <v>2067</v>
      </c>
      <c r="W705" s="7" t="s">
        <v>2069</v>
      </c>
    </row>
    <row r="706" spans="1:23" ht="20.100000000000001" customHeight="1" x14ac:dyDescent="0.25">
      <c r="A706" s="3" t="s">
        <v>628</v>
      </c>
      <c r="B706" s="4" t="s">
        <v>2084</v>
      </c>
      <c r="C706" s="4" t="s">
        <v>6603</v>
      </c>
      <c r="D706" s="4" t="s">
        <v>2059</v>
      </c>
      <c r="E706" s="4" t="s">
        <v>6128</v>
      </c>
      <c r="F706" s="4" t="s">
        <v>6129</v>
      </c>
      <c r="G706" s="4" t="s">
        <v>2084</v>
      </c>
      <c r="H706" s="4" t="s">
        <v>6604</v>
      </c>
      <c r="I706" s="4" t="s">
        <v>6598</v>
      </c>
      <c r="J706" s="4" t="s">
        <v>6605</v>
      </c>
      <c r="K706" s="4" t="s">
        <v>6606</v>
      </c>
      <c r="L706" s="4" t="s">
        <v>6607</v>
      </c>
      <c r="M706" s="4" t="s">
        <v>2078</v>
      </c>
      <c r="N706" s="8">
        <v>46164</v>
      </c>
      <c r="O706" s="8">
        <v>46294</v>
      </c>
      <c r="P706" s="4" t="s">
        <v>6129</v>
      </c>
      <c r="Q706" s="4" t="s">
        <v>6598</v>
      </c>
      <c r="R706" s="4" t="s">
        <v>6608</v>
      </c>
      <c r="S706" s="4" t="s">
        <v>6609</v>
      </c>
      <c r="T706" s="4" t="s">
        <v>2067</v>
      </c>
      <c r="U706" s="4" t="s">
        <v>6135</v>
      </c>
      <c r="V706" s="4" t="s">
        <v>2067</v>
      </c>
      <c r="W706" s="4" t="s">
        <v>2069</v>
      </c>
    </row>
    <row r="707" spans="1:23" ht="20.100000000000001" customHeight="1" x14ac:dyDescent="0.25">
      <c r="A707" s="6" t="s">
        <v>46</v>
      </c>
      <c r="B707" s="7" t="s">
        <v>2084</v>
      </c>
      <c r="C707" s="7" t="s">
        <v>6610</v>
      </c>
      <c r="D707" s="7" t="s">
        <v>2059</v>
      </c>
      <c r="E707" s="7" t="s">
        <v>1947</v>
      </c>
      <c r="F707" s="7" t="s">
        <v>1948</v>
      </c>
      <c r="G707" s="7" t="s">
        <v>2084</v>
      </c>
      <c r="H707" s="7" t="s">
        <v>6597</v>
      </c>
      <c r="I707" s="7" t="s">
        <v>6598</v>
      </c>
      <c r="J707" s="7" t="s">
        <v>6611</v>
      </c>
      <c r="K707" s="7" t="s">
        <v>6612</v>
      </c>
      <c r="L707" s="7" t="s">
        <v>6613</v>
      </c>
      <c r="M707" s="7" t="s">
        <v>2078</v>
      </c>
      <c r="N707" s="9">
        <v>46164</v>
      </c>
      <c r="O707" s="9">
        <v>46294</v>
      </c>
      <c r="P707" s="7" t="s">
        <v>2090</v>
      </c>
      <c r="Q707" s="7" t="s">
        <v>6598</v>
      </c>
      <c r="R707" s="7" t="s">
        <v>2825</v>
      </c>
      <c r="S707" s="7" t="s">
        <v>6614</v>
      </c>
      <c r="T707" s="7" t="s">
        <v>2067</v>
      </c>
      <c r="U707" s="7" t="s">
        <v>2146</v>
      </c>
      <c r="V707" s="7" t="s">
        <v>2067</v>
      </c>
      <c r="W707" s="7" t="s">
        <v>2069</v>
      </c>
    </row>
    <row r="708" spans="1:23" ht="20.100000000000001" customHeight="1" x14ac:dyDescent="0.25">
      <c r="A708" s="3" t="s">
        <v>1736</v>
      </c>
      <c r="B708" s="4" t="s">
        <v>2084</v>
      </c>
      <c r="C708" s="4" t="s">
        <v>6615</v>
      </c>
      <c r="D708" s="4" t="s">
        <v>2059</v>
      </c>
      <c r="E708" s="4" t="s">
        <v>1947</v>
      </c>
      <c r="F708" s="4" t="s">
        <v>1948</v>
      </c>
      <c r="G708" s="4" t="s">
        <v>2084</v>
      </c>
      <c r="H708" s="4" t="s">
        <v>6604</v>
      </c>
      <c r="I708" s="4" t="s">
        <v>6598</v>
      </c>
      <c r="J708" s="4" t="s">
        <v>6616</v>
      </c>
      <c r="K708" s="4" t="s">
        <v>6617</v>
      </c>
      <c r="L708" s="4" t="s">
        <v>6618</v>
      </c>
      <c r="M708" s="4" t="s">
        <v>2078</v>
      </c>
      <c r="N708" s="8">
        <v>46164</v>
      </c>
      <c r="O708" s="8">
        <v>46294</v>
      </c>
      <c r="P708" s="4" t="s">
        <v>2090</v>
      </c>
      <c r="Q708" s="4" t="s">
        <v>6598</v>
      </c>
      <c r="R708" s="4" t="s">
        <v>6619</v>
      </c>
      <c r="S708" s="4" t="s">
        <v>6620</v>
      </c>
      <c r="T708" s="4" t="s">
        <v>2067</v>
      </c>
      <c r="U708" s="4" t="s">
        <v>2146</v>
      </c>
      <c r="V708" s="4" t="s">
        <v>2067</v>
      </c>
      <c r="W708" s="4" t="s">
        <v>2069</v>
      </c>
    </row>
    <row r="709" spans="1:23" ht="20.100000000000001" customHeight="1" x14ac:dyDescent="0.25">
      <c r="A709" s="6" t="s">
        <v>550</v>
      </c>
      <c r="B709" s="7" t="s">
        <v>2084</v>
      </c>
      <c r="C709" s="7" t="s">
        <v>6621</v>
      </c>
      <c r="D709" s="7" t="s">
        <v>2059</v>
      </c>
      <c r="E709" s="7" t="s">
        <v>5762</v>
      </c>
      <c r="F709" s="7" t="s">
        <v>5763</v>
      </c>
      <c r="G709" s="7" t="s">
        <v>2084</v>
      </c>
      <c r="H709" s="7" t="s">
        <v>6622</v>
      </c>
      <c r="I709" s="7" t="s">
        <v>6623</v>
      </c>
      <c r="J709" s="7" t="s">
        <v>6624</v>
      </c>
      <c r="K709" s="7" t="s">
        <v>6625</v>
      </c>
      <c r="L709" s="7" t="s">
        <v>6626</v>
      </c>
      <c r="M709" s="7" t="s">
        <v>2078</v>
      </c>
      <c r="N709" s="9">
        <v>46234</v>
      </c>
      <c r="O709" s="9">
        <v>46356</v>
      </c>
      <c r="P709" s="7" t="s">
        <v>5763</v>
      </c>
      <c r="Q709" s="7" t="s">
        <v>6623</v>
      </c>
      <c r="R709" s="7" t="s">
        <v>4007</v>
      </c>
      <c r="S709" s="7" t="s">
        <v>6627</v>
      </c>
      <c r="T709" s="7" t="s">
        <v>2067</v>
      </c>
      <c r="U709" s="7" t="s">
        <v>5769</v>
      </c>
      <c r="V709" s="7" t="s">
        <v>2067</v>
      </c>
      <c r="W709" s="7" t="s">
        <v>2069</v>
      </c>
    </row>
    <row r="710" spans="1:23" ht="20.100000000000001" customHeight="1" x14ac:dyDescent="0.25">
      <c r="A710" s="3" t="s">
        <v>840</v>
      </c>
      <c r="B710" s="4" t="s">
        <v>2084</v>
      </c>
      <c r="C710" s="4" t="s">
        <v>6628</v>
      </c>
      <c r="D710" s="4" t="s">
        <v>2059</v>
      </c>
      <c r="E710" s="4" t="s">
        <v>1947</v>
      </c>
      <c r="F710" s="4" t="s">
        <v>1948</v>
      </c>
      <c r="G710" s="4" t="s">
        <v>2084</v>
      </c>
      <c r="H710" s="4" t="s">
        <v>6629</v>
      </c>
      <c r="I710" s="4" t="s">
        <v>6623</v>
      </c>
      <c r="J710" s="4" t="s">
        <v>6630</v>
      </c>
      <c r="K710" s="4" t="s">
        <v>6631</v>
      </c>
      <c r="L710" s="4" t="s">
        <v>6632</v>
      </c>
      <c r="M710" s="4" t="s">
        <v>2078</v>
      </c>
      <c r="N710" s="8">
        <v>46234</v>
      </c>
      <c r="O710" s="8">
        <v>46356</v>
      </c>
      <c r="P710" s="4" t="s">
        <v>2090</v>
      </c>
      <c r="Q710" s="4" t="s">
        <v>6623</v>
      </c>
      <c r="R710" s="4" t="s">
        <v>6633</v>
      </c>
      <c r="S710" s="4" t="s">
        <v>6634</v>
      </c>
      <c r="T710" s="4" t="s">
        <v>2067</v>
      </c>
      <c r="U710" s="4" t="s">
        <v>2146</v>
      </c>
      <c r="V710" s="4" t="s">
        <v>2067</v>
      </c>
      <c r="W710" s="4" t="s">
        <v>2069</v>
      </c>
    </row>
    <row r="711" spans="1:23" ht="20.100000000000001" customHeight="1" x14ac:dyDescent="0.25">
      <c r="A711" s="6" t="s">
        <v>642</v>
      </c>
      <c r="B711" s="7" t="s">
        <v>2084</v>
      </c>
      <c r="C711" s="7" t="s">
        <v>6635</v>
      </c>
      <c r="D711" s="7" t="s">
        <v>2059</v>
      </c>
      <c r="E711" s="7" t="s">
        <v>1947</v>
      </c>
      <c r="F711" s="7" t="s">
        <v>1948</v>
      </c>
      <c r="G711" s="7" t="s">
        <v>2084</v>
      </c>
      <c r="H711" s="7" t="s">
        <v>6636</v>
      </c>
      <c r="I711" s="7" t="s">
        <v>6623</v>
      </c>
      <c r="J711" s="7" t="s">
        <v>6637</v>
      </c>
      <c r="K711" s="7" t="s">
        <v>6638</v>
      </c>
      <c r="L711" s="7" t="s">
        <v>6639</v>
      </c>
      <c r="M711" s="7" t="s">
        <v>2078</v>
      </c>
      <c r="N711" s="9">
        <v>45992</v>
      </c>
      <c r="O711" s="9">
        <v>46356</v>
      </c>
      <c r="P711" s="7" t="s">
        <v>2090</v>
      </c>
      <c r="Q711" s="7" t="s">
        <v>6623</v>
      </c>
      <c r="R711" s="7" t="s">
        <v>6640</v>
      </c>
      <c r="S711" s="7" t="s">
        <v>6641</v>
      </c>
      <c r="T711" s="7" t="s">
        <v>2067</v>
      </c>
      <c r="U711" s="7" t="s">
        <v>2146</v>
      </c>
      <c r="V711" s="7" t="s">
        <v>2067</v>
      </c>
      <c r="W711" s="7" t="s">
        <v>2069</v>
      </c>
    </row>
    <row r="712" spans="1:23" ht="20.100000000000001" customHeight="1" x14ac:dyDescent="0.25">
      <c r="A712" s="3" t="s">
        <v>120</v>
      </c>
      <c r="B712" s="4" t="s">
        <v>2084</v>
      </c>
      <c r="C712" s="4" t="s">
        <v>6642</v>
      </c>
      <c r="D712" s="4" t="s">
        <v>2059</v>
      </c>
      <c r="E712" s="4" t="s">
        <v>1947</v>
      </c>
      <c r="F712" s="4" t="s">
        <v>1948</v>
      </c>
      <c r="G712" s="4" t="s">
        <v>2084</v>
      </c>
      <c r="H712" s="4" t="s">
        <v>6622</v>
      </c>
      <c r="I712" s="4" t="s">
        <v>6623</v>
      </c>
      <c r="J712" s="4" t="s">
        <v>6643</v>
      </c>
      <c r="K712" s="4" t="s">
        <v>6644</v>
      </c>
      <c r="L712" s="4" t="s">
        <v>6645</v>
      </c>
      <c r="M712" s="4" t="s">
        <v>2078</v>
      </c>
      <c r="N712" s="8">
        <v>45992</v>
      </c>
      <c r="O712" s="8">
        <v>46356</v>
      </c>
      <c r="P712" s="4" t="s">
        <v>2090</v>
      </c>
      <c r="Q712" s="4" t="s">
        <v>6623</v>
      </c>
      <c r="R712" s="4" t="s">
        <v>6646</v>
      </c>
      <c r="S712" s="4" t="s">
        <v>6647</v>
      </c>
      <c r="T712" s="4" t="s">
        <v>2067</v>
      </c>
      <c r="U712" s="4" t="s">
        <v>2146</v>
      </c>
      <c r="V712" s="4" t="s">
        <v>2067</v>
      </c>
      <c r="W712" s="4" t="s">
        <v>2069</v>
      </c>
    </row>
    <row r="713" spans="1:23" ht="20.100000000000001" customHeight="1" x14ac:dyDescent="0.25">
      <c r="A713" s="6" t="s">
        <v>448</v>
      </c>
      <c r="B713" s="7" t="s">
        <v>2084</v>
      </c>
      <c r="C713" s="7" t="s">
        <v>6648</v>
      </c>
      <c r="D713" s="7" t="s">
        <v>2059</v>
      </c>
      <c r="E713" s="7" t="s">
        <v>1947</v>
      </c>
      <c r="F713" s="7" t="s">
        <v>1948</v>
      </c>
      <c r="G713" s="7" t="s">
        <v>2084</v>
      </c>
      <c r="H713" s="7" t="s">
        <v>6649</v>
      </c>
      <c r="I713" s="7" t="s">
        <v>6623</v>
      </c>
      <c r="J713" s="7" t="s">
        <v>6650</v>
      </c>
      <c r="K713" s="7" t="s">
        <v>6651</v>
      </c>
      <c r="L713" s="7" t="s">
        <v>6652</v>
      </c>
      <c r="M713" s="7" t="s">
        <v>2078</v>
      </c>
      <c r="N713" s="9">
        <v>45992</v>
      </c>
      <c r="O713" s="9">
        <v>46356</v>
      </c>
      <c r="P713" s="7" t="s">
        <v>2090</v>
      </c>
      <c r="Q713" s="7" t="s">
        <v>6623</v>
      </c>
      <c r="R713" s="7" t="s">
        <v>6653</v>
      </c>
      <c r="S713" s="7" t="s">
        <v>6654</v>
      </c>
      <c r="T713" s="7" t="s">
        <v>2067</v>
      </c>
      <c r="U713" s="7" t="s">
        <v>2146</v>
      </c>
      <c r="V713" s="7" t="s">
        <v>2067</v>
      </c>
      <c r="W713" s="7" t="s">
        <v>2069</v>
      </c>
    </row>
    <row r="714" spans="1:23" ht="20.100000000000001" customHeight="1" x14ac:dyDescent="0.25">
      <c r="A714" s="3" t="s">
        <v>264</v>
      </c>
      <c r="B714" s="4" t="s">
        <v>2084</v>
      </c>
      <c r="C714" s="4" t="s">
        <v>6655</v>
      </c>
      <c r="D714" s="4" t="s">
        <v>2059</v>
      </c>
      <c r="E714" s="4" t="s">
        <v>4160</v>
      </c>
      <c r="F714" s="4" t="s">
        <v>4161</v>
      </c>
      <c r="G714" s="4" t="s">
        <v>2084</v>
      </c>
      <c r="H714" s="4" t="s">
        <v>6636</v>
      </c>
      <c r="I714" s="4" t="s">
        <v>6623</v>
      </c>
      <c r="J714" s="4" t="s">
        <v>6656</v>
      </c>
      <c r="K714" s="4" t="s">
        <v>6657</v>
      </c>
      <c r="L714" s="4" t="s">
        <v>6658</v>
      </c>
      <c r="M714" s="4" t="s">
        <v>2078</v>
      </c>
      <c r="N714" s="8">
        <v>45992</v>
      </c>
      <c r="O714" s="8">
        <v>46356</v>
      </c>
      <c r="P714" s="4" t="s">
        <v>4161</v>
      </c>
      <c r="Q714" s="4" t="s">
        <v>6623</v>
      </c>
      <c r="R714" s="4" t="s">
        <v>6659</v>
      </c>
      <c r="S714" s="4" t="s">
        <v>6660</v>
      </c>
      <c r="T714" s="4" t="s">
        <v>2067</v>
      </c>
      <c r="U714" s="4" t="s">
        <v>4167</v>
      </c>
      <c r="V714" s="4" t="s">
        <v>2067</v>
      </c>
      <c r="W714" s="4" t="s">
        <v>2069</v>
      </c>
    </row>
    <row r="715" spans="1:23" ht="20.100000000000001" customHeight="1" x14ac:dyDescent="0.25">
      <c r="A715" s="6" t="s">
        <v>582</v>
      </c>
      <c r="B715" s="7" t="s">
        <v>2084</v>
      </c>
      <c r="C715" s="7" t="s">
        <v>6661</v>
      </c>
      <c r="D715" s="7" t="s">
        <v>2059</v>
      </c>
      <c r="E715" s="7" t="s">
        <v>4160</v>
      </c>
      <c r="F715" s="7" t="s">
        <v>4161</v>
      </c>
      <c r="G715" s="7" t="s">
        <v>2084</v>
      </c>
      <c r="H715" s="7" t="s">
        <v>6622</v>
      </c>
      <c r="I715" s="7" t="s">
        <v>6623</v>
      </c>
      <c r="J715" s="7" t="s">
        <v>6662</v>
      </c>
      <c r="K715" s="7" t="s">
        <v>6663</v>
      </c>
      <c r="L715" s="7" t="s">
        <v>6664</v>
      </c>
      <c r="M715" s="7" t="s">
        <v>2078</v>
      </c>
      <c r="N715" s="9">
        <v>46056</v>
      </c>
      <c r="O715" s="9">
        <v>46294</v>
      </c>
      <c r="P715" s="7" t="s">
        <v>4161</v>
      </c>
      <c r="Q715" s="7" t="s">
        <v>6623</v>
      </c>
      <c r="R715" s="7" t="s">
        <v>6665</v>
      </c>
      <c r="S715" s="7" t="s">
        <v>6666</v>
      </c>
      <c r="T715" s="7" t="s">
        <v>2067</v>
      </c>
      <c r="U715" s="7" t="s">
        <v>4167</v>
      </c>
      <c r="V715" s="7" t="s">
        <v>2067</v>
      </c>
      <c r="W715" s="7" t="s">
        <v>2069</v>
      </c>
    </row>
    <row r="716" spans="1:23" ht="20.100000000000001" customHeight="1" x14ac:dyDescent="0.25">
      <c r="A716" s="3" t="s">
        <v>598</v>
      </c>
      <c r="B716" s="4" t="s">
        <v>2084</v>
      </c>
      <c r="C716" s="4" t="s">
        <v>6667</v>
      </c>
      <c r="D716" s="4" t="s">
        <v>2059</v>
      </c>
      <c r="E716" s="4" t="s">
        <v>1947</v>
      </c>
      <c r="F716" s="4" t="s">
        <v>1948</v>
      </c>
      <c r="G716" s="4" t="s">
        <v>2084</v>
      </c>
      <c r="H716" s="4" t="s">
        <v>6622</v>
      </c>
      <c r="I716" s="4" t="s">
        <v>6623</v>
      </c>
      <c r="J716" s="4" t="s">
        <v>6668</v>
      </c>
      <c r="K716" s="4" t="s">
        <v>6669</v>
      </c>
      <c r="L716" s="4" t="s">
        <v>6670</v>
      </c>
      <c r="M716" s="4" t="s">
        <v>2078</v>
      </c>
      <c r="N716" s="8">
        <v>46052</v>
      </c>
      <c r="O716" s="8">
        <v>46355</v>
      </c>
      <c r="P716" s="4" t="s">
        <v>2090</v>
      </c>
      <c r="Q716" s="4" t="s">
        <v>6623</v>
      </c>
      <c r="R716" s="4" t="s">
        <v>6671</v>
      </c>
      <c r="S716" s="4" t="s">
        <v>6672</v>
      </c>
      <c r="T716" s="4" t="s">
        <v>2067</v>
      </c>
      <c r="U716" s="4" t="s">
        <v>2146</v>
      </c>
      <c r="V716" s="4" t="s">
        <v>2067</v>
      </c>
      <c r="W716" s="4" t="s">
        <v>2069</v>
      </c>
    </row>
    <row r="717" spans="1:23" ht="20.100000000000001" customHeight="1" x14ac:dyDescent="0.25">
      <c r="A717" s="6" t="s">
        <v>6673</v>
      </c>
      <c r="B717" s="7" t="s">
        <v>2084</v>
      </c>
      <c r="C717" s="7" t="s">
        <v>6674</v>
      </c>
      <c r="D717" s="7" t="s">
        <v>2059</v>
      </c>
      <c r="E717" s="7" t="s">
        <v>1947</v>
      </c>
      <c r="F717" s="7" t="s">
        <v>1948</v>
      </c>
      <c r="G717" s="7" t="s">
        <v>2084</v>
      </c>
      <c r="H717" s="7" t="s">
        <v>6629</v>
      </c>
      <c r="I717" s="7" t="s">
        <v>6623</v>
      </c>
      <c r="J717" s="7" t="s">
        <v>6675</v>
      </c>
      <c r="K717" s="7" t="s">
        <v>6676</v>
      </c>
      <c r="L717" s="7" t="s">
        <v>6677</v>
      </c>
      <c r="M717" s="7" t="s">
        <v>2078</v>
      </c>
      <c r="N717" s="9">
        <v>46234</v>
      </c>
      <c r="O717" s="9">
        <v>46356</v>
      </c>
      <c r="P717" s="7" t="s">
        <v>2195</v>
      </c>
      <c r="Q717" s="7" t="s">
        <v>6623</v>
      </c>
      <c r="R717" s="7" t="s">
        <v>6678</v>
      </c>
      <c r="S717" s="7" t="s">
        <v>6679</v>
      </c>
      <c r="T717" s="7" t="s">
        <v>2067</v>
      </c>
      <c r="U717" s="7" t="s">
        <v>2198</v>
      </c>
      <c r="V717" s="7" t="s">
        <v>2067</v>
      </c>
      <c r="W717" s="7" t="s">
        <v>2069</v>
      </c>
    </row>
    <row r="718" spans="1:23" ht="20.100000000000001" customHeight="1" x14ac:dyDescent="0.25">
      <c r="A718" s="3" t="s">
        <v>1678</v>
      </c>
      <c r="B718" s="4" t="s">
        <v>2084</v>
      </c>
      <c r="C718" s="4" t="s">
        <v>6680</v>
      </c>
      <c r="D718" s="4" t="s">
        <v>2059</v>
      </c>
      <c r="E718" s="4" t="s">
        <v>1947</v>
      </c>
      <c r="F718" s="4" t="s">
        <v>1948</v>
      </c>
      <c r="G718" s="4" t="s">
        <v>2084</v>
      </c>
      <c r="H718" s="4" t="s">
        <v>6629</v>
      </c>
      <c r="I718" s="4" t="s">
        <v>6623</v>
      </c>
      <c r="J718" s="4" t="s">
        <v>6681</v>
      </c>
      <c r="K718" s="4" t="s">
        <v>6682</v>
      </c>
      <c r="L718" s="4" t="s">
        <v>6683</v>
      </c>
      <c r="M718" s="4" t="s">
        <v>2078</v>
      </c>
      <c r="N718" s="8">
        <v>46121</v>
      </c>
      <c r="O718" s="8">
        <v>46356</v>
      </c>
      <c r="P718" s="4" t="s">
        <v>2090</v>
      </c>
      <c r="Q718" s="4" t="s">
        <v>6623</v>
      </c>
      <c r="R718" s="4" t="s">
        <v>4178</v>
      </c>
      <c r="S718" s="4" t="s">
        <v>6684</v>
      </c>
      <c r="T718" s="4" t="s">
        <v>2067</v>
      </c>
      <c r="U718" s="4" t="s">
        <v>2146</v>
      </c>
      <c r="V718" s="4" t="s">
        <v>2067</v>
      </c>
      <c r="W718" s="4" t="s">
        <v>2069</v>
      </c>
    </row>
    <row r="719" spans="1:23" ht="20.100000000000001" customHeight="1" x14ac:dyDescent="0.25">
      <c r="A719" s="6" t="s">
        <v>6685</v>
      </c>
      <c r="B719" s="7" t="s">
        <v>2084</v>
      </c>
      <c r="C719" s="7" t="s">
        <v>6686</v>
      </c>
      <c r="D719" s="7" t="s">
        <v>2059</v>
      </c>
      <c r="E719" s="7" t="s">
        <v>2189</v>
      </c>
      <c r="F719" s="7" t="s">
        <v>2190</v>
      </c>
      <c r="G719" s="7" t="s">
        <v>2084</v>
      </c>
      <c r="H719" s="7" t="s">
        <v>6687</v>
      </c>
      <c r="I719" s="7" t="s">
        <v>6688</v>
      </c>
      <c r="J719" s="7" t="s">
        <v>6689</v>
      </c>
      <c r="K719" s="7" t="s">
        <v>6690</v>
      </c>
      <c r="L719" s="7" t="s">
        <v>6691</v>
      </c>
      <c r="M719" s="7" t="s">
        <v>2078</v>
      </c>
      <c r="N719" s="9">
        <v>45992</v>
      </c>
      <c r="O719" s="9">
        <v>46356</v>
      </c>
      <c r="P719" s="7" t="s">
        <v>2195</v>
      </c>
      <c r="Q719" s="7" t="s">
        <v>6688</v>
      </c>
      <c r="R719" s="7" t="s">
        <v>6494</v>
      </c>
      <c r="S719" s="7" t="s">
        <v>6692</v>
      </c>
      <c r="T719" s="7" t="s">
        <v>2067</v>
      </c>
      <c r="U719" s="7" t="s">
        <v>2198</v>
      </c>
      <c r="V719" s="7" t="s">
        <v>2067</v>
      </c>
      <c r="W719" s="7" t="s">
        <v>2069</v>
      </c>
    </row>
    <row r="720" spans="1:23" ht="20.100000000000001" customHeight="1" x14ac:dyDescent="0.25">
      <c r="A720" s="3" t="s">
        <v>6693</v>
      </c>
      <c r="B720" s="4" t="s">
        <v>2084</v>
      </c>
      <c r="C720" s="4" t="s">
        <v>6694</v>
      </c>
      <c r="D720" s="4" t="s">
        <v>2059</v>
      </c>
      <c r="E720" s="4" t="s">
        <v>1947</v>
      </c>
      <c r="F720" s="4" t="s">
        <v>1948</v>
      </c>
      <c r="G720" s="4" t="s">
        <v>2084</v>
      </c>
      <c r="H720" s="4" t="s">
        <v>6695</v>
      </c>
      <c r="I720" s="4" t="s">
        <v>6688</v>
      </c>
      <c r="J720" s="4" t="s">
        <v>6696</v>
      </c>
      <c r="K720" s="4" t="s">
        <v>6697</v>
      </c>
      <c r="L720" s="4" t="s">
        <v>6698</v>
      </c>
      <c r="M720" s="4" t="s">
        <v>2078</v>
      </c>
      <c r="N720" s="8">
        <v>45992</v>
      </c>
      <c r="O720" s="8">
        <v>46356</v>
      </c>
      <c r="P720" s="4" t="s">
        <v>2090</v>
      </c>
      <c r="Q720" s="4" t="s">
        <v>6688</v>
      </c>
      <c r="R720" s="4" t="s">
        <v>6699</v>
      </c>
      <c r="S720" s="4" t="s">
        <v>6700</v>
      </c>
      <c r="T720" s="4" t="s">
        <v>2067</v>
      </c>
      <c r="U720" s="4" t="s">
        <v>2146</v>
      </c>
      <c r="V720" s="4" t="s">
        <v>2067</v>
      </c>
      <c r="W720" s="4" t="s">
        <v>2069</v>
      </c>
    </row>
    <row r="721" spans="1:23" ht="20.100000000000001" customHeight="1" x14ac:dyDescent="0.25">
      <c r="A721" s="6" t="s">
        <v>1060</v>
      </c>
      <c r="B721" s="7" t="s">
        <v>2084</v>
      </c>
      <c r="C721" s="7" t="s">
        <v>6701</v>
      </c>
      <c r="D721" s="7" t="s">
        <v>2059</v>
      </c>
      <c r="E721" s="7" t="s">
        <v>1947</v>
      </c>
      <c r="F721" s="7" t="s">
        <v>1948</v>
      </c>
      <c r="G721" s="7" t="s">
        <v>2084</v>
      </c>
      <c r="H721" s="7" t="s">
        <v>6687</v>
      </c>
      <c r="I721" s="7" t="s">
        <v>6688</v>
      </c>
      <c r="J721" s="7" t="s">
        <v>6702</v>
      </c>
      <c r="K721" s="7" t="s">
        <v>6703</v>
      </c>
      <c r="L721" s="7" t="s">
        <v>6704</v>
      </c>
      <c r="M721" s="7" t="s">
        <v>2078</v>
      </c>
      <c r="N721" s="9">
        <v>45992</v>
      </c>
      <c r="O721" s="9">
        <v>46356</v>
      </c>
      <c r="P721" s="7" t="s">
        <v>2090</v>
      </c>
      <c r="Q721" s="7" t="s">
        <v>6688</v>
      </c>
      <c r="R721" s="7" t="s">
        <v>6705</v>
      </c>
      <c r="S721" s="7" t="s">
        <v>6706</v>
      </c>
      <c r="T721" s="7" t="s">
        <v>2067</v>
      </c>
      <c r="U721" s="7" t="s">
        <v>2146</v>
      </c>
      <c r="V721" s="7" t="s">
        <v>2067</v>
      </c>
      <c r="W721" s="7" t="s">
        <v>2069</v>
      </c>
    </row>
    <row r="722" spans="1:23" ht="20.100000000000001" customHeight="1" x14ac:dyDescent="0.25">
      <c r="A722" s="3" t="s">
        <v>1002</v>
      </c>
      <c r="B722" s="4" t="s">
        <v>2084</v>
      </c>
      <c r="C722" s="4" t="s">
        <v>6707</v>
      </c>
      <c r="D722" s="4" t="s">
        <v>2059</v>
      </c>
      <c r="E722" s="4" t="s">
        <v>1947</v>
      </c>
      <c r="F722" s="4" t="s">
        <v>1948</v>
      </c>
      <c r="G722" s="4" t="s">
        <v>2084</v>
      </c>
      <c r="H722" s="4" t="s">
        <v>6708</v>
      </c>
      <c r="I722" s="4" t="s">
        <v>6688</v>
      </c>
      <c r="J722" s="4" t="s">
        <v>6709</v>
      </c>
      <c r="K722" s="4" t="s">
        <v>6710</v>
      </c>
      <c r="L722" s="4" t="s">
        <v>6711</v>
      </c>
      <c r="M722" s="4" t="s">
        <v>2078</v>
      </c>
      <c r="N722" s="8">
        <v>45992</v>
      </c>
      <c r="O722" s="8">
        <v>46356</v>
      </c>
      <c r="P722" s="4" t="s">
        <v>2090</v>
      </c>
      <c r="Q722" s="4" t="s">
        <v>6688</v>
      </c>
      <c r="R722" s="4" t="s">
        <v>6712</v>
      </c>
      <c r="S722" s="4" t="s">
        <v>6713</v>
      </c>
      <c r="T722" s="4" t="s">
        <v>2067</v>
      </c>
      <c r="U722" s="4" t="s">
        <v>2146</v>
      </c>
      <c r="V722" s="4" t="s">
        <v>2067</v>
      </c>
      <c r="W722" s="4" t="s">
        <v>2069</v>
      </c>
    </row>
    <row r="723" spans="1:23" ht="20.100000000000001" customHeight="1" x14ac:dyDescent="0.25">
      <c r="A723" s="6" t="s">
        <v>142</v>
      </c>
      <c r="B723" s="7" t="s">
        <v>2084</v>
      </c>
      <c r="C723" s="7" t="s">
        <v>6714</v>
      </c>
      <c r="D723" s="7" t="s">
        <v>2059</v>
      </c>
      <c r="E723" s="7" t="s">
        <v>2673</v>
      </c>
      <c r="F723" s="7" t="s">
        <v>2674</v>
      </c>
      <c r="G723" s="7" t="s">
        <v>2084</v>
      </c>
      <c r="H723" s="7" t="s">
        <v>6708</v>
      </c>
      <c r="I723" s="7" t="s">
        <v>6688</v>
      </c>
      <c r="J723" s="7" t="s">
        <v>6715</v>
      </c>
      <c r="K723" s="7" t="s">
        <v>6716</v>
      </c>
      <c r="L723" s="7" t="s">
        <v>6717</v>
      </c>
      <c r="M723" s="7" t="s">
        <v>2078</v>
      </c>
      <c r="N723" s="9">
        <v>46234</v>
      </c>
      <c r="O723" s="9">
        <v>46356</v>
      </c>
      <c r="P723" s="7" t="s">
        <v>2674</v>
      </c>
      <c r="Q723" s="7" t="s">
        <v>6688</v>
      </c>
      <c r="R723" s="7" t="s">
        <v>3079</v>
      </c>
      <c r="S723" s="7" t="s">
        <v>6718</v>
      </c>
      <c r="T723" s="7" t="s">
        <v>2067</v>
      </c>
      <c r="U723" s="7" t="s">
        <v>2680</v>
      </c>
      <c r="V723" s="7" t="s">
        <v>2067</v>
      </c>
      <c r="W723" s="7" t="s">
        <v>2069</v>
      </c>
    </row>
    <row r="724" spans="1:23" ht="20.100000000000001" customHeight="1" x14ac:dyDescent="0.25">
      <c r="A724" s="3" t="s">
        <v>6719</v>
      </c>
      <c r="B724" s="4" t="s">
        <v>2084</v>
      </c>
      <c r="C724" s="4" t="s">
        <v>6720</v>
      </c>
      <c r="D724" s="4" t="s">
        <v>2059</v>
      </c>
      <c r="E724" s="4" t="s">
        <v>1947</v>
      </c>
      <c r="F724" s="4" t="s">
        <v>1948</v>
      </c>
      <c r="G724" s="4" t="s">
        <v>2084</v>
      </c>
      <c r="H724" s="4" t="s">
        <v>6721</v>
      </c>
      <c r="I724" s="4" t="s">
        <v>6722</v>
      </c>
      <c r="J724" s="4" t="s">
        <v>6723</v>
      </c>
      <c r="K724" s="4" t="s">
        <v>6724</v>
      </c>
      <c r="L724" s="4" t="s">
        <v>6725</v>
      </c>
      <c r="M724" s="4" t="s">
        <v>2078</v>
      </c>
      <c r="N724" s="8">
        <v>46234</v>
      </c>
      <c r="O724" s="8">
        <v>46356</v>
      </c>
      <c r="P724" s="4" t="s">
        <v>2090</v>
      </c>
      <c r="Q724" s="4" t="s">
        <v>6722</v>
      </c>
      <c r="R724" s="4" t="s">
        <v>4609</v>
      </c>
      <c r="S724" s="4" t="s">
        <v>6726</v>
      </c>
      <c r="T724" s="4" t="s">
        <v>2067</v>
      </c>
      <c r="U724" s="4" t="s">
        <v>2146</v>
      </c>
      <c r="V724" s="4" t="s">
        <v>2067</v>
      </c>
      <c r="W724" s="4" t="s">
        <v>2069</v>
      </c>
    </row>
    <row r="725" spans="1:23" ht="20.100000000000001" customHeight="1" x14ac:dyDescent="0.25">
      <c r="A725" s="6" t="s">
        <v>822</v>
      </c>
      <c r="B725" s="7" t="s">
        <v>2084</v>
      </c>
      <c r="C725" s="7" t="s">
        <v>6727</v>
      </c>
      <c r="D725" s="7" t="s">
        <v>2059</v>
      </c>
      <c r="E725" s="7" t="s">
        <v>1965</v>
      </c>
      <c r="F725" s="7" t="s">
        <v>1966</v>
      </c>
      <c r="G725" s="7" t="s">
        <v>2084</v>
      </c>
      <c r="H725" s="7" t="s">
        <v>6721</v>
      </c>
      <c r="I725" s="7" t="s">
        <v>6722</v>
      </c>
      <c r="J725" s="7" t="s">
        <v>6728</v>
      </c>
      <c r="K725" s="7" t="s">
        <v>6729</v>
      </c>
      <c r="L725" s="7" t="s">
        <v>6730</v>
      </c>
      <c r="M725" s="7" t="s">
        <v>2078</v>
      </c>
      <c r="N725" s="9">
        <v>45992</v>
      </c>
      <c r="O725" s="9">
        <v>46356</v>
      </c>
      <c r="P725" s="7" t="s">
        <v>1966</v>
      </c>
      <c r="Q725" s="7" t="s">
        <v>6722</v>
      </c>
      <c r="R725" s="7" t="s">
        <v>6731</v>
      </c>
      <c r="S725" s="7" t="s">
        <v>6732</v>
      </c>
      <c r="T725" s="7" t="s">
        <v>2067</v>
      </c>
      <c r="U725" s="7" t="s">
        <v>2174</v>
      </c>
      <c r="V725" s="7" t="s">
        <v>2067</v>
      </c>
      <c r="W725" s="7" t="s">
        <v>2069</v>
      </c>
    </row>
    <row r="726" spans="1:23" ht="20.100000000000001" customHeight="1" x14ac:dyDescent="0.25">
      <c r="A726" s="3" t="s">
        <v>82</v>
      </c>
      <c r="B726" s="4" t="s">
        <v>2084</v>
      </c>
      <c r="C726" s="4" t="s">
        <v>6733</v>
      </c>
      <c r="D726" s="4" t="s">
        <v>2059</v>
      </c>
      <c r="E726" s="4" t="s">
        <v>1979</v>
      </c>
      <c r="F726" s="4" t="s">
        <v>2728</v>
      </c>
      <c r="G726" s="4" t="s">
        <v>2084</v>
      </c>
      <c r="H726" s="4" t="s">
        <v>6721</v>
      </c>
      <c r="I726" s="4" t="s">
        <v>6722</v>
      </c>
      <c r="J726" s="4" t="s">
        <v>6734</v>
      </c>
      <c r="K726" s="4" t="s">
        <v>6735</v>
      </c>
      <c r="L726" s="4" t="s">
        <v>6736</v>
      </c>
      <c r="M726" s="4" t="s">
        <v>2078</v>
      </c>
      <c r="N726" s="8">
        <v>46052</v>
      </c>
      <c r="O726" s="8">
        <v>46355</v>
      </c>
      <c r="P726" s="4" t="s">
        <v>2728</v>
      </c>
      <c r="Q726" s="4" t="s">
        <v>6722</v>
      </c>
      <c r="R726" s="4" t="s">
        <v>6737</v>
      </c>
      <c r="S726" s="4" t="s">
        <v>6738</v>
      </c>
      <c r="T726" s="4" t="s">
        <v>2067</v>
      </c>
      <c r="U726" s="4" t="s">
        <v>2728</v>
      </c>
      <c r="V726" s="4" t="s">
        <v>2067</v>
      </c>
      <c r="W726" s="4" t="s">
        <v>2069</v>
      </c>
    </row>
    <row r="727" spans="1:23" ht="20.100000000000001" customHeight="1" x14ac:dyDescent="0.25">
      <c r="A727" s="6" t="s">
        <v>980</v>
      </c>
      <c r="B727" s="7" t="s">
        <v>2084</v>
      </c>
      <c r="C727" s="7" t="s">
        <v>6739</v>
      </c>
      <c r="D727" s="7" t="s">
        <v>2059</v>
      </c>
      <c r="E727" s="7" t="s">
        <v>2111</v>
      </c>
      <c r="F727" s="7" t="s">
        <v>2112</v>
      </c>
      <c r="G727" s="7" t="s">
        <v>2084</v>
      </c>
      <c r="H727" s="7" t="s">
        <v>6740</v>
      </c>
      <c r="I727" s="7" t="s">
        <v>6722</v>
      </c>
      <c r="J727" s="7" t="s">
        <v>6741</v>
      </c>
      <c r="K727" s="7" t="s">
        <v>6742</v>
      </c>
      <c r="L727" s="7" t="s">
        <v>6743</v>
      </c>
      <c r="M727" s="7" t="s">
        <v>2078</v>
      </c>
      <c r="N727" s="9">
        <v>45992</v>
      </c>
      <c r="O727" s="9">
        <v>46356</v>
      </c>
      <c r="P727" s="7" t="s">
        <v>2112</v>
      </c>
      <c r="Q727" s="7" t="s">
        <v>6722</v>
      </c>
      <c r="R727" s="7" t="s">
        <v>6744</v>
      </c>
      <c r="S727" s="7" t="s">
        <v>6745</v>
      </c>
      <c r="T727" s="7" t="s">
        <v>2067</v>
      </c>
      <c r="U727" s="7" t="s">
        <v>2119</v>
      </c>
      <c r="V727" s="7" t="s">
        <v>2067</v>
      </c>
      <c r="W727" s="7" t="s">
        <v>2069</v>
      </c>
    </row>
    <row r="728" spans="1:23" ht="20.100000000000001" customHeight="1" x14ac:dyDescent="0.25">
      <c r="A728" s="3" t="s">
        <v>564</v>
      </c>
      <c r="B728" s="4" t="s">
        <v>2084</v>
      </c>
      <c r="C728" s="4" t="s">
        <v>6746</v>
      </c>
      <c r="D728" s="4" t="s">
        <v>2059</v>
      </c>
      <c r="E728" s="4" t="s">
        <v>3064</v>
      </c>
      <c r="F728" s="4" t="s">
        <v>3065</v>
      </c>
      <c r="G728" s="4" t="s">
        <v>2084</v>
      </c>
      <c r="H728" s="4" t="s">
        <v>6721</v>
      </c>
      <c r="I728" s="4" t="s">
        <v>6722</v>
      </c>
      <c r="J728" s="4" t="s">
        <v>6747</v>
      </c>
      <c r="K728" s="4" t="s">
        <v>6748</v>
      </c>
      <c r="L728" s="4" t="s">
        <v>6749</v>
      </c>
      <c r="M728" s="4" t="s">
        <v>2078</v>
      </c>
      <c r="N728" s="8">
        <v>46052</v>
      </c>
      <c r="O728" s="8">
        <v>46355</v>
      </c>
      <c r="P728" s="4" t="s">
        <v>3065</v>
      </c>
      <c r="Q728" s="4" t="s">
        <v>6722</v>
      </c>
      <c r="R728" s="4" t="s">
        <v>6750</v>
      </c>
      <c r="S728" s="4" t="s">
        <v>6751</v>
      </c>
      <c r="T728" s="4" t="s">
        <v>2067</v>
      </c>
      <c r="U728" s="4" t="s">
        <v>3073</v>
      </c>
      <c r="V728" s="4" t="s">
        <v>2067</v>
      </c>
      <c r="W728" s="4" t="s">
        <v>2069</v>
      </c>
    </row>
    <row r="729" spans="1:23" ht="20.100000000000001" customHeight="1" x14ac:dyDescent="0.25">
      <c r="A729" s="6" t="s">
        <v>440</v>
      </c>
      <c r="B729" s="7" t="s">
        <v>2084</v>
      </c>
      <c r="C729" s="7" t="s">
        <v>6752</v>
      </c>
      <c r="D729" s="7" t="s">
        <v>2059</v>
      </c>
      <c r="E729" s="7" t="s">
        <v>1979</v>
      </c>
      <c r="F729" s="7" t="s">
        <v>2728</v>
      </c>
      <c r="G729" s="7" t="s">
        <v>2084</v>
      </c>
      <c r="H729" s="7" t="s">
        <v>6721</v>
      </c>
      <c r="I729" s="7" t="s">
        <v>6722</v>
      </c>
      <c r="J729" s="7" t="s">
        <v>6753</v>
      </c>
      <c r="K729" s="7" t="s">
        <v>6754</v>
      </c>
      <c r="L729" s="7" t="s">
        <v>6755</v>
      </c>
      <c r="M729" s="7" t="s">
        <v>2078</v>
      </c>
      <c r="N729" s="9">
        <v>46052</v>
      </c>
      <c r="O729" s="9">
        <v>46355</v>
      </c>
      <c r="P729" s="7" t="s">
        <v>2728</v>
      </c>
      <c r="Q729" s="7" t="s">
        <v>6722</v>
      </c>
      <c r="R729" s="7" t="s">
        <v>3834</v>
      </c>
      <c r="S729" s="7" t="s">
        <v>6756</v>
      </c>
      <c r="T729" s="7" t="s">
        <v>2067</v>
      </c>
      <c r="U729" s="7" t="s">
        <v>2728</v>
      </c>
      <c r="V729" s="7" t="s">
        <v>2067</v>
      </c>
      <c r="W729" s="7" t="s">
        <v>2069</v>
      </c>
    </row>
    <row r="730" spans="1:23" ht="20.100000000000001" customHeight="1" x14ac:dyDescent="0.25">
      <c r="A730" s="3" t="s">
        <v>626</v>
      </c>
      <c r="B730" s="4" t="s">
        <v>2084</v>
      </c>
      <c r="C730" s="4" t="s">
        <v>6757</v>
      </c>
      <c r="D730" s="4" t="s">
        <v>2059</v>
      </c>
      <c r="E730" s="4" t="s">
        <v>1979</v>
      </c>
      <c r="F730" s="4" t="s">
        <v>1980</v>
      </c>
      <c r="G730" s="4" t="s">
        <v>2084</v>
      </c>
      <c r="H730" s="4" t="s">
        <v>6758</v>
      </c>
      <c r="I730" s="4" t="s">
        <v>6722</v>
      </c>
      <c r="J730" s="4" t="s">
        <v>6759</v>
      </c>
      <c r="K730" s="4" t="s">
        <v>6760</v>
      </c>
      <c r="L730" s="4" t="s">
        <v>6761</v>
      </c>
      <c r="M730" s="4" t="s">
        <v>2078</v>
      </c>
      <c r="N730" s="8">
        <v>45992</v>
      </c>
      <c r="O730" s="8">
        <v>46356</v>
      </c>
      <c r="P730" s="4" t="s">
        <v>1980</v>
      </c>
      <c r="Q730" s="4" t="s">
        <v>6722</v>
      </c>
      <c r="R730" s="4" t="s">
        <v>6516</v>
      </c>
      <c r="S730" s="4" t="s">
        <v>6762</v>
      </c>
      <c r="T730" s="4" t="s">
        <v>2067</v>
      </c>
      <c r="U730" s="4" t="s">
        <v>2299</v>
      </c>
      <c r="V730" s="4" t="s">
        <v>2067</v>
      </c>
      <c r="W730" s="4" t="s">
        <v>2069</v>
      </c>
    </row>
    <row r="731" spans="1:23" ht="20.100000000000001" customHeight="1" x14ac:dyDescent="0.25">
      <c r="A731" s="6" t="s">
        <v>566</v>
      </c>
      <c r="B731" s="7" t="s">
        <v>2084</v>
      </c>
      <c r="C731" s="7" t="s">
        <v>6763</v>
      </c>
      <c r="D731" s="7" t="s">
        <v>2059</v>
      </c>
      <c r="E731" s="7" t="s">
        <v>3520</v>
      </c>
      <c r="F731" s="7" t="s">
        <v>3521</v>
      </c>
      <c r="G731" s="7" t="s">
        <v>2084</v>
      </c>
      <c r="H731" s="7" t="s">
        <v>6721</v>
      </c>
      <c r="I731" s="7" t="s">
        <v>6722</v>
      </c>
      <c r="J731" s="7" t="s">
        <v>6764</v>
      </c>
      <c r="K731" s="7" t="s">
        <v>6765</v>
      </c>
      <c r="L731" s="7" t="s">
        <v>6766</v>
      </c>
      <c r="M731" s="7" t="s">
        <v>2078</v>
      </c>
      <c r="N731" s="9">
        <v>46234</v>
      </c>
      <c r="O731" s="9">
        <v>46356</v>
      </c>
      <c r="P731" s="7" t="s">
        <v>3521</v>
      </c>
      <c r="Q731" s="7" t="s">
        <v>6722</v>
      </c>
      <c r="R731" s="7" t="s">
        <v>6767</v>
      </c>
      <c r="S731" s="7" t="s">
        <v>6768</v>
      </c>
      <c r="T731" s="7" t="s">
        <v>2067</v>
      </c>
      <c r="U731" s="7" t="s">
        <v>3527</v>
      </c>
      <c r="V731" s="7" t="s">
        <v>2067</v>
      </c>
      <c r="W731" s="7" t="s">
        <v>2069</v>
      </c>
    </row>
    <row r="732" spans="1:23" ht="20.100000000000001" customHeight="1" x14ac:dyDescent="0.25">
      <c r="A732" s="3" t="s">
        <v>56</v>
      </c>
      <c r="B732" s="4" t="s">
        <v>2084</v>
      </c>
      <c r="C732" s="4" t="s">
        <v>6769</v>
      </c>
      <c r="D732" s="4" t="s">
        <v>2059</v>
      </c>
      <c r="E732" s="4" t="s">
        <v>2673</v>
      </c>
      <c r="F732" s="4" t="s">
        <v>2674</v>
      </c>
      <c r="G732" s="4" t="s">
        <v>2084</v>
      </c>
      <c r="H732" s="4" t="s">
        <v>6721</v>
      </c>
      <c r="I732" s="4" t="s">
        <v>6722</v>
      </c>
      <c r="J732" s="4" t="s">
        <v>6770</v>
      </c>
      <c r="K732" s="4" t="s">
        <v>6771</v>
      </c>
      <c r="L732" s="4" t="s">
        <v>6772</v>
      </c>
      <c r="M732" s="4" t="s">
        <v>2078</v>
      </c>
      <c r="N732" s="8">
        <v>46234</v>
      </c>
      <c r="O732" s="8">
        <v>46356</v>
      </c>
      <c r="P732" s="4" t="s">
        <v>2674</v>
      </c>
      <c r="Q732" s="4" t="s">
        <v>6722</v>
      </c>
      <c r="R732" s="4" t="s">
        <v>6773</v>
      </c>
      <c r="S732" s="4" t="s">
        <v>6774</v>
      </c>
      <c r="T732" s="4" t="s">
        <v>2067</v>
      </c>
      <c r="U732" s="4" t="s">
        <v>2680</v>
      </c>
      <c r="V732" s="4" t="s">
        <v>2067</v>
      </c>
      <c r="W732" s="4" t="s">
        <v>2069</v>
      </c>
    </row>
    <row r="733" spans="1:23" ht="20.100000000000001" customHeight="1" x14ac:dyDescent="0.25">
      <c r="A733" s="6" t="s">
        <v>1188</v>
      </c>
      <c r="B733" s="7" t="s">
        <v>2084</v>
      </c>
      <c r="C733" s="7" t="s">
        <v>6775</v>
      </c>
      <c r="D733" s="7" t="s">
        <v>2059</v>
      </c>
      <c r="E733" s="7" t="s">
        <v>1947</v>
      </c>
      <c r="F733" s="7" t="s">
        <v>1948</v>
      </c>
      <c r="G733" s="7" t="s">
        <v>2084</v>
      </c>
      <c r="H733" s="7" t="s">
        <v>6758</v>
      </c>
      <c r="I733" s="7" t="s">
        <v>6722</v>
      </c>
      <c r="J733" s="7" t="s">
        <v>6776</v>
      </c>
      <c r="K733" s="7" t="s">
        <v>6777</v>
      </c>
      <c r="L733" s="7" t="s">
        <v>6778</v>
      </c>
      <c r="M733" s="7" t="s">
        <v>2078</v>
      </c>
      <c r="N733" s="9">
        <v>46234</v>
      </c>
      <c r="O733" s="9">
        <v>46356</v>
      </c>
      <c r="P733" s="7" t="s">
        <v>2493</v>
      </c>
      <c r="Q733" s="7" t="s">
        <v>6722</v>
      </c>
      <c r="R733" s="7" t="s">
        <v>6779</v>
      </c>
      <c r="S733" s="7" t="s">
        <v>6780</v>
      </c>
      <c r="T733" s="7" t="s">
        <v>2067</v>
      </c>
      <c r="U733" s="7" t="s">
        <v>2496</v>
      </c>
      <c r="V733" s="7" t="s">
        <v>2067</v>
      </c>
      <c r="W733" s="7" t="s">
        <v>2069</v>
      </c>
    </row>
    <row r="734" spans="1:23" ht="20.100000000000001" customHeight="1" x14ac:dyDescent="0.25">
      <c r="A734" s="3" t="s">
        <v>1748</v>
      </c>
      <c r="B734" s="4" t="s">
        <v>2084</v>
      </c>
      <c r="C734" s="4" t="s">
        <v>6781</v>
      </c>
      <c r="D734" s="4" t="s">
        <v>2059</v>
      </c>
      <c r="E734" s="4" t="s">
        <v>1947</v>
      </c>
      <c r="F734" s="4" t="s">
        <v>1948</v>
      </c>
      <c r="G734" s="4" t="s">
        <v>2084</v>
      </c>
      <c r="H734" s="4" t="s">
        <v>6782</v>
      </c>
      <c r="I734" s="4" t="s">
        <v>6722</v>
      </c>
      <c r="J734" s="4" t="s">
        <v>6783</v>
      </c>
      <c r="K734" s="4" t="s">
        <v>6784</v>
      </c>
      <c r="L734" s="4" t="s">
        <v>6785</v>
      </c>
      <c r="M734" s="4" t="s">
        <v>2078</v>
      </c>
      <c r="N734" s="8">
        <v>46052</v>
      </c>
      <c r="O734" s="8">
        <v>46355</v>
      </c>
      <c r="P734" s="4" t="s">
        <v>2090</v>
      </c>
      <c r="Q734" s="4" t="s">
        <v>6722</v>
      </c>
      <c r="R734" s="4" t="s">
        <v>6786</v>
      </c>
      <c r="S734" s="4" t="s">
        <v>6787</v>
      </c>
      <c r="T734" s="4" t="s">
        <v>2067</v>
      </c>
      <c r="U734" s="4" t="s">
        <v>2146</v>
      </c>
      <c r="V734" s="4" t="s">
        <v>2067</v>
      </c>
      <c r="W734" s="4" t="s">
        <v>2069</v>
      </c>
    </row>
    <row r="735" spans="1:23" ht="20.100000000000001" customHeight="1" x14ac:dyDescent="0.25">
      <c r="A735" s="6" t="s">
        <v>6788</v>
      </c>
      <c r="B735" s="7" t="s">
        <v>2084</v>
      </c>
      <c r="C735" s="7" t="s">
        <v>6789</v>
      </c>
      <c r="D735" s="7" t="s">
        <v>2059</v>
      </c>
      <c r="E735" s="7" t="s">
        <v>2673</v>
      </c>
      <c r="F735" s="7" t="s">
        <v>2674</v>
      </c>
      <c r="G735" s="7" t="s">
        <v>2084</v>
      </c>
      <c r="H735" s="7" t="s">
        <v>6740</v>
      </c>
      <c r="I735" s="7" t="s">
        <v>6722</v>
      </c>
      <c r="J735" s="7" t="s">
        <v>6790</v>
      </c>
      <c r="K735" s="7" t="s">
        <v>6791</v>
      </c>
      <c r="L735" s="7" t="s">
        <v>6792</v>
      </c>
      <c r="M735" s="7" t="s">
        <v>2078</v>
      </c>
      <c r="N735" s="9">
        <v>46234</v>
      </c>
      <c r="O735" s="9">
        <v>46356</v>
      </c>
      <c r="P735" s="7" t="s">
        <v>2674</v>
      </c>
      <c r="Q735" s="7" t="s">
        <v>6722</v>
      </c>
      <c r="R735" s="7" t="s">
        <v>5129</v>
      </c>
      <c r="S735" s="7" t="s">
        <v>6793</v>
      </c>
      <c r="T735" s="7" t="s">
        <v>2067</v>
      </c>
      <c r="U735" s="7" t="s">
        <v>2680</v>
      </c>
      <c r="V735" s="7" t="s">
        <v>2067</v>
      </c>
      <c r="W735" s="7" t="s">
        <v>2069</v>
      </c>
    </row>
    <row r="736" spans="1:23" ht="20.100000000000001" customHeight="1" x14ac:dyDescent="0.25">
      <c r="A736" s="3" t="s">
        <v>1546</v>
      </c>
      <c r="B736" s="4" t="s">
        <v>2084</v>
      </c>
      <c r="C736" s="4" t="s">
        <v>6794</v>
      </c>
      <c r="D736" s="4" t="s">
        <v>2059</v>
      </c>
      <c r="E736" s="4" t="s">
        <v>1947</v>
      </c>
      <c r="F736" s="4" t="s">
        <v>1948</v>
      </c>
      <c r="G736" s="4" t="s">
        <v>2084</v>
      </c>
      <c r="H736" s="4" t="s">
        <v>6721</v>
      </c>
      <c r="I736" s="4" t="s">
        <v>6722</v>
      </c>
      <c r="J736" s="4" t="s">
        <v>6795</v>
      </c>
      <c r="K736" s="4" t="s">
        <v>6796</v>
      </c>
      <c r="L736" s="4" t="s">
        <v>6797</v>
      </c>
      <c r="M736" s="4" t="s">
        <v>2078</v>
      </c>
      <c r="N736" s="8">
        <v>46111</v>
      </c>
      <c r="O736" s="8">
        <v>46356</v>
      </c>
      <c r="P736" s="4" t="s">
        <v>2090</v>
      </c>
      <c r="Q736" s="4" t="s">
        <v>6722</v>
      </c>
      <c r="R736" s="4" t="s">
        <v>6798</v>
      </c>
      <c r="S736" s="4" t="s">
        <v>6799</v>
      </c>
      <c r="T736" s="4" t="s">
        <v>2067</v>
      </c>
      <c r="U736" s="4" t="s">
        <v>2146</v>
      </c>
      <c r="V736" s="4" t="s">
        <v>2067</v>
      </c>
      <c r="W736" s="4" t="s">
        <v>2069</v>
      </c>
    </row>
    <row r="737" spans="1:23" ht="20.100000000000001" customHeight="1" x14ac:dyDescent="0.25">
      <c r="A737" s="6" t="s">
        <v>1752</v>
      </c>
      <c r="B737" s="7" t="s">
        <v>2084</v>
      </c>
      <c r="C737" s="7" t="s">
        <v>6800</v>
      </c>
      <c r="D737" s="7" t="s">
        <v>2059</v>
      </c>
      <c r="E737" s="7" t="s">
        <v>1947</v>
      </c>
      <c r="F737" s="7" t="s">
        <v>1948</v>
      </c>
      <c r="G737" s="7" t="s">
        <v>2084</v>
      </c>
      <c r="H737" s="7" t="s">
        <v>6801</v>
      </c>
      <c r="I737" s="7" t="s">
        <v>6722</v>
      </c>
      <c r="J737" s="7" t="s">
        <v>6802</v>
      </c>
      <c r="K737" s="7" t="s">
        <v>6803</v>
      </c>
      <c r="L737" s="7" t="s">
        <v>6804</v>
      </c>
      <c r="M737" s="7" t="s">
        <v>2078</v>
      </c>
      <c r="N737" s="9">
        <v>46108</v>
      </c>
      <c r="O737" s="9">
        <v>46356</v>
      </c>
      <c r="P737" s="7" t="s">
        <v>2090</v>
      </c>
      <c r="Q737" s="7" t="s">
        <v>6722</v>
      </c>
      <c r="R737" s="7" t="s">
        <v>3079</v>
      </c>
      <c r="S737" s="7" t="s">
        <v>6805</v>
      </c>
      <c r="T737" s="7" t="s">
        <v>2067</v>
      </c>
      <c r="U737" s="7" t="s">
        <v>2146</v>
      </c>
      <c r="V737" s="7" t="s">
        <v>2067</v>
      </c>
      <c r="W737" s="7" t="s">
        <v>2069</v>
      </c>
    </row>
    <row r="738" spans="1:23" ht="20.100000000000001" customHeight="1" x14ac:dyDescent="0.25">
      <c r="A738" s="3" t="s">
        <v>634</v>
      </c>
      <c r="B738" s="4" t="s">
        <v>2084</v>
      </c>
      <c r="C738" s="4" t="s">
        <v>6806</v>
      </c>
      <c r="D738" s="4" t="s">
        <v>2059</v>
      </c>
      <c r="E738" s="4" t="s">
        <v>2673</v>
      </c>
      <c r="F738" s="4" t="s">
        <v>2674</v>
      </c>
      <c r="G738" s="4" t="s">
        <v>2084</v>
      </c>
      <c r="H738" s="4" t="s">
        <v>6721</v>
      </c>
      <c r="I738" s="4" t="s">
        <v>6722</v>
      </c>
      <c r="J738" s="4" t="s">
        <v>6807</v>
      </c>
      <c r="K738" s="4" t="s">
        <v>6808</v>
      </c>
      <c r="L738" s="4" t="s">
        <v>6809</v>
      </c>
      <c r="M738" s="4" t="s">
        <v>2078</v>
      </c>
      <c r="N738" s="8">
        <v>46234</v>
      </c>
      <c r="O738" s="8">
        <v>46356</v>
      </c>
      <c r="P738" s="4" t="s">
        <v>2674</v>
      </c>
      <c r="Q738" s="4" t="s">
        <v>6722</v>
      </c>
      <c r="R738" s="4" t="s">
        <v>6810</v>
      </c>
      <c r="S738" s="4" t="s">
        <v>6811</v>
      </c>
      <c r="T738" s="4" t="s">
        <v>2067</v>
      </c>
      <c r="U738" s="4" t="s">
        <v>2680</v>
      </c>
      <c r="V738" s="4" t="s">
        <v>2067</v>
      </c>
      <c r="W738" s="4" t="s">
        <v>2069</v>
      </c>
    </row>
    <row r="739" spans="1:23" ht="20.100000000000001" customHeight="1" x14ac:dyDescent="0.25">
      <c r="A739" s="6" t="s">
        <v>962</v>
      </c>
      <c r="B739" s="7" t="s">
        <v>2084</v>
      </c>
      <c r="C739" s="7" t="s">
        <v>6812</v>
      </c>
      <c r="D739" s="7" t="s">
        <v>2059</v>
      </c>
      <c r="E739" s="7" t="s">
        <v>1947</v>
      </c>
      <c r="F739" s="7" t="s">
        <v>1948</v>
      </c>
      <c r="G739" s="7" t="s">
        <v>2084</v>
      </c>
      <c r="H739" s="7" t="s">
        <v>6813</v>
      </c>
      <c r="I739" s="7" t="s">
        <v>6814</v>
      </c>
      <c r="J739" s="7" t="s">
        <v>6815</v>
      </c>
      <c r="K739" s="7" t="s">
        <v>6816</v>
      </c>
      <c r="L739" s="7" t="s">
        <v>6817</v>
      </c>
      <c r="M739" s="7" t="s">
        <v>2078</v>
      </c>
      <c r="N739" s="9">
        <v>45992</v>
      </c>
      <c r="O739" s="9">
        <v>46356</v>
      </c>
      <c r="P739" s="7" t="s">
        <v>2090</v>
      </c>
      <c r="Q739" s="7" t="s">
        <v>6814</v>
      </c>
      <c r="R739" s="7" t="s">
        <v>6818</v>
      </c>
      <c r="S739" s="7" t="s">
        <v>6819</v>
      </c>
      <c r="T739" s="7" t="s">
        <v>2067</v>
      </c>
      <c r="U739" s="7" t="s">
        <v>2146</v>
      </c>
      <c r="V739" s="7" t="s">
        <v>2067</v>
      </c>
      <c r="W739" s="7" t="s">
        <v>2069</v>
      </c>
    </row>
    <row r="740" spans="1:23" ht="20.100000000000001" customHeight="1" x14ac:dyDescent="0.25">
      <c r="A740" s="3" t="s">
        <v>706</v>
      </c>
      <c r="B740" s="4" t="s">
        <v>2084</v>
      </c>
      <c r="C740" s="4" t="s">
        <v>6820</v>
      </c>
      <c r="D740" s="4" t="s">
        <v>2059</v>
      </c>
      <c r="E740" s="4" t="s">
        <v>1947</v>
      </c>
      <c r="F740" s="4" t="s">
        <v>1948</v>
      </c>
      <c r="G740" s="4" t="s">
        <v>2084</v>
      </c>
      <c r="H740" s="4" t="s">
        <v>6821</v>
      </c>
      <c r="I740" s="4" t="s">
        <v>6814</v>
      </c>
      <c r="J740" s="4" t="s">
        <v>6822</v>
      </c>
      <c r="K740" s="4" t="s">
        <v>6823</v>
      </c>
      <c r="L740" s="4" t="s">
        <v>6824</v>
      </c>
      <c r="M740" s="4" t="s">
        <v>2078</v>
      </c>
      <c r="N740" s="8">
        <v>45992</v>
      </c>
      <c r="O740" s="8">
        <v>46356</v>
      </c>
      <c r="P740" s="4" t="s">
        <v>2090</v>
      </c>
      <c r="Q740" s="4" t="s">
        <v>6814</v>
      </c>
      <c r="R740" s="4" t="s">
        <v>6825</v>
      </c>
      <c r="S740" s="4" t="s">
        <v>6826</v>
      </c>
      <c r="T740" s="4" t="s">
        <v>2067</v>
      </c>
      <c r="U740" s="4" t="s">
        <v>2146</v>
      </c>
      <c r="V740" s="4" t="s">
        <v>2067</v>
      </c>
      <c r="W740" s="4" t="s">
        <v>2069</v>
      </c>
    </row>
    <row r="741" spans="1:23" ht="20.100000000000001" customHeight="1" x14ac:dyDescent="0.25">
      <c r="A741" s="6" t="s">
        <v>6827</v>
      </c>
      <c r="B741" s="7" t="s">
        <v>2084</v>
      </c>
      <c r="C741" s="7" t="s">
        <v>6828</v>
      </c>
      <c r="D741" s="7" t="s">
        <v>2059</v>
      </c>
      <c r="E741" s="7" t="s">
        <v>1947</v>
      </c>
      <c r="F741" s="7" t="s">
        <v>1948</v>
      </c>
      <c r="G741" s="7" t="s">
        <v>2084</v>
      </c>
      <c r="H741" s="7" t="s">
        <v>6829</v>
      </c>
      <c r="I741" s="7" t="s">
        <v>6814</v>
      </c>
      <c r="J741" s="7" t="s">
        <v>6830</v>
      </c>
      <c r="K741" s="7" t="s">
        <v>6831</v>
      </c>
      <c r="L741" s="7" t="s">
        <v>6832</v>
      </c>
      <c r="M741" s="7" t="s">
        <v>2078</v>
      </c>
      <c r="N741" s="9">
        <v>46108</v>
      </c>
      <c r="O741" s="9">
        <v>46356</v>
      </c>
      <c r="P741" s="7" t="s">
        <v>2090</v>
      </c>
      <c r="Q741" s="7" t="s">
        <v>6814</v>
      </c>
      <c r="R741" s="7" t="s">
        <v>6833</v>
      </c>
      <c r="S741" s="7" t="s">
        <v>6834</v>
      </c>
      <c r="T741" s="7" t="s">
        <v>2067</v>
      </c>
      <c r="U741" s="7" t="s">
        <v>2146</v>
      </c>
      <c r="V741" s="7" t="s">
        <v>2067</v>
      </c>
      <c r="W741" s="7" t="s">
        <v>2082</v>
      </c>
    </row>
    <row r="742" spans="1:23" ht="20.100000000000001" customHeight="1" x14ac:dyDescent="0.25">
      <c r="A742" s="3" t="s">
        <v>1400</v>
      </c>
      <c r="B742" s="4" t="s">
        <v>2084</v>
      </c>
      <c r="C742" s="4" t="s">
        <v>6835</v>
      </c>
      <c r="D742" s="4" t="s">
        <v>2059</v>
      </c>
      <c r="E742" s="4" t="s">
        <v>1947</v>
      </c>
      <c r="F742" s="4" t="s">
        <v>1948</v>
      </c>
      <c r="G742" s="4" t="s">
        <v>2084</v>
      </c>
      <c r="H742" s="4" t="s">
        <v>6813</v>
      </c>
      <c r="I742" s="4" t="s">
        <v>6814</v>
      </c>
      <c r="J742" s="4" t="s">
        <v>6836</v>
      </c>
      <c r="K742" s="4" t="s">
        <v>6837</v>
      </c>
      <c r="L742" s="4" t="s">
        <v>6838</v>
      </c>
      <c r="M742" s="4" t="s">
        <v>2078</v>
      </c>
      <c r="N742" s="8">
        <v>46052</v>
      </c>
      <c r="O742" s="8">
        <v>46355</v>
      </c>
      <c r="P742" s="4" t="s">
        <v>2090</v>
      </c>
      <c r="Q742" s="4" t="s">
        <v>6814</v>
      </c>
      <c r="R742" s="4" t="s">
        <v>4077</v>
      </c>
      <c r="S742" s="4" t="s">
        <v>6839</v>
      </c>
      <c r="T742" s="4" t="s">
        <v>2067</v>
      </c>
      <c r="U742" s="4" t="s">
        <v>2146</v>
      </c>
      <c r="V742" s="4" t="s">
        <v>2067</v>
      </c>
      <c r="W742" s="4" t="s">
        <v>2069</v>
      </c>
    </row>
    <row r="743" spans="1:23" ht="20.100000000000001" customHeight="1" x14ac:dyDescent="0.25">
      <c r="A743" s="6" t="s">
        <v>982</v>
      </c>
      <c r="B743" s="7" t="s">
        <v>2084</v>
      </c>
      <c r="C743" s="7" t="s">
        <v>6840</v>
      </c>
      <c r="D743" s="7" t="s">
        <v>2059</v>
      </c>
      <c r="E743" s="7" t="s">
        <v>1947</v>
      </c>
      <c r="F743" s="7" t="s">
        <v>1948</v>
      </c>
      <c r="G743" s="7" t="s">
        <v>2084</v>
      </c>
      <c r="H743" s="7" t="s">
        <v>6813</v>
      </c>
      <c r="I743" s="7" t="s">
        <v>6814</v>
      </c>
      <c r="J743" s="7" t="s">
        <v>6841</v>
      </c>
      <c r="K743" s="7" t="s">
        <v>6842</v>
      </c>
      <c r="L743" s="7" t="s">
        <v>6843</v>
      </c>
      <c r="M743" s="7" t="s">
        <v>2078</v>
      </c>
      <c r="N743" s="9">
        <v>46234</v>
      </c>
      <c r="O743" s="9">
        <v>46356</v>
      </c>
      <c r="P743" s="7" t="s">
        <v>2090</v>
      </c>
      <c r="Q743" s="7" t="s">
        <v>6814</v>
      </c>
      <c r="R743" s="7" t="s">
        <v>4947</v>
      </c>
      <c r="S743" s="7" t="s">
        <v>6844</v>
      </c>
      <c r="T743" s="7" t="s">
        <v>2067</v>
      </c>
      <c r="U743" s="7" t="s">
        <v>2146</v>
      </c>
      <c r="V743" s="7" t="s">
        <v>2067</v>
      </c>
      <c r="W743" s="7" t="s">
        <v>2069</v>
      </c>
    </row>
    <row r="744" spans="1:23" ht="20.100000000000001" customHeight="1" x14ac:dyDescent="0.25">
      <c r="A744" s="3" t="s">
        <v>6845</v>
      </c>
      <c r="B744" s="4" t="s">
        <v>2084</v>
      </c>
      <c r="C744" s="4" t="s">
        <v>6846</v>
      </c>
      <c r="D744" s="4" t="s">
        <v>2059</v>
      </c>
      <c r="E744" s="4" t="s">
        <v>2111</v>
      </c>
      <c r="F744" s="4" t="s">
        <v>2112</v>
      </c>
      <c r="G744" s="4" t="s">
        <v>2084</v>
      </c>
      <c r="H744" s="4" t="s">
        <v>6813</v>
      </c>
      <c r="I744" s="4" t="s">
        <v>6814</v>
      </c>
      <c r="J744" s="4" t="s">
        <v>6847</v>
      </c>
      <c r="K744" s="4" t="s">
        <v>6848</v>
      </c>
      <c r="L744" s="4" t="s">
        <v>6849</v>
      </c>
      <c r="M744" s="4" t="s">
        <v>2078</v>
      </c>
      <c r="N744" s="8">
        <v>46112</v>
      </c>
      <c r="O744" s="8">
        <v>46356</v>
      </c>
      <c r="P744" s="4" t="s">
        <v>2112</v>
      </c>
      <c r="Q744" s="4" t="s">
        <v>6814</v>
      </c>
      <c r="R744" s="4" t="s">
        <v>6850</v>
      </c>
      <c r="S744" s="4" t="s">
        <v>6851</v>
      </c>
      <c r="T744" s="4" t="s">
        <v>2067</v>
      </c>
      <c r="U744" s="4" t="s">
        <v>2119</v>
      </c>
      <c r="V744" s="4" t="s">
        <v>2067</v>
      </c>
      <c r="W744" s="4" t="s">
        <v>2069</v>
      </c>
    </row>
    <row r="745" spans="1:23" ht="20.100000000000001" customHeight="1" x14ac:dyDescent="0.25">
      <c r="A745" s="6" t="s">
        <v>6852</v>
      </c>
      <c r="B745" s="7" t="s">
        <v>2084</v>
      </c>
      <c r="C745" s="7" t="s">
        <v>6853</v>
      </c>
      <c r="D745" s="7" t="s">
        <v>2059</v>
      </c>
      <c r="E745" s="7" t="s">
        <v>2072</v>
      </c>
      <c r="F745" s="7" t="s">
        <v>2073</v>
      </c>
      <c r="G745" s="7" t="s">
        <v>2084</v>
      </c>
      <c r="H745" s="7" t="s">
        <v>6854</v>
      </c>
      <c r="I745" s="7" t="s">
        <v>6814</v>
      </c>
      <c r="J745" s="7" t="s">
        <v>6855</v>
      </c>
      <c r="K745" s="7" t="s">
        <v>6856</v>
      </c>
      <c r="L745" s="7" t="s">
        <v>6857</v>
      </c>
      <c r="M745" s="7" t="s">
        <v>2078</v>
      </c>
      <c r="N745" s="9">
        <v>46108</v>
      </c>
      <c r="O745" s="9">
        <v>46356</v>
      </c>
      <c r="P745" s="7" t="s">
        <v>2073</v>
      </c>
      <c r="Q745" s="7" t="s">
        <v>6814</v>
      </c>
      <c r="R745" s="7" t="s">
        <v>6858</v>
      </c>
      <c r="S745" s="7" t="s">
        <v>6859</v>
      </c>
      <c r="T745" s="7" t="s">
        <v>2067</v>
      </c>
      <c r="U745" s="7" t="s">
        <v>2081</v>
      </c>
      <c r="V745" s="7" t="s">
        <v>2067</v>
      </c>
      <c r="W745" s="7" t="s">
        <v>2069</v>
      </c>
    </row>
    <row r="746" spans="1:23" ht="20.100000000000001" customHeight="1" x14ac:dyDescent="0.25">
      <c r="A746" s="3" t="s">
        <v>1430</v>
      </c>
      <c r="B746" s="4" t="s">
        <v>2084</v>
      </c>
      <c r="C746" s="4" t="s">
        <v>6860</v>
      </c>
      <c r="D746" s="4" t="s">
        <v>2059</v>
      </c>
      <c r="E746" s="4" t="s">
        <v>1947</v>
      </c>
      <c r="F746" s="4" t="s">
        <v>1948</v>
      </c>
      <c r="G746" s="4" t="s">
        <v>2084</v>
      </c>
      <c r="H746" s="4" t="s">
        <v>6861</v>
      </c>
      <c r="I746" s="4" t="s">
        <v>6862</v>
      </c>
      <c r="J746" s="4" t="s">
        <v>6863</v>
      </c>
      <c r="K746" s="4" t="s">
        <v>6864</v>
      </c>
      <c r="L746" s="4" t="s">
        <v>6865</v>
      </c>
      <c r="M746" s="4" t="s">
        <v>2078</v>
      </c>
      <c r="N746" s="8">
        <v>45992</v>
      </c>
      <c r="O746" s="8">
        <v>46356</v>
      </c>
      <c r="P746" s="4" t="s">
        <v>2090</v>
      </c>
      <c r="Q746" s="4" t="s">
        <v>6862</v>
      </c>
      <c r="R746" s="4" t="s">
        <v>6866</v>
      </c>
      <c r="S746" s="4" t="s">
        <v>6867</v>
      </c>
      <c r="T746" s="4" t="s">
        <v>2067</v>
      </c>
      <c r="U746" s="4" t="s">
        <v>2146</v>
      </c>
      <c r="V746" s="4" t="s">
        <v>2067</v>
      </c>
      <c r="W746" s="4" t="s">
        <v>2069</v>
      </c>
    </row>
    <row r="747" spans="1:23" ht="20.100000000000001" customHeight="1" x14ac:dyDescent="0.25">
      <c r="A747" s="6" t="s">
        <v>6868</v>
      </c>
      <c r="B747" s="7" t="s">
        <v>2084</v>
      </c>
      <c r="C747" s="7" t="s">
        <v>6869</v>
      </c>
      <c r="D747" s="7" t="s">
        <v>2059</v>
      </c>
      <c r="E747" s="7" t="s">
        <v>5762</v>
      </c>
      <c r="F747" s="7" t="s">
        <v>5763</v>
      </c>
      <c r="G747" s="7" t="s">
        <v>2084</v>
      </c>
      <c r="H747" s="7" t="s">
        <v>6870</v>
      </c>
      <c r="I747" s="7" t="s">
        <v>6862</v>
      </c>
      <c r="J747" s="7" t="s">
        <v>6871</v>
      </c>
      <c r="K747" s="7" t="s">
        <v>6872</v>
      </c>
      <c r="L747" s="7" t="s">
        <v>6873</v>
      </c>
      <c r="M747" s="7" t="s">
        <v>2078</v>
      </c>
      <c r="N747" s="9">
        <v>46052</v>
      </c>
      <c r="O747" s="9">
        <v>46355</v>
      </c>
      <c r="P747" s="7" t="s">
        <v>5763</v>
      </c>
      <c r="Q747" s="7" t="s">
        <v>6862</v>
      </c>
      <c r="R747" s="7" t="s">
        <v>6874</v>
      </c>
      <c r="S747" s="7" t="s">
        <v>6875</v>
      </c>
      <c r="T747" s="7" t="s">
        <v>2067</v>
      </c>
      <c r="U747" s="7" t="s">
        <v>5769</v>
      </c>
      <c r="V747" s="7" t="s">
        <v>2067</v>
      </c>
      <c r="W747" s="7" t="s">
        <v>2069</v>
      </c>
    </row>
    <row r="748" spans="1:23" ht="20.100000000000001" customHeight="1" x14ac:dyDescent="0.25">
      <c r="A748" s="3" t="s">
        <v>934</v>
      </c>
      <c r="B748" s="4" t="s">
        <v>2084</v>
      </c>
      <c r="C748" s="4" t="s">
        <v>6876</v>
      </c>
      <c r="D748" s="4" t="s">
        <v>2059</v>
      </c>
      <c r="E748" s="4" t="s">
        <v>1947</v>
      </c>
      <c r="F748" s="4" t="s">
        <v>1948</v>
      </c>
      <c r="G748" s="4" t="s">
        <v>2084</v>
      </c>
      <c r="H748" s="4" t="s">
        <v>6877</v>
      </c>
      <c r="I748" s="4" t="s">
        <v>6862</v>
      </c>
      <c r="J748" s="4" t="s">
        <v>6878</v>
      </c>
      <c r="K748" s="4" t="s">
        <v>6879</v>
      </c>
      <c r="L748" s="4" t="s">
        <v>6880</v>
      </c>
      <c r="M748" s="4" t="s">
        <v>2078</v>
      </c>
      <c r="N748" s="8">
        <v>45992</v>
      </c>
      <c r="O748" s="8">
        <v>46356</v>
      </c>
      <c r="P748" s="4" t="s">
        <v>2090</v>
      </c>
      <c r="Q748" s="4" t="s">
        <v>6862</v>
      </c>
      <c r="R748" s="4" t="s">
        <v>6881</v>
      </c>
      <c r="S748" s="4" t="s">
        <v>6882</v>
      </c>
      <c r="T748" s="4" t="s">
        <v>2067</v>
      </c>
      <c r="U748" s="4" t="s">
        <v>2146</v>
      </c>
      <c r="V748" s="4" t="s">
        <v>2067</v>
      </c>
      <c r="W748" s="4" t="s">
        <v>2069</v>
      </c>
    </row>
    <row r="749" spans="1:23" ht="20.100000000000001" customHeight="1" x14ac:dyDescent="0.25">
      <c r="A749" s="6" t="s">
        <v>6883</v>
      </c>
      <c r="B749" s="7" t="s">
        <v>2084</v>
      </c>
      <c r="C749" s="7" t="s">
        <v>6884</v>
      </c>
      <c r="D749" s="7" t="s">
        <v>2059</v>
      </c>
      <c r="E749" s="7" t="s">
        <v>5762</v>
      </c>
      <c r="F749" s="7" t="s">
        <v>5763</v>
      </c>
      <c r="G749" s="7" t="s">
        <v>2084</v>
      </c>
      <c r="H749" s="7" t="s">
        <v>6861</v>
      </c>
      <c r="I749" s="7" t="s">
        <v>6862</v>
      </c>
      <c r="J749" s="7" t="s">
        <v>6885</v>
      </c>
      <c r="K749" s="7" t="s">
        <v>6886</v>
      </c>
      <c r="L749" s="7" t="s">
        <v>6887</v>
      </c>
      <c r="M749" s="7" t="s">
        <v>2078</v>
      </c>
      <c r="N749" s="9">
        <v>45992</v>
      </c>
      <c r="O749" s="9">
        <v>46356</v>
      </c>
      <c r="P749" s="7" t="s">
        <v>5763</v>
      </c>
      <c r="Q749" s="7" t="s">
        <v>6862</v>
      </c>
      <c r="R749" s="7" t="s">
        <v>6888</v>
      </c>
      <c r="S749" s="7" t="s">
        <v>6889</v>
      </c>
      <c r="T749" s="7" t="s">
        <v>2067</v>
      </c>
      <c r="U749" s="7" t="s">
        <v>5769</v>
      </c>
      <c r="V749" s="7" t="s">
        <v>2067</v>
      </c>
      <c r="W749" s="7" t="s">
        <v>2069</v>
      </c>
    </row>
    <row r="750" spans="1:23" ht="20.100000000000001" customHeight="1" x14ac:dyDescent="0.25">
      <c r="A750" s="3" t="s">
        <v>776</v>
      </c>
      <c r="B750" s="4" t="s">
        <v>2084</v>
      </c>
      <c r="C750" s="4" t="s">
        <v>6890</v>
      </c>
      <c r="D750" s="4" t="s">
        <v>2059</v>
      </c>
      <c r="E750" s="4" t="s">
        <v>1947</v>
      </c>
      <c r="F750" s="4" t="s">
        <v>1948</v>
      </c>
      <c r="G750" s="4" t="s">
        <v>2084</v>
      </c>
      <c r="H750" s="4" t="s">
        <v>6891</v>
      </c>
      <c r="I750" s="4" t="s">
        <v>6862</v>
      </c>
      <c r="J750" s="4" t="s">
        <v>6892</v>
      </c>
      <c r="K750" s="4" t="s">
        <v>6893</v>
      </c>
      <c r="L750" s="4" t="s">
        <v>6894</v>
      </c>
      <c r="M750" s="4" t="s">
        <v>2078</v>
      </c>
      <c r="N750" s="8">
        <v>46164</v>
      </c>
      <c r="O750" s="8">
        <v>46294</v>
      </c>
      <c r="P750" s="4" t="s">
        <v>2090</v>
      </c>
      <c r="Q750" s="4" t="s">
        <v>6862</v>
      </c>
      <c r="R750" s="4" t="s">
        <v>3210</v>
      </c>
      <c r="S750" s="4" t="s">
        <v>6895</v>
      </c>
      <c r="T750" s="4" t="s">
        <v>2067</v>
      </c>
      <c r="U750" s="4" t="s">
        <v>2146</v>
      </c>
      <c r="V750" s="4" t="s">
        <v>2067</v>
      </c>
      <c r="W750" s="4" t="s">
        <v>2082</v>
      </c>
    </row>
    <row r="751" spans="1:23" ht="20.100000000000001" customHeight="1" x14ac:dyDescent="0.25">
      <c r="A751" s="6" t="s">
        <v>370</v>
      </c>
      <c r="B751" s="7" t="s">
        <v>2084</v>
      </c>
      <c r="C751" s="7" t="s">
        <v>6896</v>
      </c>
      <c r="D751" s="7" t="s">
        <v>2059</v>
      </c>
      <c r="E751" s="7" t="s">
        <v>1947</v>
      </c>
      <c r="F751" s="7" t="s">
        <v>1948</v>
      </c>
      <c r="G751" s="7" t="s">
        <v>2084</v>
      </c>
      <c r="H751" s="7" t="s">
        <v>6891</v>
      </c>
      <c r="I751" s="7" t="s">
        <v>6862</v>
      </c>
      <c r="J751" s="7" t="s">
        <v>6897</v>
      </c>
      <c r="K751" s="7" t="s">
        <v>6898</v>
      </c>
      <c r="L751" s="7" t="s">
        <v>6899</v>
      </c>
      <c r="M751" s="7" t="s">
        <v>2078</v>
      </c>
      <c r="N751" s="9">
        <v>46164</v>
      </c>
      <c r="O751" s="9">
        <v>46294</v>
      </c>
      <c r="P751" s="7" t="s">
        <v>2090</v>
      </c>
      <c r="Q751" s="7" t="s">
        <v>6862</v>
      </c>
      <c r="R751" s="7" t="s">
        <v>6900</v>
      </c>
      <c r="S751" s="7" t="s">
        <v>6901</v>
      </c>
      <c r="T751" s="7" t="s">
        <v>2067</v>
      </c>
      <c r="U751" s="7" t="s">
        <v>2146</v>
      </c>
      <c r="V751" s="7" t="s">
        <v>2067</v>
      </c>
      <c r="W751" s="7" t="s">
        <v>2082</v>
      </c>
    </row>
    <row r="752" spans="1:23" ht="20.100000000000001" customHeight="1" x14ac:dyDescent="0.25">
      <c r="A752" s="3" t="s">
        <v>6902</v>
      </c>
      <c r="B752" s="4" t="s">
        <v>2084</v>
      </c>
      <c r="C752" s="4" t="s">
        <v>6903</v>
      </c>
      <c r="D752" s="4" t="s">
        <v>2059</v>
      </c>
      <c r="E752" s="4" t="s">
        <v>2673</v>
      </c>
      <c r="F752" s="4" t="s">
        <v>2674</v>
      </c>
      <c r="G752" s="4" t="s">
        <v>2084</v>
      </c>
      <c r="H752" s="4" t="s">
        <v>6891</v>
      </c>
      <c r="I752" s="4" t="s">
        <v>6862</v>
      </c>
      <c r="J752" s="4" t="s">
        <v>6904</v>
      </c>
      <c r="K752" s="4" t="s">
        <v>6905</v>
      </c>
      <c r="L752" s="4" t="s">
        <v>6906</v>
      </c>
      <c r="M752" s="4" t="s">
        <v>2078</v>
      </c>
      <c r="N752" s="8">
        <v>46164</v>
      </c>
      <c r="O752" s="8">
        <v>46294</v>
      </c>
      <c r="P752" s="4" t="s">
        <v>2674</v>
      </c>
      <c r="Q752" s="4" t="s">
        <v>6862</v>
      </c>
      <c r="R752" s="4" t="s">
        <v>6907</v>
      </c>
      <c r="S752" s="4" t="s">
        <v>6908</v>
      </c>
      <c r="T752" s="4" t="s">
        <v>2067</v>
      </c>
      <c r="U752" s="4" t="s">
        <v>2680</v>
      </c>
      <c r="V752" s="4" t="s">
        <v>2067</v>
      </c>
      <c r="W752" s="4" t="s">
        <v>2082</v>
      </c>
    </row>
    <row r="753" spans="1:23" ht="20.100000000000001" customHeight="1" x14ac:dyDescent="0.25">
      <c r="A753" s="6" t="s">
        <v>330</v>
      </c>
      <c r="B753" s="7" t="s">
        <v>2084</v>
      </c>
      <c r="C753" s="7" t="s">
        <v>6909</v>
      </c>
      <c r="D753" s="7" t="s">
        <v>2059</v>
      </c>
      <c r="E753" s="7" t="s">
        <v>3064</v>
      </c>
      <c r="F753" s="7" t="s">
        <v>3065</v>
      </c>
      <c r="G753" s="7" t="s">
        <v>2084</v>
      </c>
      <c r="H753" s="7" t="s">
        <v>6910</v>
      </c>
      <c r="I753" s="7" t="s">
        <v>6862</v>
      </c>
      <c r="J753" s="7" t="s">
        <v>6911</v>
      </c>
      <c r="K753" s="7" t="s">
        <v>6912</v>
      </c>
      <c r="L753" s="7" t="s">
        <v>6913</v>
      </c>
      <c r="M753" s="7" t="s">
        <v>2078</v>
      </c>
      <c r="N753" s="9">
        <v>46234</v>
      </c>
      <c r="O753" s="9">
        <v>46356</v>
      </c>
      <c r="P753" s="7" t="s">
        <v>3065</v>
      </c>
      <c r="Q753" s="7" t="s">
        <v>6862</v>
      </c>
      <c r="R753" s="7" t="s">
        <v>6914</v>
      </c>
      <c r="S753" s="7" t="s">
        <v>6915</v>
      </c>
      <c r="T753" s="7" t="s">
        <v>2067</v>
      </c>
      <c r="U753" s="7" t="s">
        <v>3073</v>
      </c>
      <c r="V753" s="7" t="s">
        <v>2067</v>
      </c>
      <c r="W753" s="7" t="s">
        <v>2069</v>
      </c>
    </row>
    <row r="754" spans="1:23" ht="20.100000000000001" customHeight="1" x14ac:dyDescent="0.25">
      <c r="A754" s="3" t="s">
        <v>380</v>
      </c>
      <c r="B754" s="4" t="s">
        <v>2084</v>
      </c>
      <c r="C754" s="4" t="s">
        <v>6916</v>
      </c>
      <c r="D754" s="4" t="s">
        <v>2059</v>
      </c>
      <c r="E754" s="4" t="s">
        <v>1947</v>
      </c>
      <c r="F754" s="4" t="s">
        <v>1948</v>
      </c>
      <c r="G754" s="4" t="s">
        <v>2084</v>
      </c>
      <c r="H754" s="4" t="s">
        <v>6917</v>
      </c>
      <c r="I754" s="4" t="s">
        <v>6918</v>
      </c>
      <c r="J754" s="4" t="s">
        <v>6919</v>
      </c>
      <c r="K754" s="4" t="s">
        <v>6920</v>
      </c>
      <c r="L754" s="4" t="s">
        <v>6921</v>
      </c>
      <c r="M754" s="4" t="s">
        <v>2078</v>
      </c>
      <c r="N754" s="8">
        <v>46052</v>
      </c>
      <c r="O754" s="8">
        <v>46355</v>
      </c>
      <c r="P754" s="4" t="s">
        <v>2090</v>
      </c>
      <c r="Q754" s="4" t="s">
        <v>6918</v>
      </c>
      <c r="R754" s="4" t="s">
        <v>6922</v>
      </c>
      <c r="S754" s="4" t="s">
        <v>6923</v>
      </c>
      <c r="T754" s="4" t="s">
        <v>2067</v>
      </c>
      <c r="U754" s="4" t="s">
        <v>2146</v>
      </c>
      <c r="V754" s="4" t="s">
        <v>2067</v>
      </c>
      <c r="W754" s="4" t="s">
        <v>2069</v>
      </c>
    </row>
    <row r="755" spans="1:23" ht="20.100000000000001" customHeight="1" x14ac:dyDescent="0.25">
      <c r="A755" s="6" t="s">
        <v>346</v>
      </c>
      <c r="B755" s="7" t="s">
        <v>2084</v>
      </c>
      <c r="C755" s="7" t="s">
        <v>6924</v>
      </c>
      <c r="D755" s="7" t="s">
        <v>2059</v>
      </c>
      <c r="E755" s="7" t="s">
        <v>1983</v>
      </c>
      <c r="F755" s="7" t="s">
        <v>1984</v>
      </c>
      <c r="G755" s="7" t="s">
        <v>2084</v>
      </c>
      <c r="H755" s="7" t="s">
        <v>6925</v>
      </c>
      <c r="I755" s="7" t="s">
        <v>6918</v>
      </c>
      <c r="J755" s="7" t="s">
        <v>6926</v>
      </c>
      <c r="K755" s="7" t="s">
        <v>6927</v>
      </c>
      <c r="L755" s="7" t="s">
        <v>6928</v>
      </c>
      <c r="M755" s="7" t="s">
        <v>2078</v>
      </c>
      <c r="N755" s="9">
        <v>46052</v>
      </c>
      <c r="O755" s="9">
        <v>46355</v>
      </c>
      <c r="P755" s="7" t="s">
        <v>2493</v>
      </c>
      <c r="Q755" s="7" t="s">
        <v>6918</v>
      </c>
      <c r="R755" s="7" t="s">
        <v>6929</v>
      </c>
      <c r="S755" s="7" t="s">
        <v>6930</v>
      </c>
      <c r="T755" s="7" t="s">
        <v>2067</v>
      </c>
      <c r="U755" s="7" t="s">
        <v>2496</v>
      </c>
      <c r="V755" s="7" t="s">
        <v>2067</v>
      </c>
      <c r="W755" s="7" t="s">
        <v>2069</v>
      </c>
    </row>
    <row r="756" spans="1:23" ht="20.100000000000001" customHeight="1" x14ac:dyDescent="0.25">
      <c r="A756" s="3" t="s">
        <v>328</v>
      </c>
      <c r="B756" s="4" t="s">
        <v>2084</v>
      </c>
      <c r="C756" s="4" t="s">
        <v>6931</v>
      </c>
      <c r="D756" s="4" t="s">
        <v>2059</v>
      </c>
      <c r="E756" s="4" t="s">
        <v>1947</v>
      </c>
      <c r="F756" s="4" t="s">
        <v>1948</v>
      </c>
      <c r="G756" s="4" t="s">
        <v>2084</v>
      </c>
      <c r="H756" s="4" t="s">
        <v>6932</v>
      </c>
      <c r="I756" s="4" t="s">
        <v>6918</v>
      </c>
      <c r="J756" s="4" t="s">
        <v>6933</v>
      </c>
      <c r="K756" s="4" t="s">
        <v>6934</v>
      </c>
      <c r="L756" s="4" t="s">
        <v>6935</v>
      </c>
      <c r="M756" s="4" t="s">
        <v>2078</v>
      </c>
      <c r="N756" s="8">
        <v>46134</v>
      </c>
      <c r="O756" s="8">
        <v>46356</v>
      </c>
      <c r="P756" s="4" t="s">
        <v>2090</v>
      </c>
      <c r="Q756" s="4" t="s">
        <v>6918</v>
      </c>
      <c r="R756" s="4" t="s">
        <v>6936</v>
      </c>
      <c r="S756" s="4" t="s">
        <v>6937</v>
      </c>
      <c r="T756" s="4" t="s">
        <v>2067</v>
      </c>
      <c r="U756" s="4" t="s">
        <v>2146</v>
      </c>
      <c r="V756" s="4" t="s">
        <v>2067</v>
      </c>
      <c r="W756" s="4" t="s">
        <v>2069</v>
      </c>
    </row>
    <row r="757" spans="1:23" ht="20.100000000000001" customHeight="1" x14ac:dyDescent="0.25">
      <c r="A757" s="6" t="s">
        <v>442</v>
      </c>
      <c r="B757" s="7" t="s">
        <v>2084</v>
      </c>
      <c r="C757" s="7" t="s">
        <v>6938</v>
      </c>
      <c r="D757" s="7" t="s">
        <v>2059</v>
      </c>
      <c r="E757" s="7" t="s">
        <v>1947</v>
      </c>
      <c r="F757" s="7" t="s">
        <v>1948</v>
      </c>
      <c r="G757" s="7" t="s">
        <v>2084</v>
      </c>
      <c r="H757" s="7" t="s">
        <v>6939</v>
      </c>
      <c r="I757" s="7" t="s">
        <v>6940</v>
      </c>
      <c r="J757" s="7" t="s">
        <v>6941</v>
      </c>
      <c r="K757" s="7" t="s">
        <v>6942</v>
      </c>
      <c r="L757" s="7" t="s">
        <v>6943</v>
      </c>
      <c r="M757" s="7" t="s">
        <v>2078</v>
      </c>
      <c r="N757" s="9">
        <v>46052</v>
      </c>
      <c r="O757" s="9">
        <v>46355</v>
      </c>
      <c r="P757" s="7" t="s">
        <v>2090</v>
      </c>
      <c r="Q757" s="7" t="s">
        <v>6940</v>
      </c>
      <c r="R757" s="7" t="s">
        <v>6944</v>
      </c>
      <c r="S757" s="7" t="s">
        <v>6945</v>
      </c>
      <c r="T757" s="7" t="s">
        <v>2067</v>
      </c>
      <c r="U757" s="7" t="s">
        <v>2146</v>
      </c>
      <c r="V757" s="7" t="s">
        <v>2067</v>
      </c>
      <c r="W757" s="7" t="s">
        <v>2069</v>
      </c>
    </row>
    <row r="758" spans="1:23" ht="20.100000000000001" customHeight="1" x14ac:dyDescent="0.25">
      <c r="A758" s="3" t="s">
        <v>804</v>
      </c>
      <c r="B758" s="4" t="s">
        <v>2084</v>
      </c>
      <c r="C758" s="4" t="s">
        <v>6946</v>
      </c>
      <c r="D758" s="4" t="s">
        <v>2059</v>
      </c>
      <c r="E758" s="4" t="s">
        <v>1947</v>
      </c>
      <c r="F758" s="4" t="s">
        <v>1948</v>
      </c>
      <c r="G758" s="4" t="s">
        <v>2084</v>
      </c>
      <c r="H758" s="4" t="s">
        <v>6947</v>
      </c>
      <c r="I758" s="4" t="s">
        <v>6940</v>
      </c>
      <c r="J758" s="4" t="s">
        <v>6948</v>
      </c>
      <c r="K758" s="4" t="s">
        <v>3722</v>
      </c>
      <c r="L758" s="4" t="s">
        <v>3723</v>
      </c>
      <c r="M758" s="4" t="s">
        <v>2078</v>
      </c>
      <c r="N758" s="8">
        <v>46052</v>
      </c>
      <c r="O758" s="8">
        <v>46355</v>
      </c>
      <c r="P758" s="4" t="s">
        <v>2090</v>
      </c>
      <c r="Q758" s="4" t="s">
        <v>6940</v>
      </c>
      <c r="R758" s="4" t="s">
        <v>6949</v>
      </c>
      <c r="S758" s="4" t="s">
        <v>6950</v>
      </c>
      <c r="T758" s="4" t="s">
        <v>2067</v>
      </c>
      <c r="U758" s="4" t="s">
        <v>2146</v>
      </c>
      <c r="V758" s="4" t="s">
        <v>2067</v>
      </c>
      <c r="W758" s="4" t="s">
        <v>2069</v>
      </c>
    </row>
    <row r="759" spans="1:23" ht="20.100000000000001" customHeight="1" x14ac:dyDescent="0.25">
      <c r="A759" s="6" t="s">
        <v>6951</v>
      </c>
      <c r="B759" s="7" t="s">
        <v>2084</v>
      </c>
      <c r="C759" s="7" t="s">
        <v>6952</v>
      </c>
      <c r="D759" s="7" t="s">
        <v>2059</v>
      </c>
      <c r="E759" s="7" t="s">
        <v>2111</v>
      </c>
      <c r="F759" s="7" t="s">
        <v>2112</v>
      </c>
      <c r="G759" s="7" t="s">
        <v>2084</v>
      </c>
      <c r="H759" s="7" t="s">
        <v>6947</v>
      </c>
      <c r="I759" s="7" t="s">
        <v>6940</v>
      </c>
      <c r="J759" s="7" t="s">
        <v>6953</v>
      </c>
      <c r="K759" s="7" t="s">
        <v>6954</v>
      </c>
      <c r="L759" s="7" t="s">
        <v>6955</v>
      </c>
      <c r="M759" s="7" t="s">
        <v>2078</v>
      </c>
      <c r="N759" s="9">
        <v>46052</v>
      </c>
      <c r="O759" s="9">
        <v>46355</v>
      </c>
      <c r="P759" s="7" t="s">
        <v>2112</v>
      </c>
      <c r="Q759" s="7" t="s">
        <v>6940</v>
      </c>
      <c r="R759" s="7" t="s">
        <v>6956</v>
      </c>
      <c r="S759" s="7" t="s">
        <v>6957</v>
      </c>
      <c r="T759" s="7" t="s">
        <v>2067</v>
      </c>
      <c r="U759" s="7" t="s">
        <v>2119</v>
      </c>
      <c r="V759" s="7" t="s">
        <v>2067</v>
      </c>
      <c r="W759" s="7" t="s">
        <v>2069</v>
      </c>
    </row>
    <row r="760" spans="1:23" ht="20.100000000000001" customHeight="1" x14ac:dyDescent="0.25">
      <c r="A760" s="3" t="s">
        <v>6958</v>
      </c>
      <c r="B760" s="4" t="s">
        <v>2084</v>
      </c>
      <c r="C760" s="4" t="s">
        <v>6959</v>
      </c>
      <c r="D760" s="4" t="s">
        <v>2059</v>
      </c>
      <c r="E760" s="4" t="s">
        <v>2131</v>
      </c>
      <c r="F760" s="4" t="s">
        <v>2132</v>
      </c>
      <c r="G760" s="4" t="s">
        <v>2084</v>
      </c>
      <c r="H760" s="4" t="s">
        <v>6960</v>
      </c>
      <c r="I760" s="4" t="s">
        <v>6961</v>
      </c>
      <c r="J760" s="4" t="s">
        <v>6962</v>
      </c>
      <c r="K760" s="4" t="s">
        <v>6963</v>
      </c>
      <c r="L760" s="4" t="s">
        <v>6964</v>
      </c>
      <c r="M760" s="4" t="s">
        <v>2078</v>
      </c>
      <c r="N760" s="8">
        <v>45992</v>
      </c>
      <c r="O760" s="8">
        <v>46356</v>
      </c>
      <c r="P760" s="4" t="s">
        <v>2132</v>
      </c>
      <c r="Q760" s="4" t="s">
        <v>6961</v>
      </c>
      <c r="R760" s="4" t="s">
        <v>6965</v>
      </c>
      <c r="S760" s="4" t="s">
        <v>6966</v>
      </c>
      <c r="T760" s="4" t="s">
        <v>2067</v>
      </c>
      <c r="U760" s="4" t="s">
        <v>2138</v>
      </c>
      <c r="V760" s="4" t="s">
        <v>2067</v>
      </c>
      <c r="W760" s="4" t="s">
        <v>2082</v>
      </c>
    </row>
    <row r="761" spans="1:23" ht="20.100000000000001" customHeight="1" x14ac:dyDescent="0.25">
      <c r="A761" s="6" t="s">
        <v>596</v>
      </c>
      <c r="B761" s="7" t="s">
        <v>2084</v>
      </c>
      <c r="C761" s="7" t="s">
        <v>6967</v>
      </c>
      <c r="D761" s="7" t="s">
        <v>2059</v>
      </c>
      <c r="E761" s="7" t="s">
        <v>1947</v>
      </c>
      <c r="F761" s="7" t="s">
        <v>1948</v>
      </c>
      <c r="G761" s="7" t="s">
        <v>2084</v>
      </c>
      <c r="H761" s="7" t="s">
        <v>6968</v>
      </c>
      <c r="I761" s="7" t="s">
        <v>6961</v>
      </c>
      <c r="J761" s="7" t="s">
        <v>6969</v>
      </c>
      <c r="K761" s="7" t="s">
        <v>6970</v>
      </c>
      <c r="L761" s="7" t="s">
        <v>6971</v>
      </c>
      <c r="M761" s="7" t="s">
        <v>2078</v>
      </c>
      <c r="N761" s="9">
        <v>45992</v>
      </c>
      <c r="O761" s="9">
        <v>46356</v>
      </c>
      <c r="P761" s="7" t="s">
        <v>2090</v>
      </c>
      <c r="Q761" s="7" t="s">
        <v>6961</v>
      </c>
      <c r="R761" s="7" t="s">
        <v>4638</v>
      </c>
      <c r="S761" s="7" t="s">
        <v>6972</v>
      </c>
      <c r="T761" s="7" t="s">
        <v>2067</v>
      </c>
      <c r="U761" s="7" t="s">
        <v>2146</v>
      </c>
      <c r="V761" s="7" t="s">
        <v>2067</v>
      </c>
      <c r="W761" s="7" t="s">
        <v>2082</v>
      </c>
    </row>
    <row r="762" spans="1:23" ht="20.100000000000001" customHeight="1" x14ac:dyDescent="0.25">
      <c r="A762" s="3" t="s">
        <v>602</v>
      </c>
      <c r="B762" s="4" t="s">
        <v>2084</v>
      </c>
      <c r="C762" s="4" t="s">
        <v>6973</v>
      </c>
      <c r="D762" s="4" t="s">
        <v>2059</v>
      </c>
      <c r="E762" s="4" t="s">
        <v>6974</v>
      </c>
      <c r="F762" s="4" t="s">
        <v>6975</v>
      </c>
      <c r="G762" s="4" t="s">
        <v>2084</v>
      </c>
      <c r="H762" s="4" t="s">
        <v>6976</v>
      </c>
      <c r="I762" s="4" t="s">
        <v>6961</v>
      </c>
      <c r="J762" s="4" t="s">
        <v>6977</v>
      </c>
      <c r="K762" s="4" t="s">
        <v>6978</v>
      </c>
      <c r="L762" s="4" t="s">
        <v>6979</v>
      </c>
      <c r="M762" s="4" t="s">
        <v>2078</v>
      </c>
      <c r="N762" s="8">
        <v>45992</v>
      </c>
      <c r="O762" s="8">
        <v>46356</v>
      </c>
      <c r="P762" s="4" t="s">
        <v>6975</v>
      </c>
      <c r="Q762" s="4" t="s">
        <v>6961</v>
      </c>
      <c r="R762" s="4" t="s">
        <v>3994</v>
      </c>
      <c r="S762" s="4" t="s">
        <v>6980</v>
      </c>
      <c r="T762" s="4" t="s">
        <v>2067</v>
      </c>
      <c r="U762" s="4" t="s">
        <v>6981</v>
      </c>
      <c r="V762" s="4" t="s">
        <v>2067</v>
      </c>
      <c r="W762" s="4" t="s">
        <v>2069</v>
      </c>
    </row>
    <row r="763" spans="1:23" ht="20.100000000000001" customHeight="1" x14ac:dyDescent="0.25">
      <c r="A763" s="6" t="s">
        <v>770</v>
      </c>
      <c r="B763" s="7" t="s">
        <v>2084</v>
      </c>
      <c r="C763" s="7" t="s">
        <v>6982</v>
      </c>
      <c r="D763" s="7" t="s">
        <v>2059</v>
      </c>
      <c r="E763" s="7" t="s">
        <v>1947</v>
      </c>
      <c r="F763" s="7" t="s">
        <v>1948</v>
      </c>
      <c r="G763" s="7" t="s">
        <v>2084</v>
      </c>
      <c r="H763" s="7" t="s">
        <v>6983</v>
      </c>
      <c r="I763" s="7" t="s">
        <v>6984</v>
      </c>
      <c r="J763" s="7" t="s">
        <v>6985</v>
      </c>
      <c r="K763" s="7" t="s">
        <v>6986</v>
      </c>
      <c r="L763" s="7" t="s">
        <v>6987</v>
      </c>
      <c r="M763" s="7" t="s">
        <v>2078</v>
      </c>
      <c r="N763" s="9">
        <v>45992</v>
      </c>
      <c r="O763" s="9">
        <v>46356</v>
      </c>
      <c r="P763" s="7" t="s">
        <v>2090</v>
      </c>
      <c r="Q763" s="7" t="s">
        <v>6984</v>
      </c>
      <c r="R763" s="7" t="s">
        <v>6988</v>
      </c>
      <c r="S763" s="7" t="s">
        <v>6989</v>
      </c>
      <c r="T763" s="7" t="s">
        <v>2067</v>
      </c>
      <c r="U763" s="7" t="s">
        <v>2146</v>
      </c>
      <c r="V763" s="7" t="s">
        <v>2067</v>
      </c>
      <c r="W763" s="7" t="s">
        <v>2069</v>
      </c>
    </row>
    <row r="764" spans="1:23" ht="20.100000000000001" customHeight="1" x14ac:dyDescent="0.25">
      <c r="A764" s="3" t="s">
        <v>6990</v>
      </c>
      <c r="B764" s="4" t="s">
        <v>2084</v>
      </c>
      <c r="C764" s="4" t="s">
        <v>6991</v>
      </c>
      <c r="D764" s="4" t="s">
        <v>2059</v>
      </c>
      <c r="E764" s="4" t="s">
        <v>1947</v>
      </c>
      <c r="F764" s="4" t="s">
        <v>1948</v>
      </c>
      <c r="G764" s="4" t="s">
        <v>2084</v>
      </c>
      <c r="H764" s="4" t="s">
        <v>6983</v>
      </c>
      <c r="I764" s="4" t="s">
        <v>6984</v>
      </c>
      <c r="J764" s="4" t="s">
        <v>6992</v>
      </c>
      <c r="K764" s="4" t="s">
        <v>6993</v>
      </c>
      <c r="L764" s="4" t="s">
        <v>6994</v>
      </c>
      <c r="M764" s="4" t="s">
        <v>2078</v>
      </c>
      <c r="N764" s="8">
        <v>46000</v>
      </c>
      <c r="O764" s="8">
        <v>46355</v>
      </c>
      <c r="P764" s="4" t="s">
        <v>2090</v>
      </c>
      <c r="Q764" s="4" t="s">
        <v>6984</v>
      </c>
      <c r="R764" s="4" t="s">
        <v>6995</v>
      </c>
      <c r="S764" s="4" t="s">
        <v>6996</v>
      </c>
      <c r="T764" s="4" t="s">
        <v>2067</v>
      </c>
      <c r="U764" s="4" t="s">
        <v>2146</v>
      </c>
      <c r="V764" s="4" t="s">
        <v>2067</v>
      </c>
      <c r="W764" s="4" t="s">
        <v>2069</v>
      </c>
    </row>
    <row r="765" spans="1:23" ht="20.100000000000001" customHeight="1" x14ac:dyDescent="0.25">
      <c r="A765" s="6" t="s">
        <v>6997</v>
      </c>
      <c r="B765" s="7" t="s">
        <v>2084</v>
      </c>
      <c r="C765" s="7" t="s">
        <v>6998</v>
      </c>
      <c r="D765" s="7" t="s">
        <v>2059</v>
      </c>
      <c r="E765" s="7" t="s">
        <v>1947</v>
      </c>
      <c r="F765" s="7" t="s">
        <v>1948</v>
      </c>
      <c r="G765" s="7" t="s">
        <v>2084</v>
      </c>
      <c r="H765" s="7" t="s">
        <v>6983</v>
      </c>
      <c r="I765" s="7" t="s">
        <v>6984</v>
      </c>
      <c r="J765" s="7" t="s">
        <v>6999</v>
      </c>
      <c r="K765" s="7" t="s">
        <v>7000</v>
      </c>
      <c r="L765" s="7" t="s">
        <v>7001</v>
      </c>
      <c r="M765" s="7" t="s">
        <v>2078</v>
      </c>
      <c r="N765" s="9">
        <v>46000</v>
      </c>
      <c r="O765" s="9">
        <v>46355</v>
      </c>
      <c r="P765" s="7" t="s">
        <v>2090</v>
      </c>
      <c r="Q765" s="7" t="s">
        <v>6984</v>
      </c>
      <c r="R765" s="7" t="s">
        <v>2844</v>
      </c>
      <c r="S765" s="7" t="s">
        <v>7002</v>
      </c>
      <c r="T765" s="7" t="s">
        <v>2067</v>
      </c>
      <c r="U765" s="7" t="s">
        <v>2146</v>
      </c>
      <c r="V765" s="7" t="s">
        <v>2067</v>
      </c>
      <c r="W765" s="7" t="s">
        <v>2069</v>
      </c>
    </row>
    <row r="766" spans="1:23" ht="20.100000000000001" customHeight="1" x14ac:dyDescent="0.25">
      <c r="A766" s="3" t="s">
        <v>1338</v>
      </c>
      <c r="B766" s="4" t="s">
        <v>2084</v>
      </c>
      <c r="C766" s="4" t="s">
        <v>7003</v>
      </c>
      <c r="D766" s="4" t="s">
        <v>2059</v>
      </c>
      <c r="E766" s="4" t="s">
        <v>1947</v>
      </c>
      <c r="F766" s="4" t="s">
        <v>1948</v>
      </c>
      <c r="G766" s="4" t="s">
        <v>2084</v>
      </c>
      <c r="H766" s="4" t="s">
        <v>7004</v>
      </c>
      <c r="I766" s="4" t="s">
        <v>7005</v>
      </c>
      <c r="J766" s="4" t="s">
        <v>7006</v>
      </c>
      <c r="K766" s="4" t="s">
        <v>7007</v>
      </c>
      <c r="L766" s="4" t="s">
        <v>7008</v>
      </c>
      <c r="M766" s="4" t="s">
        <v>2078</v>
      </c>
      <c r="N766" s="8">
        <v>46164</v>
      </c>
      <c r="O766" s="8">
        <v>46294</v>
      </c>
      <c r="P766" s="4" t="s">
        <v>2090</v>
      </c>
      <c r="Q766" s="4" t="s">
        <v>7005</v>
      </c>
      <c r="R766" s="4" t="s">
        <v>4971</v>
      </c>
      <c r="S766" s="4" t="s">
        <v>7009</v>
      </c>
      <c r="T766" s="4" t="s">
        <v>2067</v>
      </c>
      <c r="U766" s="4" t="s">
        <v>2146</v>
      </c>
      <c r="V766" s="4" t="s">
        <v>2067</v>
      </c>
      <c r="W766" s="4" t="s">
        <v>2069</v>
      </c>
    </row>
    <row r="767" spans="1:23" ht="20.100000000000001" customHeight="1" x14ac:dyDescent="0.25">
      <c r="A767" s="6" t="s">
        <v>236</v>
      </c>
      <c r="B767" s="7" t="s">
        <v>2084</v>
      </c>
      <c r="C767" s="7" t="s">
        <v>7010</v>
      </c>
      <c r="D767" s="7" t="s">
        <v>2059</v>
      </c>
      <c r="E767" s="7" t="s">
        <v>1979</v>
      </c>
      <c r="F767" s="7" t="s">
        <v>2728</v>
      </c>
      <c r="G767" s="7" t="s">
        <v>2084</v>
      </c>
      <c r="H767" s="7" t="s">
        <v>7011</v>
      </c>
      <c r="I767" s="7" t="s">
        <v>7005</v>
      </c>
      <c r="J767" s="7" t="s">
        <v>7012</v>
      </c>
      <c r="K767" s="7" t="s">
        <v>7013</v>
      </c>
      <c r="L767" s="7" t="s">
        <v>7014</v>
      </c>
      <c r="M767" s="7" t="s">
        <v>2078</v>
      </c>
      <c r="N767" s="9">
        <v>46234</v>
      </c>
      <c r="O767" s="9">
        <v>46356</v>
      </c>
      <c r="P767" s="7" t="s">
        <v>2728</v>
      </c>
      <c r="Q767" s="7" t="s">
        <v>7005</v>
      </c>
      <c r="R767" s="7" t="s">
        <v>7015</v>
      </c>
      <c r="S767" s="7" t="s">
        <v>7016</v>
      </c>
      <c r="T767" s="7" t="s">
        <v>2067</v>
      </c>
      <c r="U767" s="7" t="s">
        <v>2728</v>
      </c>
      <c r="V767" s="7" t="s">
        <v>2067</v>
      </c>
      <c r="W767" s="7" t="s">
        <v>2069</v>
      </c>
    </row>
    <row r="768" spans="1:23" ht="20.100000000000001" customHeight="1" x14ac:dyDescent="0.25">
      <c r="A768" s="3" t="s">
        <v>96</v>
      </c>
      <c r="B768" s="4" t="s">
        <v>2084</v>
      </c>
      <c r="C768" s="4" t="s">
        <v>7017</v>
      </c>
      <c r="D768" s="4" t="s">
        <v>2059</v>
      </c>
      <c r="E768" s="4" t="s">
        <v>7018</v>
      </c>
      <c r="F768" s="4" t="s">
        <v>7019</v>
      </c>
      <c r="G768" s="4" t="s">
        <v>2084</v>
      </c>
      <c r="H768" s="4" t="s">
        <v>7020</v>
      </c>
      <c r="I768" s="4" t="s">
        <v>7005</v>
      </c>
      <c r="J768" s="4" t="s">
        <v>7021</v>
      </c>
      <c r="K768" s="4" t="s">
        <v>7022</v>
      </c>
      <c r="L768" s="4" t="s">
        <v>7023</v>
      </c>
      <c r="M768" s="4" t="s">
        <v>2078</v>
      </c>
      <c r="N768" s="8">
        <v>46167</v>
      </c>
      <c r="O768" s="8">
        <v>46294</v>
      </c>
      <c r="P768" s="4" t="s">
        <v>7024</v>
      </c>
      <c r="Q768" s="4" t="s">
        <v>7005</v>
      </c>
      <c r="R768" s="4" t="s">
        <v>7025</v>
      </c>
      <c r="S768" s="4" t="s">
        <v>7026</v>
      </c>
      <c r="T768" s="4" t="s">
        <v>2067</v>
      </c>
      <c r="U768" s="4" t="s">
        <v>7027</v>
      </c>
      <c r="V768" s="4" t="s">
        <v>2067</v>
      </c>
      <c r="W768" s="4" t="s">
        <v>2069</v>
      </c>
    </row>
    <row r="769" spans="1:23" ht="20.100000000000001" customHeight="1" x14ac:dyDescent="0.25">
      <c r="A769" s="6" t="s">
        <v>560</v>
      </c>
      <c r="B769" s="7" t="s">
        <v>2084</v>
      </c>
      <c r="C769" s="7" t="s">
        <v>7028</v>
      </c>
      <c r="D769" s="7" t="s">
        <v>2059</v>
      </c>
      <c r="E769" s="7" t="s">
        <v>2111</v>
      </c>
      <c r="F769" s="7" t="s">
        <v>2112</v>
      </c>
      <c r="G769" s="7" t="s">
        <v>2084</v>
      </c>
      <c r="H769" s="7" t="s">
        <v>7004</v>
      </c>
      <c r="I769" s="7" t="s">
        <v>7005</v>
      </c>
      <c r="J769" s="7" t="s">
        <v>7029</v>
      </c>
      <c r="K769" s="7" t="s">
        <v>7030</v>
      </c>
      <c r="L769" s="7" t="s">
        <v>7031</v>
      </c>
      <c r="M769" s="7" t="s">
        <v>2078</v>
      </c>
      <c r="N769" s="9">
        <v>46164</v>
      </c>
      <c r="O769" s="9">
        <v>46294</v>
      </c>
      <c r="P769" s="7" t="s">
        <v>2112</v>
      </c>
      <c r="Q769" s="7" t="s">
        <v>7005</v>
      </c>
      <c r="R769" s="7" t="s">
        <v>7032</v>
      </c>
      <c r="S769" s="7" t="s">
        <v>7033</v>
      </c>
      <c r="T769" s="7" t="s">
        <v>2067</v>
      </c>
      <c r="U769" s="7" t="s">
        <v>2119</v>
      </c>
      <c r="V769" s="7" t="s">
        <v>2067</v>
      </c>
      <c r="W769" s="7" t="s">
        <v>2069</v>
      </c>
    </row>
    <row r="770" spans="1:23" ht="20.100000000000001" customHeight="1" x14ac:dyDescent="0.25">
      <c r="A770" s="3" t="s">
        <v>1214</v>
      </c>
      <c r="B770" s="4" t="s">
        <v>2084</v>
      </c>
      <c r="C770" s="4" t="s">
        <v>7034</v>
      </c>
      <c r="D770" s="4" t="s">
        <v>2059</v>
      </c>
      <c r="E770" s="4" t="s">
        <v>1947</v>
      </c>
      <c r="F770" s="4" t="s">
        <v>1948</v>
      </c>
      <c r="G770" s="4" t="s">
        <v>2084</v>
      </c>
      <c r="H770" s="4" t="s">
        <v>7035</v>
      </c>
      <c r="I770" s="4" t="s">
        <v>7036</v>
      </c>
      <c r="J770" s="4" t="s">
        <v>7037</v>
      </c>
      <c r="K770" s="4" t="s">
        <v>7038</v>
      </c>
      <c r="L770" s="4" t="s">
        <v>7039</v>
      </c>
      <c r="M770" s="4" t="s">
        <v>2078</v>
      </c>
      <c r="N770" s="8">
        <v>45992</v>
      </c>
      <c r="O770" s="8">
        <v>46356</v>
      </c>
      <c r="P770" s="4" t="s">
        <v>2090</v>
      </c>
      <c r="Q770" s="4" t="s">
        <v>7036</v>
      </c>
      <c r="R770" s="4" t="s">
        <v>7040</v>
      </c>
      <c r="S770" s="4" t="s">
        <v>7041</v>
      </c>
      <c r="T770" s="4" t="s">
        <v>2067</v>
      </c>
      <c r="U770" s="4" t="s">
        <v>2146</v>
      </c>
      <c r="V770" s="4" t="s">
        <v>2067</v>
      </c>
      <c r="W770" s="4" t="s">
        <v>2069</v>
      </c>
    </row>
    <row r="771" spans="1:23" ht="20.100000000000001" customHeight="1" x14ac:dyDescent="0.25">
      <c r="A771" s="6" t="s">
        <v>1800</v>
      </c>
      <c r="B771" s="7" t="s">
        <v>2084</v>
      </c>
      <c r="C771" s="7" t="s">
        <v>7042</v>
      </c>
      <c r="D771" s="7" t="s">
        <v>2059</v>
      </c>
      <c r="E771" s="7" t="s">
        <v>1947</v>
      </c>
      <c r="F771" s="7" t="s">
        <v>1948</v>
      </c>
      <c r="G771" s="7" t="s">
        <v>2084</v>
      </c>
      <c r="H771" s="7" t="s">
        <v>7043</v>
      </c>
      <c r="I771" s="7" t="s">
        <v>7036</v>
      </c>
      <c r="J771" s="7" t="s">
        <v>7044</v>
      </c>
      <c r="K771" s="7" t="s">
        <v>7045</v>
      </c>
      <c r="L771" s="7" t="s">
        <v>7046</v>
      </c>
      <c r="M771" s="7" t="s">
        <v>2078</v>
      </c>
      <c r="N771" s="9">
        <v>46108</v>
      </c>
      <c r="O771" s="9">
        <v>46356</v>
      </c>
      <c r="P771" s="7" t="s">
        <v>2090</v>
      </c>
      <c r="Q771" s="7" t="s">
        <v>7036</v>
      </c>
      <c r="R771" s="7" t="s">
        <v>5933</v>
      </c>
      <c r="S771" s="7" t="s">
        <v>7047</v>
      </c>
      <c r="T771" s="7" t="s">
        <v>2067</v>
      </c>
      <c r="U771" s="7" t="s">
        <v>2146</v>
      </c>
      <c r="V771" s="7" t="s">
        <v>2067</v>
      </c>
      <c r="W771" s="7" t="s">
        <v>2082</v>
      </c>
    </row>
    <row r="772" spans="1:23" ht="20.100000000000001" customHeight="1" x14ac:dyDescent="0.25">
      <c r="A772" s="3" t="s">
        <v>552</v>
      </c>
      <c r="B772" s="4" t="s">
        <v>2084</v>
      </c>
      <c r="C772" s="4" t="s">
        <v>7048</v>
      </c>
      <c r="D772" s="4" t="s">
        <v>2059</v>
      </c>
      <c r="E772" s="4" t="s">
        <v>1947</v>
      </c>
      <c r="F772" s="4" t="s">
        <v>1948</v>
      </c>
      <c r="G772" s="4" t="s">
        <v>2084</v>
      </c>
      <c r="H772" s="4" t="s">
        <v>7049</v>
      </c>
      <c r="I772" s="4" t="s">
        <v>7036</v>
      </c>
      <c r="J772" s="4" t="s">
        <v>7050</v>
      </c>
      <c r="K772" s="4" t="s">
        <v>7051</v>
      </c>
      <c r="L772" s="4" t="s">
        <v>7052</v>
      </c>
      <c r="M772" s="4" t="s">
        <v>2078</v>
      </c>
      <c r="N772" s="8">
        <v>46000</v>
      </c>
      <c r="O772" s="8">
        <v>46365</v>
      </c>
      <c r="P772" s="4" t="s">
        <v>2090</v>
      </c>
      <c r="Q772" s="4" t="s">
        <v>7036</v>
      </c>
      <c r="R772" s="4" t="s">
        <v>7053</v>
      </c>
      <c r="S772" s="4" t="s">
        <v>7054</v>
      </c>
      <c r="T772" s="4" t="s">
        <v>2067</v>
      </c>
      <c r="U772" s="4" t="s">
        <v>2146</v>
      </c>
      <c r="V772" s="4" t="s">
        <v>2067</v>
      </c>
      <c r="W772" s="4" t="s">
        <v>2069</v>
      </c>
    </row>
    <row r="773" spans="1:23" ht="20.100000000000001" customHeight="1" x14ac:dyDescent="0.25">
      <c r="A773" s="6" t="s">
        <v>608</v>
      </c>
      <c r="B773" s="7" t="s">
        <v>2084</v>
      </c>
      <c r="C773" s="7" t="s">
        <v>7055</v>
      </c>
      <c r="D773" s="7" t="s">
        <v>2059</v>
      </c>
      <c r="E773" s="7" t="s">
        <v>7056</v>
      </c>
      <c r="F773" s="7" t="s">
        <v>7057</v>
      </c>
      <c r="G773" s="7" t="s">
        <v>2084</v>
      </c>
      <c r="H773" s="7" t="s">
        <v>7058</v>
      </c>
      <c r="I773" s="7" t="s">
        <v>7036</v>
      </c>
      <c r="J773" s="7" t="s">
        <v>7059</v>
      </c>
      <c r="K773" s="7" t="s">
        <v>7060</v>
      </c>
      <c r="L773" s="7" t="s">
        <v>7061</v>
      </c>
      <c r="M773" s="7" t="s">
        <v>2078</v>
      </c>
      <c r="N773" s="9">
        <v>46108</v>
      </c>
      <c r="O773" s="9">
        <v>46356</v>
      </c>
      <c r="P773" s="7" t="s">
        <v>7057</v>
      </c>
      <c r="Q773" s="7" t="s">
        <v>7036</v>
      </c>
      <c r="R773" s="7" t="s">
        <v>7062</v>
      </c>
      <c r="S773" s="7" t="s">
        <v>7063</v>
      </c>
      <c r="T773" s="7" t="s">
        <v>2067</v>
      </c>
      <c r="U773" s="7" t="s">
        <v>7064</v>
      </c>
      <c r="V773" s="7" t="s">
        <v>2067</v>
      </c>
      <c r="W773" s="7" t="s">
        <v>2069</v>
      </c>
    </row>
    <row r="774" spans="1:23" ht="20.100000000000001" customHeight="1" x14ac:dyDescent="0.25">
      <c r="A774" s="3" t="s">
        <v>1582</v>
      </c>
      <c r="B774" s="4" t="s">
        <v>2084</v>
      </c>
      <c r="C774" s="4" t="s">
        <v>7065</v>
      </c>
      <c r="D774" s="4" t="s">
        <v>2059</v>
      </c>
      <c r="E774" s="4" t="s">
        <v>1947</v>
      </c>
      <c r="F774" s="4" t="s">
        <v>1948</v>
      </c>
      <c r="G774" s="4" t="s">
        <v>2084</v>
      </c>
      <c r="H774" s="4" t="s">
        <v>7066</v>
      </c>
      <c r="I774" s="4" t="s">
        <v>7067</v>
      </c>
      <c r="J774" s="4" t="s">
        <v>7068</v>
      </c>
      <c r="K774" s="4" t="s">
        <v>7069</v>
      </c>
      <c r="L774" s="4" t="s">
        <v>7070</v>
      </c>
      <c r="M774" s="4" t="s">
        <v>2078</v>
      </c>
      <c r="N774" s="8">
        <v>46234</v>
      </c>
      <c r="O774" s="8">
        <v>46356</v>
      </c>
      <c r="P774" s="4" t="s">
        <v>2090</v>
      </c>
      <c r="Q774" s="4" t="s">
        <v>7067</v>
      </c>
      <c r="R774" s="4" t="s">
        <v>6579</v>
      </c>
      <c r="S774" s="4" t="s">
        <v>7071</v>
      </c>
      <c r="T774" s="4" t="s">
        <v>2067</v>
      </c>
      <c r="U774" s="4" t="s">
        <v>2146</v>
      </c>
      <c r="V774" s="4" t="s">
        <v>2067</v>
      </c>
      <c r="W774" s="4" t="s">
        <v>2082</v>
      </c>
    </row>
    <row r="775" spans="1:23" ht="20.100000000000001" customHeight="1" x14ac:dyDescent="0.25">
      <c r="A775" s="6" t="s">
        <v>7072</v>
      </c>
      <c r="B775" s="7" t="s">
        <v>2084</v>
      </c>
      <c r="C775" s="7" t="s">
        <v>7073</v>
      </c>
      <c r="D775" s="7" t="s">
        <v>2059</v>
      </c>
      <c r="E775" s="7" t="s">
        <v>2673</v>
      </c>
      <c r="F775" s="7" t="s">
        <v>2674</v>
      </c>
      <c r="G775" s="7" t="s">
        <v>2084</v>
      </c>
      <c r="H775" s="7" t="s">
        <v>7074</v>
      </c>
      <c r="I775" s="7" t="s">
        <v>7067</v>
      </c>
      <c r="J775" s="7" t="s">
        <v>7075</v>
      </c>
      <c r="K775" s="7" t="s">
        <v>7076</v>
      </c>
      <c r="L775" s="7" t="s">
        <v>7077</v>
      </c>
      <c r="M775" s="7" t="s">
        <v>2078</v>
      </c>
      <c r="N775" s="9">
        <v>46052</v>
      </c>
      <c r="O775" s="9">
        <v>46355</v>
      </c>
      <c r="P775" s="7" t="s">
        <v>2674</v>
      </c>
      <c r="Q775" s="7" t="s">
        <v>7067</v>
      </c>
      <c r="R775" s="7" t="s">
        <v>7078</v>
      </c>
      <c r="S775" s="7" t="s">
        <v>7079</v>
      </c>
      <c r="T775" s="7" t="s">
        <v>2067</v>
      </c>
      <c r="U775" s="7" t="s">
        <v>2680</v>
      </c>
      <c r="V775" s="7" t="s">
        <v>2067</v>
      </c>
      <c r="W775" s="7" t="s">
        <v>2069</v>
      </c>
    </row>
    <row r="776" spans="1:23" ht="20.100000000000001" customHeight="1" x14ac:dyDescent="0.25">
      <c r="A776" s="3" t="s">
        <v>1044</v>
      </c>
      <c r="B776" s="4" t="s">
        <v>2084</v>
      </c>
      <c r="C776" s="4" t="s">
        <v>7080</v>
      </c>
      <c r="D776" s="4" t="s">
        <v>2059</v>
      </c>
      <c r="E776" s="4" t="s">
        <v>1947</v>
      </c>
      <c r="F776" s="4" t="s">
        <v>1948</v>
      </c>
      <c r="G776" s="4" t="s">
        <v>2084</v>
      </c>
      <c r="H776" s="4" t="s">
        <v>7081</v>
      </c>
      <c r="I776" s="4" t="s">
        <v>7067</v>
      </c>
      <c r="J776" s="4" t="s">
        <v>7082</v>
      </c>
      <c r="K776" s="4" t="s">
        <v>7083</v>
      </c>
      <c r="L776" s="4" t="s">
        <v>7084</v>
      </c>
      <c r="M776" s="4" t="s">
        <v>2078</v>
      </c>
      <c r="N776" s="8">
        <v>46234</v>
      </c>
      <c r="O776" s="8">
        <v>46356</v>
      </c>
      <c r="P776" s="4" t="s">
        <v>2090</v>
      </c>
      <c r="Q776" s="4" t="s">
        <v>7067</v>
      </c>
      <c r="R776" s="4" t="s">
        <v>3012</v>
      </c>
      <c r="S776" s="4" t="s">
        <v>7085</v>
      </c>
      <c r="T776" s="4" t="s">
        <v>2067</v>
      </c>
      <c r="U776" s="4" t="s">
        <v>2146</v>
      </c>
      <c r="V776" s="4" t="s">
        <v>2067</v>
      </c>
      <c r="W776" s="4" t="s">
        <v>2082</v>
      </c>
    </row>
    <row r="777" spans="1:23" ht="20.100000000000001" customHeight="1" x14ac:dyDescent="0.25">
      <c r="A777" s="6" t="s">
        <v>7086</v>
      </c>
      <c r="B777" s="7" t="s">
        <v>2084</v>
      </c>
      <c r="C777" s="7" t="s">
        <v>7087</v>
      </c>
      <c r="D777" s="7" t="s">
        <v>2059</v>
      </c>
      <c r="E777" s="7" t="s">
        <v>1947</v>
      </c>
      <c r="F777" s="7" t="s">
        <v>1948</v>
      </c>
      <c r="G777" s="7" t="s">
        <v>2084</v>
      </c>
      <c r="H777" s="7" t="s">
        <v>7066</v>
      </c>
      <c r="I777" s="7" t="s">
        <v>7067</v>
      </c>
      <c r="J777" s="7" t="s">
        <v>7088</v>
      </c>
      <c r="K777" s="7" t="s">
        <v>7089</v>
      </c>
      <c r="L777" s="7" t="s">
        <v>7090</v>
      </c>
      <c r="M777" s="7" t="s">
        <v>2078</v>
      </c>
      <c r="N777" s="9">
        <v>46112</v>
      </c>
      <c r="O777" s="9">
        <v>46356</v>
      </c>
      <c r="P777" s="7" t="s">
        <v>2090</v>
      </c>
      <c r="Q777" s="7" t="s">
        <v>7067</v>
      </c>
      <c r="R777" s="7" t="s">
        <v>3754</v>
      </c>
      <c r="S777" s="7" t="s">
        <v>7091</v>
      </c>
      <c r="T777" s="7" t="s">
        <v>2067</v>
      </c>
      <c r="U777" s="7" t="s">
        <v>2146</v>
      </c>
      <c r="V777" s="7" t="s">
        <v>2067</v>
      </c>
      <c r="W777" s="7" t="s">
        <v>2082</v>
      </c>
    </row>
    <row r="778" spans="1:23" ht="20.100000000000001" customHeight="1" x14ac:dyDescent="0.25">
      <c r="A778" s="3" t="s">
        <v>730</v>
      </c>
      <c r="B778" s="4" t="s">
        <v>2084</v>
      </c>
      <c r="C778" s="4" t="s">
        <v>7092</v>
      </c>
      <c r="D778" s="4" t="s">
        <v>2059</v>
      </c>
      <c r="E778" s="4" t="s">
        <v>1947</v>
      </c>
      <c r="F778" s="4" t="s">
        <v>1948</v>
      </c>
      <c r="G778" s="4" t="s">
        <v>2084</v>
      </c>
      <c r="H778" s="4" t="s">
        <v>7093</v>
      </c>
      <c r="I778" s="4" t="s">
        <v>7094</v>
      </c>
      <c r="J778" s="4" t="s">
        <v>7095</v>
      </c>
      <c r="K778" s="4" t="s">
        <v>7096</v>
      </c>
      <c r="L778" s="4" t="s">
        <v>7097</v>
      </c>
      <c r="M778" s="4" t="s">
        <v>2078</v>
      </c>
      <c r="N778" s="8">
        <v>46052</v>
      </c>
      <c r="O778" s="8">
        <v>46355</v>
      </c>
      <c r="P778" s="4" t="s">
        <v>2090</v>
      </c>
      <c r="Q778" s="4" t="s">
        <v>7094</v>
      </c>
      <c r="R778" s="4" t="s">
        <v>7098</v>
      </c>
      <c r="S778" s="4" t="s">
        <v>7099</v>
      </c>
      <c r="T778" s="4" t="s">
        <v>2067</v>
      </c>
      <c r="U778" s="4" t="s">
        <v>2146</v>
      </c>
      <c r="V778" s="4" t="s">
        <v>2067</v>
      </c>
      <c r="W778" s="4" t="s">
        <v>2069</v>
      </c>
    </row>
    <row r="779" spans="1:23" ht="20.100000000000001" customHeight="1" x14ac:dyDescent="0.25">
      <c r="A779" s="6" t="s">
        <v>7100</v>
      </c>
      <c r="B779" s="7" t="s">
        <v>2084</v>
      </c>
      <c r="C779" s="7" t="s">
        <v>7101</v>
      </c>
      <c r="D779" s="7" t="s">
        <v>2059</v>
      </c>
      <c r="E779" s="7" t="s">
        <v>1947</v>
      </c>
      <c r="F779" s="7" t="s">
        <v>1948</v>
      </c>
      <c r="G779" s="7" t="s">
        <v>2084</v>
      </c>
      <c r="H779" s="7" t="s">
        <v>7093</v>
      </c>
      <c r="I779" s="7" t="s">
        <v>7094</v>
      </c>
      <c r="J779" s="7" t="s">
        <v>7102</v>
      </c>
      <c r="K779" s="7" t="s">
        <v>7103</v>
      </c>
      <c r="L779" s="7" t="s">
        <v>7104</v>
      </c>
      <c r="M779" s="7" t="s">
        <v>2078</v>
      </c>
      <c r="N779" s="9">
        <v>46052</v>
      </c>
      <c r="O779" s="9">
        <v>46355</v>
      </c>
      <c r="P779" s="7" t="s">
        <v>2090</v>
      </c>
      <c r="Q779" s="7" t="s">
        <v>7094</v>
      </c>
      <c r="R779" s="7" t="s">
        <v>7105</v>
      </c>
      <c r="S779" s="7" t="s">
        <v>7106</v>
      </c>
      <c r="T779" s="7" t="s">
        <v>2067</v>
      </c>
      <c r="U779" s="7" t="s">
        <v>2146</v>
      </c>
      <c r="V779" s="7" t="s">
        <v>2067</v>
      </c>
      <c r="W779" s="7" t="s">
        <v>2069</v>
      </c>
    </row>
    <row r="780" spans="1:23" ht="20.100000000000001" customHeight="1" x14ac:dyDescent="0.25">
      <c r="A780" s="3" t="s">
        <v>1118</v>
      </c>
      <c r="B780" s="4" t="s">
        <v>2084</v>
      </c>
      <c r="C780" s="4" t="s">
        <v>7107</v>
      </c>
      <c r="D780" s="4" t="s">
        <v>2059</v>
      </c>
      <c r="E780" s="4" t="s">
        <v>1947</v>
      </c>
      <c r="F780" s="4" t="s">
        <v>1948</v>
      </c>
      <c r="G780" s="4" t="s">
        <v>2084</v>
      </c>
      <c r="H780" s="4" t="s">
        <v>7108</v>
      </c>
      <c r="I780" s="4" t="s">
        <v>7094</v>
      </c>
      <c r="J780" s="4" t="s">
        <v>7109</v>
      </c>
      <c r="K780" s="4" t="s">
        <v>7110</v>
      </c>
      <c r="L780" s="4" t="s">
        <v>7111</v>
      </c>
      <c r="M780" s="4" t="s">
        <v>2078</v>
      </c>
      <c r="N780" s="8">
        <v>46052</v>
      </c>
      <c r="O780" s="8">
        <v>46355</v>
      </c>
      <c r="P780" s="4" t="s">
        <v>2090</v>
      </c>
      <c r="Q780" s="4" t="s">
        <v>7094</v>
      </c>
      <c r="R780" s="4" t="s">
        <v>7112</v>
      </c>
      <c r="S780" s="4" t="s">
        <v>7113</v>
      </c>
      <c r="T780" s="4" t="s">
        <v>2067</v>
      </c>
      <c r="U780" s="4" t="s">
        <v>2146</v>
      </c>
      <c r="V780" s="4" t="s">
        <v>2067</v>
      </c>
      <c r="W780" s="4" t="s">
        <v>2069</v>
      </c>
    </row>
    <row r="781" spans="1:23" ht="20.100000000000001" customHeight="1" x14ac:dyDescent="0.25">
      <c r="A781" s="6" t="s">
        <v>7114</v>
      </c>
      <c r="B781" s="7" t="s">
        <v>2084</v>
      </c>
      <c r="C781" s="7" t="s">
        <v>7115</v>
      </c>
      <c r="D781" s="7" t="s">
        <v>2059</v>
      </c>
      <c r="E781" s="7" t="s">
        <v>1947</v>
      </c>
      <c r="F781" s="7" t="s">
        <v>1948</v>
      </c>
      <c r="G781" s="7" t="s">
        <v>2084</v>
      </c>
      <c r="H781" s="7" t="s">
        <v>7108</v>
      </c>
      <c r="I781" s="7" t="s">
        <v>7094</v>
      </c>
      <c r="J781" s="7" t="s">
        <v>7116</v>
      </c>
      <c r="K781" s="7" t="s">
        <v>7117</v>
      </c>
      <c r="L781" s="7" t="s">
        <v>7118</v>
      </c>
      <c r="M781" s="7" t="s">
        <v>2078</v>
      </c>
      <c r="N781" s="9">
        <v>46234</v>
      </c>
      <c r="O781" s="9">
        <v>46356</v>
      </c>
      <c r="P781" s="7" t="s">
        <v>2090</v>
      </c>
      <c r="Q781" s="7" t="s">
        <v>7094</v>
      </c>
      <c r="R781" s="7" t="s">
        <v>7119</v>
      </c>
      <c r="S781" s="7" t="s">
        <v>7120</v>
      </c>
      <c r="T781" s="7" t="s">
        <v>2067</v>
      </c>
      <c r="U781" s="7" t="s">
        <v>2146</v>
      </c>
      <c r="V781" s="7" t="s">
        <v>2067</v>
      </c>
      <c r="W781" s="7" t="s">
        <v>2069</v>
      </c>
    </row>
    <row r="782" spans="1:23" ht="20.100000000000001" customHeight="1" x14ac:dyDescent="0.25">
      <c r="A782" s="3" t="s">
        <v>944</v>
      </c>
      <c r="B782" s="4" t="s">
        <v>2084</v>
      </c>
      <c r="C782" s="4" t="s">
        <v>7121</v>
      </c>
      <c r="D782" s="4" t="s">
        <v>2059</v>
      </c>
      <c r="E782" s="4" t="s">
        <v>1947</v>
      </c>
      <c r="F782" s="4" t="s">
        <v>1948</v>
      </c>
      <c r="G782" s="4" t="s">
        <v>2084</v>
      </c>
      <c r="H782" s="4" t="s">
        <v>7122</v>
      </c>
      <c r="I782" s="4" t="s">
        <v>1989</v>
      </c>
      <c r="J782" s="4" t="s">
        <v>7123</v>
      </c>
      <c r="K782" s="4" t="s">
        <v>7124</v>
      </c>
      <c r="L782" s="4" t="s">
        <v>7125</v>
      </c>
      <c r="M782" s="4" t="s">
        <v>2078</v>
      </c>
      <c r="N782" s="8">
        <v>46125</v>
      </c>
      <c r="O782" s="8">
        <v>46356</v>
      </c>
      <c r="P782" s="4" t="s">
        <v>2090</v>
      </c>
      <c r="Q782" s="4" t="s">
        <v>1989</v>
      </c>
      <c r="R782" s="4" t="s">
        <v>7126</v>
      </c>
      <c r="S782" s="4" t="s">
        <v>7127</v>
      </c>
      <c r="T782" s="4" t="s">
        <v>2067</v>
      </c>
      <c r="U782" s="4" t="s">
        <v>2146</v>
      </c>
      <c r="V782" s="4" t="s">
        <v>2067</v>
      </c>
      <c r="W782" s="4" t="s">
        <v>2069</v>
      </c>
    </row>
    <row r="783" spans="1:23" ht="20.100000000000001" customHeight="1" x14ac:dyDescent="0.25">
      <c r="A783" s="6" t="s">
        <v>702</v>
      </c>
      <c r="B783" s="7" t="s">
        <v>2084</v>
      </c>
      <c r="C783" s="7" t="s">
        <v>7128</v>
      </c>
      <c r="D783" s="7" t="s">
        <v>2059</v>
      </c>
      <c r="E783" s="7" t="s">
        <v>6137</v>
      </c>
      <c r="F783" s="7" t="s">
        <v>6138</v>
      </c>
      <c r="G783" s="7" t="s">
        <v>2084</v>
      </c>
      <c r="H783" s="7" t="s">
        <v>1988</v>
      </c>
      <c r="I783" s="7" t="s">
        <v>1989</v>
      </c>
      <c r="J783" s="7" t="s">
        <v>7129</v>
      </c>
      <c r="K783" s="7" t="s">
        <v>7130</v>
      </c>
      <c r="L783" s="7" t="s">
        <v>7131</v>
      </c>
      <c r="M783" s="7" t="s">
        <v>2078</v>
      </c>
      <c r="N783" s="9">
        <v>46077</v>
      </c>
      <c r="O783" s="9">
        <v>46294</v>
      </c>
      <c r="P783" s="7" t="s">
        <v>6142</v>
      </c>
      <c r="Q783" s="7" t="s">
        <v>1989</v>
      </c>
      <c r="R783" s="7" t="s">
        <v>7132</v>
      </c>
      <c r="S783" s="7" t="s">
        <v>7133</v>
      </c>
      <c r="T783" s="7" t="s">
        <v>2067</v>
      </c>
      <c r="U783" s="7" t="s">
        <v>6145</v>
      </c>
      <c r="V783" s="7" t="s">
        <v>2067</v>
      </c>
      <c r="W783" s="7" t="s">
        <v>2069</v>
      </c>
    </row>
    <row r="784" spans="1:23" ht="20.100000000000001" customHeight="1" x14ac:dyDescent="0.25">
      <c r="A784" s="3" t="s">
        <v>1308</v>
      </c>
      <c r="B784" s="4" t="s">
        <v>2084</v>
      </c>
      <c r="C784" s="4" t="s">
        <v>7134</v>
      </c>
      <c r="D784" s="4" t="s">
        <v>2059</v>
      </c>
      <c r="E784" s="4" t="s">
        <v>1947</v>
      </c>
      <c r="F784" s="4" t="s">
        <v>1948</v>
      </c>
      <c r="G784" s="4" t="s">
        <v>2084</v>
      </c>
      <c r="H784" s="4" t="s">
        <v>1988</v>
      </c>
      <c r="I784" s="4" t="s">
        <v>1989</v>
      </c>
      <c r="J784" s="4" t="s">
        <v>7135</v>
      </c>
      <c r="K784" s="4" t="s">
        <v>7136</v>
      </c>
      <c r="L784" s="4" t="s">
        <v>7137</v>
      </c>
      <c r="M784" s="4" t="s">
        <v>2078</v>
      </c>
      <c r="N784" s="8">
        <v>46108</v>
      </c>
      <c r="O784" s="8">
        <v>46356</v>
      </c>
      <c r="P784" s="4" t="s">
        <v>2090</v>
      </c>
      <c r="Q784" s="4" t="s">
        <v>1989</v>
      </c>
      <c r="R784" s="4" t="s">
        <v>7138</v>
      </c>
      <c r="S784" s="4" t="s">
        <v>7139</v>
      </c>
      <c r="T784" s="4" t="s">
        <v>2067</v>
      </c>
      <c r="U784" s="4" t="s">
        <v>2146</v>
      </c>
      <c r="V784" s="4" t="s">
        <v>2067</v>
      </c>
      <c r="W784" s="4" t="s">
        <v>2069</v>
      </c>
    </row>
    <row r="785" spans="1:23" ht="20.100000000000001" customHeight="1" x14ac:dyDescent="0.25">
      <c r="A785" s="6" t="s">
        <v>1742</v>
      </c>
      <c r="B785" s="7" t="s">
        <v>2084</v>
      </c>
      <c r="C785" s="7" t="s">
        <v>2037</v>
      </c>
      <c r="D785" s="7" t="s">
        <v>2059</v>
      </c>
      <c r="E785" s="7" t="s">
        <v>1947</v>
      </c>
      <c r="F785" s="7" t="s">
        <v>1948</v>
      </c>
      <c r="G785" s="7" t="s">
        <v>2084</v>
      </c>
      <c r="H785" s="7" t="s">
        <v>2038</v>
      </c>
      <c r="I785" s="7" t="s">
        <v>1989</v>
      </c>
      <c r="J785" s="7" t="s">
        <v>7140</v>
      </c>
      <c r="K785" s="7" t="s">
        <v>7141</v>
      </c>
      <c r="L785" s="7" t="s">
        <v>7142</v>
      </c>
      <c r="M785" s="7" t="s">
        <v>2078</v>
      </c>
      <c r="N785" s="9">
        <v>46189</v>
      </c>
      <c r="O785" s="9">
        <v>46356</v>
      </c>
      <c r="P785" s="7" t="s">
        <v>2090</v>
      </c>
      <c r="Q785" s="7" t="s">
        <v>1989</v>
      </c>
      <c r="R785" s="7" t="s">
        <v>7143</v>
      </c>
      <c r="S785" s="7" t="s">
        <v>7144</v>
      </c>
      <c r="T785" s="7" t="s">
        <v>2067</v>
      </c>
      <c r="U785" s="7" t="s">
        <v>2146</v>
      </c>
      <c r="V785" s="7" t="s">
        <v>2067</v>
      </c>
      <c r="W785" s="7" t="s">
        <v>2069</v>
      </c>
    </row>
    <row r="786" spans="1:23" ht="20.100000000000001" customHeight="1" x14ac:dyDescent="0.25">
      <c r="A786" s="3" t="s">
        <v>7145</v>
      </c>
      <c r="B786" s="4" t="s">
        <v>2084</v>
      </c>
      <c r="C786" s="4" t="s">
        <v>7146</v>
      </c>
      <c r="D786" s="4" t="s">
        <v>2059</v>
      </c>
      <c r="E786" s="4" t="s">
        <v>2673</v>
      </c>
      <c r="F786" s="4" t="s">
        <v>2674</v>
      </c>
      <c r="G786" s="4" t="s">
        <v>2084</v>
      </c>
      <c r="H786" s="4" t="s">
        <v>2038</v>
      </c>
      <c r="I786" s="4" t="s">
        <v>1989</v>
      </c>
      <c r="J786" s="4" t="s">
        <v>7147</v>
      </c>
      <c r="K786" s="4" t="s">
        <v>7148</v>
      </c>
      <c r="L786" s="4" t="s">
        <v>7149</v>
      </c>
      <c r="M786" s="4" t="s">
        <v>2078</v>
      </c>
      <c r="N786" s="8">
        <v>46234</v>
      </c>
      <c r="O786" s="8">
        <v>46356</v>
      </c>
      <c r="P786" s="4" t="s">
        <v>2674</v>
      </c>
      <c r="Q786" s="4" t="s">
        <v>1989</v>
      </c>
      <c r="R786" s="4" t="s">
        <v>7150</v>
      </c>
      <c r="S786" s="4" t="s">
        <v>7151</v>
      </c>
      <c r="T786" s="4" t="s">
        <v>2067</v>
      </c>
      <c r="U786" s="4" t="s">
        <v>2680</v>
      </c>
      <c r="V786" s="4" t="s">
        <v>2067</v>
      </c>
      <c r="W786" s="4" t="s">
        <v>2069</v>
      </c>
    </row>
    <row r="787" spans="1:23" ht="20.100000000000001" customHeight="1" x14ac:dyDescent="0.25">
      <c r="A787" s="6" t="s">
        <v>458</v>
      </c>
      <c r="B787" s="7" t="s">
        <v>2084</v>
      </c>
      <c r="C787" s="7" t="s">
        <v>7152</v>
      </c>
      <c r="D787" s="7" t="s">
        <v>2059</v>
      </c>
      <c r="E787" s="7" t="s">
        <v>2111</v>
      </c>
      <c r="F787" s="7" t="s">
        <v>2112</v>
      </c>
      <c r="G787" s="7" t="s">
        <v>2084</v>
      </c>
      <c r="H787" s="7" t="s">
        <v>1988</v>
      </c>
      <c r="I787" s="7" t="s">
        <v>1989</v>
      </c>
      <c r="J787" s="7" t="s">
        <v>7153</v>
      </c>
      <c r="K787" s="7" t="s">
        <v>7154</v>
      </c>
      <c r="L787" s="7" t="s">
        <v>7155</v>
      </c>
      <c r="M787" s="7" t="s">
        <v>2078</v>
      </c>
      <c r="N787" s="9">
        <v>46234</v>
      </c>
      <c r="O787" s="9">
        <v>46356</v>
      </c>
      <c r="P787" s="7" t="s">
        <v>2112</v>
      </c>
      <c r="Q787" s="7" t="s">
        <v>1989</v>
      </c>
      <c r="R787" s="7" t="s">
        <v>2751</v>
      </c>
      <c r="S787" s="7" t="s">
        <v>7156</v>
      </c>
      <c r="T787" s="7" t="s">
        <v>2067</v>
      </c>
      <c r="U787" s="7" t="s">
        <v>2119</v>
      </c>
      <c r="V787" s="7" t="s">
        <v>2067</v>
      </c>
      <c r="W787" s="7" t="s">
        <v>2069</v>
      </c>
    </row>
    <row r="788" spans="1:23" ht="20.100000000000001" customHeight="1" x14ac:dyDescent="0.25">
      <c r="A788" s="3" t="s">
        <v>542</v>
      </c>
      <c r="B788" s="4" t="s">
        <v>2084</v>
      </c>
      <c r="C788" s="4" t="s">
        <v>1987</v>
      </c>
      <c r="D788" s="4" t="s">
        <v>2059</v>
      </c>
      <c r="E788" s="4" t="s">
        <v>1947</v>
      </c>
      <c r="F788" s="4" t="s">
        <v>1948</v>
      </c>
      <c r="G788" s="4" t="s">
        <v>2084</v>
      </c>
      <c r="H788" s="4" t="s">
        <v>1988</v>
      </c>
      <c r="I788" s="4" t="s">
        <v>1989</v>
      </c>
      <c r="J788" s="4" t="s">
        <v>7157</v>
      </c>
      <c r="K788" s="4" t="s">
        <v>7158</v>
      </c>
      <c r="L788" s="4" t="s">
        <v>1874</v>
      </c>
      <c r="M788" s="4" t="s">
        <v>2078</v>
      </c>
      <c r="N788" s="8">
        <v>46234</v>
      </c>
      <c r="O788" s="8">
        <v>46356</v>
      </c>
      <c r="P788" s="4" t="s">
        <v>2090</v>
      </c>
      <c r="Q788" s="4" t="s">
        <v>1989</v>
      </c>
      <c r="R788" s="4" t="s">
        <v>7159</v>
      </c>
      <c r="S788" s="4" t="s">
        <v>7160</v>
      </c>
      <c r="T788" s="4" t="s">
        <v>2067</v>
      </c>
      <c r="U788" s="4" t="s">
        <v>2146</v>
      </c>
      <c r="V788" s="4" t="s">
        <v>2067</v>
      </c>
      <c r="W788" s="4" t="s">
        <v>2069</v>
      </c>
    </row>
    <row r="789" spans="1:23" ht="20.100000000000001" customHeight="1" x14ac:dyDescent="0.25">
      <c r="A789" s="6" t="s">
        <v>446</v>
      </c>
      <c r="B789" s="7" t="s">
        <v>2084</v>
      </c>
      <c r="C789" s="7" t="s">
        <v>7161</v>
      </c>
      <c r="D789" s="7" t="s">
        <v>2059</v>
      </c>
      <c r="E789" s="7" t="s">
        <v>4160</v>
      </c>
      <c r="F789" s="7" t="s">
        <v>4161</v>
      </c>
      <c r="G789" s="7" t="s">
        <v>2084</v>
      </c>
      <c r="H789" s="7" t="s">
        <v>2038</v>
      </c>
      <c r="I789" s="7" t="s">
        <v>1989</v>
      </c>
      <c r="J789" s="7" t="s">
        <v>7162</v>
      </c>
      <c r="K789" s="7" t="s">
        <v>7163</v>
      </c>
      <c r="L789" s="7" t="s">
        <v>7164</v>
      </c>
      <c r="M789" s="7" t="s">
        <v>2078</v>
      </c>
      <c r="N789" s="9">
        <v>46234</v>
      </c>
      <c r="O789" s="9">
        <v>46356</v>
      </c>
      <c r="P789" s="7" t="s">
        <v>4161</v>
      </c>
      <c r="Q789" s="7" t="s">
        <v>1989</v>
      </c>
      <c r="R789" s="7" t="s">
        <v>7165</v>
      </c>
      <c r="S789" s="7" t="s">
        <v>7166</v>
      </c>
      <c r="T789" s="7" t="s">
        <v>2067</v>
      </c>
      <c r="U789" s="7" t="s">
        <v>4167</v>
      </c>
      <c r="V789" s="7" t="s">
        <v>2067</v>
      </c>
      <c r="W789" s="7" t="s">
        <v>2069</v>
      </c>
    </row>
    <row r="790" spans="1:23" ht="20.100000000000001" customHeight="1" x14ac:dyDescent="0.25">
      <c r="A790" s="3" t="s">
        <v>1658</v>
      </c>
      <c r="B790" s="4" t="s">
        <v>2084</v>
      </c>
      <c r="C790" s="4" t="s">
        <v>7167</v>
      </c>
      <c r="D790" s="4" t="s">
        <v>2059</v>
      </c>
      <c r="E790" s="4" t="s">
        <v>1947</v>
      </c>
      <c r="F790" s="4" t="s">
        <v>1948</v>
      </c>
      <c r="G790" s="4" t="s">
        <v>2084</v>
      </c>
      <c r="H790" s="4" t="s">
        <v>2038</v>
      </c>
      <c r="I790" s="4" t="s">
        <v>1989</v>
      </c>
      <c r="J790" s="4" t="s">
        <v>7168</v>
      </c>
      <c r="K790" s="4" t="s">
        <v>7169</v>
      </c>
      <c r="L790" s="4" t="s">
        <v>7170</v>
      </c>
      <c r="M790" s="4" t="s">
        <v>2078</v>
      </c>
      <c r="N790" s="8">
        <v>46234</v>
      </c>
      <c r="O790" s="8">
        <v>46356</v>
      </c>
      <c r="P790" s="4" t="s">
        <v>2090</v>
      </c>
      <c r="Q790" s="4" t="s">
        <v>1989</v>
      </c>
      <c r="R790" s="4" t="s">
        <v>7171</v>
      </c>
      <c r="S790" s="4" t="s">
        <v>7172</v>
      </c>
      <c r="T790" s="4" t="s">
        <v>2067</v>
      </c>
      <c r="U790" s="4" t="s">
        <v>2146</v>
      </c>
      <c r="V790" s="4" t="s">
        <v>2067</v>
      </c>
      <c r="W790" s="4" t="s">
        <v>2069</v>
      </c>
    </row>
    <row r="791" spans="1:23" ht="20.100000000000001" customHeight="1" x14ac:dyDescent="0.25">
      <c r="A791" s="6" t="s">
        <v>544</v>
      </c>
      <c r="B791" s="7" t="s">
        <v>2084</v>
      </c>
      <c r="C791" s="7" t="s">
        <v>7173</v>
      </c>
      <c r="D791" s="7" t="s">
        <v>2059</v>
      </c>
      <c r="E791" s="7" t="s">
        <v>1947</v>
      </c>
      <c r="F791" s="7" t="s">
        <v>1948</v>
      </c>
      <c r="G791" s="7" t="s">
        <v>2084</v>
      </c>
      <c r="H791" s="7" t="s">
        <v>2038</v>
      </c>
      <c r="I791" s="7" t="s">
        <v>1989</v>
      </c>
      <c r="J791" s="7" t="s">
        <v>7174</v>
      </c>
      <c r="K791" s="7" t="s">
        <v>7175</v>
      </c>
      <c r="L791" s="7" t="s">
        <v>7176</v>
      </c>
      <c r="M791" s="7" t="s">
        <v>2078</v>
      </c>
      <c r="N791" s="9">
        <v>46164</v>
      </c>
      <c r="O791" s="9">
        <v>46294</v>
      </c>
      <c r="P791" s="7" t="s">
        <v>2090</v>
      </c>
      <c r="Q791" s="7" t="s">
        <v>1989</v>
      </c>
      <c r="R791" s="7" t="s">
        <v>7177</v>
      </c>
      <c r="S791" s="7" t="s">
        <v>7178</v>
      </c>
      <c r="T791" s="7" t="s">
        <v>2067</v>
      </c>
      <c r="U791" s="7" t="s">
        <v>2146</v>
      </c>
      <c r="V791" s="7" t="s">
        <v>2067</v>
      </c>
      <c r="W791" s="7" t="s">
        <v>2069</v>
      </c>
    </row>
    <row r="792" spans="1:23" ht="20.100000000000001" customHeight="1" x14ac:dyDescent="0.25">
      <c r="A792" s="3" t="s">
        <v>772</v>
      </c>
      <c r="B792" s="4" t="s">
        <v>2084</v>
      </c>
      <c r="C792" s="4" t="s">
        <v>7179</v>
      </c>
      <c r="D792" s="4" t="s">
        <v>2059</v>
      </c>
      <c r="E792" s="4" t="s">
        <v>1947</v>
      </c>
      <c r="F792" s="4" t="s">
        <v>1948</v>
      </c>
      <c r="G792" s="4" t="s">
        <v>2084</v>
      </c>
      <c r="H792" s="4" t="s">
        <v>7180</v>
      </c>
      <c r="I792" s="4" t="s">
        <v>7181</v>
      </c>
      <c r="J792" s="4" t="s">
        <v>7182</v>
      </c>
      <c r="K792" s="4" t="s">
        <v>7183</v>
      </c>
      <c r="L792" s="4" t="s">
        <v>7184</v>
      </c>
      <c r="M792" s="4" t="s">
        <v>2078</v>
      </c>
      <c r="N792" s="8">
        <v>46234</v>
      </c>
      <c r="O792" s="8">
        <v>46356</v>
      </c>
      <c r="P792" s="4" t="s">
        <v>2090</v>
      </c>
      <c r="Q792" s="4" t="s">
        <v>7181</v>
      </c>
      <c r="R792" s="4" t="s">
        <v>4609</v>
      </c>
      <c r="S792" s="4" t="s">
        <v>7185</v>
      </c>
      <c r="T792" s="4" t="s">
        <v>2067</v>
      </c>
      <c r="U792" s="4" t="s">
        <v>2146</v>
      </c>
      <c r="V792" s="4" t="s">
        <v>2067</v>
      </c>
      <c r="W792" s="4" t="s">
        <v>2069</v>
      </c>
    </row>
    <row r="793" spans="1:23" ht="20.100000000000001" customHeight="1" x14ac:dyDescent="0.25">
      <c r="A793" s="6" t="s">
        <v>1048</v>
      </c>
      <c r="B793" s="7" t="s">
        <v>2084</v>
      </c>
      <c r="C793" s="7" t="s">
        <v>7186</v>
      </c>
      <c r="D793" s="7" t="s">
        <v>2059</v>
      </c>
      <c r="E793" s="7" t="s">
        <v>1947</v>
      </c>
      <c r="F793" s="7" t="s">
        <v>1948</v>
      </c>
      <c r="G793" s="7" t="s">
        <v>2084</v>
      </c>
      <c r="H793" s="7" t="s">
        <v>7187</v>
      </c>
      <c r="I793" s="7" t="s">
        <v>7188</v>
      </c>
      <c r="J793" s="7" t="s">
        <v>7189</v>
      </c>
      <c r="K793" s="7" t="s">
        <v>7190</v>
      </c>
      <c r="L793" s="7" t="s">
        <v>7191</v>
      </c>
      <c r="M793" s="7" t="s">
        <v>2078</v>
      </c>
      <c r="N793" s="9">
        <v>46164</v>
      </c>
      <c r="O793" s="9">
        <v>46294</v>
      </c>
      <c r="P793" s="7" t="s">
        <v>2090</v>
      </c>
      <c r="Q793" s="7" t="s">
        <v>7188</v>
      </c>
      <c r="R793" s="7" t="s">
        <v>3085</v>
      </c>
      <c r="S793" s="7" t="s">
        <v>7192</v>
      </c>
      <c r="T793" s="7" t="s">
        <v>2067</v>
      </c>
      <c r="U793" s="7" t="s">
        <v>2146</v>
      </c>
      <c r="V793" s="7" t="s">
        <v>2067</v>
      </c>
      <c r="W793" s="7" t="s">
        <v>2069</v>
      </c>
    </row>
    <row r="794" spans="1:23" ht="20.100000000000001" customHeight="1" x14ac:dyDescent="0.25">
      <c r="A794" s="3" t="s">
        <v>650</v>
      </c>
      <c r="B794" s="4" t="s">
        <v>2084</v>
      </c>
      <c r="C794" s="4" t="s">
        <v>7193</v>
      </c>
      <c r="D794" s="4" t="s">
        <v>2059</v>
      </c>
      <c r="E794" s="4" t="s">
        <v>6137</v>
      </c>
      <c r="F794" s="4" t="s">
        <v>6138</v>
      </c>
      <c r="G794" s="4" t="s">
        <v>2084</v>
      </c>
      <c r="H794" s="4" t="s">
        <v>7187</v>
      </c>
      <c r="I794" s="4" t="s">
        <v>7188</v>
      </c>
      <c r="J794" s="4" t="s">
        <v>7194</v>
      </c>
      <c r="K794" s="4" t="s">
        <v>7195</v>
      </c>
      <c r="L794" s="4" t="s">
        <v>7196</v>
      </c>
      <c r="M794" s="4" t="s">
        <v>2078</v>
      </c>
      <c r="N794" s="8">
        <v>46164</v>
      </c>
      <c r="O794" s="8">
        <v>46294</v>
      </c>
      <c r="P794" s="4" t="s">
        <v>6142</v>
      </c>
      <c r="Q794" s="4" t="s">
        <v>7188</v>
      </c>
      <c r="R794" s="4" t="s">
        <v>6810</v>
      </c>
      <c r="S794" s="4" t="s">
        <v>7197</v>
      </c>
      <c r="T794" s="4" t="s">
        <v>2067</v>
      </c>
      <c r="U794" s="4" t="s">
        <v>6145</v>
      </c>
      <c r="V794" s="4" t="s">
        <v>2067</v>
      </c>
      <c r="W794" s="4" t="s">
        <v>2069</v>
      </c>
    </row>
    <row r="795" spans="1:23" ht="20.100000000000001" customHeight="1" x14ac:dyDescent="0.25">
      <c r="A795" s="6" t="s">
        <v>7198</v>
      </c>
      <c r="B795" s="7" t="s">
        <v>2084</v>
      </c>
      <c r="C795" s="7" t="s">
        <v>7199</v>
      </c>
      <c r="D795" s="7" t="s">
        <v>2059</v>
      </c>
      <c r="E795" s="7" t="s">
        <v>1947</v>
      </c>
      <c r="F795" s="7" t="s">
        <v>1948</v>
      </c>
      <c r="G795" s="7" t="s">
        <v>2084</v>
      </c>
      <c r="H795" s="7" t="s">
        <v>7200</v>
      </c>
      <c r="I795" s="7" t="s">
        <v>7188</v>
      </c>
      <c r="J795" s="7" t="s">
        <v>7201</v>
      </c>
      <c r="K795" s="7" t="s">
        <v>7202</v>
      </c>
      <c r="L795" s="7" t="s">
        <v>7203</v>
      </c>
      <c r="M795" s="7" t="s">
        <v>2078</v>
      </c>
      <c r="N795" s="9">
        <v>46234</v>
      </c>
      <c r="O795" s="9">
        <v>46356</v>
      </c>
      <c r="P795" s="7" t="s">
        <v>2090</v>
      </c>
      <c r="Q795" s="7" t="s">
        <v>7188</v>
      </c>
      <c r="R795" s="7" t="s">
        <v>5481</v>
      </c>
      <c r="S795" s="7" t="s">
        <v>7204</v>
      </c>
      <c r="T795" s="7" t="s">
        <v>2067</v>
      </c>
      <c r="U795" s="7" t="s">
        <v>2146</v>
      </c>
      <c r="V795" s="7" t="s">
        <v>2067</v>
      </c>
      <c r="W795" s="7" t="s">
        <v>2069</v>
      </c>
    </row>
    <row r="796" spans="1:23" ht="20.100000000000001" customHeight="1" x14ac:dyDescent="0.25">
      <c r="A796" s="3" t="s">
        <v>976</v>
      </c>
      <c r="B796" s="4" t="s">
        <v>2084</v>
      </c>
      <c r="C796" s="4" t="s">
        <v>7205</v>
      </c>
      <c r="D796" s="4" t="s">
        <v>2059</v>
      </c>
      <c r="E796" s="4" t="s">
        <v>1947</v>
      </c>
      <c r="F796" s="4" t="s">
        <v>1948</v>
      </c>
      <c r="G796" s="4" t="s">
        <v>2084</v>
      </c>
      <c r="H796" s="4" t="s">
        <v>7187</v>
      </c>
      <c r="I796" s="4" t="s">
        <v>7188</v>
      </c>
      <c r="J796" s="4" t="s">
        <v>7206</v>
      </c>
      <c r="K796" s="4" t="s">
        <v>7207</v>
      </c>
      <c r="L796" s="4" t="s">
        <v>7208</v>
      </c>
      <c r="M796" s="4" t="s">
        <v>2078</v>
      </c>
      <c r="N796" s="8">
        <v>46164</v>
      </c>
      <c r="O796" s="8">
        <v>46294</v>
      </c>
      <c r="P796" s="4" t="s">
        <v>2090</v>
      </c>
      <c r="Q796" s="4" t="s">
        <v>7188</v>
      </c>
      <c r="R796" s="4" t="s">
        <v>7209</v>
      </c>
      <c r="S796" s="4" t="s">
        <v>7210</v>
      </c>
      <c r="T796" s="4" t="s">
        <v>2067</v>
      </c>
      <c r="U796" s="4" t="s">
        <v>2146</v>
      </c>
      <c r="V796" s="4" t="s">
        <v>2067</v>
      </c>
      <c r="W796" s="4" t="s">
        <v>2069</v>
      </c>
    </row>
    <row r="797" spans="1:23" ht="20.100000000000001" customHeight="1" x14ac:dyDescent="0.25">
      <c r="A797" s="6" t="s">
        <v>1180</v>
      </c>
      <c r="B797" s="7" t="s">
        <v>2084</v>
      </c>
      <c r="C797" s="7" t="s">
        <v>7211</v>
      </c>
      <c r="D797" s="7" t="s">
        <v>2059</v>
      </c>
      <c r="E797" s="7" t="s">
        <v>1947</v>
      </c>
      <c r="F797" s="7" t="s">
        <v>1948</v>
      </c>
      <c r="G797" s="7" t="s">
        <v>2084</v>
      </c>
      <c r="H797" s="7" t="s">
        <v>2031</v>
      </c>
      <c r="I797" s="7" t="s">
        <v>2025</v>
      </c>
      <c r="J797" s="7" t="s">
        <v>7212</v>
      </c>
      <c r="K797" s="7" t="s">
        <v>7213</v>
      </c>
      <c r="L797" s="7" t="s">
        <v>7214</v>
      </c>
      <c r="M797" s="7" t="s">
        <v>2078</v>
      </c>
      <c r="N797" s="9">
        <v>46234</v>
      </c>
      <c r="O797" s="9">
        <v>46356</v>
      </c>
      <c r="P797" s="7" t="s">
        <v>2090</v>
      </c>
      <c r="Q797" s="7" t="s">
        <v>2025</v>
      </c>
      <c r="R797" s="7" t="s">
        <v>7215</v>
      </c>
      <c r="S797" s="7" t="s">
        <v>7216</v>
      </c>
      <c r="T797" s="7" t="s">
        <v>2067</v>
      </c>
      <c r="U797" s="7" t="s">
        <v>2146</v>
      </c>
      <c r="V797" s="7" t="s">
        <v>2067</v>
      </c>
      <c r="W797" s="7" t="s">
        <v>2069</v>
      </c>
    </row>
    <row r="798" spans="1:23" ht="20.100000000000001" customHeight="1" x14ac:dyDescent="0.25">
      <c r="A798" s="3" t="s">
        <v>818</v>
      </c>
      <c r="B798" s="4" t="s">
        <v>2084</v>
      </c>
      <c r="C798" s="4" t="s">
        <v>7217</v>
      </c>
      <c r="D798" s="4" t="s">
        <v>2059</v>
      </c>
      <c r="E798" s="4" t="s">
        <v>1947</v>
      </c>
      <c r="F798" s="4" t="s">
        <v>1948</v>
      </c>
      <c r="G798" s="4" t="s">
        <v>2084</v>
      </c>
      <c r="H798" s="4" t="s">
        <v>2031</v>
      </c>
      <c r="I798" s="4" t="s">
        <v>2025</v>
      </c>
      <c r="J798" s="4" t="s">
        <v>7218</v>
      </c>
      <c r="K798" s="4" t="s">
        <v>7219</v>
      </c>
      <c r="L798" s="4" t="s">
        <v>7220</v>
      </c>
      <c r="M798" s="4" t="s">
        <v>2078</v>
      </c>
      <c r="N798" s="8">
        <v>45992</v>
      </c>
      <c r="O798" s="8">
        <v>46356</v>
      </c>
      <c r="P798" s="4" t="s">
        <v>2090</v>
      </c>
      <c r="Q798" s="4" t="s">
        <v>2025</v>
      </c>
      <c r="R798" s="4" t="s">
        <v>7221</v>
      </c>
      <c r="S798" s="4" t="s">
        <v>7222</v>
      </c>
      <c r="T798" s="4" t="s">
        <v>2067</v>
      </c>
      <c r="U798" s="4" t="s">
        <v>2146</v>
      </c>
      <c r="V798" s="4" t="s">
        <v>2067</v>
      </c>
      <c r="W798" s="4" t="s">
        <v>2069</v>
      </c>
    </row>
    <row r="799" spans="1:23" ht="20.100000000000001" customHeight="1" x14ac:dyDescent="0.25">
      <c r="A799" s="6" t="s">
        <v>710</v>
      </c>
      <c r="B799" s="7" t="s">
        <v>2084</v>
      </c>
      <c r="C799" s="7" t="s">
        <v>7223</v>
      </c>
      <c r="D799" s="7" t="s">
        <v>2059</v>
      </c>
      <c r="E799" s="7" t="s">
        <v>1947</v>
      </c>
      <c r="F799" s="7" t="s">
        <v>1948</v>
      </c>
      <c r="G799" s="7" t="s">
        <v>2084</v>
      </c>
      <c r="H799" s="7" t="s">
        <v>2031</v>
      </c>
      <c r="I799" s="7" t="s">
        <v>2025</v>
      </c>
      <c r="J799" s="7" t="s">
        <v>7224</v>
      </c>
      <c r="K799" s="7" t="s">
        <v>7225</v>
      </c>
      <c r="L799" s="7" t="s">
        <v>7226</v>
      </c>
      <c r="M799" s="7" t="s">
        <v>2078</v>
      </c>
      <c r="N799" s="9">
        <v>45992</v>
      </c>
      <c r="O799" s="9">
        <v>46356</v>
      </c>
      <c r="P799" s="7" t="s">
        <v>2090</v>
      </c>
      <c r="Q799" s="7" t="s">
        <v>2025</v>
      </c>
      <c r="R799" s="7" t="s">
        <v>7227</v>
      </c>
      <c r="S799" s="7" t="s">
        <v>7228</v>
      </c>
      <c r="T799" s="7" t="s">
        <v>2351</v>
      </c>
      <c r="U799" s="7" t="s">
        <v>2146</v>
      </c>
      <c r="V799" s="7" t="s">
        <v>2351</v>
      </c>
      <c r="W799" s="7" t="s">
        <v>2069</v>
      </c>
    </row>
    <row r="800" spans="1:23" ht="20.100000000000001" customHeight="1" x14ac:dyDescent="0.25">
      <c r="A800" s="3" t="s">
        <v>1712</v>
      </c>
      <c r="B800" s="4" t="s">
        <v>2084</v>
      </c>
      <c r="C800" s="4" t="s">
        <v>2030</v>
      </c>
      <c r="D800" s="4" t="s">
        <v>2059</v>
      </c>
      <c r="E800" s="4" t="s">
        <v>1947</v>
      </c>
      <c r="F800" s="4" t="s">
        <v>1948</v>
      </c>
      <c r="G800" s="4" t="s">
        <v>2084</v>
      </c>
      <c r="H800" s="4" t="s">
        <v>2031</v>
      </c>
      <c r="I800" s="4" t="s">
        <v>2025</v>
      </c>
      <c r="J800" s="4" t="s">
        <v>7229</v>
      </c>
      <c r="K800" s="4" t="s">
        <v>7230</v>
      </c>
      <c r="L800" s="4" t="s">
        <v>7231</v>
      </c>
      <c r="M800" s="4" t="s">
        <v>2078</v>
      </c>
      <c r="N800" s="8">
        <v>45992</v>
      </c>
      <c r="O800" s="8">
        <v>46356</v>
      </c>
      <c r="P800" s="4" t="s">
        <v>2090</v>
      </c>
      <c r="Q800" s="4" t="s">
        <v>2025</v>
      </c>
      <c r="R800" s="4" t="s">
        <v>7232</v>
      </c>
      <c r="S800" s="4" t="s">
        <v>4134</v>
      </c>
      <c r="T800" s="4" t="s">
        <v>2067</v>
      </c>
      <c r="U800" s="4" t="s">
        <v>2146</v>
      </c>
      <c r="V800" s="4" t="s">
        <v>2067</v>
      </c>
      <c r="W800" s="4" t="s">
        <v>2069</v>
      </c>
    </row>
    <row r="801" spans="1:23" ht="20.100000000000001" customHeight="1" x14ac:dyDescent="0.25">
      <c r="A801" s="6" t="s">
        <v>130</v>
      </c>
      <c r="B801" s="7" t="s">
        <v>2084</v>
      </c>
      <c r="C801" s="7" t="s">
        <v>7233</v>
      </c>
      <c r="D801" s="7" t="s">
        <v>2059</v>
      </c>
      <c r="E801" s="7" t="s">
        <v>4160</v>
      </c>
      <c r="F801" s="7" t="s">
        <v>4161</v>
      </c>
      <c r="G801" s="7" t="s">
        <v>2084</v>
      </c>
      <c r="H801" s="7" t="s">
        <v>7234</v>
      </c>
      <c r="I801" s="7" t="s">
        <v>2025</v>
      </c>
      <c r="J801" s="7" t="s">
        <v>7235</v>
      </c>
      <c r="K801" s="7" t="s">
        <v>7236</v>
      </c>
      <c r="L801" s="7" t="s">
        <v>7237</v>
      </c>
      <c r="M801" s="7" t="s">
        <v>2078</v>
      </c>
      <c r="N801" s="9">
        <v>45992</v>
      </c>
      <c r="O801" s="9">
        <v>46356</v>
      </c>
      <c r="P801" s="7" t="s">
        <v>4161</v>
      </c>
      <c r="Q801" s="7" t="s">
        <v>2025</v>
      </c>
      <c r="R801" s="7" t="s">
        <v>7238</v>
      </c>
      <c r="S801" s="7" t="s">
        <v>7239</v>
      </c>
      <c r="T801" s="7" t="s">
        <v>2067</v>
      </c>
      <c r="U801" s="7" t="s">
        <v>4167</v>
      </c>
      <c r="V801" s="7" t="s">
        <v>2067</v>
      </c>
      <c r="W801" s="7" t="s">
        <v>2069</v>
      </c>
    </row>
    <row r="802" spans="1:23" ht="20.100000000000001" customHeight="1" x14ac:dyDescent="0.25">
      <c r="A802" s="3" t="s">
        <v>7240</v>
      </c>
      <c r="B802" s="4" t="s">
        <v>2084</v>
      </c>
      <c r="C802" s="4" t="s">
        <v>7241</v>
      </c>
      <c r="D802" s="4" t="s">
        <v>2059</v>
      </c>
      <c r="E802" s="4" t="s">
        <v>2189</v>
      </c>
      <c r="F802" s="4" t="s">
        <v>2190</v>
      </c>
      <c r="G802" s="4" t="s">
        <v>2084</v>
      </c>
      <c r="H802" s="4" t="s">
        <v>2024</v>
      </c>
      <c r="I802" s="4" t="s">
        <v>2025</v>
      </c>
      <c r="J802" s="4" t="s">
        <v>7242</v>
      </c>
      <c r="K802" s="4" t="s">
        <v>7243</v>
      </c>
      <c r="L802" s="4" t="s">
        <v>7244</v>
      </c>
      <c r="M802" s="4" t="s">
        <v>2078</v>
      </c>
      <c r="N802" s="8">
        <v>46234</v>
      </c>
      <c r="O802" s="8">
        <v>46356</v>
      </c>
      <c r="P802" s="4" t="s">
        <v>2195</v>
      </c>
      <c r="Q802" s="4" t="s">
        <v>2025</v>
      </c>
      <c r="R802" s="4" t="s">
        <v>7245</v>
      </c>
      <c r="S802" s="4" t="s">
        <v>7246</v>
      </c>
      <c r="T802" s="4" t="s">
        <v>2067</v>
      </c>
      <c r="U802" s="4" t="s">
        <v>2198</v>
      </c>
      <c r="V802" s="4" t="s">
        <v>2067</v>
      </c>
      <c r="W802" s="4" t="s">
        <v>2069</v>
      </c>
    </row>
    <row r="803" spans="1:23" ht="20.100000000000001" customHeight="1" x14ac:dyDescent="0.25">
      <c r="A803" s="6" t="s">
        <v>1290</v>
      </c>
      <c r="B803" s="7" t="s">
        <v>2084</v>
      </c>
      <c r="C803" s="7" t="s">
        <v>7247</v>
      </c>
      <c r="D803" s="7" t="s">
        <v>2059</v>
      </c>
      <c r="E803" s="7" t="s">
        <v>1947</v>
      </c>
      <c r="F803" s="7" t="s">
        <v>1948</v>
      </c>
      <c r="G803" s="7" t="s">
        <v>2084</v>
      </c>
      <c r="H803" s="7" t="s">
        <v>2031</v>
      </c>
      <c r="I803" s="7" t="s">
        <v>2025</v>
      </c>
      <c r="J803" s="7" t="s">
        <v>7248</v>
      </c>
      <c r="K803" s="7" t="s">
        <v>7249</v>
      </c>
      <c r="L803" s="7" t="s">
        <v>7250</v>
      </c>
      <c r="M803" s="7" t="s">
        <v>2078</v>
      </c>
      <c r="N803" s="9">
        <v>46234</v>
      </c>
      <c r="O803" s="9">
        <v>46356</v>
      </c>
      <c r="P803" s="7" t="s">
        <v>2090</v>
      </c>
      <c r="Q803" s="7" t="s">
        <v>2025</v>
      </c>
      <c r="R803" s="7" t="s">
        <v>7251</v>
      </c>
      <c r="S803" s="7" t="s">
        <v>7252</v>
      </c>
      <c r="T803" s="7" t="s">
        <v>2067</v>
      </c>
      <c r="U803" s="7" t="s">
        <v>2146</v>
      </c>
      <c r="V803" s="7" t="s">
        <v>2067</v>
      </c>
      <c r="W803" s="7" t="s">
        <v>2069</v>
      </c>
    </row>
    <row r="804" spans="1:23" ht="20.100000000000001" customHeight="1" x14ac:dyDescent="0.25">
      <c r="A804" s="3" t="s">
        <v>1222</v>
      </c>
      <c r="B804" s="4" t="s">
        <v>2084</v>
      </c>
      <c r="C804" s="4" t="s">
        <v>7253</v>
      </c>
      <c r="D804" s="4" t="s">
        <v>2059</v>
      </c>
      <c r="E804" s="4" t="s">
        <v>1947</v>
      </c>
      <c r="F804" s="4" t="s">
        <v>1948</v>
      </c>
      <c r="G804" s="4" t="s">
        <v>2084</v>
      </c>
      <c r="H804" s="4" t="s">
        <v>2024</v>
      </c>
      <c r="I804" s="4" t="s">
        <v>2025</v>
      </c>
      <c r="J804" s="4" t="s">
        <v>7254</v>
      </c>
      <c r="K804" s="4" t="s">
        <v>7255</v>
      </c>
      <c r="L804" s="4" t="s">
        <v>7256</v>
      </c>
      <c r="M804" s="4" t="s">
        <v>2078</v>
      </c>
      <c r="N804" s="8">
        <v>45992</v>
      </c>
      <c r="O804" s="8">
        <v>46356</v>
      </c>
      <c r="P804" s="4" t="s">
        <v>2090</v>
      </c>
      <c r="Q804" s="4" t="s">
        <v>2025</v>
      </c>
      <c r="R804" s="4" t="s">
        <v>7257</v>
      </c>
      <c r="S804" s="4" t="s">
        <v>7258</v>
      </c>
      <c r="T804" s="4" t="s">
        <v>2067</v>
      </c>
      <c r="U804" s="4" t="s">
        <v>2146</v>
      </c>
      <c r="V804" s="4" t="s">
        <v>2067</v>
      </c>
      <c r="W804" s="4" t="s">
        <v>2069</v>
      </c>
    </row>
    <row r="805" spans="1:23" ht="20.100000000000001" customHeight="1" x14ac:dyDescent="0.25">
      <c r="A805" s="6" t="s">
        <v>1302</v>
      </c>
      <c r="B805" s="7" t="s">
        <v>2084</v>
      </c>
      <c r="C805" s="7" t="s">
        <v>7259</v>
      </c>
      <c r="D805" s="7" t="s">
        <v>2059</v>
      </c>
      <c r="E805" s="7" t="s">
        <v>1947</v>
      </c>
      <c r="F805" s="7" t="s">
        <v>1948</v>
      </c>
      <c r="G805" s="7" t="s">
        <v>2084</v>
      </c>
      <c r="H805" s="7" t="s">
        <v>7234</v>
      </c>
      <c r="I805" s="7" t="s">
        <v>2025</v>
      </c>
      <c r="J805" s="7" t="s">
        <v>7260</v>
      </c>
      <c r="K805" s="7" t="s">
        <v>7261</v>
      </c>
      <c r="L805" s="7" t="s">
        <v>7262</v>
      </c>
      <c r="M805" s="7" t="s">
        <v>2078</v>
      </c>
      <c r="N805" s="9">
        <v>45992</v>
      </c>
      <c r="O805" s="9">
        <v>46356</v>
      </c>
      <c r="P805" s="7" t="s">
        <v>2090</v>
      </c>
      <c r="Q805" s="7" t="s">
        <v>2025</v>
      </c>
      <c r="R805" s="7" t="s">
        <v>7263</v>
      </c>
      <c r="S805" s="7" t="s">
        <v>7264</v>
      </c>
      <c r="T805" s="7" t="s">
        <v>2067</v>
      </c>
      <c r="U805" s="7" t="s">
        <v>2146</v>
      </c>
      <c r="V805" s="7" t="s">
        <v>2067</v>
      </c>
      <c r="W805" s="7" t="s">
        <v>2069</v>
      </c>
    </row>
    <row r="806" spans="1:23" ht="20.100000000000001" customHeight="1" x14ac:dyDescent="0.25">
      <c r="A806" s="3" t="s">
        <v>7265</v>
      </c>
      <c r="B806" s="4" t="s">
        <v>2084</v>
      </c>
      <c r="C806" s="4" t="s">
        <v>7266</v>
      </c>
      <c r="D806" s="4" t="s">
        <v>2059</v>
      </c>
      <c r="E806" s="4" t="s">
        <v>1947</v>
      </c>
      <c r="F806" s="4" t="s">
        <v>1948</v>
      </c>
      <c r="G806" s="4" t="s">
        <v>2084</v>
      </c>
      <c r="H806" s="4" t="s">
        <v>7267</v>
      </c>
      <c r="I806" s="4" t="s">
        <v>2025</v>
      </c>
      <c r="J806" s="4" t="s">
        <v>7268</v>
      </c>
      <c r="K806" s="4" t="s">
        <v>7269</v>
      </c>
      <c r="L806" s="4" t="s">
        <v>7270</v>
      </c>
      <c r="M806" s="4" t="s">
        <v>2078</v>
      </c>
      <c r="N806" s="8">
        <v>45992</v>
      </c>
      <c r="O806" s="8">
        <v>46356</v>
      </c>
      <c r="P806" s="4" t="s">
        <v>2090</v>
      </c>
      <c r="Q806" s="4" t="s">
        <v>2025</v>
      </c>
      <c r="R806" s="4" t="s">
        <v>7271</v>
      </c>
      <c r="S806" s="4" t="s">
        <v>7272</v>
      </c>
      <c r="T806" s="4" t="s">
        <v>2067</v>
      </c>
      <c r="U806" s="4" t="s">
        <v>2146</v>
      </c>
      <c r="V806" s="4" t="s">
        <v>2067</v>
      </c>
      <c r="W806" s="4" t="s">
        <v>2069</v>
      </c>
    </row>
    <row r="807" spans="1:23" ht="20.100000000000001" customHeight="1" x14ac:dyDescent="0.25">
      <c r="A807" s="6" t="s">
        <v>360</v>
      </c>
      <c r="B807" s="7" t="s">
        <v>2084</v>
      </c>
      <c r="C807" s="7" t="s">
        <v>7273</v>
      </c>
      <c r="D807" s="7" t="s">
        <v>2059</v>
      </c>
      <c r="E807" s="7" t="s">
        <v>4160</v>
      </c>
      <c r="F807" s="7" t="s">
        <v>4161</v>
      </c>
      <c r="G807" s="7" t="s">
        <v>2084</v>
      </c>
      <c r="H807" s="7" t="s">
        <v>2024</v>
      </c>
      <c r="I807" s="7" t="s">
        <v>2025</v>
      </c>
      <c r="J807" s="7" t="s">
        <v>7274</v>
      </c>
      <c r="K807" s="7" t="s">
        <v>7275</v>
      </c>
      <c r="L807" s="7" t="s">
        <v>7276</v>
      </c>
      <c r="M807" s="7" t="s">
        <v>2078</v>
      </c>
      <c r="N807" s="9">
        <v>46052</v>
      </c>
      <c r="O807" s="9">
        <v>46355</v>
      </c>
      <c r="P807" s="7" t="s">
        <v>4161</v>
      </c>
      <c r="Q807" s="7" t="s">
        <v>2025</v>
      </c>
      <c r="R807" s="7" t="s">
        <v>4867</v>
      </c>
      <c r="S807" s="7" t="s">
        <v>7277</v>
      </c>
      <c r="T807" s="7" t="s">
        <v>2067</v>
      </c>
      <c r="U807" s="7" t="s">
        <v>4167</v>
      </c>
      <c r="V807" s="7" t="s">
        <v>2067</v>
      </c>
      <c r="W807" s="7" t="s">
        <v>2069</v>
      </c>
    </row>
    <row r="808" spans="1:23" ht="20.100000000000001" customHeight="1" x14ac:dyDescent="0.25">
      <c r="A808" s="3" t="s">
        <v>244</v>
      </c>
      <c r="B808" s="4" t="s">
        <v>2084</v>
      </c>
      <c r="C808" s="4" t="s">
        <v>7278</v>
      </c>
      <c r="D808" s="4" t="s">
        <v>2059</v>
      </c>
      <c r="E808" s="4" t="s">
        <v>4160</v>
      </c>
      <c r="F808" s="4" t="s">
        <v>4161</v>
      </c>
      <c r="G808" s="4" t="s">
        <v>2084</v>
      </c>
      <c r="H808" s="4" t="s">
        <v>2031</v>
      </c>
      <c r="I808" s="4" t="s">
        <v>2025</v>
      </c>
      <c r="J808" s="4" t="s">
        <v>7279</v>
      </c>
      <c r="K808" s="4" t="s">
        <v>7280</v>
      </c>
      <c r="L808" s="4" t="s">
        <v>7281</v>
      </c>
      <c r="M808" s="4" t="s">
        <v>2078</v>
      </c>
      <c r="N808" s="8">
        <v>46052</v>
      </c>
      <c r="O808" s="8">
        <v>46355</v>
      </c>
      <c r="P808" s="4" t="s">
        <v>4161</v>
      </c>
      <c r="Q808" s="4" t="s">
        <v>2025</v>
      </c>
      <c r="R808" s="4" t="s">
        <v>7282</v>
      </c>
      <c r="S808" s="4" t="s">
        <v>7283</v>
      </c>
      <c r="T808" s="4" t="s">
        <v>2067</v>
      </c>
      <c r="U808" s="4" t="s">
        <v>4167</v>
      </c>
      <c r="V808" s="4" t="s">
        <v>2067</v>
      </c>
      <c r="W808" s="4" t="s">
        <v>2069</v>
      </c>
    </row>
    <row r="809" spans="1:23" ht="20.100000000000001" customHeight="1" x14ac:dyDescent="0.25">
      <c r="A809" s="6" t="s">
        <v>1310</v>
      </c>
      <c r="B809" s="7" t="s">
        <v>2084</v>
      </c>
      <c r="C809" s="7" t="s">
        <v>7284</v>
      </c>
      <c r="D809" s="7" t="s">
        <v>2059</v>
      </c>
      <c r="E809" s="7" t="s">
        <v>1947</v>
      </c>
      <c r="F809" s="7" t="s">
        <v>1948</v>
      </c>
      <c r="G809" s="7" t="s">
        <v>2084</v>
      </c>
      <c r="H809" s="7" t="s">
        <v>2024</v>
      </c>
      <c r="I809" s="7" t="s">
        <v>2025</v>
      </c>
      <c r="J809" s="7" t="s">
        <v>7285</v>
      </c>
      <c r="K809" s="7" t="s">
        <v>7286</v>
      </c>
      <c r="L809" s="7" t="s">
        <v>7287</v>
      </c>
      <c r="M809" s="7" t="s">
        <v>2078</v>
      </c>
      <c r="N809" s="9">
        <v>45992</v>
      </c>
      <c r="O809" s="9">
        <v>46356</v>
      </c>
      <c r="P809" s="7" t="s">
        <v>2090</v>
      </c>
      <c r="Q809" s="7" t="s">
        <v>2025</v>
      </c>
      <c r="R809" s="7" t="s">
        <v>7288</v>
      </c>
      <c r="S809" s="7" t="s">
        <v>7289</v>
      </c>
      <c r="T809" s="7" t="s">
        <v>2067</v>
      </c>
      <c r="U809" s="7" t="s">
        <v>2146</v>
      </c>
      <c r="V809" s="7" t="s">
        <v>2067</v>
      </c>
      <c r="W809" s="7" t="s">
        <v>2069</v>
      </c>
    </row>
    <row r="810" spans="1:23" ht="20.100000000000001" customHeight="1" x14ac:dyDescent="0.25">
      <c r="A810" s="3" t="s">
        <v>1116</v>
      </c>
      <c r="B810" s="4" t="s">
        <v>2084</v>
      </c>
      <c r="C810" s="4" t="s">
        <v>7290</v>
      </c>
      <c r="D810" s="4" t="s">
        <v>2059</v>
      </c>
      <c r="E810" s="4" t="s">
        <v>1947</v>
      </c>
      <c r="F810" s="4" t="s">
        <v>1948</v>
      </c>
      <c r="G810" s="4" t="s">
        <v>2084</v>
      </c>
      <c r="H810" s="4" t="s">
        <v>2024</v>
      </c>
      <c r="I810" s="4" t="s">
        <v>2025</v>
      </c>
      <c r="J810" s="4" t="s">
        <v>7291</v>
      </c>
      <c r="K810" s="4" t="s">
        <v>7292</v>
      </c>
      <c r="L810" s="4" t="s">
        <v>7293</v>
      </c>
      <c r="M810" s="4" t="s">
        <v>2078</v>
      </c>
      <c r="N810" s="8">
        <v>46052</v>
      </c>
      <c r="O810" s="8">
        <v>46355</v>
      </c>
      <c r="P810" s="4" t="s">
        <v>2090</v>
      </c>
      <c r="Q810" s="4" t="s">
        <v>2025</v>
      </c>
      <c r="R810" s="4" t="s">
        <v>7294</v>
      </c>
      <c r="S810" s="4" t="s">
        <v>7295</v>
      </c>
      <c r="T810" s="4" t="s">
        <v>2067</v>
      </c>
      <c r="U810" s="4" t="s">
        <v>2146</v>
      </c>
      <c r="V810" s="4" t="s">
        <v>2067</v>
      </c>
      <c r="W810" s="4" t="s">
        <v>2069</v>
      </c>
    </row>
    <row r="811" spans="1:23" ht="20.100000000000001" customHeight="1" x14ac:dyDescent="0.25">
      <c r="A811" s="6" t="s">
        <v>824</v>
      </c>
      <c r="B811" s="7" t="s">
        <v>2084</v>
      </c>
      <c r="C811" s="7" t="s">
        <v>7296</v>
      </c>
      <c r="D811" s="7" t="s">
        <v>2059</v>
      </c>
      <c r="E811" s="7" t="s">
        <v>1947</v>
      </c>
      <c r="F811" s="7" t="s">
        <v>1948</v>
      </c>
      <c r="G811" s="7" t="s">
        <v>2084</v>
      </c>
      <c r="H811" s="7" t="s">
        <v>2031</v>
      </c>
      <c r="I811" s="7" t="s">
        <v>2025</v>
      </c>
      <c r="J811" s="7" t="s">
        <v>7297</v>
      </c>
      <c r="K811" s="7" t="s">
        <v>7298</v>
      </c>
      <c r="L811" s="7" t="s">
        <v>7299</v>
      </c>
      <c r="M811" s="7" t="s">
        <v>2078</v>
      </c>
      <c r="N811" s="9">
        <v>45992</v>
      </c>
      <c r="O811" s="9">
        <v>46356</v>
      </c>
      <c r="P811" s="7" t="s">
        <v>2090</v>
      </c>
      <c r="Q811" s="7" t="s">
        <v>2025</v>
      </c>
      <c r="R811" s="7" t="s">
        <v>7300</v>
      </c>
      <c r="S811" s="7" t="s">
        <v>7301</v>
      </c>
      <c r="T811" s="7" t="s">
        <v>2067</v>
      </c>
      <c r="U811" s="7" t="s">
        <v>2146</v>
      </c>
      <c r="V811" s="7" t="s">
        <v>2067</v>
      </c>
      <c r="W811" s="7" t="s">
        <v>2069</v>
      </c>
    </row>
    <row r="812" spans="1:23" ht="20.100000000000001" customHeight="1" x14ac:dyDescent="0.25">
      <c r="A812" s="3" t="s">
        <v>1082</v>
      </c>
      <c r="B812" s="4" t="s">
        <v>2084</v>
      </c>
      <c r="C812" s="4" t="s">
        <v>7302</v>
      </c>
      <c r="D812" s="4" t="s">
        <v>2059</v>
      </c>
      <c r="E812" s="4" t="s">
        <v>1947</v>
      </c>
      <c r="F812" s="4" t="s">
        <v>1948</v>
      </c>
      <c r="G812" s="4" t="s">
        <v>2084</v>
      </c>
      <c r="H812" s="4" t="s">
        <v>2024</v>
      </c>
      <c r="I812" s="4" t="s">
        <v>2025</v>
      </c>
      <c r="J812" s="4" t="s">
        <v>7303</v>
      </c>
      <c r="K812" s="4" t="s">
        <v>7304</v>
      </c>
      <c r="L812" s="4" t="s">
        <v>7305</v>
      </c>
      <c r="M812" s="4" t="s">
        <v>2078</v>
      </c>
      <c r="N812" s="8">
        <v>45992</v>
      </c>
      <c r="O812" s="8">
        <v>46356</v>
      </c>
      <c r="P812" s="4" t="s">
        <v>2090</v>
      </c>
      <c r="Q812" s="4" t="s">
        <v>2025</v>
      </c>
      <c r="R812" s="4" t="s">
        <v>7306</v>
      </c>
      <c r="S812" s="4" t="s">
        <v>7307</v>
      </c>
      <c r="T812" s="4" t="s">
        <v>2067</v>
      </c>
      <c r="U812" s="4" t="s">
        <v>2146</v>
      </c>
      <c r="V812" s="4" t="s">
        <v>2067</v>
      </c>
      <c r="W812" s="4" t="s">
        <v>2069</v>
      </c>
    </row>
    <row r="813" spans="1:23" ht="20.100000000000001" customHeight="1" x14ac:dyDescent="0.25">
      <c r="A813" s="6" t="s">
        <v>974</v>
      </c>
      <c r="B813" s="7" t="s">
        <v>2084</v>
      </c>
      <c r="C813" s="7" t="s">
        <v>7308</v>
      </c>
      <c r="D813" s="7" t="s">
        <v>2059</v>
      </c>
      <c r="E813" s="7" t="s">
        <v>1947</v>
      </c>
      <c r="F813" s="7" t="s">
        <v>1948</v>
      </c>
      <c r="G813" s="7" t="s">
        <v>2084</v>
      </c>
      <c r="H813" s="7" t="s">
        <v>2024</v>
      </c>
      <c r="I813" s="7" t="s">
        <v>2025</v>
      </c>
      <c r="J813" s="7" t="s">
        <v>7309</v>
      </c>
      <c r="K813" s="7" t="s">
        <v>7310</v>
      </c>
      <c r="L813" s="7" t="s">
        <v>7311</v>
      </c>
      <c r="M813" s="7" t="s">
        <v>2078</v>
      </c>
      <c r="N813" s="9">
        <v>46052</v>
      </c>
      <c r="O813" s="9">
        <v>46355</v>
      </c>
      <c r="P813" s="7" t="s">
        <v>2090</v>
      </c>
      <c r="Q813" s="7" t="s">
        <v>2025</v>
      </c>
      <c r="R813" s="7" t="s">
        <v>7312</v>
      </c>
      <c r="S813" s="7" t="s">
        <v>7313</v>
      </c>
      <c r="T813" s="7" t="s">
        <v>2067</v>
      </c>
      <c r="U813" s="7" t="s">
        <v>2146</v>
      </c>
      <c r="V813" s="7" t="s">
        <v>2067</v>
      </c>
      <c r="W813" s="7" t="s">
        <v>2069</v>
      </c>
    </row>
    <row r="814" spans="1:23" ht="20.100000000000001" customHeight="1" x14ac:dyDescent="0.25">
      <c r="A814" s="3" t="s">
        <v>1534</v>
      </c>
      <c r="B814" s="4" t="s">
        <v>2084</v>
      </c>
      <c r="C814" s="4" t="s">
        <v>7314</v>
      </c>
      <c r="D814" s="4" t="s">
        <v>2059</v>
      </c>
      <c r="E814" s="4" t="s">
        <v>1947</v>
      </c>
      <c r="F814" s="4" t="s">
        <v>1948</v>
      </c>
      <c r="G814" s="4" t="s">
        <v>2084</v>
      </c>
      <c r="H814" s="4" t="s">
        <v>2024</v>
      </c>
      <c r="I814" s="4" t="s">
        <v>2025</v>
      </c>
      <c r="J814" s="4" t="s">
        <v>7315</v>
      </c>
      <c r="K814" s="4" t="s">
        <v>7316</v>
      </c>
      <c r="L814" s="4" t="s">
        <v>7317</v>
      </c>
      <c r="M814" s="4" t="s">
        <v>2078</v>
      </c>
      <c r="N814" s="8">
        <v>46052</v>
      </c>
      <c r="O814" s="8">
        <v>46356</v>
      </c>
      <c r="P814" s="4" t="s">
        <v>2090</v>
      </c>
      <c r="Q814" s="4" t="s">
        <v>2025</v>
      </c>
      <c r="R814" s="4" t="s">
        <v>3834</v>
      </c>
      <c r="S814" s="4" t="s">
        <v>7318</v>
      </c>
      <c r="T814" s="4" t="s">
        <v>2067</v>
      </c>
      <c r="U814" s="4" t="s">
        <v>2146</v>
      </c>
      <c r="V814" s="4" t="s">
        <v>2067</v>
      </c>
      <c r="W814" s="4" t="s">
        <v>2069</v>
      </c>
    </row>
    <row r="815" spans="1:23" ht="20.100000000000001" customHeight="1" x14ac:dyDescent="0.25">
      <c r="A815" s="6" t="s">
        <v>888</v>
      </c>
      <c r="B815" s="7" t="s">
        <v>2084</v>
      </c>
      <c r="C815" s="7" t="s">
        <v>7319</v>
      </c>
      <c r="D815" s="7" t="s">
        <v>2059</v>
      </c>
      <c r="E815" s="7" t="s">
        <v>1947</v>
      </c>
      <c r="F815" s="7" t="s">
        <v>1948</v>
      </c>
      <c r="G815" s="7" t="s">
        <v>2084</v>
      </c>
      <c r="H815" s="7" t="s">
        <v>2031</v>
      </c>
      <c r="I815" s="7" t="s">
        <v>2025</v>
      </c>
      <c r="J815" s="7" t="s">
        <v>7320</v>
      </c>
      <c r="K815" s="7" t="s">
        <v>7321</v>
      </c>
      <c r="L815" s="7" t="s">
        <v>7322</v>
      </c>
      <c r="M815" s="7" t="s">
        <v>2078</v>
      </c>
      <c r="N815" s="9">
        <v>45994</v>
      </c>
      <c r="O815" s="9">
        <v>46355</v>
      </c>
      <c r="P815" s="7" t="s">
        <v>2090</v>
      </c>
      <c r="Q815" s="7" t="s">
        <v>2025</v>
      </c>
      <c r="R815" s="7" t="s">
        <v>4127</v>
      </c>
      <c r="S815" s="7" t="s">
        <v>3506</v>
      </c>
      <c r="T815" s="7" t="s">
        <v>2067</v>
      </c>
      <c r="U815" s="7" t="s">
        <v>2146</v>
      </c>
      <c r="V815" s="7" t="s">
        <v>2067</v>
      </c>
      <c r="W815" s="7" t="s">
        <v>2069</v>
      </c>
    </row>
    <row r="816" spans="1:23" ht="20.100000000000001" customHeight="1" x14ac:dyDescent="0.25">
      <c r="A816" s="3" t="s">
        <v>7323</v>
      </c>
      <c r="B816" s="4" t="s">
        <v>2084</v>
      </c>
      <c r="C816" s="4" t="s">
        <v>7324</v>
      </c>
      <c r="D816" s="4" t="s">
        <v>2059</v>
      </c>
      <c r="E816" s="4" t="s">
        <v>1965</v>
      </c>
      <c r="F816" s="4" t="s">
        <v>1966</v>
      </c>
      <c r="G816" s="4" t="s">
        <v>2084</v>
      </c>
      <c r="H816" s="4" t="s">
        <v>7234</v>
      </c>
      <c r="I816" s="4" t="s">
        <v>2025</v>
      </c>
      <c r="J816" s="4" t="s">
        <v>7325</v>
      </c>
      <c r="K816" s="4" t="s">
        <v>7326</v>
      </c>
      <c r="L816" s="4" t="s">
        <v>7327</v>
      </c>
      <c r="M816" s="4" t="s">
        <v>2078</v>
      </c>
      <c r="N816" s="8">
        <v>46052</v>
      </c>
      <c r="O816" s="8">
        <v>46355</v>
      </c>
      <c r="P816" s="4" t="s">
        <v>1966</v>
      </c>
      <c r="Q816" s="4" t="s">
        <v>2025</v>
      </c>
      <c r="R816" s="4" t="s">
        <v>7328</v>
      </c>
      <c r="S816" s="4" t="s">
        <v>7329</v>
      </c>
      <c r="T816" s="4" t="s">
        <v>2067</v>
      </c>
      <c r="U816" s="4" t="s">
        <v>2174</v>
      </c>
      <c r="V816" s="4" t="s">
        <v>2067</v>
      </c>
      <c r="W816" s="4" t="s">
        <v>2069</v>
      </c>
    </row>
    <row r="817" spans="1:23" ht="20.100000000000001" customHeight="1" x14ac:dyDescent="0.25">
      <c r="A817" s="6" t="s">
        <v>7330</v>
      </c>
      <c r="B817" s="7" t="s">
        <v>2084</v>
      </c>
      <c r="C817" s="7" t="s">
        <v>7331</v>
      </c>
      <c r="D817" s="7" t="s">
        <v>2059</v>
      </c>
      <c r="E817" s="7" t="s">
        <v>1947</v>
      </c>
      <c r="F817" s="7" t="s">
        <v>1948</v>
      </c>
      <c r="G817" s="7" t="s">
        <v>2084</v>
      </c>
      <c r="H817" s="7" t="s">
        <v>2024</v>
      </c>
      <c r="I817" s="7" t="s">
        <v>2025</v>
      </c>
      <c r="J817" s="7" t="s">
        <v>7332</v>
      </c>
      <c r="K817" s="7" t="s">
        <v>7333</v>
      </c>
      <c r="L817" s="7" t="s">
        <v>7334</v>
      </c>
      <c r="M817" s="7" t="s">
        <v>2078</v>
      </c>
      <c r="N817" s="9">
        <v>46052</v>
      </c>
      <c r="O817" s="9">
        <v>46296</v>
      </c>
      <c r="P817" s="7" t="s">
        <v>2090</v>
      </c>
      <c r="Q817" s="7" t="s">
        <v>2025</v>
      </c>
      <c r="R817" s="7" t="s">
        <v>7335</v>
      </c>
      <c r="S817" s="7" t="s">
        <v>7336</v>
      </c>
      <c r="T817" s="7" t="s">
        <v>2067</v>
      </c>
      <c r="U817" s="7" t="s">
        <v>2146</v>
      </c>
      <c r="V817" s="7" t="s">
        <v>2067</v>
      </c>
      <c r="W817" s="7" t="s">
        <v>2069</v>
      </c>
    </row>
    <row r="818" spans="1:23" ht="20.100000000000001" customHeight="1" x14ac:dyDescent="0.25">
      <c r="A818" s="3" t="s">
        <v>7337</v>
      </c>
      <c r="B818" s="4" t="s">
        <v>2084</v>
      </c>
      <c r="C818" s="4" t="s">
        <v>7338</v>
      </c>
      <c r="D818" s="4" t="s">
        <v>2059</v>
      </c>
      <c r="E818" s="4" t="s">
        <v>2189</v>
      </c>
      <c r="F818" s="4" t="s">
        <v>2190</v>
      </c>
      <c r="G818" s="4" t="s">
        <v>2084</v>
      </c>
      <c r="H818" s="4" t="s">
        <v>2024</v>
      </c>
      <c r="I818" s="4" t="s">
        <v>2025</v>
      </c>
      <c r="J818" s="4" t="s">
        <v>7339</v>
      </c>
      <c r="K818" s="4" t="s">
        <v>7340</v>
      </c>
      <c r="L818" s="4" t="s">
        <v>7341</v>
      </c>
      <c r="M818" s="4" t="s">
        <v>2078</v>
      </c>
      <c r="N818" s="8">
        <v>46234</v>
      </c>
      <c r="O818" s="8">
        <v>46356</v>
      </c>
      <c r="P818" s="4" t="s">
        <v>2195</v>
      </c>
      <c r="Q818" s="4" t="s">
        <v>2025</v>
      </c>
      <c r="R818" s="4" t="s">
        <v>7342</v>
      </c>
      <c r="S818" s="4" t="s">
        <v>7343</v>
      </c>
      <c r="T818" s="4" t="s">
        <v>2067</v>
      </c>
      <c r="U818" s="4" t="s">
        <v>2198</v>
      </c>
      <c r="V818" s="4" t="s">
        <v>2067</v>
      </c>
      <c r="W818" s="4" t="s">
        <v>2069</v>
      </c>
    </row>
    <row r="819" spans="1:23" ht="20.100000000000001" customHeight="1" x14ac:dyDescent="0.25">
      <c r="A819" s="6" t="s">
        <v>7344</v>
      </c>
      <c r="B819" s="7" t="s">
        <v>2084</v>
      </c>
      <c r="C819" s="7" t="s">
        <v>7345</v>
      </c>
      <c r="D819" s="7" t="s">
        <v>2059</v>
      </c>
      <c r="E819" s="7" t="s">
        <v>1947</v>
      </c>
      <c r="F819" s="7" t="s">
        <v>1948</v>
      </c>
      <c r="G819" s="7" t="s">
        <v>2084</v>
      </c>
      <c r="H819" s="7" t="s">
        <v>2031</v>
      </c>
      <c r="I819" s="7" t="s">
        <v>2025</v>
      </c>
      <c r="J819" s="7" t="s">
        <v>7346</v>
      </c>
      <c r="K819" s="7" t="s">
        <v>7347</v>
      </c>
      <c r="L819" s="7" t="s">
        <v>7348</v>
      </c>
      <c r="M819" s="7" t="s">
        <v>2078</v>
      </c>
      <c r="N819" s="9">
        <v>46234</v>
      </c>
      <c r="O819" s="9">
        <v>46356</v>
      </c>
      <c r="P819" s="7" t="s">
        <v>2090</v>
      </c>
      <c r="Q819" s="7" t="s">
        <v>2025</v>
      </c>
      <c r="R819" s="7" t="s">
        <v>2663</v>
      </c>
      <c r="S819" s="7" t="s">
        <v>7349</v>
      </c>
      <c r="T819" s="7" t="s">
        <v>2067</v>
      </c>
      <c r="U819" s="7" t="s">
        <v>2146</v>
      </c>
      <c r="V819" s="7" t="s">
        <v>2067</v>
      </c>
      <c r="W819" s="7" t="s">
        <v>2069</v>
      </c>
    </row>
    <row r="820" spans="1:23" ht="20.100000000000001" customHeight="1" x14ac:dyDescent="0.25">
      <c r="A820" s="3" t="s">
        <v>2022</v>
      </c>
      <c r="B820" s="4" t="s">
        <v>2084</v>
      </c>
      <c r="C820" s="4" t="s">
        <v>2023</v>
      </c>
      <c r="D820" s="4" t="s">
        <v>2059</v>
      </c>
      <c r="E820" s="4" t="s">
        <v>1947</v>
      </c>
      <c r="F820" s="4" t="s">
        <v>1948</v>
      </c>
      <c r="G820" s="4" t="s">
        <v>2084</v>
      </c>
      <c r="H820" s="4" t="s">
        <v>2024</v>
      </c>
      <c r="I820" s="4" t="s">
        <v>2025</v>
      </c>
      <c r="J820" s="4" t="s">
        <v>7350</v>
      </c>
      <c r="K820" s="4" t="s">
        <v>7351</v>
      </c>
      <c r="L820" s="4" t="s">
        <v>7352</v>
      </c>
      <c r="M820" s="4" t="s">
        <v>2078</v>
      </c>
      <c r="N820" s="8">
        <v>46234</v>
      </c>
      <c r="O820" s="8">
        <v>46356</v>
      </c>
      <c r="P820" s="4" t="s">
        <v>2090</v>
      </c>
      <c r="Q820" s="4" t="s">
        <v>2025</v>
      </c>
      <c r="R820" s="4" t="s">
        <v>7353</v>
      </c>
      <c r="S820" s="4" t="s">
        <v>7354</v>
      </c>
      <c r="T820" s="4" t="s">
        <v>2067</v>
      </c>
      <c r="U820" s="4" t="s">
        <v>2146</v>
      </c>
      <c r="V820" s="4" t="s">
        <v>2067</v>
      </c>
      <c r="W820" s="4" t="s">
        <v>2069</v>
      </c>
    </row>
    <row r="821" spans="1:23" ht="20.100000000000001" customHeight="1" x14ac:dyDescent="0.25">
      <c r="A821" s="6" t="s">
        <v>30</v>
      </c>
      <c r="B821" s="7" t="s">
        <v>2084</v>
      </c>
      <c r="C821" s="7" t="s">
        <v>7355</v>
      </c>
      <c r="D821" s="7" t="s">
        <v>2059</v>
      </c>
      <c r="E821" s="7" t="s">
        <v>1983</v>
      </c>
      <c r="F821" s="7" t="s">
        <v>6022</v>
      </c>
      <c r="G821" s="7" t="s">
        <v>2084</v>
      </c>
      <c r="H821" s="7" t="s">
        <v>2024</v>
      </c>
      <c r="I821" s="7" t="s">
        <v>2025</v>
      </c>
      <c r="J821" s="7" t="s">
        <v>7356</v>
      </c>
      <c r="K821" s="7" t="s">
        <v>7357</v>
      </c>
      <c r="L821" s="7" t="s">
        <v>7358</v>
      </c>
      <c r="M821" s="7" t="s">
        <v>2078</v>
      </c>
      <c r="N821" s="9">
        <v>46052</v>
      </c>
      <c r="O821" s="9">
        <v>46355</v>
      </c>
      <c r="P821" s="7" t="s">
        <v>6022</v>
      </c>
      <c r="Q821" s="7" t="s">
        <v>2025</v>
      </c>
      <c r="R821" s="7" t="s">
        <v>7359</v>
      </c>
      <c r="S821" s="7" t="s">
        <v>7360</v>
      </c>
      <c r="T821" s="7" t="s">
        <v>2067</v>
      </c>
      <c r="U821" s="7" t="s">
        <v>6027</v>
      </c>
      <c r="V821" s="7" t="s">
        <v>2067</v>
      </c>
      <c r="W821" s="7" t="s">
        <v>2069</v>
      </c>
    </row>
    <row r="822" spans="1:23" ht="20.100000000000001" customHeight="1" x14ac:dyDescent="0.25">
      <c r="A822" s="3" t="s">
        <v>7361</v>
      </c>
      <c r="B822" s="4" t="s">
        <v>2084</v>
      </c>
      <c r="C822" s="4" t="s">
        <v>7362</v>
      </c>
      <c r="D822" s="4" t="s">
        <v>2059</v>
      </c>
      <c r="E822" s="4" t="s">
        <v>1947</v>
      </c>
      <c r="F822" s="4" t="s">
        <v>1948</v>
      </c>
      <c r="G822" s="4" t="s">
        <v>2084</v>
      </c>
      <c r="H822" s="4" t="s">
        <v>7363</v>
      </c>
      <c r="I822" s="4" t="s">
        <v>1970</v>
      </c>
      <c r="J822" s="4" t="s">
        <v>7364</v>
      </c>
      <c r="K822" s="4" t="s">
        <v>7365</v>
      </c>
      <c r="L822" s="4" t="s">
        <v>7366</v>
      </c>
      <c r="M822" s="4" t="s">
        <v>2064</v>
      </c>
      <c r="N822" s="8">
        <v>45992</v>
      </c>
      <c r="O822" s="8"/>
      <c r="P822" s="4" t="s">
        <v>2090</v>
      </c>
      <c r="Q822" s="4" t="s">
        <v>1970</v>
      </c>
      <c r="R822" s="4" t="s">
        <v>7367</v>
      </c>
      <c r="S822" s="4" t="s">
        <v>7368</v>
      </c>
      <c r="T822" s="4" t="s">
        <v>2067</v>
      </c>
      <c r="U822" s="4" t="s">
        <v>3437</v>
      </c>
      <c r="V822" s="4" t="s">
        <v>2067</v>
      </c>
      <c r="W822" s="4" t="s">
        <v>2069</v>
      </c>
    </row>
    <row r="823" spans="1:23" ht="20.100000000000001" customHeight="1" x14ac:dyDescent="0.25">
      <c r="A823" s="6" t="s">
        <v>1332</v>
      </c>
      <c r="B823" s="7" t="s">
        <v>2057</v>
      </c>
      <c r="C823" s="7" t="s">
        <v>7369</v>
      </c>
      <c r="D823" s="7" t="s">
        <v>2059</v>
      </c>
      <c r="E823" s="7" t="s">
        <v>1947</v>
      </c>
      <c r="F823" s="7" t="s">
        <v>1948</v>
      </c>
      <c r="G823" s="7" t="s">
        <v>2057</v>
      </c>
      <c r="H823" s="7" t="s">
        <v>7370</v>
      </c>
      <c r="I823" s="7" t="s">
        <v>1970</v>
      </c>
      <c r="J823" s="7" t="s">
        <v>7371</v>
      </c>
      <c r="K823" s="7" t="s">
        <v>7372</v>
      </c>
      <c r="L823" s="7" t="s">
        <v>7373</v>
      </c>
      <c r="M823" s="7" t="s">
        <v>2064</v>
      </c>
      <c r="N823" s="9">
        <v>41306</v>
      </c>
      <c r="O823" s="9"/>
      <c r="P823" s="7" t="s">
        <v>2090</v>
      </c>
      <c r="Q823" s="7" t="s">
        <v>1970</v>
      </c>
      <c r="R823" s="7" t="s">
        <v>7374</v>
      </c>
      <c r="S823" s="7" t="s">
        <v>7375</v>
      </c>
      <c r="T823" s="7" t="s">
        <v>2067</v>
      </c>
      <c r="U823" s="7" t="s">
        <v>3153</v>
      </c>
      <c r="V823" s="7" t="s">
        <v>2067</v>
      </c>
      <c r="W823" s="7" t="s">
        <v>2069</v>
      </c>
    </row>
    <row r="824" spans="1:23" ht="20.100000000000001" customHeight="1" x14ac:dyDescent="0.25">
      <c r="A824" s="3" t="s">
        <v>7376</v>
      </c>
      <c r="B824" s="4" t="s">
        <v>2084</v>
      </c>
      <c r="C824" s="4" t="s">
        <v>7377</v>
      </c>
      <c r="D824" s="4" t="s">
        <v>2059</v>
      </c>
      <c r="E824" s="4" t="s">
        <v>1947</v>
      </c>
      <c r="F824" s="4" t="s">
        <v>1948</v>
      </c>
      <c r="G824" s="4" t="s">
        <v>2084</v>
      </c>
      <c r="H824" s="4" t="s">
        <v>7378</v>
      </c>
      <c r="I824" s="4" t="s">
        <v>1970</v>
      </c>
      <c r="J824" s="4" t="s">
        <v>7379</v>
      </c>
      <c r="K824" s="4" t="s">
        <v>7380</v>
      </c>
      <c r="L824" s="4" t="s">
        <v>7381</v>
      </c>
      <c r="M824" s="4" t="s">
        <v>2078</v>
      </c>
      <c r="N824" s="8">
        <v>45992</v>
      </c>
      <c r="O824" s="8">
        <v>46356</v>
      </c>
      <c r="P824" s="4" t="s">
        <v>2090</v>
      </c>
      <c r="Q824" s="4" t="s">
        <v>1970</v>
      </c>
      <c r="R824" s="4" t="s">
        <v>7382</v>
      </c>
      <c r="S824" s="4" t="s">
        <v>7383</v>
      </c>
      <c r="T824" s="4" t="s">
        <v>2067</v>
      </c>
      <c r="U824" s="4" t="s">
        <v>2146</v>
      </c>
      <c r="V824" s="4" t="s">
        <v>2067</v>
      </c>
      <c r="W824" s="4" t="s">
        <v>2069</v>
      </c>
    </row>
    <row r="825" spans="1:23" ht="20.100000000000001" customHeight="1" x14ac:dyDescent="0.25">
      <c r="A825" s="6" t="s">
        <v>794</v>
      </c>
      <c r="B825" s="7" t="s">
        <v>2057</v>
      </c>
      <c r="C825" s="7" t="s">
        <v>7384</v>
      </c>
      <c r="D825" s="7" t="s">
        <v>2059</v>
      </c>
      <c r="E825" s="7" t="s">
        <v>1947</v>
      </c>
      <c r="F825" s="7" t="s">
        <v>1948</v>
      </c>
      <c r="G825" s="7" t="s">
        <v>2057</v>
      </c>
      <c r="H825" s="7" t="s">
        <v>7370</v>
      </c>
      <c r="I825" s="7" t="s">
        <v>1970</v>
      </c>
      <c r="J825" s="7" t="s">
        <v>7385</v>
      </c>
      <c r="K825" s="7" t="s">
        <v>7386</v>
      </c>
      <c r="L825" s="7" t="s">
        <v>7387</v>
      </c>
      <c r="M825" s="7" t="s">
        <v>2064</v>
      </c>
      <c r="N825" s="9">
        <v>46052</v>
      </c>
      <c r="O825" s="9"/>
      <c r="P825" s="7" t="s">
        <v>2090</v>
      </c>
      <c r="Q825" s="7" t="s">
        <v>1970</v>
      </c>
      <c r="R825" s="7" t="s">
        <v>4007</v>
      </c>
      <c r="S825" s="7" t="s">
        <v>7388</v>
      </c>
      <c r="T825" s="7" t="s">
        <v>2067</v>
      </c>
      <c r="U825" s="7" t="s">
        <v>3153</v>
      </c>
      <c r="V825" s="7" t="s">
        <v>2067</v>
      </c>
      <c r="W825" s="7" t="s">
        <v>2069</v>
      </c>
    </row>
    <row r="826" spans="1:23" ht="20.100000000000001" customHeight="1" x14ac:dyDescent="0.25">
      <c r="A826" s="3" t="s">
        <v>1538</v>
      </c>
      <c r="B826" s="4" t="s">
        <v>2057</v>
      </c>
      <c r="C826" s="4" t="s">
        <v>7389</v>
      </c>
      <c r="D826" s="4" t="s">
        <v>2059</v>
      </c>
      <c r="E826" s="4" t="s">
        <v>1947</v>
      </c>
      <c r="F826" s="4" t="s">
        <v>1948</v>
      </c>
      <c r="G826" s="4" t="s">
        <v>2057</v>
      </c>
      <c r="H826" s="4" t="s">
        <v>7390</v>
      </c>
      <c r="I826" s="4" t="s">
        <v>1970</v>
      </c>
      <c r="J826" s="4" t="s">
        <v>7391</v>
      </c>
      <c r="K826" s="4" t="s">
        <v>7392</v>
      </c>
      <c r="L826" s="4" t="s">
        <v>7393</v>
      </c>
      <c r="M826" s="4" t="s">
        <v>2064</v>
      </c>
      <c r="N826" s="8">
        <v>46052</v>
      </c>
      <c r="O826" s="8"/>
      <c r="P826" s="4" t="s">
        <v>2090</v>
      </c>
      <c r="Q826" s="4" t="s">
        <v>1970</v>
      </c>
      <c r="R826" s="4" t="s">
        <v>7394</v>
      </c>
      <c r="S826" s="4" t="s">
        <v>7395</v>
      </c>
      <c r="T826" s="4" t="s">
        <v>2067</v>
      </c>
      <c r="U826" s="4" t="s">
        <v>3153</v>
      </c>
      <c r="V826" s="4" t="s">
        <v>2067</v>
      </c>
      <c r="W826" s="4" t="s">
        <v>2069</v>
      </c>
    </row>
    <row r="827" spans="1:23" ht="20.100000000000001" customHeight="1" x14ac:dyDescent="0.25">
      <c r="A827" s="6" t="s">
        <v>7396</v>
      </c>
      <c r="B827" s="7" t="s">
        <v>2057</v>
      </c>
      <c r="C827" s="7" t="s">
        <v>7397</v>
      </c>
      <c r="D827" s="7" t="s">
        <v>2059</v>
      </c>
      <c r="E827" s="7" t="s">
        <v>1965</v>
      </c>
      <c r="F827" s="7" t="s">
        <v>1966</v>
      </c>
      <c r="G827" s="7" t="s">
        <v>2057</v>
      </c>
      <c r="H827" s="7" t="s">
        <v>7370</v>
      </c>
      <c r="I827" s="7" t="s">
        <v>1970</v>
      </c>
      <c r="J827" s="7" t="s">
        <v>7398</v>
      </c>
      <c r="K827" s="7" t="s">
        <v>7399</v>
      </c>
      <c r="L827" s="7" t="s">
        <v>7400</v>
      </c>
      <c r="M827" s="7" t="s">
        <v>2064</v>
      </c>
      <c r="N827" s="9">
        <v>41659</v>
      </c>
      <c r="O827" s="9"/>
      <c r="P827" s="7" t="s">
        <v>1966</v>
      </c>
      <c r="Q827" s="7" t="s">
        <v>1970</v>
      </c>
      <c r="R827" s="7" t="s">
        <v>7401</v>
      </c>
      <c r="S827" s="7" t="s">
        <v>7402</v>
      </c>
      <c r="T827" s="7" t="s">
        <v>2067</v>
      </c>
      <c r="U827" s="7" t="s">
        <v>2174</v>
      </c>
      <c r="V827" s="7" t="s">
        <v>2067</v>
      </c>
      <c r="W827" s="7" t="s">
        <v>2069</v>
      </c>
    </row>
    <row r="828" spans="1:23" ht="20.100000000000001" customHeight="1" x14ac:dyDescent="0.25">
      <c r="A828" s="3" t="s">
        <v>578</v>
      </c>
      <c r="B828" s="4" t="s">
        <v>2084</v>
      </c>
      <c r="C828" s="4" t="s">
        <v>7403</v>
      </c>
      <c r="D828" s="4" t="s">
        <v>2059</v>
      </c>
      <c r="E828" s="4" t="s">
        <v>1947</v>
      </c>
      <c r="F828" s="4" t="s">
        <v>1948</v>
      </c>
      <c r="G828" s="4" t="s">
        <v>2084</v>
      </c>
      <c r="H828" s="4" t="s">
        <v>7363</v>
      </c>
      <c r="I828" s="4" t="s">
        <v>1970</v>
      </c>
      <c r="J828" s="4" t="s">
        <v>7404</v>
      </c>
      <c r="K828" s="4" t="s">
        <v>7405</v>
      </c>
      <c r="L828" s="4" t="s">
        <v>7406</v>
      </c>
      <c r="M828" s="4" t="s">
        <v>2078</v>
      </c>
      <c r="N828" s="8">
        <v>46189</v>
      </c>
      <c r="O828" s="8">
        <v>46356</v>
      </c>
      <c r="P828" s="4" t="s">
        <v>2090</v>
      </c>
      <c r="Q828" s="4" t="s">
        <v>1970</v>
      </c>
      <c r="R828" s="4" t="s">
        <v>7407</v>
      </c>
      <c r="S828" s="4" t="s">
        <v>7408</v>
      </c>
      <c r="T828" s="4" t="s">
        <v>2067</v>
      </c>
      <c r="U828" s="4" t="s">
        <v>3437</v>
      </c>
      <c r="V828" s="4" t="s">
        <v>2067</v>
      </c>
      <c r="W828" s="4" t="s">
        <v>2069</v>
      </c>
    </row>
    <row r="829" spans="1:23" ht="20.100000000000001" customHeight="1" x14ac:dyDescent="0.25">
      <c r="A829" s="6" t="s">
        <v>242</v>
      </c>
      <c r="B829" s="7" t="s">
        <v>2084</v>
      </c>
      <c r="C829" s="7" t="s">
        <v>7409</v>
      </c>
      <c r="D829" s="7" t="s">
        <v>2059</v>
      </c>
      <c r="E829" s="7" t="s">
        <v>2189</v>
      </c>
      <c r="F829" s="7" t="s">
        <v>2190</v>
      </c>
      <c r="G829" s="7" t="s">
        <v>2084</v>
      </c>
      <c r="H829" s="7" t="s">
        <v>7410</v>
      </c>
      <c r="I829" s="7" t="s">
        <v>1970</v>
      </c>
      <c r="J829" s="7" t="s">
        <v>7411</v>
      </c>
      <c r="K829" s="7" t="s">
        <v>7412</v>
      </c>
      <c r="L829" s="7" t="s">
        <v>7413</v>
      </c>
      <c r="M829" s="7" t="s">
        <v>2078</v>
      </c>
      <c r="N829" s="9">
        <v>45992</v>
      </c>
      <c r="O829" s="9">
        <v>46356</v>
      </c>
      <c r="P829" s="7" t="s">
        <v>2195</v>
      </c>
      <c r="Q829" s="7" t="s">
        <v>1970</v>
      </c>
      <c r="R829" s="7" t="s">
        <v>7414</v>
      </c>
      <c r="S829" s="7" t="s">
        <v>7415</v>
      </c>
      <c r="T829" s="7" t="s">
        <v>2067</v>
      </c>
      <c r="U829" s="7" t="s">
        <v>2198</v>
      </c>
      <c r="V829" s="7" t="s">
        <v>2067</v>
      </c>
      <c r="W829" s="7" t="s">
        <v>2069</v>
      </c>
    </row>
    <row r="830" spans="1:23" ht="20.100000000000001" customHeight="1" x14ac:dyDescent="0.25">
      <c r="A830" s="3" t="s">
        <v>7416</v>
      </c>
      <c r="B830" s="4" t="s">
        <v>2084</v>
      </c>
      <c r="C830" s="4" t="s">
        <v>7417</v>
      </c>
      <c r="D830" s="4" t="s">
        <v>2059</v>
      </c>
      <c r="E830" s="4" t="s">
        <v>1947</v>
      </c>
      <c r="F830" s="4" t="s">
        <v>1948</v>
      </c>
      <c r="G830" s="4" t="s">
        <v>2084</v>
      </c>
      <c r="H830" s="4" t="s">
        <v>7378</v>
      </c>
      <c r="I830" s="4" t="s">
        <v>1970</v>
      </c>
      <c r="J830" s="4" t="s">
        <v>7418</v>
      </c>
      <c r="K830" s="4" t="s">
        <v>7419</v>
      </c>
      <c r="L830" s="4" t="s">
        <v>7420</v>
      </c>
      <c r="M830" s="4" t="s">
        <v>2064</v>
      </c>
      <c r="N830" s="8">
        <v>45992</v>
      </c>
      <c r="O830" s="8"/>
      <c r="P830" s="4" t="s">
        <v>2090</v>
      </c>
      <c r="Q830" s="4" t="s">
        <v>1970</v>
      </c>
      <c r="R830" s="4" t="s">
        <v>7421</v>
      </c>
      <c r="S830" s="4" t="s">
        <v>7422</v>
      </c>
      <c r="T830" s="4" t="s">
        <v>2067</v>
      </c>
      <c r="U830" s="4" t="s">
        <v>2146</v>
      </c>
      <c r="V830" s="4" t="s">
        <v>2067</v>
      </c>
      <c r="W830" s="4" t="s">
        <v>2069</v>
      </c>
    </row>
    <row r="831" spans="1:23" ht="20.100000000000001" customHeight="1" x14ac:dyDescent="0.25">
      <c r="A831" s="6" t="s">
        <v>742</v>
      </c>
      <c r="B831" s="7" t="s">
        <v>2084</v>
      </c>
      <c r="C831" s="7" t="s">
        <v>7423</v>
      </c>
      <c r="D831" s="7" t="s">
        <v>2059</v>
      </c>
      <c r="E831" s="7" t="s">
        <v>1947</v>
      </c>
      <c r="F831" s="7" t="s">
        <v>1948</v>
      </c>
      <c r="G831" s="7" t="s">
        <v>2084</v>
      </c>
      <c r="H831" s="7" t="s">
        <v>7410</v>
      </c>
      <c r="I831" s="7" t="s">
        <v>1970</v>
      </c>
      <c r="J831" s="7" t="s">
        <v>7424</v>
      </c>
      <c r="K831" s="7" t="s">
        <v>7424</v>
      </c>
      <c r="L831" s="7" t="s">
        <v>7425</v>
      </c>
      <c r="M831" s="7" t="s">
        <v>2078</v>
      </c>
      <c r="N831" s="9">
        <v>46108</v>
      </c>
      <c r="O831" s="9">
        <v>46356</v>
      </c>
      <c r="P831" s="7" t="s">
        <v>2090</v>
      </c>
      <c r="Q831" s="7" t="s">
        <v>1970</v>
      </c>
      <c r="R831" s="7" t="s">
        <v>7426</v>
      </c>
      <c r="S831" s="7" t="s">
        <v>7427</v>
      </c>
      <c r="T831" s="7" t="s">
        <v>2067</v>
      </c>
      <c r="U831" s="7" t="s">
        <v>2146</v>
      </c>
      <c r="V831" s="7" t="s">
        <v>2067</v>
      </c>
      <c r="W831" s="7" t="s">
        <v>2069</v>
      </c>
    </row>
    <row r="832" spans="1:23" ht="20.100000000000001" customHeight="1" x14ac:dyDescent="0.25">
      <c r="A832" s="3" t="s">
        <v>7428</v>
      </c>
      <c r="B832" s="4" t="s">
        <v>2084</v>
      </c>
      <c r="C832" s="4" t="s">
        <v>7429</v>
      </c>
      <c r="D832" s="4" t="s">
        <v>2059</v>
      </c>
      <c r="E832" s="4" t="s">
        <v>1947</v>
      </c>
      <c r="F832" s="4" t="s">
        <v>1948</v>
      </c>
      <c r="G832" s="4" t="s">
        <v>2084</v>
      </c>
      <c r="H832" s="4" t="s">
        <v>7378</v>
      </c>
      <c r="I832" s="4" t="s">
        <v>1970</v>
      </c>
      <c r="J832" s="4" t="s">
        <v>7430</v>
      </c>
      <c r="K832" s="4" t="s">
        <v>7431</v>
      </c>
      <c r="L832" s="4" t="s">
        <v>7432</v>
      </c>
      <c r="M832" s="4" t="s">
        <v>2064</v>
      </c>
      <c r="N832" s="8">
        <v>45992</v>
      </c>
      <c r="O832" s="8"/>
      <c r="P832" s="4" t="s">
        <v>2090</v>
      </c>
      <c r="Q832" s="4" t="s">
        <v>1970</v>
      </c>
      <c r="R832" s="4" t="s">
        <v>7433</v>
      </c>
      <c r="S832" s="4" t="s">
        <v>7434</v>
      </c>
      <c r="T832" s="4" t="s">
        <v>2067</v>
      </c>
      <c r="U832" s="4" t="s">
        <v>2146</v>
      </c>
      <c r="V832" s="4" t="s">
        <v>2067</v>
      </c>
      <c r="W832" s="4" t="s">
        <v>2069</v>
      </c>
    </row>
    <row r="833" spans="1:23" ht="20.100000000000001" customHeight="1" x14ac:dyDescent="0.25">
      <c r="A833" s="6" t="s">
        <v>1136</v>
      </c>
      <c r="B833" s="7" t="s">
        <v>2084</v>
      </c>
      <c r="C833" s="7" t="s">
        <v>7435</v>
      </c>
      <c r="D833" s="7" t="s">
        <v>2059</v>
      </c>
      <c r="E833" s="7" t="s">
        <v>1947</v>
      </c>
      <c r="F833" s="7" t="s">
        <v>1948</v>
      </c>
      <c r="G833" s="7" t="s">
        <v>2084</v>
      </c>
      <c r="H833" s="7" t="s">
        <v>7378</v>
      </c>
      <c r="I833" s="7" t="s">
        <v>1970</v>
      </c>
      <c r="J833" s="7" t="s">
        <v>7436</v>
      </c>
      <c r="K833" s="7" t="s">
        <v>7437</v>
      </c>
      <c r="L833" s="7" t="s">
        <v>7438</v>
      </c>
      <c r="M833" s="7" t="s">
        <v>2064</v>
      </c>
      <c r="N833" s="9">
        <v>45992</v>
      </c>
      <c r="O833" s="9"/>
      <c r="P833" s="7" t="s">
        <v>2090</v>
      </c>
      <c r="Q833" s="7" t="s">
        <v>1970</v>
      </c>
      <c r="R833" s="7" t="s">
        <v>7439</v>
      </c>
      <c r="S833" s="7" t="s">
        <v>7440</v>
      </c>
      <c r="T833" s="7" t="s">
        <v>2067</v>
      </c>
      <c r="U833" s="7" t="s">
        <v>2146</v>
      </c>
      <c r="V833" s="7" t="s">
        <v>2067</v>
      </c>
      <c r="W833" s="7" t="s">
        <v>2069</v>
      </c>
    </row>
    <row r="834" spans="1:23" ht="20.100000000000001" customHeight="1" x14ac:dyDescent="0.25">
      <c r="A834" s="3" t="s">
        <v>966</v>
      </c>
      <c r="B834" s="4" t="s">
        <v>2084</v>
      </c>
      <c r="C834" s="4" t="s">
        <v>7441</v>
      </c>
      <c r="D834" s="4" t="s">
        <v>2059</v>
      </c>
      <c r="E834" s="4" t="s">
        <v>1947</v>
      </c>
      <c r="F834" s="4" t="s">
        <v>1948</v>
      </c>
      <c r="G834" s="4" t="s">
        <v>2084</v>
      </c>
      <c r="H834" s="4" t="s">
        <v>7363</v>
      </c>
      <c r="I834" s="4" t="s">
        <v>1970</v>
      </c>
      <c r="J834" s="4" t="s">
        <v>7442</v>
      </c>
      <c r="K834" s="4" t="s">
        <v>7443</v>
      </c>
      <c r="L834" s="4" t="s">
        <v>7444</v>
      </c>
      <c r="M834" s="4" t="s">
        <v>2064</v>
      </c>
      <c r="N834" s="8">
        <v>45992</v>
      </c>
      <c r="O834" s="8"/>
      <c r="P834" s="4" t="s">
        <v>2090</v>
      </c>
      <c r="Q834" s="4" t="s">
        <v>1970</v>
      </c>
      <c r="R834" s="4" t="s">
        <v>7445</v>
      </c>
      <c r="S834" s="4" t="s">
        <v>7446</v>
      </c>
      <c r="T834" s="4" t="s">
        <v>2067</v>
      </c>
      <c r="U834" s="4" t="s">
        <v>2146</v>
      </c>
      <c r="V834" s="4" t="s">
        <v>2067</v>
      </c>
      <c r="W834" s="4" t="s">
        <v>2069</v>
      </c>
    </row>
    <row r="835" spans="1:23" ht="20.100000000000001" customHeight="1" x14ac:dyDescent="0.25">
      <c r="A835" s="6" t="s">
        <v>7447</v>
      </c>
      <c r="B835" s="7" t="s">
        <v>2057</v>
      </c>
      <c r="C835" s="7" t="s">
        <v>7448</v>
      </c>
      <c r="D835" s="7" t="s">
        <v>2059</v>
      </c>
      <c r="E835" s="7" t="s">
        <v>1965</v>
      </c>
      <c r="F835" s="7" t="s">
        <v>1966</v>
      </c>
      <c r="G835" s="7" t="s">
        <v>2057</v>
      </c>
      <c r="H835" s="7" t="s">
        <v>7370</v>
      </c>
      <c r="I835" s="7" t="s">
        <v>1970</v>
      </c>
      <c r="J835" s="7" t="s">
        <v>7449</v>
      </c>
      <c r="K835" s="7" t="s">
        <v>7450</v>
      </c>
      <c r="L835" s="7" t="s">
        <v>7451</v>
      </c>
      <c r="M835" s="7" t="s">
        <v>2078</v>
      </c>
      <c r="N835" s="9">
        <v>46234</v>
      </c>
      <c r="O835" s="9">
        <v>46356</v>
      </c>
      <c r="P835" s="7" t="s">
        <v>1966</v>
      </c>
      <c r="Q835" s="7" t="s">
        <v>1970</v>
      </c>
      <c r="R835" s="7" t="s">
        <v>7452</v>
      </c>
      <c r="S835" s="7" t="s">
        <v>2886</v>
      </c>
      <c r="T835" s="7" t="s">
        <v>2067</v>
      </c>
      <c r="U835" s="7" t="s">
        <v>2174</v>
      </c>
      <c r="V835" s="7" t="s">
        <v>2067</v>
      </c>
      <c r="W835" s="7" t="s">
        <v>2069</v>
      </c>
    </row>
    <row r="836" spans="1:23" ht="20.100000000000001" customHeight="1" x14ac:dyDescent="0.25">
      <c r="A836" s="3" t="s">
        <v>1110</v>
      </c>
      <c r="B836" s="4" t="s">
        <v>2057</v>
      </c>
      <c r="C836" s="4" t="s">
        <v>7453</v>
      </c>
      <c r="D836" s="4" t="s">
        <v>2059</v>
      </c>
      <c r="E836" s="4" t="s">
        <v>1947</v>
      </c>
      <c r="F836" s="4" t="s">
        <v>2427</v>
      </c>
      <c r="G836" s="4" t="s">
        <v>2057</v>
      </c>
      <c r="H836" s="4" t="s">
        <v>7390</v>
      </c>
      <c r="I836" s="4" t="s">
        <v>1970</v>
      </c>
      <c r="J836" s="4" t="s">
        <v>7454</v>
      </c>
      <c r="K836" s="4" t="s">
        <v>7455</v>
      </c>
      <c r="L836" s="4" t="s">
        <v>7456</v>
      </c>
      <c r="M836" s="4" t="s">
        <v>2064</v>
      </c>
      <c r="N836" s="8">
        <v>46052</v>
      </c>
      <c r="O836" s="8"/>
      <c r="P836" s="4" t="s">
        <v>2427</v>
      </c>
      <c r="Q836" s="4" t="s">
        <v>1970</v>
      </c>
      <c r="R836" s="4" t="s">
        <v>7457</v>
      </c>
      <c r="S836" s="4" t="s">
        <v>7458</v>
      </c>
      <c r="T836" s="4" t="s">
        <v>2067</v>
      </c>
      <c r="U836" s="4" t="s">
        <v>3337</v>
      </c>
      <c r="V836" s="4" t="s">
        <v>2067</v>
      </c>
      <c r="W836" s="4" t="s">
        <v>2069</v>
      </c>
    </row>
    <row r="837" spans="1:23" ht="20.100000000000001" customHeight="1" x14ac:dyDescent="0.25">
      <c r="A837" s="6" t="s">
        <v>1022</v>
      </c>
      <c r="B837" s="7" t="s">
        <v>2084</v>
      </c>
      <c r="C837" s="7" t="s">
        <v>7459</v>
      </c>
      <c r="D837" s="7" t="s">
        <v>2059</v>
      </c>
      <c r="E837" s="7" t="s">
        <v>1947</v>
      </c>
      <c r="F837" s="7" t="s">
        <v>1948</v>
      </c>
      <c r="G837" s="7" t="s">
        <v>2084</v>
      </c>
      <c r="H837" s="7" t="s">
        <v>7378</v>
      </c>
      <c r="I837" s="7" t="s">
        <v>1970</v>
      </c>
      <c r="J837" s="7" t="s">
        <v>7460</v>
      </c>
      <c r="K837" s="7" t="s">
        <v>7461</v>
      </c>
      <c r="L837" s="7" t="s">
        <v>7462</v>
      </c>
      <c r="M837" s="7" t="s">
        <v>2064</v>
      </c>
      <c r="N837" s="9">
        <v>45992</v>
      </c>
      <c r="O837" s="9"/>
      <c r="P837" s="7" t="s">
        <v>2090</v>
      </c>
      <c r="Q837" s="7" t="s">
        <v>1970</v>
      </c>
      <c r="R837" s="7" t="s">
        <v>7463</v>
      </c>
      <c r="S837" s="7" t="s">
        <v>7464</v>
      </c>
      <c r="T837" s="7" t="s">
        <v>2067</v>
      </c>
      <c r="U837" s="7" t="s">
        <v>2146</v>
      </c>
      <c r="V837" s="7" t="s">
        <v>2067</v>
      </c>
      <c r="W837" s="7" t="s">
        <v>2069</v>
      </c>
    </row>
    <row r="838" spans="1:23" ht="20.100000000000001" customHeight="1" x14ac:dyDescent="0.25">
      <c r="A838" s="3" t="s">
        <v>454</v>
      </c>
      <c r="B838" s="4" t="s">
        <v>2057</v>
      </c>
      <c r="C838" s="4" t="s">
        <v>7465</v>
      </c>
      <c r="D838" s="4" t="s">
        <v>2059</v>
      </c>
      <c r="E838" s="4" t="s">
        <v>1940</v>
      </c>
      <c r="F838" s="4" t="s">
        <v>1941</v>
      </c>
      <c r="G838" s="4" t="s">
        <v>2057</v>
      </c>
      <c r="H838" s="4" t="s">
        <v>7466</v>
      </c>
      <c r="I838" s="4" t="s">
        <v>1970</v>
      </c>
      <c r="J838" s="4" t="s">
        <v>7467</v>
      </c>
      <c r="K838" s="4" t="s">
        <v>7468</v>
      </c>
      <c r="L838" s="4" t="s">
        <v>7469</v>
      </c>
      <c r="M838" s="4" t="s">
        <v>2078</v>
      </c>
      <c r="N838" s="8">
        <v>46234</v>
      </c>
      <c r="O838" s="8">
        <v>46356</v>
      </c>
      <c r="P838" s="4" t="s">
        <v>1941</v>
      </c>
      <c r="Q838" s="4" t="s">
        <v>1970</v>
      </c>
      <c r="R838" s="4" t="s">
        <v>7470</v>
      </c>
      <c r="S838" s="4" t="s">
        <v>7471</v>
      </c>
      <c r="T838" s="4" t="s">
        <v>2067</v>
      </c>
      <c r="U838" s="4" t="s">
        <v>2068</v>
      </c>
      <c r="V838" s="4" t="s">
        <v>2067</v>
      </c>
      <c r="W838" s="4" t="s">
        <v>2069</v>
      </c>
    </row>
    <row r="839" spans="1:23" ht="20.100000000000001" customHeight="1" x14ac:dyDescent="0.25">
      <c r="A839" s="6" t="s">
        <v>464</v>
      </c>
      <c r="B839" s="7" t="s">
        <v>2057</v>
      </c>
      <c r="C839" s="7" t="s">
        <v>7472</v>
      </c>
      <c r="D839" s="7" t="s">
        <v>2059</v>
      </c>
      <c r="E839" s="7" t="s">
        <v>1940</v>
      </c>
      <c r="F839" s="7" t="s">
        <v>1941</v>
      </c>
      <c r="G839" s="7" t="s">
        <v>2057</v>
      </c>
      <c r="H839" s="7" t="s">
        <v>7473</v>
      </c>
      <c r="I839" s="7" t="s">
        <v>1970</v>
      </c>
      <c r="J839" s="7" t="s">
        <v>7474</v>
      </c>
      <c r="K839" s="7" t="s">
        <v>7475</v>
      </c>
      <c r="L839" s="7" t="s">
        <v>7476</v>
      </c>
      <c r="M839" s="7" t="s">
        <v>2078</v>
      </c>
      <c r="N839" s="9">
        <v>46234</v>
      </c>
      <c r="O839" s="9">
        <v>46356</v>
      </c>
      <c r="P839" s="7" t="s">
        <v>1941</v>
      </c>
      <c r="Q839" s="7" t="s">
        <v>1970</v>
      </c>
      <c r="R839" s="7" t="s">
        <v>7477</v>
      </c>
      <c r="S839" s="7" t="s">
        <v>7478</v>
      </c>
      <c r="T839" s="7" t="s">
        <v>2067</v>
      </c>
      <c r="U839" s="7" t="s">
        <v>2068</v>
      </c>
      <c r="V839" s="7" t="s">
        <v>2067</v>
      </c>
      <c r="W839" s="7" t="s">
        <v>2069</v>
      </c>
    </row>
    <row r="840" spans="1:23" ht="20.100000000000001" customHeight="1" x14ac:dyDescent="0.25">
      <c r="A840" s="3" t="s">
        <v>7479</v>
      </c>
      <c r="B840" s="4" t="s">
        <v>2057</v>
      </c>
      <c r="C840" s="4" t="s">
        <v>7480</v>
      </c>
      <c r="D840" s="4" t="s">
        <v>2059</v>
      </c>
      <c r="E840" s="4" t="s">
        <v>2189</v>
      </c>
      <c r="F840" s="4" t="s">
        <v>2190</v>
      </c>
      <c r="G840" s="4" t="s">
        <v>2057</v>
      </c>
      <c r="H840" s="4" t="s">
        <v>7466</v>
      </c>
      <c r="I840" s="4" t="s">
        <v>1970</v>
      </c>
      <c r="J840" s="4" t="s">
        <v>7481</v>
      </c>
      <c r="K840" s="4" t="s">
        <v>7482</v>
      </c>
      <c r="L840" s="4" t="s">
        <v>7483</v>
      </c>
      <c r="M840" s="4" t="s">
        <v>2078</v>
      </c>
      <c r="N840" s="8">
        <v>46234</v>
      </c>
      <c r="O840" s="8">
        <v>46356</v>
      </c>
      <c r="P840" s="4" t="s">
        <v>2195</v>
      </c>
      <c r="Q840" s="4" t="s">
        <v>1970</v>
      </c>
      <c r="R840" s="4" t="s">
        <v>7484</v>
      </c>
      <c r="S840" s="4" t="s">
        <v>7485</v>
      </c>
      <c r="T840" s="4" t="s">
        <v>2067</v>
      </c>
      <c r="U840" s="4" t="s">
        <v>2198</v>
      </c>
      <c r="V840" s="4" t="s">
        <v>2067</v>
      </c>
      <c r="W840" s="4" t="s">
        <v>2069</v>
      </c>
    </row>
    <row r="841" spans="1:23" ht="20.100000000000001" customHeight="1" x14ac:dyDescent="0.25">
      <c r="A841" s="6" t="s">
        <v>7486</v>
      </c>
      <c r="B841" s="7" t="s">
        <v>2057</v>
      </c>
      <c r="C841" s="7" t="s">
        <v>7487</v>
      </c>
      <c r="D841" s="7" t="s">
        <v>2059</v>
      </c>
      <c r="E841" s="7" t="s">
        <v>1947</v>
      </c>
      <c r="F841" s="7" t="s">
        <v>1948</v>
      </c>
      <c r="G841" s="7" t="s">
        <v>2057</v>
      </c>
      <c r="H841" s="7" t="s">
        <v>7466</v>
      </c>
      <c r="I841" s="7" t="s">
        <v>1970</v>
      </c>
      <c r="J841" s="7" t="s">
        <v>7488</v>
      </c>
      <c r="K841" s="7" t="s">
        <v>7489</v>
      </c>
      <c r="L841" s="7" t="s">
        <v>7490</v>
      </c>
      <c r="M841" s="7" t="s">
        <v>2064</v>
      </c>
      <c r="N841" s="9">
        <v>46052</v>
      </c>
      <c r="O841" s="9"/>
      <c r="P841" s="7" t="s">
        <v>2090</v>
      </c>
      <c r="Q841" s="7" t="s">
        <v>1970</v>
      </c>
      <c r="R841" s="7" t="s">
        <v>7491</v>
      </c>
      <c r="S841" s="7" t="s">
        <v>7492</v>
      </c>
      <c r="T841" s="7" t="s">
        <v>2067</v>
      </c>
      <c r="U841" s="7" t="s">
        <v>3153</v>
      </c>
      <c r="V841" s="7" t="s">
        <v>2067</v>
      </c>
      <c r="W841" s="7" t="s">
        <v>2069</v>
      </c>
    </row>
    <row r="842" spans="1:23" ht="20.100000000000001" customHeight="1" x14ac:dyDescent="0.25">
      <c r="A842" s="3" t="s">
        <v>1014</v>
      </c>
      <c r="B842" s="4" t="s">
        <v>2084</v>
      </c>
      <c r="C842" s="4" t="s">
        <v>7493</v>
      </c>
      <c r="D842" s="4" t="s">
        <v>2059</v>
      </c>
      <c r="E842" s="4" t="s">
        <v>1947</v>
      </c>
      <c r="F842" s="4" t="s">
        <v>1948</v>
      </c>
      <c r="G842" s="4" t="s">
        <v>2084</v>
      </c>
      <c r="H842" s="4" t="s">
        <v>7378</v>
      </c>
      <c r="I842" s="4" t="s">
        <v>1970</v>
      </c>
      <c r="J842" s="4" t="s">
        <v>7494</v>
      </c>
      <c r="K842" s="4" t="s">
        <v>7495</v>
      </c>
      <c r="L842" s="4" t="s">
        <v>7496</v>
      </c>
      <c r="M842" s="4" t="s">
        <v>2064</v>
      </c>
      <c r="N842" s="8">
        <v>45992</v>
      </c>
      <c r="O842" s="8"/>
      <c r="P842" s="4" t="s">
        <v>2090</v>
      </c>
      <c r="Q842" s="4" t="s">
        <v>1970</v>
      </c>
      <c r="R842" s="4" t="s">
        <v>2605</v>
      </c>
      <c r="S842" s="4" t="s">
        <v>7497</v>
      </c>
      <c r="T842" s="4" t="s">
        <v>2067</v>
      </c>
      <c r="U842" s="4" t="s">
        <v>2146</v>
      </c>
      <c r="V842" s="4" t="s">
        <v>2067</v>
      </c>
      <c r="W842" s="4" t="s">
        <v>2069</v>
      </c>
    </row>
    <row r="843" spans="1:23" ht="20.100000000000001" customHeight="1" x14ac:dyDescent="0.25">
      <c r="A843" s="6" t="s">
        <v>404</v>
      </c>
      <c r="B843" s="7" t="s">
        <v>2084</v>
      </c>
      <c r="C843" s="7" t="s">
        <v>7498</v>
      </c>
      <c r="D843" s="7" t="s">
        <v>2059</v>
      </c>
      <c r="E843" s="7" t="s">
        <v>7499</v>
      </c>
      <c r="F843" s="7" t="s">
        <v>7500</v>
      </c>
      <c r="G843" s="7" t="s">
        <v>2084</v>
      </c>
      <c r="H843" s="7" t="s">
        <v>7501</v>
      </c>
      <c r="I843" s="7" t="s">
        <v>1970</v>
      </c>
      <c r="J843" s="7" t="s">
        <v>7502</v>
      </c>
      <c r="K843" s="7" t="s">
        <v>7503</v>
      </c>
      <c r="L843" s="7" t="s">
        <v>7504</v>
      </c>
      <c r="M843" s="7" t="s">
        <v>2078</v>
      </c>
      <c r="N843" s="9">
        <v>45992</v>
      </c>
      <c r="O843" s="9">
        <v>46356</v>
      </c>
      <c r="P843" s="7" t="s">
        <v>7500</v>
      </c>
      <c r="Q843" s="7" t="s">
        <v>1970</v>
      </c>
      <c r="R843" s="7" t="s">
        <v>4334</v>
      </c>
      <c r="S843" s="7" t="s">
        <v>7505</v>
      </c>
      <c r="T843" s="7" t="s">
        <v>2067</v>
      </c>
      <c r="U843" s="7" t="s">
        <v>7506</v>
      </c>
      <c r="V843" s="7" t="s">
        <v>2067</v>
      </c>
      <c r="W843" s="7" t="s">
        <v>2069</v>
      </c>
    </row>
    <row r="844" spans="1:23" ht="20.100000000000001" customHeight="1" x14ac:dyDescent="0.25">
      <c r="A844" s="3" t="s">
        <v>1064</v>
      </c>
      <c r="B844" s="4" t="s">
        <v>2084</v>
      </c>
      <c r="C844" s="4" t="s">
        <v>7507</v>
      </c>
      <c r="D844" s="4" t="s">
        <v>2059</v>
      </c>
      <c r="E844" s="4" t="s">
        <v>1947</v>
      </c>
      <c r="F844" s="4" t="s">
        <v>2121</v>
      </c>
      <c r="G844" s="4" t="s">
        <v>2084</v>
      </c>
      <c r="H844" s="4" t="s">
        <v>7508</v>
      </c>
      <c r="I844" s="4" t="s">
        <v>1970</v>
      </c>
      <c r="J844" s="4" t="s">
        <v>7509</v>
      </c>
      <c r="K844" s="4" t="s">
        <v>7510</v>
      </c>
      <c r="L844" s="4" t="s">
        <v>7511</v>
      </c>
      <c r="M844" s="4" t="s">
        <v>2064</v>
      </c>
      <c r="N844" s="8">
        <v>45992</v>
      </c>
      <c r="O844" s="8"/>
      <c r="P844" s="4" t="s">
        <v>2090</v>
      </c>
      <c r="Q844" s="4" t="s">
        <v>1970</v>
      </c>
      <c r="R844" s="4" t="s">
        <v>7512</v>
      </c>
      <c r="S844" s="4" t="s">
        <v>7513</v>
      </c>
      <c r="T844" s="4" t="s">
        <v>2067</v>
      </c>
      <c r="U844" s="4" t="s">
        <v>2128</v>
      </c>
      <c r="V844" s="4" t="s">
        <v>2067</v>
      </c>
      <c r="W844" s="4" t="s">
        <v>2069</v>
      </c>
    </row>
    <row r="845" spans="1:23" ht="20.100000000000001" customHeight="1" x14ac:dyDescent="0.25">
      <c r="A845" s="6" t="s">
        <v>322</v>
      </c>
      <c r="B845" s="7" t="s">
        <v>2084</v>
      </c>
      <c r="C845" s="7" t="s">
        <v>7514</v>
      </c>
      <c r="D845" s="7" t="s">
        <v>2059</v>
      </c>
      <c r="E845" s="7" t="s">
        <v>4160</v>
      </c>
      <c r="F845" s="7" t="s">
        <v>4161</v>
      </c>
      <c r="G845" s="7" t="s">
        <v>2084</v>
      </c>
      <c r="H845" s="7" t="s">
        <v>7378</v>
      </c>
      <c r="I845" s="7" t="s">
        <v>1970</v>
      </c>
      <c r="J845" s="7" t="s">
        <v>7515</v>
      </c>
      <c r="K845" s="7" t="s">
        <v>7516</v>
      </c>
      <c r="L845" s="7" t="s">
        <v>7517</v>
      </c>
      <c r="M845" s="7" t="s">
        <v>2078</v>
      </c>
      <c r="N845" s="9">
        <v>45992</v>
      </c>
      <c r="O845" s="9">
        <v>46356</v>
      </c>
      <c r="P845" s="7" t="s">
        <v>4161</v>
      </c>
      <c r="Q845" s="7" t="s">
        <v>1970</v>
      </c>
      <c r="R845" s="7" t="s">
        <v>7518</v>
      </c>
      <c r="S845" s="7" t="s">
        <v>7519</v>
      </c>
      <c r="T845" s="7" t="s">
        <v>2067</v>
      </c>
      <c r="U845" s="7" t="s">
        <v>4167</v>
      </c>
      <c r="V845" s="7" t="s">
        <v>2067</v>
      </c>
      <c r="W845" s="7" t="s">
        <v>2069</v>
      </c>
    </row>
    <row r="846" spans="1:23" ht="20.100000000000001" customHeight="1" x14ac:dyDescent="0.25">
      <c r="A846" s="3" t="s">
        <v>352</v>
      </c>
      <c r="B846" s="4" t="s">
        <v>2084</v>
      </c>
      <c r="C846" s="4" t="s">
        <v>7520</v>
      </c>
      <c r="D846" s="4" t="s">
        <v>2059</v>
      </c>
      <c r="E846" s="4" t="s">
        <v>2072</v>
      </c>
      <c r="F846" s="4" t="s">
        <v>2338</v>
      </c>
      <c r="G846" s="4" t="s">
        <v>2084</v>
      </c>
      <c r="H846" s="4" t="s">
        <v>7410</v>
      </c>
      <c r="I846" s="4" t="s">
        <v>1970</v>
      </c>
      <c r="J846" s="4" t="s">
        <v>7521</v>
      </c>
      <c r="K846" s="4" t="s">
        <v>7522</v>
      </c>
      <c r="L846" s="4" t="s">
        <v>7523</v>
      </c>
      <c r="M846" s="4" t="s">
        <v>2078</v>
      </c>
      <c r="N846" s="8">
        <v>45992</v>
      </c>
      <c r="O846" s="8">
        <v>46356</v>
      </c>
      <c r="P846" s="4" t="s">
        <v>2338</v>
      </c>
      <c r="Q846" s="4" t="s">
        <v>1970</v>
      </c>
      <c r="R846" s="4" t="s">
        <v>7524</v>
      </c>
      <c r="S846" s="4" t="s">
        <v>7525</v>
      </c>
      <c r="T846" s="4" t="s">
        <v>2067</v>
      </c>
      <c r="U846" s="4" t="s">
        <v>2344</v>
      </c>
      <c r="V846" s="4" t="s">
        <v>2067</v>
      </c>
      <c r="W846" s="4" t="s">
        <v>2069</v>
      </c>
    </row>
    <row r="847" spans="1:23" ht="20.100000000000001" customHeight="1" x14ac:dyDescent="0.25">
      <c r="A847" s="6" t="s">
        <v>1578</v>
      </c>
      <c r="B847" s="7" t="s">
        <v>2057</v>
      </c>
      <c r="C847" s="7" t="s">
        <v>7526</v>
      </c>
      <c r="D847" s="7" t="s">
        <v>2059</v>
      </c>
      <c r="E847" s="7" t="s">
        <v>1947</v>
      </c>
      <c r="F847" s="7" t="s">
        <v>2277</v>
      </c>
      <c r="G847" s="7" t="s">
        <v>2057</v>
      </c>
      <c r="H847" s="7" t="s">
        <v>7527</v>
      </c>
      <c r="I847" s="7" t="s">
        <v>1970</v>
      </c>
      <c r="J847" s="7" t="s">
        <v>7528</v>
      </c>
      <c r="K847" s="7" t="s">
        <v>7529</v>
      </c>
      <c r="L847" s="7" t="s">
        <v>7530</v>
      </c>
      <c r="M847" s="7" t="s">
        <v>2078</v>
      </c>
      <c r="N847" s="9">
        <v>46234</v>
      </c>
      <c r="O847" s="9">
        <v>46356</v>
      </c>
      <c r="P847" s="7" t="s">
        <v>2090</v>
      </c>
      <c r="Q847" s="7" t="s">
        <v>1970</v>
      </c>
      <c r="R847" s="7" t="s">
        <v>7531</v>
      </c>
      <c r="S847" s="7" t="s">
        <v>7532</v>
      </c>
      <c r="T847" s="7" t="s">
        <v>2067</v>
      </c>
      <c r="U847" s="7" t="s">
        <v>2284</v>
      </c>
      <c r="V847" s="7" t="s">
        <v>2067</v>
      </c>
      <c r="W847" s="7" t="s">
        <v>2082</v>
      </c>
    </row>
    <row r="848" spans="1:23" ht="20.100000000000001" customHeight="1" x14ac:dyDescent="0.25">
      <c r="A848" s="3" t="s">
        <v>1346</v>
      </c>
      <c r="B848" s="4" t="s">
        <v>2057</v>
      </c>
      <c r="C848" s="4" t="s">
        <v>7533</v>
      </c>
      <c r="D848" s="4" t="s">
        <v>2059</v>
      </c>
      <c r="E848" s="4" t="s">
        <v>1947</v>
      </c>
      <c r="F848" s="4" t="s">
        <v>1948</v>
      </c>
      <c r="G848" s="4" t="s">
        <v>2057</v>
      </c>
      <c r="H848" s="4" t="s">
        <v>7466</v>
      </c>
      <c r="I848" s="4" t="s">
        <v>1970</v>
      </c>
      <c r="J848" s="4" t="s">
        <v>7534</v>
      </c>
      <c r="K848" s="4" t="s">
        <v>7535</v>
      </c>
      <c r="L848" s="4" t="s">
        <v>7536</v>
      </c>
      <c r="M848" s="4" t="s">
        <v>2064</v>
      </c>
      <c r="N848" s="8">
        <v>46052</v>
      </c>
      <c r="O848" s="8"/>
      <c r="P848" s="4" t="s">
        <v>2090</v>
      </c>
      <c r="Q848" s="4" t="s">
        <v>1970</v>
      </c>
      <c r="R848" s="4" t="s">
        <v>7537</v>
      </c>
      <c r="S848" s="4" t="s">
        <v>7538</v>
      </c>
      <c r="T848" s="4" t="s">
        <v>2067</v>
      </c>
      <c r="U848" s="4" t="s">
        <v>3153</v>
      </c>
      <c r="V848" s="4" t="s">
        <v>2067</v>
      </c>
      <c r="W848" s="4" t="s">
        <v>2069</v>
      </c>
    </row>
    <row r="849" spans="1:23" ht="20.100000000000001" customHeight="1" x14ac:dyDescent="0.25">
      <c r="A849" s="6" t="s">
        <v>7539</v>
      </c>
      <c r="B849" s="7" t="s">
        <v>2057</v>
      </c>
      <c r="C849" s="7" t="s">
        <v>7540</v>
      </c>
      <c r="D849" s="7" t="s">
        <v>2059</v>
      </c>
      <c r="E849" s="7" t="s">
        <v>1947</v>
      </c>
      <c r="F849" s="7" t="s">
        <v>1948</v>
      </c>
      <c r="G849" s="7" t="s">
        <v>2057</v>
      </c>
      <c r="H849" s="7" t="s">
        <v>7541</v>
      </c>
      <c r="I849" s="7" t="s">
        <v>1970</v>
      </c>
      <c r="J849" s="7" t="s">
        <v>7542</v>
      </c>
      <c r="K849" s="7" t="s">
        <v>7543</v>
      </c>
      <c r="L849" s="7" t="s">
        <v>7544</v>
      </c>
      <c r="M849" s="7" t="s">
        <v>2064</v>
      </c>
      <c r="N849" s="9">
        <v>41306</v>
      </c>
      <c r="O849" s="9"/>
      <c r="P849" s="7" t="s">
        <v>2090</v>
      </c>
      <c r="Q849" s="7" t="s">
        <v>1970</v>
      </c>
      <c r="R849" s="7" t="s">
        <v>7545</v>
      </c>
      <c r="S849" s="7" t="s">
        <v>7546</v>
      </c>
      <c r="T849" s="7" t="s">
        <v>2067</v>
      </c>
      <c r="U849" s="7" t="s">
        <v>3153</v>
      </c>
      <c r="V849" s="7" t="s">
        <v>2067</v>
      </c>
      <c r="W849" s="7" t="s">
        <v>2069</v>
      </c>
    </row>
    <row r="850" spans="1:23" ht="20.100000000000001" customHeight="1" x14ac:dyDescent="0.25">
      <c r="A850" s="3" t="s">
        <v>7547</v>
      </c>
      <c r="B850" s="4" t="s">
        <v>2084</v>
      </c>
      <c r="C850" s="4" t="s">
        <v>7548</v>
      </c>
      <c r="D850" s="4" t="s">
        <v>2059</v>
      </c>
      <c r="E850" s="4" t="s">
        <v>2131</v>
      </c>
      <c r="F850" s="4" t="s">
        <v>2132</v>
      </c>
      <c r="G850" s="4" t="s">
        <v>2084</v>
      </c>
      <c r="H850" s="4" t="s">
        <v>7549</v>
      </c>
      <c r="I850" s="4" t="s">
        <v>1970</v>
      </c>
      <c r="J850" s="4" t="s">
        <v>7550</v>
      </c>
      <c r="K850" s="4" t="s">
        <v>7551</v>
      </c>
      <c r="L850" s="4" t="s">
        <v>7552</v>
      </c>
      <c r="M850" s="4" t="s">
        <v>2078</v>
      </c>
      <c r="N850" s="8">
        <v>45992</v>
      </c>
      <c r="O850" s="8">
        <v>46356</v>
      </c>
      <c r="P850" s="4" t="s">
        <v>2132</v>
      </c>
      <c r="Q850" s="4" t="s">
        <v>1970</v>
      </c>
      <c r="R850" s="4" t="s">
        <v>7553</v>
      </c>
      <c r="S850" s="4" t="s">
        <v>7554</v>
      </c>
      <c r="T850" s="4" t="s">
        <v>2067</v>
      </c>
      <c r="U850" s="4" t="s">
        <v>2138</v>
      </c>
      <c r="V850" s="4" t="s">
        <v>2067</v>
      </c>
      <c r="W850" s="4" t="s">
        <v>2069</v>
      </c>
    </row>
    <row r="851" spans="1:23" ht="20.100000000000001" customHeight="1" x14ac:dyDescent="0.25">
      <c r="A851" s="6" t="s">
        <v>470</v>
      </c>
      <c r="B851" s="7" t="s">
        <v>2057</v>
      </c>
      <c r="C851" s="7" t="s">
        <v>7555</v>
      </c>
      <c r="D851" s="7" t="s">
        <v>2059</v>
      </c>
      <c r="E851" s="7" t="s">
        <v>1940</v>
      </c>
      <c r="F851" s="7" t="s">
        <v>1941</v>
      </c>
      <c r="G851" s="7" t="s">
        <v>2057</v>
      </c>
      <c r="H851" s="7" t="s">
        <v>7527</v>
      </c>
      <c r="I851" s="7" t="s">
        <v>1970</v>
      </c>
      <c r="J851" s="7" t="s">
        <v>7556</v>
      </c>
      <c r="K851" s="7" t="s">
        <v>7557</v>
      </c>
      <c r="L851" s="7" t="s">
        <v>7558</v>
      </c>
      <c r="M851" s="7" t="s">
        <v>2078</v>
      </c>
      <c r="N851" s="9">
        <v>46234</v>
      </c>
      <c r="O851" s="9">
        <v>46356</v>
      </c>
      <c r="P851" s="7" t="s">
        <v>1941</v>
      </c>
      <c r="Q851" s="7" t="s">
        <v>1970</v>
      </c>
      <c r="R851" s="7" t="s">
        <v>6516</v>
      </c>
      <c r="S851" s="7" t="s">
        <v>7559</v>
      </c>
      <c r="T851" s="7" t="s">
        <v>2067</v>
      </c>
      <c r="U851" s="7" t="s">
        <v>2068</v>
      </c>
      <c r="V851" s="7" t="s">
        <v>2067</v>
      </c>
      <c r="W851" s="7" t="s">
        <v>2082</v>
      </c>
    </row>
    <row r="852" spans="1:23" ht="20.100000000000001" customHeight="1" x14ac:dyDescent="0.25">
      <c r="A852" s="3" t="s">
        <v>7560</v>
      </c>
      <c r="B852" s="4" t="s">
        <v>2057</v>
      </c>
      <c r="C852" s="4" t="s">
        <v>7561</v>
      </c>
      <c r="D852" s="4" t="s">
        <v>2059</v>
      </c>
      <c r="E852" s="4" t="s">
        <v>2189</v>
      </c>
      <c r="F852" s="4" t="s">
        <v>2190</v>
      </c>
      <c r="G852" s="4" t="s">
        <v>2057</v>
      </c>
      <c r="H852" s="4" t="s">
        <v>1969</v>
      </c>
      <c r="I852" s="4" t="s">
        <v>1970</v>
      </c>
      <c r="J852" s="4" t="s">
        <v>7562</v>
      </c>
      <c r="K852" s="4" t="s">
        <v>7563</v>
      </c>
      <c r="L852" s="4" t="s">
        <v>7564</v>
      </c>
      <c r="M852" s="4" t="s">
        <v>2078</v>
      </c>
      <c r="N852" s="8">
        <v>46234</v>
      </c>
      <c r="O852" s="8">
        <v>46356</v>
      </c>
      <c r="P852" s="4" t="s">
        <v>2195</v>
      </c>
      <c r="Q852" s="4" t="s">
        <v>1970</v>
      </c>
      <c r="R852" s="4" t="s">
        <v>7565</v>
      </c>
      <c r="S852" s="4" t="s">
        <v>7566</v>
      </c>
      <c r="T852" s="4" t="s">
        <v>2067</v>
      </c>
      <c r="U852" s="4" t="s">
        <v>2198</v>
      </c>
      <c r="V852" s="4" t="s">
        <v>2067</v>
      </c>
      <c r="W852" s="4" t="s">
        <v>2082</v>
      </c>
    </row>
    <row r="853" spans="1:23" ht="20.100000000000001" customHeight="1" x14ac:dyDescent="0.25">
      <c r="A853" s="6" t="s">
        <v>878</v>
      </c>
      <c r="B853" s="7" t="s">
        <v>2084</v>
      </c>
      <c r="C853" s="7" t="s">
        <v>7567</v>
      </c>
      <c r="D853" s="7" t="s">
        <v>2059</v>
      </c>
      <c r="E853" s="7" t="s">
        <v>1947</v>
      </c>
      <c r="F853" s="7" t="s">
        <v>1948</v>
      </c>
      <c r="G853" s="7" t="s">
        <v>2084</v>
      </c>
      <c r="H853" s="7" t="s">
        <v>7410</v>
      </c>
      <c r="I853" s="7" t="s">
        <v>1970</v>
      </c>
      <c r="J853" s="7" t="s">
        <v>7568</v>
      </c>
      <c r="K853" s="7" t="s">
        <v>7569</v>
      </c>
      <c r="L853" s="7" t="s">
        <v>7570</v>
      </c>
      <c r="M853" s="7" t="s">
        <v>2064</v>
      </c>
      <c r="N853" s="9">
        <v>45992</v>
      </c>
      <c r="O853" s="9"/>
      <c r="P853" s="7" t="s">
        <v>2090</v>
      </c>
      <c r="Q853" s="7" t="s">
        <v>1970</v>
      </c>
      <c r="R853" s="7" t="s">
        <v>7571</v>
      </c>
      <c r="S853" s="7" t="s">
        <v>7572</v>
      </c>
      <c r="T853" s="7" t="s">
        <v>2067</v>
      </c>
      <c r="U853" s="7" t="s">
        <v>2146</v>
      </c>
      <c r="V853" s="7" t="s">
        <v>2067</v>
      </c>
      <c r="W853" s="7" t="s">
        <v>2069</v>
      </c>
    </row>
    <row r="854" spans="1:23" ht="20.100000000000001" customHeight="1" x14ac:dyDescent="0.25">
      <c r="A854" s="3" t="s">
        <v>400</v>
      </c>
      <c r="B854" s="4" t="s">
        <v>2084</v>
      </c>
      <c r="C854" s="4" t="s">
        <v>7573</v>
      </c>
      <c r="D854" s="4" t="s">
        <v>2059</v>
      </c>
      <c r="E854" s="4" t="s">
        <v>1947</v>
      </c>
      <c r="F854" s="4" t="s">
        <v>1948</v>
      </c>
      <c r="G854" s="4" t="s">
        <v>2084</v>
      </c>
      <c r="H854" s="4" t="s">
        <v>7410</v>
      </c>
      <c r="I854" s="4" t="s">
        <v>1970</v>
      </c>
      <c r="J854" s="4" t="s">
        <v>7574</v>
      </c>
      <c r="K854" s="4" t="s">
        <v>7575</v>
      </c>
      <c r="L854" s="4" t="s">
        <v>7576</v>
      </c>
      <c r="M854" s="4" t="s">
        <v>2064</v>
      </c>
      <c r="N854" s="8">
        <v>45992</v>
      </c>
      <c r="O854" s="8"/>
      <c r="P854" s="4" t="s">
        <v>2090</v>
      </c>
      <c r="Q854" s="4" t="s">
        <v>1970</v>
      </c>
      <c r="R854" s="4" t="s">
        <v>7577</v>
      </c>
      <c r="S854" s="4" t="s">
        <v>7578</v>
      </c>
      <c r="T854" s="4" t="s">
        <v>2067</v>
      </c>
      <c r="U854" s="4" t="s">
        <v>2146</v>
      </c>
      <c r="V854" s="4" t="s">
        <v>2067</v>
      </c>
      <c r="W854" s="4" t="s">
        <v>2069</v>
      </c>
    </row>
    <row r="855" spans="1:23" ht="20.100000000000001" customHeight="1" x14ac:dyDescent="0.25">
      <c r="A855" s="6" t="s">
        <v>7579</v>
      </c>
      <c r="B855" s="7" t="s">
        <v>2084</v>
      </c>
      <c r="C855" s="7" t="s">
        <v>7580</v>
      </c>
      <c r="D855" s="7" t="s">
        <v>2059</v>
      </c>
      <c r="E855" s="7" t="s">
        <v>1965</v>
      </c>
      <c r="F855" s="7" t="s">
        <v>1966</v>
      </c>
      <c r="G855" s="7" t="s">
        <v>2084</v>
      </c>
      <c r="H855" s="7" t="s">
        <v>7378</v>
      </c>
      <c r="I855" s="7" t="s">
        <v>1970</v>
      </c>
      <c r="J855" s="7" t="s">
        <v>7581</v>
      </c>
      <c r="K855" s="7" t="s">
        <v>7582</v>
      </c>
      <c r="L855" s="7" t="s">
        <v>7583</v>
      </c>
      <c r="M855" s="7" t="s">
        <v>2078</v>
      </c>
      <c r="N855" s="9">
        <v>45992</v>
      </c>
      <c r="O855" s="9">
        <v>46356</v>
      </c>
      <c r="P855" s="7" t="s">
        <v>1966</v>
      </c>
      <c r="Q855" s="7" t="s">
        <v>1970</v>
      </c>
      <c r="R855" s="7" t="s">
        <v>7584</v>
      </c>
      <c r="S855" s="7" t="s">
        <v>7585</v>
      </c>
      <c r="T855" s="7" t="s">
        <v>2067</v>
      </c>
      <c r="U855" s="7" t="s">
        <v>2174</v>
      </c>
      <c r="V855" s="7" t="s">
        <v>2067</v>
      </c>
      <c r="W855" s="7" t="s">
        <v>2069</v>
      </c>
    </row>
    <row r="856" spans="1:23" ht="20.100000000000001" customHeight="1" x14ac:dyDescent="0.25">
      <c r="A856" s="3" t="s">
        <v>1540</v>
      </c>
      <c r="B856" s="4" t="s">
        <v>2057</v>
      </c>
      <c r="C856" s="4" t="s">
        <v>7586</v>
      </c>
      <c r="D856" s="4" t="s">
        <v>2059</v>
      </c>
      <c r="E856" s="4" t="s">
        <v>1947</v>
      </c>
      <c r="F856" s="4" t="s">
        <v>1948</v>
      </c>
      <c r="G856" s="4" t="s">
        <v>2057</v>
      </c>
      <c r="H856" s="4" t="s">
        <v>7370</v>
      </c>
      <c r="I856" s="4" t="s">
        <v>1970</v>
      </c>
      <c r="J856" s="4" t="s">
        <v>7587</v>
      </c>
      <c r="K856" s="4" t="s">
        <v>7588</v>
      </c>
      <c r="L856" s="4" t="s">
        <v>7589</v>
      </c>
      <c r="M856" s="4" t="s">
        <v>2064</v>
      </c>
      <c r="N856" s="8">
        <v>46052</v>
      </c>
      <c r="O856" s="8"/>
      <c r="P856" s="4" t="s">
        <v>2090</v>
      </c>
      <c r="Q856" s="4" t="s">
        <v>1970</v>
      </c>
      <c r="R856" s="4" t="s">
        <v>7590</v>
      </c>
      <c r="S856" s="4" t="s">
        <v>7591</v>
      </c>
      <c r="T856" s="4" t="s">
        <v>2351</v>
      </c>
      <c r="U856" s="4" t="s">
        <v>3153</v>
      </c>
      <c r="V856" s="4" t="s">
        <v>2351</v>
      </c>
      <c r="W856" s="4" t="s">
        <v>2069</v>
      </c>
    </row>
    <row r="857" spans="1:23" ht="20.100000000000001" customHeight="1" x14ac:dyDescent="0.25">
      <c r="A857" s="6" t="s">
        <v>7592</v>
      </c>
      <c r="B857" s="7" t="s">
        <v>2057</v>
      </c>
      <c r="C857" s="7" t="s">
        <v>7593</v>
      </c>
      <c r="D857" s="7" t="s">
        <v>2059</v>
      </c>
      <c r="E857" s="7" t="s">
        <v>2189</v>
      </c>
      <c r="F857" s="7" t="s">
        <v>2190</v>
      </c>
      <c r="G857" s="7" t="s">
        <v>2057</v>
      </c>
      <c r="H857" s="7" t="s">
        <v>1969</v>
      </c>
      <c r="I857" s="7" t="s">
        <v>1970</v>
      </c>
      <c r="J857" s="7" t="s">
        <v>7594</v>
      </c>
      <c r="K857" s="7" t="s">
        <v>7595</v>
      </c>
      <c r="L857" s="7" t="s">
        <v>7596</v>
      </c>
      <c r="M857" s="7" t="s">
        <v>2078</v>
      </c>
      <c r="N857" s="9">
        <v>46234</v>
      </c>
      <c r="O857" s="9">
        <v>46356</v>
      </c>
      <c r="P857" s="7" t="s">
        <v>2195</v>
      </c>
      <c r="Q857" s="7" t="s">
        <v>1970</v>
      </c>
      <c r="R857" s="7" t="s">
        <v>3711</v>
      </c>
      <c r="S857" s="7" t="s">
        <v>7597</v>
      </c>
      <c r="T857" s="7" t="s">
        <v>2067</v>
      </c>
      <c r="U857" s="7" t="s">
        <v>2198</v>
      </c>
      <c r="V857" s="7" t="s">
        <v>2067</v>
      </c>
      <c r="W857" s="7" t="s">
        <v>2082</v>
      </c>
    </row>
    <row r="858" spans="1:23" ht="20.100000000000001" customHeight="1" x14ac:dyDescent="0.25">
      <c r="A858" s="3" t="s">
        <v>7598</v>
      </c>
      <c r="B858" s="4" t="s">
        <v>2084</v>
      </c>
      <c r="C858" s="4" t="s">
        <v>7599</v>
      </c>
      <c r="D858" s="4" t="s">
        <v>2059</v>
      </c>
      <c r="E858" s="4" t="s">
        <v>2131</v>
      </c>
      <c r="F858" s="4" t="s">
        <v>2132</v>
      </c>
      <c r="G858" s="4" t="s">
        <v>2084</v>
      </c>
      <c r="H858" s="4" t="s">
        <v>7378</v>
      </c>
      <c r="I858" s="4" t="s">
        <v>1970</v>
      </c>
      <c r="J858" s="4" t="s">
        <v>7600</v>
      </c>
      <c r="K858" s="4" t="s">
        <v>7601</v>
      </c>
      <c r="L858" s="4" t="s">
        <v>7602</v>
      </c>
      <c r="M858" s="4" t="s">
        <v>2078</v>
      </c>
      <c r="N858" s="8">
        <v>45992</v>
      </c>
      <c r="O858" s="8">
        <v>46356</v>
      </c>
      <c r="P858" s="4" t="s">
        <v>2132</v>
      </c>
      <c r="Q858" s="4" t="s">
        <v>1970</v>
      </c>
      <c r="R858" s="4" t="s">
        <v>2126</v>
      </c>
      <c r="S858" s="4" t="s">
        <v>7603</v>
      </c>
      <c r="T858" s="4" t="s">
        <v>2067</v>
      </c>
      <c r="U858" s="4" t="s">
        <v>2138</v>
      </c>
      <c r="V858" s="4" t="s">
        <v>2067</v>
      </c>
      <c r="W858" s="4" t="s">
        <v>2069</v>
      </c>
    </row>
    <row r="859" spans="1:23" ht="20.100000000000001" customHeight="1" x14ac:dyDescent="0.25">
      <c r="A859" s="6" t="s">
        <v>7604</v>
      </c>
      <c r="B859" s="7" t="s">
        <v>2084</v>
      </c>
      <c r="C859" s="7" t="s">
        <v>7605</v>
      </c>
      <c r="D859" s="7" t="s">
        <v>2059</v>
      </c>
      <c r="E859" s="7" t="s">
        <v>2673</v>
      </c>
      <c r="F859" s="7" t="s">
        <v>2674</v>
      </c>
      <c r="G859" s="7" t="s">
        <v>2084</v>
      </c>
      <c r="H859" s="7" t="s">
        <v>7363</v>
      </c>
      <c r="I859" s="7" t="s">
        <v>1970</v>
      </c>
      <c r="J859" s="7" t="s">
        <v>7606</v>
      </c>
      <c r="K859" s="7" t="s">
        <v>7607</v>
      </c>
      <c r="L859" s="7" t="s">
        <v>7608</v>
      </c>
      <c r="M859" s="7" t="s">
        <v>2078</v>
      </c>
      <c r="N859" s="9">
        <v>45992</v>
      </c>
      <c r="O859" s="9">
        <v>46356</v>
      </c>
      <c r="P859" s="7" t="s">
        <v>2674</v>
      </c>
      <c r="Q859" s="7" t="s">
        <v>1970</v>
      </c>
      <c r="R859" s="7" t="s">
        <v>2605</v>
      </c>
      <c r="S859" s="7" t="s">
        <v>7609</v>
      </c>
      <c r="T859" s="7" t="s">
        <v>2067</v>
      </c>
      <c r="U859" s="7" t="s">
        <v>2680</v>
      </c>
      <c r="V859" s="7" t="s">
        <v>2067</v>
      </c>
      <c r="W859" s="7" t="s">
        <v>2069</v>
      </c>
    </row>
    <row r="860" spans="1:23" ht="20.100000000000001" customHeight="1" x14ac:dyDescent="0.25">
      <c r="A860" s="3" t="s">
        <v>36</v>
      </c>
      <c r="B860" s="4" t="s">
        <v>2057</v>
      </c>
      <c r="C860" s="4" t="s">
        <v>7610</v>
      </c>
      <c r="D860" s="4" t="s">
        <v>2059</v>
      </c>
      <c r="E860" s="4" t="s">
        <v>1947</v>
      </c>
      <c r="F860" s="4" t="s">
        <v>2427</v>
      </c>
      <c r="G860" s="4" t="s">
        <v>2057</v>
      </c>
      <c r="H860" s="4" t="s">
        <v>7466</v>
      </c>
      <c r="I860" s="4" t="s">
        <v>1970</v>
      </c>
      <c r="J860" s="4" t="s">
        <v>7611</v>
      </c>
      <c r="K860" s="4" t="s">
        <v>7612</v>
      </c>
      <c r="L860" s="4" t="s">
        <v>7613</v>
      </c>
      <c r="M860" s="4" t="s">
        <v>2064</v>
      </c>
      <c r="N860" s="8">
        <v>46052</v>
      </c>
      <c r="O860" s="8"/>
      <c r="P860" s="4" t="s">
        <v>2427</v>
      </c>
      <c r="Q860" s="4" t="s">
        <v>1970</v>
      </c>
      <c r="R860" s="4" t="s">
        <v>7614</v>
      </c>
      <c r="S860" s="4" t="s">
        <v>7615</v>
      </c>
      <c r="T860" s="4" t="s">
        <v>2067</v>
      </c>
      <c r="U860" s="4" t="s">
        <v>3337</v>
      </c>
      <c r="V860" s="4" t="s">
        <v>2067</v>
      </c>
      <c r="W860" s="4" t="s">
        <v>2069</v>
      </c>
    </row>
    <row r="861" spans="1:23" ht="20.100000000000001" customHeight="1" x14ac:dyDescent="0.25">
      <c r="A861" s="6" t="s">
        <v>7616</v>
      </c>
      <c r="B861" s="7" t="s">
        <v>2057</v>
      </c>
      <c r="C861" s="7" t="s">
        <v>7617</v>
      </c>
      <c r="D861" s="7" t="s">
        <v>2059</v>
      </c>
      <c r="E861" s="7" t="s">
        <v>1965</v>
      </c>
      <c r="F861" s="7" t="s">
        <v>1966</v>
      </c>
      <c r="G861" s="7" t="s">
        <v>2057</v>
      </c>
      <c r="H861" s="7" t="s">
        <v>7370</v>
      </c>
      <c r="I861" s="7" t="s">
        <v>1970</v>
      </c>
      <c r="J861" s="7" t="s">
        <v>7618</v>
      </c>
      <c r="K861" s="7" t="s">
        <v>7619</v>
      </c>
      <c r="L861" s="7" t="s">
        <v>7620</v>
      </c>
      <c r="M861" s="7" t="s">
        <v>2078</v>
      </c>
      <c r="N861" s="9">
        <v>46234</v>
      </c>
      <c r="O861" s="9">
        <v>46356</v>
      </c>
      <c r="P861" s="7" t="s">
        <v>1966</v>
      </c>
      <c r="Q861" s="7" t="s">
        <v>1970</v>
      </c>
      <c r="R861" s="7" t="s">
        <v>7621</v>
      </c>
      <c r="S861" s="7" t="s">
        <v>7622</v>
      </c>
      <c r="T861" s="7" t="s">
        <v>2067</v>
      </c>
      <c r="U861" s="7" t="s">
        <v>2174</v>
      </c>
      <c r="V861" s="7" t="s">
        <v>2067</v>
      </c>
      <c r="W861" s="7" t="s">
        <v>2069</v>
      </c>
    </row>
    <row r="862" spans="1:23" ht="20.100000000000001" customHeight="1" x14ac:dyDescent="0.25">
      <c r="A862" s="3" t="s">
        <v>1300</v>
      </c>
      <c r="B862" s="4" t="s">
        <v>2057</v>
      </c>
      <c r="C862" s="4" t="s">
        <v>7623</v>
      </c>
      <c r="D862" s="4" t="s">
        <v>2059</v>
      </c>
      <c r="E862" s="4" t="s">
        <v>1947</v>
      </c>
      <c r="F862" s="4" t="s">
        <v>1948</v>
      </c>
      <c r="G862" s="4" t="s">
        <v>2057</v>
      </c>
      <c r="H862" s="4" t="s">
        <v>7370</v>
      </c>
      <c r="I862" s="4" t="s">
        <v>1970</v>
      </c>
      <c r="J862" s="4" t="s">
        <v>7624</v>
      </c>
      <c r="K862" s="4" t="s">
        <v>7625</v>
      </c>
      <c r="L862" s="4" t="s">
        <v>7626</v>
      </c>
      <c r="M862" s="4" t="s">
        <v>2064</v>
      </c>
      <c r="N862" s="8">
        <v>46052</v>
      </c>
      <c r="O862" s="8"/>
      <c r="P862" s="4" t="s">
        <v>2090</v>
      </c>
      <c r="Q862" s="4" t="s">
        <v>1970</v>
      </c>
      <c r="R862" s="4" t="s">
        <v>3761</v>
      </c>
      <c r="S862" s="4" t="s">
        <v>7627</v>
      </c>
      <c r="T862" s="4" t="s">
        <v>2067</v>
      </c>
      <c r="U862" s="4" t="s">
        <v>3153</v>
      </c>
      <c r="V862" s="4" t="s">
        <v>2067</v>
      </c>
      <c r="W862" s="4" t="s">
        <v>2069</v>
      </c>
    </row>
    <row r="863" spans="1:23" ht="20.100000000000001" customHeight="1" x14ac:dyDescent="0.25">
      <c r="A863" s="6" t="s">
        <v>362</v>
      </c>
      <c r="B863" s="7" t="s">
        <v>2084</v>
      </c>
      <c r="C863" s="7" t="s">
        <v>7628</v>
      </c>
      <c r="D863" s="7" t="s">
        <v>2059</v>
      </c>
      <c r="E863" s="7" t="s">
        <v>1947</v>
      </c>
      <c r="F863" s="7" t="s">
        <v>1948</v>
      </c>
      <c r="G863" s="7" t="s">
        <v>2084</v>
      </c>
      <c r="H863" s="7" t="s">
        <v>7378</v>
      </c>
      <c r="I863" s="7" t="s">
        <v>1970</v>
      </c>
      <c r="J863" s="7" t="s">
        <v>7629</v>
      </c>
      <c r="K863" s="7" t="s">
        <v>7630</v>
      </c>
      <c r="L863" s="7" t="s">
        <v>7631</v>
      </c>
      <c r="M863" s="7" t="s">
        <v>2078</v>
      </c>
      <c r="N863" s="9">
        <v>45992</v>
      </c>
      <c r="O863" s="9">
        <v>46356</v>
      </c>
      <c r="P863" s="7" t="s">
        <v>2090</v>
      </c>
      <c r="Q863" s="7" t="s">
        <v>1970</v>
      </c>
      <c r="R863" s="7" t="s">
        <v>3236</v>
      </c>
      <c r="S863" s="7" t="s">
        <v>7632</v>
      </c>
      <c r="T863" s="7" t="s">
        <v>2067</v>
      </c>
      <c r="U863" s="7" t="s">
        <v>2146</v>
      </c>
      <c r="V863" s="7" t="s">
        <v>2067</v>
      </c>
      <c r="W863" s="7" t="s">
        <v>2069</v>
      </c>
    </row>
    <row r="864" spans="1:23" ht="20.100000000000001" customHeight="1" x14ac:dyDescent="0.25">
      <c r="A864" s="3" t="s">
        <v>926</v>
      </c>
      <c r="B864" s="4" t="s">
        <v>2084</v>
      </c>
      <c r="C864" s="4" t="s">
        <v>7633</v>
      </c>
      <c r="D864" s="4" t="s">
        <v>2059</v>
      </c>
      <c r="E864" s="4" t="s">
        <v>1947</v>
      </c>
      <c r="F864" s="4" t="s">
        <v>1948</v>
      </c>
      <c r="G864" s="4" t="s">
        <v>2084</v>
      </c>
      <c r="H864" s="4" t="s">
        <v>7410</v>
      </c>
      <c r="I864" s="4" t="s">
        <v>1970</v>
      </c>
      <c r="J864" s="4" t="s">
        <v>7634</v>
      </c>
      <c r="K864" s="4" t="s">
        <v>7635</v>
      </c>
      <c r="L864" s="4" t="s">
        <v>7636</v>
      </c>
      <c r="M864" s="4" t="s">
        <v>2064</v>
      </c>
      <c r="N864" s="8">
        <v>45992</v>
      </c>
      <c r="O864" s="8"/>
      <c r="P864" s="4" t="s">
        <v>2090</v>
      </c>
      <c r="Q864" s="4" t="s">
        <v>1970</v>
      </c>
      <c r="R864" s="4" t="s">
        <v>7637</v>
      </c>
      <c r="S864" s="4" t="s">
        <v>7638</v>
      </c>
      <c r="T864" s="4" t="s">
        <v>2067</v>
      </c>
      <c r="U864" s="4" t="s">
        <v>3437</v>
      </c>
      <c r="V864" s="4" t="s">
        <v>2067</v>
      </c>
      <c r="W864" s="4" t="s">
        <v>2069</v>
      </c>
    </row>
    <row r="865" spans="1:23" ht="20.100000000000001" customHeight="1" x14ac:dyDescent="0.25">
      <c r="A865" s="6" t="s">
        <v>808</v>
      </c>
      <c r="B865" s="7" t="s">
        <v>2084</v>
      </c>
      <c r="C865" s="7" t="s">
        <v>7639</v>
      </c>
      <c r="D865" s="7" t="s">
        <v>2059</v>
      </c>
      <c r="E865" s="7" t="s">
        <v>1947</v>
      </c>
      <c r="F865" s="7" t="s">
        <v>1948</v>
      </c>
      <c r="G865" s="7" t="s">
        <v>2084</v>
      </c>
      <c r="H865" s="7" t="s">
        <v>7378</v>
      </c>
      <c r="I865" s="7" t="s">
        <v>1970</v>
      </c>
      <c r="J865" s="7" t="s">
        <v>7640</v>
      </c>
      <c r="K865" s="7" t="s">
        <v>7641</v>
      </c>
      <c r="L865" s="7" t="s">
        <v>7642</v>
      </c>
      <c r="M865" s="7" t="s">
        <v>2078</v>
      </c>
      <c r="N865" s="9">
        <v>45992</v>
      </c>
      <c r="O865" s="9">
        <v>46356</v>
      </c>
      <c r="P865" s="7" t="s">
        <v>2090</v>
      </c>
      <c r="Q865" s="7" t="s">
        <v>1970</v>
      </c>
      <c r="R865" s="7" t="s">
        <v>7643</v>
      </c>
      <c r="S865" s="7" t="s">
        <v>7644</v>
      </c>
      <c r="T865" s="7" t="s">
        <v>2067</v>
      </c>
      <c r="U865" s="7" t="s">
        <v>2146</v>
      </c>
      <c r="V865" s="7" t="s">
        <v>2067</v>
      </c>
      <c r="W865" s="7" t="s">
        <v>2069</v>
      </c>
    </row>
    <row r="866" spans="1:23" ht="20.100000000000001" customHeight="1" x14ac:dyDescent="0.25">
      <c r="A866" s="3" t="s">
        <v>7645</v>
      </c>
      <c r="B866" s="4" t="s">
        <v>2057</v>
      </c>
      <c r="C866" s="4" t="s">
        <v>7646</v>
      </c>
      <c r="D866" s="4" t="s">
        <v>2059</v>
      </c>
      <c r="E866" s="4" t="s">
        <v>1947</v>
      </c>
      <c r="F866" s="4" t="s">
        <v>2427</v>
      </c>
      <c r="G866" s="4" t="s">
        <v>2057</v>
      </c>
      <c r="H866" s="4" t="s">
        <v>7370</v>
      </c>
      <c r="I866" s="4" t="s">
        <v>1970</v>
      </c>
      <c r="J866" s="4" t="s">
        <v>7647</v>
      </c>
      <c r="K866" s="4" t="s">
        <v>7648</v>
      </c>
      <c r="L866" s="4" t="s">
        <v>7649</v>
      </c>
      <c r="M866" s="4" t="s">
        <v>2078</v>
      </c>
      <c r="N866" s="8">
        <v>46234</v>
      </c>
      <c r="O866" s="8">
        <v>46356</v>
      </c>
      <c r="P866" s="4" t="s">
        <v>2427</v>
      </c>
      <c r="Q866" s="4" t="s">
        <v>1970</v>
      </c>
      <c r="R866" s="4" t="s">
        <v>7650</v>
      </c>
      <c r="S866" s="4" t="s">
        <v>7651</v>
      </c>
      <c r="T866" s="4" t="s">
        <v>2067</v>
      </c>
      <c r="U866" s="4" t="s">
        <v>3337</v>
      </c>
      <c r="V866" s="4" t="s">
        <v>2067</v>
      </c>
      <c r="W866" s="4" t="s">
        <v>2069</v>
      </c>
    </row>
    <row r="867" spans="1:23" ht="20.100000000000001" customHeight="1" x14ac:dyDescent="0.25">
      <c r="A867" s="6" t="s">
        <v>1250</v>
      </c>
      <c r="B867" s="7" t="s">
        <v>2057</v>
      </c>
      <c r="C867" s="7" t="s">
        <v>7652</v>
      </c>
      <c r="D867" s="7" t="s">
        <v>2059</v>
      </c>
      <c r="E867" s="7" t="s">
        <v>1947</v>
      </c>
      <c r="F867" s="7" t="s">
        <v>1948</v>
      </c>
      <c r="G867" s="7" t="s">
        <v>2057</v>
      </c>
      <c r="H867" s="7" t="s">
        <v>7541</v>
      </c>
      <c r="I867" s="7" t="s">
        <v>1970</v>
      </c>
      <c r="J867" s="7" t="s">
        <v>7653</v>
      </c>
      <c r="K867" s="7" t="s">
        <v>7654</v>
      </c>
      <c r="L867" s="7" t="s">
        <v>7655</v>
      </c>
      <c r="M867" s="7" t="s">
        <v>2064</v>
      </c>
      <c r="N867" s="9">
        <v>46052</v>
      </c>
      <c r="O867" s="9"/>
      <c r="P867" s="7" t="s">
        <v>2090</v>
      </c>
      <c r="Q867" s="7" t="s">
        <v>1970</v>
      </c>
      <c r="R867" s="7" t="s">
        <v>3754</v>
      </c>
      <c r="S867" s="7" t="s">
        <v>7656</v>
      </c>
      <c r="T867" s="7" t="s">
        <v>2067</v>
      </c>
      <c r="U867" s="7" t="s">
        <v>3153</v>
      </c>
      <c r="V867" s="7" t="s">
        <v>2067</v>
      </c>
      <c r="W867" s="7" t="s">
        <v>2069</v>
      </c>
    </row>
    <row r="868" spans="1:23" ht="20.100000000000001" customHeight="1" x14ac:dyDescent="0.25">
      <c r="A868" s="3" t="s">
        <v>718</v>
      </c>
      <c r="B868" s="4" t="s">
        <v>2057</v>
      </c>
      <c r="C868" s="4" t="s">
        <v>7657</v>
      </c>
      <c r="D868" s="4" t="s">
        <v>2059</v>
      </c>
      <c r="E868" s="4" t="s">
        <v>1947</v>
      </c>
      <c r="F868" s="4" t="s">
        <v>2329</v>
      </c>
      <c r="G868" s="4" t="s">
        <v>2057</v>
      </c>
      <c r="H868" s="4" t="s">
        <v>7466</v>
      </c>
      <c r="I868" s="4" t="s">
        <v>1970</v>
      </c>
      <c r="J868" s="4" t="s">
        <v>7658</v>
      </c>
      <c r="K868" s="4" t="s">
        <v>7659</v>
      </c>
      <c r="L868" s="4" t="s">
        <v>7660</v>
      </c>
      <c r="M868" s="4" t="s">
        <v>2064</v>
      </c>
      <c r="N868" s="8">
        <v>46052</v>
      </c>
      <c r="O868" s="8"/>
      <c r="P868" s="4" t="s">
        <v>2333</v>
      </c>
      <c r="Q868" s="4" t="s">
        <v>1970</v>
      </c>
      <c r="R868" s="4" t="s">
        <v>7661</v>
      </c>
      <c r="S868" s="4" t="s">
        <v>7662</v>
      </c>
      <c r="T868" s="4" t="s">
        <v>2067</v>
      </c>
      <c r="U868" s="4" t="s">
        <v>2336</v>
      </c>
      <c r="V868" s="4" t="s">
        <v>2067</v>
      </c>
      <c r="W868" s="4" t="s">
        <v>2069</v>
      </c>
    </row>
    <row r="869" spans="1:23" ht="20.100000000000001" customHeight="1" x14ac:dyDescent="0.25">
      <c r="A869" s="6" t="s">
        <v>1722</v>
      </c>
      <c r="B869" s="7" t="s">
        <v>2057</v>
      </c>
      <c r="C869" s="7" t="s">
        <v>7663</v>
      </c>
      <c r="D869" s="7" t="s">
        <v>2059</v>
      </c>
      <c r="E869" s="7" t="s">
        <v>1947</v>
      </c>
      <c r="F869" s="7" t="s">
        <v>1948</v>
      </c>
      <c r="G869" s="7" t="s">
        <v>2057</v>
      </c>
      <c r="H869" s="7" t="s">
        <v>7541</v>
      </c>
      <c r="I869" s="7" t="s">
        <v>1970</v>
      </c>
      <c r="J869" s="7" t="s">
        <v>7664</v>
      </c>
      <c r="K869" s="7" t="s">
        <v>7665</v>
      </c>
      <c r="L869" s="7" t="s">
        <v>7666</v>
      </c>
      <c r="M869" s="7" t="s">
        <v>2064</v>
      </c>
      <c r="N869" s="9">
        <v>46052</v>
      </c>
      <c r="O869" s="9"/>
      <c r="P869" s="7" t="s">
        <v>2090</v>
      </c>
      <c r="Q869" s="7" t="s">
        <v>1970</v>
      </c>
      <c r="R869" s="7" t="s">
        <v>7667</v>
      </c>
      <c r="S869" s="7" t="s">
        <v>7668</v>
      </c>
      <c r="T869" s="7" t="s">
        <v>2067</v>
      </c>
      <c r="U869" s="7" t="s">
        <v>3153</v>
      </c>
      <c r="V869" s="7" t="s">
        <v>2067</v>
      </c>
      <c r="W869" s="7" t="s">
        <v>2069</v>
      </c>
    </row>
    <row r="870" spans="1:23" ht="20.100000000000001" customHeight="1" x14ac:dyDescent="0.25">
      <c r="A870" s="3" t="s">
        <v>7669</v>
      </c>
      <c r="B870" s="4" t="s">
        <v>2057</v>
      </c>
      <c r="C870" s="4" t="s">
        <v>7670</v>
      </c>
      <c r="D870" s="4" t="s">
        <v>2059</v>
      </c>
      <c r="E870" s="4" t="s">
        <v>1947</v>
      </c>
      <c r="F870" s="4" t="s">
        <v>1948</v>
      </c>
      <c r="G870" s="4" t="s">
        <v>2057</v>
      </c>
      <c r="H870" s="4" t="s">
        <v>7671</v>
      </c>
      <c r="I870" s="4" t="s">
        <v>1970</v>
      </c>
      <c r="J870" s="4" t="s">
        <v>7672</v>
      </c>
      <c r="K870" s="4" t="s">
        <v>7673</v>
      </c>
      <c r="L870" s="4" t="s">
        <v>7674</v>
      </c>
      <c r="M870" s="4" t="s">
        <v>2064</v>
      </c>
      <c r="N870" s="8">
        <v>40756</v>
      </c>
      <c r="O870" s="8"/>
      <c r="P870" s="4" t="s">
        <v>2090</v>
      </c>
      <c r="Q870" s="4" t="s">
        <v>1970</v>
      </c>
      <c r="R870" s="4" t="s">
        <v>7675</v>
      </c>
      <c r="S870" s="4" t="s">
        <v>7676</v>
      </c>
      <c r="T870" s="4" t="s">
        <v>2067</v>
      </c>
      <c r="U870" s="4" t="s">
        <v>2146</v>
      </c>
      <c r="V870" s="4" t="s">
        <v>2067</v>
      </c>
      <c r="W870" s="4" t="s">
        <v>2069</v>
      </c>
    </row>
    <row r="871" spans="1:23" ht="20.100000000000001" customHeight="1" x14ac:dyDescent="0.25">
      <c r="A871" s="6" t="s">
        <v>864</v>
      </c>
      <c r="B871" s="7" t="s">
        <v>2057</v>
      </c>
      <c r="C871" s="7" t="s">
        <v>7677</v>
      </c>
      <c r="D871" s="7" t="s">
        <v>2059</v>
      </c>
      <c r="E871" s="7" t="s">
        <v>1947</v>
      </c>
      <c r="F871" s="7" t="s">
        <v>1948</v>
      </c>
      <c r="G871" s="7" t="s">
        <v>2057</v>
      </c>
      <c r="H871" s="7" t="s">
        <v>7678</v>
      </c>
      <c r="I871" s="7" t="s">
        <v>1970</v>
      </c>
      <c r="J871" s="7" t="s">
        <v>7679</v>
      </c>
      <c r="K871" s="7" t="s">
        <v>7680</v>
      </c>
      <c r="L871" s="7" t="s">
        <v>7681</v>
      </c>
      <c r="M871" s="7" t="s">
        <v>2064</v>
      </c>
      <c r="N871" s="9">
        <v>46052</v>
      </c>
      <c r="O871" s="9"/>
      <c r="P871" s="7" t="s">
        <v>2090</v>
      </c>
      <c r="Q871" s="7" t="s">
        <v>1970</v>
      </c>
      <c r="R871" s="7" t="s">
        <v>7682</v>
      </c>
      <c r="S871" s="7" t="s">
        <v>7683</v>
      </c>
      <c r="T871" s="7" t="s">
        <v>2067</v>
      </c>
      <c r="U871" s="7" t="s">
        <v>3153</v>
      </c>
      <c r="V871" s="7" t="s">
        <v>2067</v>
      </c>
      <c r="W871" s="7" t="s">
        <v>2069</v>
      </c>
    </row>
    <row r="872" spans="1:23" ht="20.100000000000001" customHeight="1" x14ac:dyDescent="0.25">
      <c r="A872" s="3" t="s">
        <v>7684</v>
      </c>
      <c r="B872" s="4" t="s">
        <v>2084</v>
      </c>
      <c r="C872" s="4" t="s">
        <v>7685</v>
      </c>
      <c r="D872" s="4" t="s">
        <v>2059</v>
      </c>
      <c r="E872" s="4" t="s">
        <v>1947</v>
      </c>
      <c r="F872" s="4" t="s">
        <v>2427</v>
      </c>
      <c r="G872" s="4" t="s">
        <v>2084</v>
      </c>
      <c r="H872" s="4" t="s">
        <v>7686</v>
      </c>
      <c r="I872" s="4" t="s">
        <v>1970</v>
      </c>
      <c r="J872" s="4" t="s">
        <v>7687</v>
      </c>
      <c r="K872" s="4" t="s">
        <v>7688</v>
      </c>
      <c r="L872" s="4" t="s">
        <v>7689</v>
      </c>
      <c r="M872" s="4" t="s">
        <v>2078</v>
      </c>
      <c r="N872" s="8">
        <v>46234</v>
      </c>
      <c r="O872" s="8">
        <v>46356</v>
      </c>
      <c r="P872" s="4" t="s">
        <v>2427</v>
      </c>
      <c r="Q872" s="4" t="s">
        <v>1970</v>
      </c>
      <c r="R872" s="4" t="s">
        <v>7690</v>
      </c>
      <c r="S872" s="4" t="s">
        <v>7691</v>
      </c>
      <c r="T872" s="4" t="s">
        <v>2067</v>
      </c>
      <c r="U872" s="4" t="s">
        <v>3337</v>
      </c>
      <c r="V872" s="4" t="s">
        <v>2067</v>
      </c>
      <c r="W872" s="4" t="s">
        <v>2082</v>
      </c>
    </row>
    <row r="873" spans="1:23" ht="20.100000000000001" customHeight="1" x14ac:dyDescent="0.25">
      <c r="A873" s="6" t="s">
        <v>134</v>
      </c>
      <c r="B873" s="7" t="s">
        <v>2084</v>
      </c>
      <c r="C873" s="7" t="s">
        <v>7692</v>
      </c>
      <c r="D873" s="7" t="s">
        <v>2059</v>
      </c>
      <c r="E873" s="7" t="s">
        <v>1947</v>
      </c>
      <c r="F873" s="7" t="s">
        <v>1948</v>
      </c>
      <c r="G873" s="7" t="s">
        <v>2084</v>
      </c>
      <c r="H873" s="7" t="s">
        <v>7549</v>
      </c>
      <c r="I873" s="7" t="s">
        <v>1970</v>
      </c>
      <c r="J873" s="7" t="s">
        <v>7693</v>
      </c>
      <c r="K873" s="7" t="s">
        <v>7694</v>
      </c>
      <c r="L873" s="7" t="s">
        <v>7695</v>
      </c>
      <c r="M873" s="7" t="s">
        <v>2078</v>
      </c>
      <c r="N873" s="9">
        <v>45992</v>
      </c>
      <c r="O873" s="9">
        <v>46356</v>
      </c>
      <c r="P873" s="7" t="s">
        <v>2090</v>
      </c>
      <c r="Q873" s="7" t="s">
        <v>1970</v>
      </c>
      <c r="R873" s="7" t="s">
        <v>7696</v>
      </c>
      <c r="S873" s="7" t="s">
        <v>7697</v>
      </c>
      <c r="T873" s="7" t="s">
        <v>2067</v>
      </c>
      <c r="U873" s="7" t="s">
        <v>2146</v>
      </c>
      <c r="V873" s="7" t="s">
        <v>2067</v>
      </c>
      <c r="W873" s="7" t="s">
        <v>2069</v>
      </c>
    </row>
    <row r="874" spans="1:23" ht="20.100000000000001" customHeight="1" x14ac:dyDescent="0.25">
      <c r="A874" s="3" t="s">
        <v>7698</v>
      </c>
      <c r="B874" s="4" t="s">
        <v>2057</v>
      </c>
      <c r="C874" s="4" t="s">
        <v>7699</v>
      </c>
      <c r="D874" s="4" t="s">
        <v>2059</v>
      </c>
      <c r="E874" s="4" t="s">
        <v>1947</v>
      </c>
      <c r="F874" s="4" t="s">
        <v>1948</v>
      </c>
      <c r="G874" s="4" t="s">
        <v>2057</v>
      </c>
      <c r="H874" s="4" t="s">
        <v>7370</v>
      </c>
      <c r="I874" s="4" t="s">
        <v>1970</v>
      </c>
      <c r="J874" s="4" t="s">
        <v>7700</v>
      </c>
      <c r="K874" s="4" t="s">
        <v>7701</v>
      </c>
      <c r="L874" s="4" t="s">
        <v>7702</v>
      </c>
      <c r="M874" s="4" t="s">
        <v>2064</v>
      </c>
      <c r="N874" s="8">
        <v>45992</v>
      </c>
      <c r="O874" s="8"/>
      <c r="P874" s="4" t="s">
        <v>2090</v>
      </c>
      <c r="Q874" s="4" t="s">
        <v>1970</v>
      </c>
      <c r="R874" s="4" t="s">
        <v>4007</v>
      </c>
      <c r="S874" s="4" t="s">
        <v>7703</v>
      </c>
      <c r="T874" s="4" t="s">
        <v>2067</v>
      </c>
      <c r="U874" s="4" t="s">
        <v>3153</v>
      </c>
      <c r="V874" s="4" t="s">
        <v>2067</v>
      </c>
      <c r="W874" s="4" t="s">
        <v>2069</v>
      </c>
    </row>
    <row r="875" spans="1:23" ht="20.100000000000001" customHeight="1" x14ac:dyDescent="0.25">
      <c r="A875" s="6" t="s">
        <v>7704</v>
      </c>
      <c r="B875" s="7" t="s">
        <v>2057</v>
      </c>
      <c r="C875" s="7" t="s">
        <v>7705</v>
      </c>
      <c r="D875" s="7" t="s">
        <v>2059</v>
      </c>
      <c r="E875" s="7" t="s">
        <v>2189</v>
      </c>
      <c r="F875" s="7" t="s">
        <v>2190</v>
      </c>
      <c r="G875" s="7" t="s">
        <v>2057</v>
      </c>
      <c r="H875" s="7" t="s">
        <v>7706</v>
      </c>
      <c r="I875" s="7" t="s">
        <v>1970</v>
      </c>
      <c r="J875" s="7" t="s">
        <v>7707</v>
      </c>
      <c r="K875" s="7" t="s">
        <v>7708</v>
      </c>
      <c r="L875" s="7" t="s">
        <v>7709</v>
      </c>
      <c r="M875" s="7" t="s">
        <v>2078</v>
      </c>
      <c r="N875" s="9">
        <v>46234</v>
      </c>
      <c r="O875" s="9">
        <v>46356</v>
      </c>
      <c r="P875" s="7" t="s">
        <v>2195</v>
      </c>
      <c r="Q875" s="7" t="s">
        <v>1970</v>
      </c>
      <c r="R875" s="7" t="s">
        <v>7710</v>
      </c>
      <c r="S875" s="7" t="s">
        <v>7711</v>
      </c>
      <c r="T875" s="7" t="s">
        <v>2067</v>
      </c>
      <c r="U875" s="7" t="s">
        <v>2198</v>
      </c>
      <c r="V875" s="7" t="s">
        <v>2067</v>
      </c>
      <c r="W875" s="7" t="s">
        <v>2082</v>
      </c>
    </row>
    <row r="876" spans="1:23" ht="20.100000000000001" customHeight="1" x14ac:dyDescent="0.25">
      <c r="A876" s="3" t="s">
        <v>1630</v>
      </c>
      <c r="B876" s="4" t="s">
        <v>2057</v>
      </c>
      <c r="C876" s="4" t="s">
        <v>7712</v>
      </c>
      <c r="D876" s="4" t="s">
        <v>2059</v>
      </c>
      <c r="E876" s="4" t="s">
        <v>1947</v>
      </c>
      <c r="F876" s="4" t="s">
        <v>1948</v>
      </c>
      <c r="G876" s="4" t="s">
        <v>2057</v>
      </c>
      <c r="H876" s="4" t="s">
        <v>7541</v>
      </c>
      <c r="I876" s="4" t="s">
        <v>1970</v>
      </c>
      <c r="J876" s="4" t="s">
        <v>7713</v>
      </c>
      <c r="K876" s="4" t="s">
        <v>7714</v>
      </c>
      <c r="L876" s="4" t="s">
        <v>7715</v>
      </c>
      <c r="M876" s="4" t="s">
        <v>2064</v>
      </c>
      <c r="N876" s="8">
        <v>46052</v>
      </c>
      <c r="O876" s="8"/>
      <c r="P876" s="4" t="s">
        <v>2090</v>
      </c>
      <c r="Q876" s="4" t="s">
        <v>1970</v>
      </c>
      <c r="R876" s="4" t="s">
        <v>5118</v>
      </c>
      <c r="S876" s="4" t="s">
        <v>7716</v>
      </c>
      <c r="T876" s="4" t="s">
        <v>2067</v>
      </c>
      <c r="U876" s="4" t="s">
        <v>3153</v>
      </c>
      <c r="V876" s="4" t="s">
        <v>2067</v>
      </c>
      <c r="W876" s="4" t="s">
        <v>2069</v>
      </c>
    </row>
    <row r="877" spans="1:23" ht="20.100000000000001" customHeight="1" x14ac:dyDescent="0.25">
      <c r="A877" s="6" t="s">
        <v>690</v>
      </c>
      <c r="B877" s="7" t="s">
        <v>2084</v>
      </c>
      <c r="C877" s="7" t="s">
        <v>7717</v>
      </c>
      <c r="D877" s="7" t="s">
        <v>2059</v>
      </c>
      <c r="E877" s="7" t="s">
        <v>2189</v>
      </c>
      <c r="F877" s="7" t="s">
        <v>2190</v>
      </c>
      <c r="G877" s="7" t="s">
        <v>2084</v>
      </c>
      <c r="H877" s="7" t="s">
        <v>7410</v>
      </c>
      <c r="I877" s="7" t="s">
        <v>1970</v>
      </c>
      <c r="J877" s="7" t="s">
        <v>7718</v>
      </c>
      <c r="K877" s="7" t="s">
        <v>7719</v>
      </c>
      <c r="L877" s="7" t="s">
        <v>7720</v>
      </c>
      <c r="M877" s="7" t="s">
        <v>2078</v>
      </c>
      <c r="N877" s="9">
        <v>45992</v>
      </c>
      <c r="O877" s="9">
        <v>46356</v>
      </c>
      <c r="P877" s="7" t="s">
        <v>2195</v>
      </c>
      <c r="Q877" s="7" t="s">
        <v>1970</v>
      </c>
      <c r="R877" s="7" t="s">
        <v>7721</v>
      </c>
      <c r="S877" s="7" t="s">
        <v>7722</v>
      </c>
      <c r="T877" s="7" t="s">
        <v>2067</v>
      </c>
      <c r="U877" s="7" t="s">
        <v>2198</v>
      </c>
      <c r="V877" s="7" t="s">
        <v>2067</v>
      </c>
      <c r="W877" s="7" t="s">
        <v>2069</v>
      </c>
    </row>
    <row r="878" spans="1:23" ht="20.100000000000001" customHeight="1" x14ac:dyDescent="0.25">
      <c r="A878" s="3" t="s">
        <v>7723</v>
      </c>
      <c r="B878" s="4" t="s">
        <v>2057</v>
      </c>
      <c r="C878" s="4" t="s">
        <v>7724</v>
      </c>
      <c r="D878" s="4" t="s">
        <v>2059</v>
      </c>
      <c r="E878" s="4" t="s">
        <v>1965</v>
      </c>
      <c r="F878" s="4" t="s">
        <v>1966</v>
      </c>
      <c r="G878" s="4" t="s">
        <v>2057</v>
      </c>
      <c r="H878" s="4" t="s">
        <v>7370</v>
      </c>
      <c r="I878" s="4" t="s">
        <v>1970</v>
      </c>
      <c r="J878" s="4" t="s">
        <v>7725</v>
      </c>
      <c r="K878" s="4" t="s">
        <v>7726</v>
      </c>
      <c r="L878" s="4" t="s">
        <v>7727</v>
      </c>
      <c r="M878" s="4" t="s">
        <v>2078</v>
      </c>
      <c r="N878" s="8">
        <v>46234</v>
      </c>
      <c r="O878" s="8">
        <v>46356</v>
      </c>
      <c r="P878" s="4" t="s">
        <v>1966</v>
      </c>
      <c r="Q878" s="4" t="s">
        <v>1970</v>
      </c>
      <c r="R878" s="4" t="s">
        <v>7728</v>
      </c>
      <c r="S878" s="4" t="s">
        <v>7729</v>
      </c>
      <c r="T878" s="4" t="s">
        <v>2067</v>
      </c>
      <c r="U878" s="4" t="s">
        <v>2174</v>
      </c>
      <c r="V878" s="4" t="s">
        <v>2067</v>
      </c>
      <c r="W878" s="4" t="s">
        <v>2069</v>
      </c>
    </row>
    <row r="879" spans="1:23" ht="20.100000000000001" customHeight="1" x14ac:dyDescent="0.25">
      <c r="A879" s="6" t="s">
        <v>7730</v>
      </c>
      <c r="B879" s="7" t="s">
        <v>2057</v>
      </c>
      <c r="C879" s="7" t="s">
        <v>7731</v>
      </c>
      <c r="D879" s="7" t="s">
        <v>2059</v>
      </c>
      <c r="E879" s="7" t="s">
        <v>1965</v>
      </c>
      <c r="F879" s="7" t="s">
        <v>1966</v>
      </c>
      <c r="G879" s="7" t="s">
        <v>2057</v>
      </c>
      <c r="H879" s="7" t="s">
        <v>7541</v>
      </c>
      <c r="I879" s="7" t="s">
        <v>1970</v>
      </c>
      <c r="J879" s="7" t="s">
        <v>7732</v>
      </c>
      <c r="K879" s="7" t="s">
        <v>7733</v>
      </c>
      <c r="L879" s="7" t="s">
        <v>7734</v>
      </c>
      <c r="M879" s="7" t="s">
        <v>2078</v>
      </c>
      <c r="N879" s="9">
        <v>46234</v>
      </c>
      <c r="O879" s="9">
        <v>46356</v>
      </c>
      <c r="P879" s="7" t="s">
        <v>1966</v>
      </c>
      <c r="Q879" s="7" t="s">
        <v>1970</v>
      </c>
      <c r="R879" s="7" t="s">
        <v>7735</v>
      </c>
      <c r="S879" s="7" t="s">
        <v>7736</v>
      </c>
      <c r="T879" s="7" t="s">
        <v>2067</v>
      </c>
      <c r="U879" s="7" t="s">
        <v>2174</v>
      </c>
      <c r="V879" s="7" t="s">
        <v>2067</v>
      </c>
      <c r="W879" s="7" t="s">
        <v>2069</v>
      </c>
    </row>
    <row r="880" spans="1:23" ht="20.100000000000001" customHeight="1" x14ac:dyDescent="0.25">
      <c r="A880" s="3" t="s">
        <v>7737</v>
      </c>
      <c r="B880" s="4" t="s">
        <v>2057</v>
      </c>
      <c r="C880" s="4" t="s">
        <v>7738</v>
      </c>
      <c r="D880" s="4" t="s">
        <v>2059</v>
      </c>
      <c r="E880" s="4" t="s">
        <v>2189</v>
      </c>
      <c r="F880" s="4" t="s">
        <v>2190</v>
      </c>
      <c r="G880" s="4" t="s">
        <v>2057</v>
      </c>
      <c r="H880" s="4" t="s">
        <v>7466</v>
      </c>
      <c r="I880" s="4" t="s">
        <v>1970</v>
      </c>
      <c r="J880" s="4" t="s">
        <v>7739</v>
      </c>
      <c r="K880" s="4" t="s">
        <v>7740</v>
      </c>
      <c r="L880" s="4" t="s">
        <v>7741</v>
      </c>
      <c r="M880" s="4" t="s">
        <v>2078</v>
      </c>
      <c r="N880" s="8">
        <v>46234</v>
      </c>
      <c r="O880" s="8">
        <v>46356</v>
      </c>
      <c r="P880" s="4" t="s">
        <v>2195</v>
      </c>
      <c r="Q880" s="4" t="s">
        <v>1970</v>
      </c>
      <c r="R880" s="4" t="s">
        <v>7742</v>
      </c>
      <c r="S880" s="4" t="s">
        <v>7743</v>
      </c>
      <c r="T880" s="4" t="s">
        <v>2067</v>
      </c>
      <c r="U880" s="4" t="s">
        <v>2198</v>
      </c>
      <c r="V880" s="4" t="s">
        <v>2067</v>
      </c>
      <c r="W880" s="4" t="s">
        <v>2069</v>
      </c>
    </row>
    <row r="881" spans="1:23" ht="20.100000000000001" customHeight="1" x14ac:dyDescent="0.25">
      <c r="A881" s="6" t="s">
        <v>304</v>
      </c>
      <c r="B881" s="7" t="s">
        <v>2057</v>
      </c>
      <c r="C881" s="7" t="s">
        <v>7744</v>
      </c>
      <c r="D881" s="7" t="s">
        <v>2059</v>
      </c>
      <c r="E881" s="7" t="s">
        <v>1947</v>
      </c>
      <c r="F881" s="7" t="s">
        <v>2121</v>
      </c>
      <c r="G881" s="7" t="s">
        <v>2057</v>
      </c>
      <c r="H881" s="7" t="s">
        <v>7466</v>
      </c>
      <c r="I881" s="7" t="s">
        <v>1970</v>
      </c>
      <c r="J881" s="7" t="s">
        <v>7745</v>
      </c>
      <c r="K881" s="7" t="s">
        <v>7746</v>
      </c>
      <c r="L881" s="7" t="s">
        <v>7747</v>
      </c>
      <c r="M881" s="7" t="s">
        <v>2078</v>
      </c>
      <c r="N881" s="9">
        <v>46234</v>
      </c>
      <c r="O881" s="9">
        <v>46356</v>
      </c>
      <c r="P881" s="7" t="s">
        <v>2121</v>
      </c>
      <c r="Q881" s="7" t="s">
        <v>1970</v>
      </c>
      <c r="R881" s="7" t="s">
        <v>7748</v>
      </c>
      <c r="S881" s="7" t="s">
        <v>7749</v>
      </c>
      <c r="T881" s="7" t="s">
        <v>2067</v>
      </c>
      <c r="U881" s="7" t="s">
        <v>3153</v>
      </c>
      <c r="V881" s="7" t="s">
        <v>2067</v>
      </c>
      <c r="W881" s="7" t="s">
        <v>2069</v>
      </c>
    </row>
    <row r="882" spans="1:23" ht="20.100000000000001" customHeight="1" x14ac:dyDescent="0.25">
      <c r="A882" s="3" t="s">
        <v>7750</v>
      </c>
      <c r="B882" s="4" t="s">
        <v>2057</v>
      </c>
      <c r="C882" s="4" t="s">
        <v>7751</v>
      </c>
      <c r="D882" s="4" t="s">
        <v>2059</v>
      </c>
      <c r="E882" s="4" t="s">
        <v>1947</v>
      </c>
      <c r="F882" s="4" t="s">
        <v>1948</v>
      </c>
      <c r="G882" s="4" t="s">
        <v>2057</v>
      </c>
      <c r="H882" s="4" t="s">
        <v>7466</v>
      </c>
      <c r="I882" s="4" t="s">
        <v>1970</v>
      </c>
      <c r="J882" s="4" t="s">
        <v>7752</v>
      </c>
      <c r="K882" s="4" t="s">
        <v>7753</v>
      </c>
      <c r="L882" s="4" t="s">
        <v>7754</v>
      </c>
      <c r="M882" s="4" t="s">
        <v>2064</v>
      </c>
      <c r="N882" s="8">
        <v>46052</v>
      </c>
      <c r="O882" s="8"/>
      <c r="P882" s="4" t="s">
        <v>2090</v>
      </c>
      <c r="Q882" s="4" t="s">
        <v>1970</v>
      </c>
      <c r="R882" s="4" t="s">
        <v>7755</v>
      </c>
      <c r="S882" s="4" t="s">
        <v>7756</v>
      </c>
      <c r="T882" s="4" t="s">
        <v>2067</v>
      </c>
      <c r="U882" s="4" t="s">
        <v>3153</v>
      </c>
      <c r="V882" s="4" t="s">
        <v>2067</v>
      </c>
      <c r="W882" s="4" t="s">
        <v>2069</v>
      </c>
    </row>
    <row r="883" spans="1:23" ht="20.100000000000001" customHeight="1" x14ac:dyDescent="0.25">
      <c r="A883" s="6" t="s">
        <v>7757</v>
      </c>
      <c r="B883" s="7" t="s">
        <v>2057</v>
      </c>
      <c r="C883" s="7" t="s">
        <v>7758</v>
      </c>
      <c r="D883" s="7" t="s">
        <v>2059</v>
      </c>
      <c r="E883" s="7" t="s">
        <v>2189</v>
      </c>
      <c r="F883" s="7" t="s">
        <v>2190</v>
      </c>
      <c r="G883" s="7" t="s">
        <v>2057</v>
      </c>
      <c r="H883" s="7" t="s">
        <v>7541</v>
      </c>
      <c r="I883" s="7" t="s">
        <v>1970</v>
      </c>
      <c r="J883" s="7" t="s">
        <v>7759</v>
      </c>
      <c r="K883" s="7" t="s">
        <v>7760</v>
      </c>
      <c r="L883" s="7" t="s">
        <v>7761</v>
      </c>
      <c r="M883" s="7" t="s">
        <v>2078</v>
      </c>
      <c r="N883" s="9">
        <v>46234</v>
      </c>
      <c r="O883" s="9">
        <v>46356</v>
      </c>
      <c r="P883" s="7" t="s">
        <v>2195</v>
      </c>
      <c r="Q883" s="7" t="s">
        <v>1970</v>
      </c>
      <c r="R883" s="7" t="s">
        <v>7762</v>
      </c>
      <c r="S883" s="7" t="s">
        <v>7763</v>
      </c>
      <c r="T883" s="7" t="s">
        <v>2067</v>
      </c>
      <c r="U883" s="7" t="s">
        <v>2198</v>
      </c>
      <c r="V883" s="7" t="s">
        <v>2067</v>
      </c>
      <c r="W883" s="7" t="s">
        <v>2069</v>
      </c>
    </row>
    <row r="884" spans="1:23" ht="20.100000000000001" customHeight="1" x14ac:dyDescent="0.25">
      <c r="A884" s="3" t="s">
        <v>7764</v>
      </c>
      <c r="B884" s="4" t="s">
        <v>2057</v>
      </c>
      <c r="C884" s="4" t="s">
        <v>7765</v>
      </c>
      <c r="D884" s="4" t="s">
        <v>2059</v>
      </c>
      <c r="E884" s="4" t="s">
        <v>2189</v>
      </c>
      <c r="F884" s="4" t="s">
        <v>2190</v>
      </c>
      <c r="G884" s="4" t="s">
        <v>2057</v>
      </c>
      <c r="H884" s="4" t="s">
        <v>1969</v>
      </c>
      <c r="I884" s="4" t="s">
        <v>1970</v>
      </c>
      <c r="J884" s="4" t="s">
        <v>7766</v>
      </c>
      <c r="K884" s="4" t="s">
        <v>7767</v>
      </c>
      <c r="L884" s="4" t="s">
        <v>7768</v>
      </c>
      <c r="M884" s="4" t="s">
        <v>2078</v>
      </c>
      <c r="N884" s="8">
        <v>46234</v>
      </c>
      <c r="O884" s="8">
        <v>46356</v>
      </c>
      <c r="P884" s="4" t="s">
        <v>2195</v>
      </c>
      <c r="Q884" s="4" t="s">
        <v>1970</v>
      </c>
      <c r="R884" s="4" t="s">
        <v>7769</v>
      </c>
      <c r="S884" s="4" t="s">
        <v>7770</v>
      </c>
      <c r="T884" s="4" t="s">
        <v>2067</v>
      </c>
      <c r="U884" s="4" t="s">
        <v>2198</v>
      </c>
      <c r="V884" s="4" t="s">
        <v>2067</v>
      </c>
      <c r="W884" s="4" t="s">
        <v>2082</v>
      </c>
    </row>
    <row r="885" spans="1:23" ht="20.100000000000001" customHeight="1" x14ac:dyDescent="0.25">
      <c r="A885" s="6" t="s">
        <v>7771</v>
      </c>
      <c r="B885" s="7" t="s">
        <v>2057</v>
      </c>
      <c r="C885" s="7" t="s">
        <v>7772</v>
      </c>
      <c r="D885" s="7" t="s">
        <v>2059</v>
      </c>
      <c r="E885" s="7" t="s">
        <v>2189</v>
      </c>
      <c r="F885" s="7" t="s">
        <v>2190</v>
      </c>
      <c r="G885" s="7" t="s">
        <v>2057</v>
      </c>
      <c r="H885" s="7" t="s">
        <v>7541</v>
      </c>
      <c r="I885" s="7" t="s">
        <v>1970</v>
      </c>
      <c r="J885" s="7" t="s">
        <v>7773</v>
      </c>
      <c r="K885" s="7" t="s">
        <v>7774</v>
      </c>
      <c r="L885" s="7" t="s">
        <v>7775</v>
      </c>
      <c r="M885" s="7" t="s">
        <v>2078</v>
      </c>
      <c r="N885" s="9">
        <v>46234</v>
      </c>
      <c r="O885" s="9">
        <v>46356</v>
      </c>
      <c r="P885" s="7" t="s">
        <v>2195</v>
      </c>
      <c r="Q885" s="7" t="s">
        <v>1970</v>
      </c>
      <c r="R885" s="7" t="s">
        <v>7776</v>
      </c>
      <c r="S885" s="7" t="s">
        <v>7777</v>
      </c>
      <c r="T885" s="7" t="s">
        <v>2067</v>
      </c>
      <c r="U885" s="7" t="s">
        <v>2198</v>
      </c>
      <c r="V885" s="7" t="s">
        <v>2067</v>
      </c>
      <c r="W885" s="7" t="s">
        <v>2069</v>
      </c>
    </row>
    <row r="886" spans="1:23" ht="20.100000000000001" customHeight="1" x14ac:dyDescent="0.25">
      <c r="A886" s="3" t="s">
        <v>590</v>
      </c>
      <c r="B886" s="4" t="s">
        <v>2084</v>
      </c>
      <c r="C886" s="4" t="s">
        <v>7778</v>
      </c>
      <c r="D886" s="4" t="s">
        <v>2059</v>
      </c>
      <c r="E886" s="4" t="s">
        <v>4160</v>
      </c>
      <c r="F886" s="4" t="s">
        <v>4161</v>
      </c>
      <c r="G886" s="4" t="s">
        <v>2084</v>
      </c>
      <c r="H886" s="4" t="s">
        <v>7410</v>
      </c>
      <c r="I886" s="4" t="s">
        <v>1970</v>
      </c>
      <c r="J886" s="4" t="s">
        <v>7779</v>
      </c>
      <c r="K886" s="4" t="s">
        <v>7780</v>
      </c>
      <c r="L886" s="4" t="s">
        <v>7781</v>
      </c>
      <c r="M886" s="4" t="s">
        <v>2078</v>
      </c>
      <c r="N886" s="8">
        <v>45992</v>
      </c>
      <c r="O886" s="8">
        <v>46356</v>
      </c>
      <c r="P886" s="4" t="s">
        <v>4161</v>
      </c>
      <c r="Q886" s="4" t="s">
        <v>1970</v>
      </c>
      <c r="R886" s="4" t="s">
        <v>3724</v>
      </c>
      <c r="S886" s="4" t="s">
        <v>7782</v>
      </c>
      <c r="T886" s="4" t="s">
        <v>2067</v>
      </c>
      <c r="U886" s="4" t="s">
        <v>4167</v>
      </c>
      <c r="V886" s="4" t="s">
        <v>2067</v>
      </c>
      <c r="W886" s="4" t="s">
        <v>2069</v>
      </c>
    </row>
    <row r="887" spans="1:23" ht="20.100000000000001" customHeight="1" x14ac:dyDescent="0.25">
      <c r="A887" s="6" t="s">
        <v>960</v>
      </c>
      <c r="B887" s="7" t="s">
        <v>2057</v>
      </c>
      <c r="C887" s="7" t="s">
        <v>7783</v>
      </c>
      <c r="D887" s="7" t="s">
        <v>2059</v>
      </c>
      <c r="E887" s="7" t="s">
        <v>1947</v>
      </c>
      <c r="F887" s="7" t="s">
        <v>1948</v>
      </c>
      <c r="G887" s="7" t="s">
        <v>2057</v>
      </c>
      <c r="H887" s="7" t="s">
        <v>7541</v>
      </c>
      <c r="I887" s="7" t="s">
        <v>1970</v>
      </c>
      <c r="J887" s="7" t="s">
        <v>7784</v>
      </c>
      <c r="K887" s="7" t="s">
        <v>7785</v>
      </c>
      <c r="L887" s="7" t="s">
        <v>7786</v>
      </c>
      <c r="M887" s="7" t="s">
        <v>2064</v>
      </c>
      <c r="N887" s="9">
        <v>46052</v>
      </c>
      <c r="O887" s="9"/>
      <c r="P887" s="7" t="s">
        <v>2090</v>
      </c>
      <c r="Q887" s="7" t="s">
        <v>1970</v>
      </c>
      <c r="R887" s="7" t="s">
        <v>7787</v>
      </c>
      <c r="S887" s="7" t="s">
        <v>7788</v>
      </c>
      <c r="T887" s="7" t="s">
        <v>2067</v>
      </c>
      <c r="U887" s="7" t="s">
        <v>3153</v>
      </c>
      <c r="V887" s="7" t="s">
        <v>2067</v>
      </c>
      <c r="W887" s="7" t="s">
        <v>2069</v>
      </c>
    </row>
    <row r="888" spans="1:23" ht="20.100000000000001" customHeight="1" x14ac:dyDescent="0.25">
      <c r="A888" s="3" t="s">
        <v>668</v>
      </c>
      <c r="B888" s="4" t="s">
        <v>2084</v>
      </c>
      <c r="C888" s="4" t="s">
        <v>7789</v>
      </c>
      <c r="D888" s="4" t="s">
        <v>2059</v>
      </c>
      <c r="E888" s="4" t="s">
        <v>1947</v>
      </c>
      <c r="F888" s="4" t="s">
        <v>1948</v>
      </c>
      <c r="G888" s="4" t="s">
        <v>2084</v>
      </c>
      <c r="H888" s="4" t="s">
        <v>7378</v>
      </c>
      <c r="I888" s="4" t="s">
        <v>1970</v>
      </c>
      <c r="J888" s="4" t="s">
        <v>7790</v>
      </c>
      <c r="K888" s="4" t="s">
        <v>7791</v>
      </c>
      <c r="L888" s="4" t="s">
        <v>7792</v>
      </c>
      <c r="M888" s="4" t="s">
        <v>2064</v>
      </c>
      <c r="N888" s="8">
        <v>45992</v>
      </c>
      <c r="O888" s="8"/>
      <c r="P888" s="4" t="s">
        <v>2090</v>
      </c>
      <c r="Q888" s="4" t="s">
        <v>1970</v>
      </c>
      <c r="R888" s="4" t="s">
        <v>4374</v>
      </c>
      <c r="S888" s="4" t="s">
        <v>7793</v>
      </c>
      <c r="T888" s="4" t="s">
        <v>2067</v>
      </c>
      <c r="U888" s="4" t="s">
        <v>2146</v>
      </c>
      <c r="V888" s="4" t="s">
        <v>2067</v>
      </c>
      <c r="W888" s="4" t="s">
        <v>2069</v>
      </c>
    </row>
    <row r="889" spans="1:23" ht="20.100000000000001" customHeight="1" x14ac:dyDescent="0.25">
      <c r="A889" s="6" t="s">
        <v>1628</v>
      </c>
      <c r="B889" s="7" t="s">
        <v>2057</v>
      </c>
      <c r="C889" s="7" t="s">
        <v>7794</v>
      </c>
      <c r="D889" s="7" t="s">
        <v>2059</v>
      </c>
      <c r="E889" s="7" t="s">
        <v>1947</v>
      </c>
      <c r="F889" s="7" t="s">
        <v>1948</v>
      </c>
      <c r="G889" s="7" t="s">
        <v>2057</v>
      </c>
      <c r="H889" s="7" t="s">
        <v>7541</v>
      </c>
      <c r="I889" s="7" t="s">
        <v>1970</v>
      </c>
      <c r="J889" s="7" t="s">
        <v>7795</v>
      </c>
      <c r="K889" s="7" t="s">
        <v>7796</v>
      </c>
      <c r="L889" s="7" t="s">
        <v>7797</v>
      </c>
      <c r="M889" s="7" t="s">
        <v>2064</v>
      </c>
      <c r="N889" s="9">
        <v>45992</v>
      </c>
      <c r="O889" s="9"/>
      <c r="P889" s="7" t="s">
        <v>2090</v>
      </c>
      <c r="Q889" s="7" t="s">
        <v>1970</v>
      </c>
      <c r="R889" s="7" t="s">
        <v>3613</v>
      </c>
      <c r="S889" s="7" t="s">
        <v>7798</v>
      </c>
      <c r="T889" s="7" t="s">
        <v>2067</v>
      </c>
      <c r="U889" s="7" t="s">
        <v>3153</v>
      </c>
      <c r="V889" s="7" t="s">
        <v>2067</v>
      </c>
      <c r="W889" s="7" t="s">
        <v>2069</v>
      </c>
    </row>
    <row r="890" spans="1:23" ht="20.100000000000001" customHeight="1" x14ac:dyDescent="0.25">
      <c r="A890" s="3" t="s">
        <v>506</v>
      </c>
      <c r="B890" s="4" t="s">
        <v>2057</v>
      </c>
      <c r="C890" s="4" t="s">
        <v>7799</v>
      </c>
      <c r="D890" s="4" t="s">
        <v>2059</v>
      </c>
      <c r="E890" s="4" t="s">
        <v>1940</v>
      </c>
      <c r="F890" s="4" t="s">
        <v>1941</v>
      </c>
      <c r="G890" s="4" t="s">
        <v>2057</v>
      </c>
      <c r="H890" s="4" t="s">
        <v>7541</v>
      </c>
      <c r="I890" s="4" t="s">
        <v>1970</v>
      </c>
      <c r="J890" s="4" t="s">
        <v>7800</v>
      </c>
      <c r="K890" s="4" t="s">
        <v>7801</v>
      </c>
      <c r="L890" s="4" t="s">
        <v>7802</v>
      </c>
      <c r="M890" s="4" t="s">
        <v>2078</v>
      </c>
      <c r="N890" s="8">
        <v>46234</v>
      </c>
      <c r="O890" s="8">
        <v>46356</v>
      </c>
      <c r="P890" s="4" t="s">
        <v>1941</v>
      </c>
      <c r="Q890" s="4" t="s">
        <v>1970</v>
      </c>
      <c r="R890" s="4" t="s">
        <v>7803</v>
      </c>
      <c r="S890" s="4" t="s">
        <v>7804</v>
      </c>
      <c r="T890" s="4" t="s">
        <v>2067</v>
      </c>
      <c r="U890" s="4" t="s">
        <v>2068</v>
      </c>
      <c r="V890" s="4" t="s">
        <v>2067</v>
      </c>
      <c r="W890" s="4" t="s">
        <v>2069</v>
      </c>
    </row>
    <row r="891" spans="1:23" ht="20.100000000000001" customHeight="1" x14ac:dyDescent="0.25">
      <c r="A891" s="6" t="s">
        <v>856</v>
      </c>
      <c r="B891" s="7" t="s">
        <v>2057</v>
      </c>
      <c r="C891" s="7" t="s">
        <v>7805</v>
      </c>
      <c r="D891" s="7" t="s">
        <v>2059</v>
      </c>
      <c r="E891" s="7" t="s">
        <v>1947</v>
      </c>
      <c r="F891" s="7" t="s">
        <v>1948</v>
      </c>
      <c r="G891" s="7" t="s">
        <v>2057</v>
      </c>
      <c r="H891" s="7" t="s">
        <v>7541</v>
      </c>
      <c r="I891" s="7" t="s">
        <v>1970</v>
      </c>
      <c r="J891" s="7" t="s">
        <v>7806</v>
      </c>
      <c r="K891" s="7" t="s">
        <v>7807</v>
      </c>
      <c r="L891" s="7" t="s">
        <v>7808</v>
      </c>
      <c r="M891" s="7" t="s">
        <v>2064</v>
      </c>
      <c r="N891" s="9">
        <v>46052</v>
      </c>
      <c r="O891" s="9"/>
      <c r="P891" s="7" t="s">
        <v>2090</v>
      </c>
      <c r="Q891" s="7" t="s">
        <v>1970</v>
      </c>
      <c r="R891" s="7" t="s">
        <v>7809</v>
      </c>
      <c r="S891" s="7" t="s">
        <v>7810</v>
      </c>
      <c r="T891" s="7" t="s">
        <v>2067</v>
      </c>
      <c r="U891" s="7" t="s">
        <v>3153</v>
      </c>
      <c r="V891" s="7" t="s">
        <v>2067</v>
      </c>
      <c r="W891" s="7" t="s">
        <v>2069</v>
      </c>
    </row>
    <row r="892" spans="1:23" ht="20.100000000000001" customHeight="1" x14ac:dyDescent="0.25">
      <c r="A892" s="3" t="s">
        <v>7811</v>
      </c>
      <c r="B892" s="4" t="s">
        <v>2057</v>
      </c>
      <c r="C892" s="4" t="s">
        <v>7812</v>
      </c>
      <c r="D892" s="4" t="s">
        <v>2059</v>
      </c>
      <c r="E892" s="4" t="s">
        <v>2189</v>
      </c>
      <c r="F892" s="4" t="s">
        <v>2190</v>
      </c>
      <c r="G892" s="4" t="s">
        <v>2057</v>
      </c>
      <c r="H892" s="4" t="s">
        <v>7527</v>
      </c>
      <c r="I892" s="4" t="s">
        <v>1970</v>
      </c>
      <c r="J892" s="4" t="s">
        <v>7813</v>
      </c>
      <c r="K892" s="4" t="s">
        <v>7814</v>
      </c>
      <c r="L892" s="4" t="s">
        <v>7815</v>
      </c>
      <c r="M892" s="4" t="s">
        <v>2078</v>
      </c>
      <c r="N892" s="8">
        <v>46234</v>
      </c>
      <c r="O892" s="8">
        <v>46356</v>
      </c>
      <c r="P892" s="4" t="s">
        <v>2195</v>
      </c>
      <c r="Q892" s="4" t="s">
        <v>1970</v>
      </c>
      <c r="R892" s="4" t="s">
        <v>7816</v>
      </c>
      <c r="S892" s="4" t="s">
        <v>7817</v>
      </c>
      <c r="T892" s="4" t="s">
        <v>2067</v>
      </c>
      <c r="U892" s="4" t="s">
        <v>2198</v>
      </c>
      <c r="V892" s="4" t="s">
        <v>2067</v>
      </c>
      <c r="W892" s="4" t="s">
        <v>2082</v>
      </c>
    </row>
    <row r="893" spans="1:23" ht="20.100000000000001" customHeight="1" x14ac:dyDescent="0.25">
      <c r="A893" s="6" t="s">
        <v>510</v>
      </c>
      <c r="B893" s="7" t="s">
        <v>2057</v>
      </c>
      <c r="C893" s="7" t="s">
        <v>7818</v>
      </c>
      <c r="D893" s="7" t="s">
        <v>2059</v>
      </c>
      <c r="E893" s="7" t="s">
        <v>1940</v>
      </c>
      <c r="F893" s="7" t="s">
        <v>1941</v>
      </c>
      <c r="G893" s="7" t="s">
        <v>2057</v>
      </c>
      <c r="H893" s="7" t="s">
        <v>1969</v>
      </c>
      <c r="I893" s="7" t="s">
        <v>1970</v>
      </c>
      <c r="J893" s="7" t="s">
        <v>7819</v>
      </c>
      <c r="K893" s="7" t="s">
        <v>7820</v>
      </c>
      <c r="L893" s="7" t="s">
        <v>7821</v>
      </c>
      <c r="M893" s="7" t="s">
        <v>2078</v>
      </c>
      <c r="N893" s="9">
        <v>46234</v>
      </c>
      <c r="O893" s="9">
        <v>46356</v>
      </c>
      <c r="P893" s="7" t="s">
        <v>1941</v>
      </c>
      <c r="Q893" s="7" t="s">
        <v>1970</v>
      </c>
      <c r="R893" s="7" t="s">
        <v>7822</v>
      </c>
      <c r="S893" s="7" t="s">
        <v>7823</v>
      </c>
      <c r="T893" s="7" t="s">
        <v>2067</v>
      </c>
      <c r="U893" s="7" t="s">
        <v>2068</v>
      </c>
      <c r="V893" s="7" t="s">
        <v>2067</v>
      </c>
      <c r="W893" s="7" t="s">
        <v>2082</v>
      </c>
    </row>
    <row r="894" spans="1:23" ht="20.100000000000001" customHeight="1" x14ac:dyDescent="0.25">
      <c r="A894" s="3" t="s">
        <v>7824</v>
      </c>
      <c r="B894" s="4" t="s">
        <v>2057</v>
      </c>
      <c r="C894" s="4" t="s">
        <v>7825</v>
      </c>
      <c r="D894" s="4" t="s">
        <v>2059</v>
      </c>
      <c r="E894" s="4" t="s">
        <v>1940</v>
      </c>
      <c r="F894" s="4" t="s">
        <v>1941</v>
      </c>
      <c r="G894" s="4" t="s">
        <v>2057</v>
      </c>
      <c r="H894" s="4" t="s">
        <v>7527</v>
      </c>
      <c r="I894" s="4" t="s">
        <v>1970</v>
      </c>
      <c r="J894" s="4" t="s">
        <v>7826</v>
      </c>
      <c r="K894" s="4" t="s">
        <v>7827</v>
      </c>
      <c r="L894" s="4" t="s">
        <v>7828</v>
      </c>
      <c r="M894" s="4" t="s">
        <v>2078</v>
      </c>
      <c r="N894" s="8">
        <v>46234</v>
      </c>
      <c r="O894" s="8">
        <v>46356</v>
      </c>
      <c r="P894" s="4" t="s">
        <v>1941</v>
      </c>
      <c r="Q894" s="4" t="s">
        <v>1970</v>
      </c>
      <c r="R894" s="4" t="s">
        <v>7829</v>
      </c>
      <c r="S894" s="4" t="s">
        <v>7830</v>
      </c>
      <c r="T894" s="4" t="s">
        <v>2067</v>
      </c>
      <c r="U894" s="4" t="s">
        <v>2068</v>
      </c>
      <c r="V894" s="4" t="s">
        <v>2067</v>
      </c>
      <c r="W894" s="4" t="s">
        <v>2082</v>
      </c>
    </row>
    <row r="895" spans="1:23" ht="20.100000000000001" customHeight="1" x14ac:dyDescent="0.25">
      <c r="A895" s="6" t="s">
        <v>7831</v>
      </c>
      <c r="B895" s="7" t="s">
        <v>2057</v>
      </c>
      <c r="C895" s="7" t="s">
        <v>7832</v>
      </c>
      <c r="D895" s="7" t="s">
        <v>2059</v>
      </c>
      <c r="E895" s="7" t="s">
        <v>1947</v>
      </c>
      <c r="F895" s="7" t="s">
        <v>1948</v>
      </c>
      <c r="G895" s="7" t="s">
        <v>2057</v>
      </c>
      <c r="H895" s="7" t="s">
        <v>1969</v>
      </c>
      <c r="I895" s="7" t="s">
        <v>1970</v>
      </c>
      <c r="J895" s="7" t="s">
        <v>7833</v>
      </c>
      <c r="K895" s="7" t="s">
        <v>7834</v>
      </c>
      <c r="L895" s="7" t="s">
        <v>7835</v>
      </c>
      <c r="M895" s="7" t="s">
        <v>2078</v>
      </c>
      <c r="N895" s="9">
        <v>46234</v>
      </c>
      <c r="O895" s="9">
        <v>46356</v>
      </c>
      <c r="P895" s="7" t="s">
        <v>2090</v>
      </c>
      <c r="Q895" s="7" t="s">
        <v>1970</v>
      </c>
      <c r="R895" s="7" t="s">
        <v>7836</v>
      </c>
      <c r="S895" s="7" t="s">
        <v>7837</v>
      </c>
      <c r="T895" s="7" t="s">
        <v>2067</v>
      </c>
      <c r="U895" s="7" t="s">
        <v>3153</v>
      </c>
      <c r="V895" s="7" t="s">
        <v>2067</v>
      </c>
      <c r="W895" s="7" t="s">
        <v>2082</v>
      </c>
    </row>
    <row r="896" spans="1:23" ht="20.100000000000001" customHeight="1" x14ac:dyDescent="0.25">
      <c r="A896" s="3" t="s">
        <v>7838</v>
      </c>
      <c r="B896" s="4" t="s">
        <v>2057</v>
      </c>
      <c r="C896" s="4" t="s">
        <v>7839</v>
      </c>
      <c r="D896" s="4" t="s">
        <v>2059</v>
      </c>
      <c r="E896" s="4" t="s">
        <v>1947</v>
      </c>
      <c r="F896" s="4" t="s">
        <v>2329</v>
      </c>
      <c r="G896" s="4" t="s">
        <v>2057</v>
      </c>
      <c r="H896" s="4" t="s">
        <v>7541</v>
      </c>
      <c r="I896" s="4" t="s">
        <v>1970</v>
      </c>
      <c r="J896" s="4" t="s">
        <v>7840</v>
      </c>
      <c r="K896" s="4" t="s">
        <v>7841</v>
      </c>
      <c r="L896" s="4" t="s">
        <v>7842</v>
      </c>
      <c r="M896" s="4" t="s">
        <v>2064</v>
      </c>
      <c r="N896" s="8">
        <v>46052</v>
      </c>
      <c r="O896" s="8"/>
      <c r="P896" s="4" t="s">
        <v>2333</v>
      </c>
      <c r="Q896" s="4" t="s">
        <v>1970</v>
      </c>
      <c r="R896" s="4" t="s">
        <v>7843</v>
      </c>
      <c r="S896" s="4" t="s">
        <v>7844</v>
      </c>
      <c r="T896" s="4" t="s">
        <v>2067</v>
      </c>
      <c r="U896" s="4" t="s">
        <v>2336</v>
      </c>
      <c r="V896" s="4" t="s">
        <v>2067</v>
      </c>
      <c r="W896" s="4" t="s">
        <v>2069</v>
      </c>
    </row>
    <row r="897" spans="1:23" ht="20.100000000000001" customHeight="1" x14ac:dyDescent="0.25">
      <c r="A897" s="6" t="s">
        <v>7845</v>
      </c>
      <c r="B897" s="7" t="s">
        <v>2057</v>
      </c>
      <c r="C897" s="7" t="s">
        <v>7846</v>
      </c>
      <c r="D897" s="7" t="s">
        <v>2059</v>
      </c>
      <c r="E897" s="7" t="s">
        <v>1965</v>
      </c>
      <c r="F897" s="7" t="s">
        <v>1966</v>
      </c>
      <c r="G897" s="7" t="s">
        <v>2057</v>
      </c>
      <c r="H897" s="7" t="s">
        <v>7541</v>
      </c>
      <c r="I897" s="7" t="s">
        <v>1970</v>
      </c>
      <c r="J897" s="7" t="s">
        <v>7847</v>
      </c>
      <c r="K897" s="7" t="s">
        <v>7848</v>
      </c>
      <c r="L897" s="7" t="s">
        <v>7849</v>
      </c>
      <c r="M897" s="7" t="s">
        <v>2078</v>
      </c>
      <c r="N897" s="9">
        <v>46234</v>
      </c>
      <c r="O897" s="9">
        <v>46356</v>
      </c>
      <c r="P897" s="7" t="s">
        <v>1966</v>
      </c>
      <c r="Q897" s="7" t="s">
        <v>1970</v>
      </c>
      <c r="R897" s="7" t="s">
        <v>7850</v>
      </c>
      <c r="S897" s="7" t="s">
        <v>7851</v>
      </c>
      <c r="T897" s="7" t="s">
        <v>2067</v>
      </c>
      <c r="U897" s="7" t="s">
        <v>2174</v>
      </c>
      <c r="V897" s="7" t="s">
        <v>2067</v>
      </c>
      <c r="W897" s="7" t="s">
        <v>2069</v>
      </c>
    </row>
    <row r="898" spans="1:23" ht="20.100000000000001" customHeight="1" x14ac:dyDescent="0.25">
      <c r="A898" s="3" t="s">
        <v>7852</v>
      </c>
      <c r="B898" s="4" t="s">
        <v>2057</v>
      </c>
      <c r="C898" s="4" t="s">
        <v>7853</v>
      </c>
      <c r="D898" s="4" t="s">
        <v>2059</v>
      </c>
      <c r="E898" s="4" t="s">
        <v>1940</v>
      </c>
      <c r="F898" s="4" t="s">
        <v>1941</v>
      </c>
      <c r="G898" s="4" t="s">
        <v>2057</v>
      </c>
      <c r="H898" s="4" t="s">
        <v>1969</v>
      </c>
      <c r="I898" s="4" t="s">
        <v>1970</v>
      </c>
      <c r="J898" s="4" t="s">
        <v>7854</v>
      </c>
      <c r="K898" s="4" t="s">
        <v>7855</v>
      </c>
      <c r="L898" s="4" t="s">
        <v>7856</v>
      </c>
      <c r="M898" s="4" t="s">
        <v>2078</v>
      </c>
      <c r="N898" s="8">
        <v>46234</v>
      </c>
      <c r="O898" s="8">
        <v>46356</v>
      </c>
      <c r="P898" s="4" t="s">
        <v>1941</v>
      </c>
      <c r="Q898" s="4" t="s">
        <v>1970</v>
      </c>
      <c r="R898" s="4" t="s">
        <v>7857</v>
      </c>
      <c r="S898" s="4" t="s">
        <v>7858</v>
      </c>
      <c r="T898" s="4" t="s">
        <v>2067</v>
      </c>
      <c r="U898" s="4" t="s">
        <v>2068</v>
      </c>
      <c r="V898" s="4" t="s">
        <v>2067</v>
      </c>
      <c r="W898" s="4" t="s">
        <v>2082</v>
      </c>
    </row>
    <row r="899" spans="1:23" ht="20.100000000000001" customHeight="1" x14ac:dyDescent="0.25">
      <c r="A899" s="6" t="s">
        <v>306</v>
      </c>
      <c r="B899" s="7" t="s">
        <v>2084</v>
      </c>
      <c r="C899" s="7" t="s">
        <v>7859</v>
      </c>
      <c r="D899" s="7" t="s">
        <v>2059</v>
      </c>
      <c r="E899" s="7" t="s">
        <v>1947</v>
      </c>
      <c r="F899" s="7" t="s">
        <v>1948</v>
      </c>
      <c r="G899" s="7" t="s">
        <v>2084</v>
      </c>
      <c r="H899" s="7" t="s">
        <v>7549</v>
      </c>
      <c r="I899" s="7" t="s">
        <v>1970</v>
      </c>
      <c r="J899" s="7" t="s">
        <v>7860</v>
      </c>
      <c r="K899" s="7" t="s">
        <v>7861</v>
      </c>
      <c r="L899" s="7" t="s">
        <v>7862</v>
      </c>
      <c r="M899" s="7" t="s">
        <v>2078</v>
      </c>
      <c r="N899" s="9">
        <v>46234</v>
      </c>
      <c r="O899" s="9">
        <v>46356</v>
      </c>
      <c r="P899" s="7" t="s">
        <v>2090</v>
      </c>
      <c r="Q899" s="7" t="s">
        <v>1970</v>
      </c>
      <c r="R899" s="7" t="s">
        <v>7863</v>
      </c>
      <c r="S899" s="7" t="s">
        <v>7864</v>
      </c>
      <c r="T899" s="7" t="s">
        <v>2067</v>
      </c>
      <c r="U899" s="7" t="s">
        <v>2146</v>
      </c>
      <c r="V899" s="7" t="s">
        <v>2067</v>
      </c>
      <c r="W899" s="7" t="s">
        <v>2069</v>
      </c>
    </row>
    <row r="900" spans="1:23" ht="20.100000000000001" customHeight="1" x14ac:dyDescent="0.25">
      <c r="A900" s="3" t="s">
        <v>228</v>
      </c>
      <c r="B900" s="4" t="s">
        <v>2084</v>
      </c>
      <c r="C900" s="4" t="s">
        <v>7865</v>
      </c>
      <c r="D900" s="4" t="s">
        <v>2059</v>
      </c>
      <c r="E900" s="4" t="s">
        <v>1983</v>
      </c>
      <c r="F900" s="4" t="s">
        <v>1984</v>
      </c>
      <c r="G900" s="4" t="s">
        <v>2084</v>
      </c>
      <c r="H900" s="4" t="s">
        <v>7410</v>
      </c>
      <c r="I900" s="4" t="s">
        <v>1970</v>
      </c>
      <c r="J900" s="4" t="s">
        <v>7866</v>
      </c>
      <c r="K900" s="4" t="s">
        <v>7867</v>
      </c>
      <c r="L900" s="4" t="s">
        <v>7868</v>
      </c>
      <c r="M900" s="4" t="s">
        <v>2064</v>
      </c>
      <c r="N900" s="8">
        <v>45992</v>
      </c>
      <c r="O900" s="8"/>
      <c r="P900" s="4" t="s">
        <v>2493</v>
      </c>
      <c r="Q900" s="4" t="s">
        <v>1970</v>
      </c>
      <c r="R900" s="4" t="s">
        <v>7869</v>
      </c>
      <c r="S900" s="4" t="s">
        <v>7870</v>
      </c>
      <c r="T900" s="4" t="s">
        <v>2067</v>
      </c>
      <c r="U900" s="4" t="s">
        <v>2496</v>
      </c>
      <c r="V900" s="4" t="s">
        <v>2067</v>
      </c>
      <c r="W900" s="4" t="s">
        <v>2069</v>
      </c>
    </row>
    <row r="901" spans="1:23" ht="20.100000000000001" customHeight="1" x14ac:dyDescent="0.25">
      <c r="A901" s="6" t="s">
        <v>7871</v>
      </c>
      <c r="B901" s="7" t="s">
        <v>2084</v>
      </c>
      <c r="C901" s="7" t="s">
        <v>7872</v>
      </c>
      <c r="D901" s="7" t="s">
        <v>2059</v>
      </c>
      <c r="E901" s="7" t="s">
        <v>1947</v>
      </c>
      <c r="F901" s="7" t="s">
        <v>2121</v>
      </c>
      <c r="G901" s="7" t="s">
        <v>2084</v>
      </c>
      <c r="H901" s="7" t="s">
        <v>7410</v>
      </c>
      <c r="I901" s="7" t="s">
        <v>1970</v>
      </c>
      <c r="J901" s="7" t="s">
        <v>7873</v>
      </c>
      <c r="K901" s="7" t="s">
        <v>7874</v>
      </c>
      <c r="L901" s="7" t="s">
        <v>7875</v>
      </c>
      <c r="M901" s="7" t="s">
        <v>2064</v>
      </c>
      <c r="N901" s="9">
        <v>45992</v>
      </c>
      <c r="O901" s="9"/>
      <c r="P901" s="7" t="s">
        <v>2090</v>
      </c>
      <c r="Q901" s="7" t="s">
        <v>1970</v>
      </c>
      <c r="R901" s="7" t="s">
        <v>7876</v>
      </c>
      <c r="S901" s="7" t="s">
        <v>7877</v>
      </c>
      <c r="T901" s="7" t="s">
        <v>2067</v>
      </c>
      <c r="U901" s="7" t="s">
        <v>2128</v>
      </c>
      <c r="V901" s="7" t="s">
        <v>2067</v>
      </c>
      <c r="W901" s="7" t="s">
        <v>2069</v>
      </c>
    </row>
    <row r="902" spans="1:23" ht="20.100000000000001" customHeight="1" x14ac:dyDescent="0.25">
      <c r="A902" s="3" t="s">
        <v>754</v>
      </c>
      <c r="B902" s="4" t="s">
        <v>2057</v>
      </c>
      <c r="C902" s="4" t="s">
        <v>7878</v>
      </c>
      <c r="D902" s="4" t="s">
        <v>2059</v>
      </c>
      <c r="E902" s="4" t="s">
        <v>1947</v>
      </c>
      <c r="F902" s="4" t="s">
        <v>1948</v>
      </c>
      <c r="G902" s="4" t="s">
        <v>2057</v>
      </c>
      <c r="H902" s="4" t="s">
        <v>7527</v>
      </c>
      <c r="I902" s="4" t="s">
        <v>1970</v>
      </c>
      <c r="J902" s="4" t="s">
        <v>7879</v>
      </c>
      <c r="K902" s="4" t="s">
        <v>7880</v>
      </c>
      <c r="L902" s="4" t="s">
        <v>7881</v>
      </c>
      <c r="M902" s="4" t="s">
        <v>2078</v>
      </c>
      <c r="N902" s="8">
        <v>46234</v>
      </c>
      <c r="O902" s="8">
        <v>46356</v>
      </c>
      <c r="P902" s="4" t="s">
        <v>2090</v>
      </c>
      <c r="Q902" s="4" t="s">
        <v>1970</v>
      </c>
      <c r="R902" s="4" t="s">
        <v>7882</v>
      </c>
      <c r="S902" s="4" t="s">
        <v>7883</v>
      </c>
      <c r="T902" s="4" t="s">
        <v>2067</v>
      </c>
      <c r="U902" s="4" t="s">
        <v>3153</v>
      </c>
      <c r="V902" s="4" t="s">
        <v>2067</v>
      </c>
      <c r="W902" s="4" t="s">
        <v>2082</v>
      </c>
    </row>
    <row r="903" spans="1:23" ht="20.100000000000001" customHeight="1" x14ac:dyDescent="0.25">
      <c r="A903" s="6" t="s">
        <v>1004</v>
      </c>
      <c r="B903" s="7" t="s">
        <v>2057</v>
      </c>
      <c r="C903" s="7" t="s">
        <v>7884</v>
      </c>
      <c r="D903" s="7" t="s">
        <v>2059</v>
      </c>
      <c r="E903" s="7" t="s">
        <v>1947</v>
      </c>
      <c r="F903" s="7" t="s">
        <v>1948</v>
      </c>
      <c r="G903" s="7" t="s">
        <v>2057</v>
      </c>
      <c r="H903" s="7" t="s">
        <v>7527</v>
      </c>
      <c r="I903" s="7" t="s">
        <v>1970</v>
      </c>
      <c r="J903" s="7" t="s">
        <v>7885</v>
      </c>
      <c r="K903" s="7" t="s">
        <v>7886</v>
      </c>
      <c r="L903" s="7" t="s">
        <v>7887</v>
      </c>
      <c r="M903" s="7" t="s">
        <v>2078</v>
      </c>
      <c r="N903" s="9">
        <v>46234</v>
      </c>
      <c r="O903" s="9">
        <v>46356</v>
      </c>
      <c r="P903" s="7" t="s">
        <v>2090</v>
      </c>
      <c r="Q903" s="7" t="s">
        <v>1970</v>
      </c>
      <c r="R903" s="7" t="s">
        <v>7888</v>
      </c>
      <c r="S903" s="7" t="s">
        <v>7889</v>
      </c>
      <c r="T903" s="7" t="s">
        <v>2067</v>
      </c>
      <c r="U903" s="7" t="s">
        <v>3153</v>
      </c>
      <c r="V903" s="7" t="s">
        <v>2067</v>
      </c>
      <c r="W903" s="7" t="s">
        <v>2082</v>
      </c>
    </row>
    <row r="904" spans="1:23" ht="20.100000000000001" customHeight="1" x14ac:dyDescent="0.25">
      <c r="A904" s="3" t="s">
        <v>7890</v>
      </c>
      <c r="B904" s="4" t="s">
        <v>2084</v>
      </c>
      <c r="C904" s="4" t="s">
        <v>7891</v>
      </c>
      <c r="D904" s="4" t="s">
        <v>2059</v>
      </c>
      <c r="E904" s="4" t="s">
        <v>1947</v>
      </c>
      <c r="F904" s="4" t="s">
        <v>1948</v>
      </c>
      <c r="G904" s="4" t="s">
        <v>2084</v>
      </c>
      <c r="H904" s="4" t="s">
        <v>7378</v>
      </c>
      <c r="I904" s="4" t="s">
        <v>1970</v>
      </c>
      <c r="J904" s="4" t="s">
        <v>7892</v>
      </c>
      <c r="K904" s="4" t="s">
        <v>7893</v>
      </c>
      <c r="L904" s="4" t="s">
        <v>7894</v>
      </c>
      <c r="M904" s="4" t="s">
        <v>2064</v>
      </c>
      <c r="N904" s="8">
        <v>45992</v>
      </c>
      <c r="O904" s="8"/>
      <c r="P904" s="4" t="s">
        <v>2090</v>
      </c>
      <c r="Q904" s="4" t="s">
        <v>1970</v>
      </c>
      <c r="R904" s="4" t="s">
        <v>7895</v>
      </c>
      <c r="S904" s="4" t="s">
        <v>7896</v>
      </c>
      <c r="T904" s="4" t="s">
        <v>2067</v>
      </c>
      <c r="U904" s="4" t="s">
        <v>2146</v>
      </c>
      <c r="V904" s="4" t="s">
        <v>2067</v>
      </c>
      <c r="W904" s="4" t="s">
        <v>2069</v>
      </c>
    </row>
    <row r="905" spans="1:23" ht="20.100000000000001" customHeight="1" x14ac:dyDescent="0.25">
      <c r="A905" s="6" t="s">
        <v>484</v>
      </c>
      <c r="B905" s="7" t="s">
        <v>2057</v>
      </c>
      <c r="C905" s="7" t="s">
        <v>7897</v>
      </c>
      <c r="D905" s="7" t="s">
        <v>2059</v>
      </c>
      <c r="E905" s="7" t="s">
        <v>1940</v>
      </c>
      <c r="F905" s="7" t="s">
        <v>1941</v>
      </c>
      <c r="G905" s="7" t="s">
        <v>2057</v>
      </c>
      <c r="H905" s="7" t="s">
        <v>7706</v>
      </c>
      <c r="I905" s="7" t="s">
        <v>1970</v>
      </c>
      <c r="J905" s="7" t="s">
        <v>7898</v>
      </c>
      <c r="K905" s="7" t="s">
        <v>7899</v>
      </c>
      <c r="L905" s="7" t="s">
        <v>7900</v>
      </c>
      <c r="M905" s="7" t="s">
        <v>2078</v>
      </c>
      <c r="N905" s="9">
        <v>46234</v>
      </c>
      <c r="O905" s="9">
        <v>46356</v>
      </c>
      <c r="P905" s="7" t="s">
        <v>1941</v>
      </c>
      <c r="Q905" s="7" t="s">
        <v>1970</v>
      </c>
      <c r="R905" s="7" t="s">
        <v>7901</v>
      </c>
      <c r="S905" s="7" t="s">
        <v>7902</v>
      </c>
      <c r="T905" s="7" t="s">
        <v>2067</v>
      </c>
      <c r="U905" s="7" t="s">
        <v>2068</v>
      </c>
      <c r="V905" s="7" t="s">
        <v>2067</v>
      </c>
      <c r="W905" s="7" t="s">
        <v>2082</v>
      </c>
    </row>
    <row r="906" spans="1:23" ht="20.100000000000001" customHeight="1" x14ac:dyDescent="0.25">
      <c r="A906" s="3" t="s">
        <v>7903</v>
      </c>
      <c r="B906" s="4" t="s">
        <v>2057</v>
      </c>
      <c r="C906" s="4" t="s">
        <v>7904</v>
      </c>
      <c r="D906" s="4" t="s">
        <v>2059</v>
      </c>
      <c r="E906" s="4" t="s">
        <v>1947</v>
      </c>
      <c r="F906" s="4" t="s">
        <v>1948</v>
      </c>
      <c r="G906" s="4" t="s">
        <v>2057</v>
      </c>
      <c r="H906" s="4" t="s">
        <v>7541</v>
      </c>
      <c r="I906" s="4" t="s">
        <v>1970</v>
      </c>
      <c r="J906" s="4" t="s">
        <v>7905</v>
      </c>
      <c r="K906" s="4" t="s">
        <v>7906</v>
      </c>
      <c r="L906" s="4" t="s">
        <v>7907</v>
      </c>
      <c r="M906" s="4" t="s">
        <v>2078</v>
      </c>
      <c r="N906" s="8">
        <v>46234</v>
      </c>
      <c r="O906" s="8">
        <v>46356</v>
      </c>
      <c r="P906" s="4" t="s">
        <v>2090</v>
      </c>
      <c r="Q906" s="4" t="s">
        <v>1970</v>
      </c>
      <c r="R906" s="4" t="s">
        <v>2825</v>
      </c>
      <c r="S906" s="4" t="s">
        <v>7908</v>
      </c>
      <c r="T906" s="4" t="s">
        <v>2067</v>
      </c>
      <c r="U906" s="4" t="s">
        <v>3153</v>
      </c>
      <c r="V906" s="4" t="s">
        <v>2067</v>
      </c>
      <c r="W906" s="4" t="s">
        <v>2069</v>
      </c>
    </row>
    <row r="907" spans="1:23" ht="20.100000000000001" customHeight="1" x14ac:dyDescent="0.25">
      <c r="A907" s="6" t="s">
        <v>7909</v>
      </c>
      <c r="B907" s="7" t="s">
        <v>2057</v>
      </c>
      <c r="C907" s="7" t="s">
        <v>7910</v>
      </c>
      <c r="D907" s="7" t="s">
        <v>2059</v>
      </c>
      <c r="E907" s="7" t="s">
        <v>1940</v>
      </c>
      <c r="F907" s="7" t="s">
        <v>1941</v>
      </c>
      <c r="G907" s="7" t="s">
        <v>2057</v>
      </c>
      <c r="H907" s="7" t="s">
        <v>7706</v>
      </c>
      <c r="I907" s="7" t="s">
        <v>1970</v>
      </c>
      <c r="J907" s="7" t="s">
        <v>7911</v>
      </c>
      <c r="K907" s="7" t="s">
        <v>7912</v>
      </c>
      <c r="L907" s="7" t="s">
        <v>7913</v>
      </c>
      <c r="M907" s="7" t="s">
        <v>2078</v>
      </c>
      <c r="N907" s="9">
        <v>46234</v>
      </c>
      <c r="O907" s="9">
        <v>46356</v>
      </c>
      <c r="P907" s="7" t="s">
        <v>1941</v>
      </c>
      <c r="Q907" s="7" t="s">
        <v>1970</v>
      </c>
      <c r="R907" s="7" t="s">
        <v>7914</v>
      </c>
      <c r="S907" s="7" t="s">
        <v>7915</v>
      </c>
      <c r="T907" s="7" t="s">
        <v>2067</v>
      </c>
      <c r="U907" s="7" t="s">
        <v>2068</v>
      </c>
      <c r="V907" s="7" t="s">
        <v>2067</v>
      </c>
      <c r="W907" s="7" t="s">
        <v>2082</v>
      </c>
    </row>
    <row r="908" spans="1:23" ht="20.100000000000001" customHeight="1" x14ac:dyDescent="0.25">
      <c r="A908" s="3" t="s">
        <v>7916</v>
      </c>
      <c r="B908" s="4" t="s">
        <v>2084</v>
      </c>
      <c r="C908" s="4" t="s">
        <v>7917</v>
      </c>
      <c r="D908" s="4" t="s">
        <v>2059</v>
      </c>
      <c r="E908" s="4" t="s">
        <v>1947</v>
      </c>
      <c r="F908" s="4" t="s">
        <v>1948</v>
      </c>
      <c r="G908" s="4" t="s">
        <v>2084</v>
      </c>
      <c r="H908" s="4" t="s">
        <v>7686</v>
      </c>
      <c r="I908" s="4" t="s">
        <v>1970</v>
      </c>
      <c r="J908" s="4" t="s">
        <v>7918</v>
      </c>
      <c r="K908" s="4" t="s">
        <v>7919</v>
      </c>
      <c r="L908" s="4" t="s">
        <v>7920</v>
      </c>
      <c r="M908" s="4" t="s">
        <v>2078</v>
      </c>
      <c r="N908" s="8">
        <v>46234</v>
      </c>
      <c r="O908" s="8">
        <v>46356</v>
      </c>
      <c r="P908" s="4" t="s">
        <v>2090</v>
      </c>
      <c r="Q908" s="4" t="s">
        <v>1970</v>
      </c>
      <c r="R908" s="4" t="s">
        <v>7921</v>
      </c>
      <c r="S908" s="4" t="s">
        <v>7922</v>
      </c>
      <c r="T908" s="4" t="s">
        <v>2067</v>
      </c>
      <c r="U908" s="4" t="s">
        <v>3153</v>
      </c>
      <c r="V908" s="4" t="s">
        <v>2067</v>
      </c>
      <c r="W908" s="4" t="s">
        <v>2082</v>
      </c>
    </row>
    <row r="909" spans="1:23" ht="20.100000000000001" customHeight="1" x14ac:dyDescent="0.25">
      <c r="A909" s="6" t="s">
        <v>7923</v>
      </c>
      <c r="B909" s="7" t="s">
        <v>2084</v>
      </c>
      <c r="C909" s="7" t="s">
        <v>7924</v>
      </c>
      <c r="D909" s="7" t="s">
        <v>2059</v>
      </c>
      <c r="E909" s="7" t="s">
        <v>4160</v>
      </c>
      <c r="F909" s="7" t="s">
        <v>4161</v>
      </c>
      <c r="G909" s="7" t="s">
        <v>2084</v>
      </c>
      <c r="H909" s="7" t="s">
        <v>7925</v>
      </c>
      <c r="I909" s="7" t="s">
        <v>1970</v>
      </c>
      <c r="J909" s="7" t="s">
        <v>7926</v>
      </c>
      <c r="K909" s="7" t="s">
        <v>7927</v>
      </c>
      <c r="L909" s="7" t="s">
        <v>7928</v>
      </c>
      <c r="M909" s="7" t="s">
        <v>2078</v>
      </c>
      <c r="N909" s="9">
        <v>45992</v>
      </c>
      <c r="O909" s="9">
        <v>46356</v>
      </c>
      <c r="P909" s="7" t="s">
        <v>4161</v>
      </c>
      <c r="Q909" s="7" t="s">
        <v>1970</v>
      </c>
      <c r="R909" s="7" t="s">
        <v>7929</v>
      </c>
      <c r="S909" s="7" t="s">
        <v>7930</v>
      </c>
      <c r="T909" s="7" t="s">
        <v>2067</v>
      </c>
      <c r="U909" s="7" t="s">
        <v>4167</v>
      </c>
      <c r="V909" s="7" t="s">
        <v>2067</v>
      </c>
      <c r="W909" s="7" t="s">
        <v>2082</v>
      </c>
    </row>
    <row r="910" spans="1:23" ht="20.100000000000001" customHeight="1" x14ac:dyDescent="0.25">
      <c r="A910" s="3" t="s">
        <v>1054</v>
      </c>
      <c r="B910" s="4" t="s">
        <v>2057</v>
      </c>
      <c r="C910" s="4" t="s">
        <v>7931</v>
      </c>
      <c r="D910" s="4" t="s">
        <v>2059</v>
      </c>
      <c r="E910" s="4" t="s">
        <v>1947</v>
      </c>
      <c r="F910" s="4" t="s">
        <v>1948</v>
      </c>
      <c r="G910" s="4" t="s">
        <v>2057</v>
      </c>
      <c r="H910" s="4" t="s">
        <v>1969</v>
      </c>
      <c r="I910" s="4" t="s">
        <v>1970</v>
      </c>
      <c r="J910" s="4" t="s">
        <v>7932</v>
      </c>
      <c r="K910" s="4" t="s">
        <v>7933</v>
      </c>
      <c r="L910" s="4" t="s">
        <v>7934</v>
      </c>
      <c r="M910" s="4" t="s">
        <v>2078</v>
      </c>
      <c r="N910" s="8">
        <v>46234</v>
      </c>
      <c r="O910" s="8">
        <v>46356</v>
      </c>
      <c r="P910" s="4" t="s">
        <v>2090</v>
      </c>
      <c r="Q910" s="4" t="s">
        <v>1970</v>
      </c>
      <c r="R910" s="4" t="s">
        <v>7935</v>
      </c>
      <c r="S910" s="4" t="s">
        <v>7936</v>
      </c>
      <c r="T910" s="4" t="s">
        <v>2067</v>
      </c>
      <c r="U910" s="4" t="s">
        <v>3153</v>
      </c>
      <c r="V910" s="4" t="s">
        <v>2067</v>
      </c>
      <c r="W910" s="4" t="s">
        <v>2082</v>
      </c>
    </row>
    <row r="911" spans="1:23" ht="20.100000000000001" customHeight="1" x14ac:dyDescent="0.25">
      <c r="A911" s="6" t="s">
        <v>430</v>
      </c>
      <c r="B911" s="7" t="s">
        <v>2057</v>
      </c>
      <c r="C911" s="7" t="s">
        <v>7937</v>
      </c>
      <c r="D911" s="7" t="s">
        <v>2059</v>
      </c>
      <c r="E911" s="7" t="s">
        <v>1947</v>
      </c>
      <c r="F911" s="7" t="s">
        <v>2277</v>
      </c>
      <c r="G911" s="7" t="s">
        <v>2057</v>
      </c>
      <c r="H911" s="7" t="s">
        <v>1969</v>
      </c>
      <c r="I911" s="7" t="s">
        <v>1970</v>
      </c>
      <c r="J911" s="7" t="s">
        <v>7938</v>
      </c>
      <c r="K911" s="7" t="s">
        <v>7939</v>
      </c>
      <c r="L911" s="7" t="s">
        <v>7940</v>
      </c>
      <c r="M911" s="7" t="s">
        <v>2078</v>
      </c>
      <c r="N911" s="9">
        <v>46234</v>
      </c>
      <c r="O911" s="9">
        <v>46356</v>
      </c>
      <c r="P911" s="7" t="s">
        <v>2090</v>
      </c>
      <c r="Q911" s="7" t="s">
        <v>1970</v>
      </c>
      <c r="R911" s="7" t="s">
        <v>7941</v>
      </c>
      <c r="S911" s="7" t="s">
        <v>7942</v>
      </c>
      <c r="T911" s="7" t="s">
        <v>2067</v>
      </c>
      <c r="U911" s="7" t="s">
        <v>2284</v>
      </c>
      <c r="V911" s="7" t="s">
        <v>2067</v>
      </c>
      <c r="W911" s="7" t="s">
        <v>2082</v>
      </c>
    </row>
    <row r="912" spans="1:23" ht="20.100000000000001" customHeight="1" x14ac:dyDescent="0.25">
      <c r="A912" s="3" t="s">
        <v>1076</v>
      </c>
      <c r="B912" s="4" t="s">
        <v>2057</v>
      </c>
      <c r="C912" s="4" t="s">
        <v>7943</v>
      </c>
      <c r="D912" s="4" t="s">
        <v>2059</v>
      </c>
      <c r="E912" s="4" t="s">
        <v>1947</v>
      </c>
      <c r="F912" s="4" t="s">
        <v>1948</v>
      </c>
      <c r="G912" s="4" t="s">
        <v>2057</v>
      </c>
      <c r="H912" s="4" t="s">
        <v>1969</v>
      </c>
      <c r="I912" s="4" t="s">
        <v>1970</v>
      </c>
      <c r="J912" s="4" t="s">
        <v>7944</v>
      </c>
      <c r="K912" s="4" t="s">
        <v>7945</v>
      </c>
      <c r="L912" s="4" t="s">
        <v>7946</v>
      </c>
      <c r="M912" s="4" t="s">
        <v>2078</v>
      </c>
      <c r="N912" s="8">
        <v>46234</v>
      </c>
      <c r="O912" s="8">
        <v>46356</v>
      </c>
      <c r="P912" s="4" t="s">
        <v>2090</v>
      </c>
      <c r="Q912" s="4" t="s">
        <v>1970</v>
      </c>
      <c r="R912" s="4" t="s">
        <v>4077</v>
      </c>
      <c r="S912" s="4" t="s">
        <v>7947</v>
      </c>
      <c r="T912" s="4" t="s">
        <v>2067</v>
      </c>
      <c r="U912" s="4" t="s">
        <v>3153</v>
      </c>
      <c r="V912" s="4" t="s">
        <v>2067</v>
      </c>
      <c r="W912" s="4" t="s">
        <v>2082</v>
      </c>
    </row>
    <row r="913" spans="1:23" ht="20.100000000000001" customHeight="1" x14ac:dyDescent="0.25">
      <c r="A913" s="6" t="s">
        <v>210</v>
      </c>
      <c r="B913" s="7" t="s">
        <v>2057</v>
      </c>
      <c r="C913" s="7" t="s">
        <v>7948</v>
      </c>
      <c r="D913" s="7" t="s">
        <v>2059</v>
      </c>
      <c r="E913" s="7" t="s">
        <v>1947</v>
      </c>
      <c r="F913" s="7" t="s">
        <v>1948</v>
      </c>
      <c r="G913" s="7" t="s">
        <v>2057</v>
      </c>
      <c r="H913" s="7" t="s">
        <v>7541</v>
      </c>
      <c r="I913" s="7" t="s">
        <v>1970</v>
      </c>
      <c r="J913" s="7" t="s">
        <v>7949</v>
      </c>
      <c r="K913" s="7" t="s">
        <v>7950</v>
      </c>
      <c r="L913" s="7" t="s">
        <v>7951</v>
      </c>
      <c r="M913" s="7" t="s">
        <v>2064</v>
      </c>
      <c r="N913" s="9">
        <v>46052</v>
      </c>
      <c r="O913" s="9"/>
      <c r="P913" s="7" t="s">
        <v>2090</v>
      </c>
      <c r="Q913" s="7" t="s">
        <v>1970</v>
      </c>
      <c r="R913" s="7" t="s">
        <v>3448</v>
      </c>
      <c r="S913" s="7" t="s">
        <v>7952</v>
      </c>
      <c r="T913" s="7" t="s">
        <v>2067</v>
      </c>
      <c r="U913" s="7" t="s">
        <v>3153</v>
      </c>
      <c r="V913" s="7" t="s">
        <v>2067</v>
      </c>
      <c r="W913" s="7" t="s">
        <v>2069</v>
      </c>
    </row>
    <row r="914" spans="1:23" ht="20.100000000000001" customHeight="1" x14ac:dyDescent="0.25">
      <c r="A914" s="3" t="s">
        <v>1967</v>
      </c>
      <c r="B914" s="4" t="s">
        <v>2057</v>
      </c>
      <c r="C914" s="4" t="s">
        <v>1968</v>
      </c>
      <c r="D914" s="4" t="s">
        <v>2059</v>
      </c>
      <c r="E914" s="4" t="s">
        <v>1940</v>
      </c>
      <c r="F914" s="4" t="s">
        <v>1941</v>
      </c>
      <c r="G914" s="4" t="s">
        <v>2057</v>
      </c>
      <c r="H914" s="4" t="s">
        <v>1969</v>
      </c>
      <c r="I914" s="4" t="s">
        <v>1970</v>
      </c>
      <c r="J914" s="4" t="s">
        <v>7953</v>
      </c>
      <c r="K914" s="4" t="s">
        <v>7954</v>
      </c>
      <c r="L914" s="4" t="s">
        <v>1853</v>
      </c>
      <c r="M914" s="4" t="s">
        <v>2078</v>
      </c>
      <c r="N914" s="8">
        <v>46234</v>
      </c>
      <c r="O914" s="8">
        <v>46356</v>
      </c>
      <c r="P914" s="4" t="s">
        <v>1941</v>
      </c>
      <c r="Q914" s="4" t="s">
        <v>1970</v>
      </c>
      <c r="R914" s="4" t="s">
        <v>7955</v>
      </c>
      <c r="S914" s="4" t="s">
        <v>7956</v>
      </c>
      <c r="T914" s="4" t="s">
        <v>2067</v>
      </c>
      <c r="U914" s="4" t="s">
        <v>2068</v>
      </c>
      <c r="V914" s="4" t="s">
        <v>2067</v>
      </c>
      <c r="W914" s="4" t="s">
        <v>2082</v>
      </c>
    </row>
    <row r="915" spans="1:23" ht="20.100000000000001" customHeight="1" x14ac:dyDescent="0.25">
      <c r="A915" s="6" t="s">
        <v>1156</v>
      </c>
      <c r="B915" s="7" t="s">
        <v>2057</v>
      </c>
      <c r="C915" s="7" t="s">
        <v>7957</v>
      </c>
      <c r="D915" s="7" t="s">
        <v>2059</v>
      </c>
      <c r="E915" s="7" t="s">
        <v>1947</v>
      </c>
      <c r="F915" s="7" t="s">
        <v>1948</v>
      </c>
      <c r="G915" s="7" t="s">
        <v>2057</v>
      </c>
      <c r="H915" s="7" t="s">
        <v>7541</v>
      </c>
      <c r="I915" s="7" t="s">
        <v>1970</v>
      </c>
      <c r="J915" s="7" t="s">
        <v>7958</v>
      </c>
      <c r="K915" s="7" t="s">
        <v>7959</v>
      </c>
      <c r="L915" s="7" t="s">
        <v>7960</v>
      </c>
      <c r="M915" s="7" t="s">
        <v>2078</v>
      </c>
      <c r="N915" s="9">
        <v>46119</v>
      </c>
      <c r="O915" s="9">
        <v>46356</v>
      </c>
      <c r="P915" s="7" t="s">
        <v>2090</v>
      </c>
      <c r="Q915" s="7" t="s">
        <v>1970</v>
      </c>
      <c r="R915" s="7" t="s">
        <v>7961</v>
      </c>
      <c r="S915" s="7" t="s">
        <v>7434</v>
      </c>
      <c r="T915" s="7" t="s">
        <v>2067</v>
      </c>
      <c r="U915" s="7" t="s">
        <v>2146</v>
      </c>
      <c r="V915" s="7" t="s">
        <v>2067</v>
      </c>
      <c r="W915" s="7" t="s">
        <v>2069</v>
      </c>
    </row>
    <row r="916" spans="1:23" ht="20.100000000000001" customHeight="1" x14ac:dyDescent="0.25">
      <c r="A916" s="3" t="s">
        <v>970</v>
      </c>
      <c r="B916" s="4" t="s">
        <v>2057</v>
      </c>
      <c r="C916" s="4" t="s">
        <v>7962</v>
      </c>
      <c r="D916" s="4" t="s">
        <v>2059</v>
      </c>
      <c r="E916" s="4" t="s">
        <v>1947</v>
      </c>
      <c r="F916" s="4" t="s">
        <v>1948</v>
      </c>
      <c r="G916" s="4" t="s">
        <v>2057</v>
      </c>
      <c r="H916" s="4" t="s">
        <v>7541</v>
      </c>
      <c r="I916" s="4" t="s">
        <v>1970</v>
      </c>
      <c r="J916" s="4" t="s">
        <v>7963</v>
      </c>
      <c r="K916" s="4" t="s">
        <v>7964</v>
      </c>
      <c r="L916" s="4" t="s">
        <v>7965</v>
      </c>
      <c r="M916" s="4" t="s">
        <v>2078</v>
      </c>
      <c r="N916" s="8">
        <v>46118</v>
      </c>
      <c r="O916" s="8">
        <v>46356</v>
      </c>
      <c r="P916" s="4" t="s">
        <v>2090</v>
      </c>
      <c r="Q916" s="4" t="s">
        <v>1970</v>
      </c>
      <c r="R916" s="4" t="s">
        <v>7966</v>
      </c>
      <c r="S916" s="4" t="s">
        <v>7967</v>
      </c>
      <c r="T916" s="4" t="s">
        <v>2067</v>
      </c>
      <c r="U916" s="4" t="s">
        <v>2146</v>
      </c>
      <c r="V916" s="4" t="s">
        <v>2067</v>
      </c>
      <c r="W916" s="4" t="s">
        <v>2069</v>
      </c>
    </row>
    <row r="917" spans="1:23" ht="20.100000000000001" customHeight="1" x14ac:dyDescent="0.25">
      <c r="A917" s="6" t="s">
        <v>460</v>
      </c>
      <c r="B917" s="7" t="s">
        <v>2084</v>
      </c>
      <c r="C917" s="7" t="s">
        <v>7968</v>
      </c>
      <c r="D917" s="7" t="s">
        <v>2059</v>
      </c>
      <c r="E917" s="7" t="s">
        <v>2189</v>
      </c>
      <c r="F917" s="7" t="s">
        <v>2190</v>
      </c>
      <c r="G917" s="7" t="s">
        <v>2084</v>
      </c>
      <c r="H917" s="7" t="s">
        <v>7686</v>
      </c>
      <c r="I917" s="7" t="s">
        <v>1970</v>
      </c>
      <c r="J917" s="7" t="s">
        <v>7969</v>
      </c>
      <c r="K917" s="7" t="s">
        <v>7970</v>
      </c>
      <c r="L917" s="7" t="s">
        <v>7971</v>
      </c>
      <c r="M917" s="7" t="s">
        <v>2078</v>
      </c>
      <c r="N917" s="9">
        <v>46108</v>
      </c>
      <c r="O917" s="9">
        <v>46356</v>
      </c>
      <c r="P917" s="7" t="s">
        <v>2195</v>
      </c>
      <c r="Q917" s="7" t="s">
        <v>1970</v>
      </c>
      <c r="R917" s="7" t="s">
        <v>7972</v>
      </c>
      <c r="S917" s="7" t="s">
        <v>7973</v>
      </c>
      <c r="T917" s="7" t="s">
        <v>2067</v>
      </c>
      <c r="U917" s="7" t="s">
        <v>2198</v>
      </c>
      <c r="V917" s="7" t="s">
        <v>2067</v>
      </c>
      <c r="W917" s="7" t="s">
        <v>2082</v>
      </c>
    </row>
    <row r="918" spans="1:23" ht="20.100000000000001" customHeight="1" x14ac:dyDescent="0.25">
      <c r="A918" s="3" t="s">
        <v>7974</v>
      </c>
      <c r="B918" s="4" t="s">
        <v>2057</v>
      </c>
      <c r="C918" s="4" t="s">
        <v>7975</v>
      </c>
      <c r="D918" s="4" t="s">
        <v>2059</v>
      </c>
      <c r="E918" s="4" t="s">
        <v>2189</v>
      </c>
      <c r="F918" s="4" t="s">
        <v>2190</v>
      </c>
      <c r="G918" s="4" t="s">
        <v>2057</v>
      </c>
      <c r="H918" s="4" t="s">
        <v>7527</v>
      </c>
      <c r="I918" s="4" t="s">
        <v>1970</v>
      </c>
      <c r="J918" s="4" t="s">
        <v>7976</v>
      </c>
      <c r="K918" s="4" t="s">
        <v>7977</v>
      </c>
      <c r="L918" s="4" t="s">
        <v>7978</v>
      </c>
      <c r="M918" s="4" t="s">
        <v>2078</v>
      </c>
      <c r="N918" s="8">
        <v>46234</v>
      </c>
      <c r="O918" s="8">
        <v>46356</v>
      </c>
      <c r="P918" s="4" t="s">
        <v>2195</v>
      </c>
      <c r="Q918" s="4" t="s">
        <v>1970</v>
      </c>
      <c r="R918" s="4" t="s">
        <v>7979</v>
      </c>
      <c r="S918" s="4" t="s">
        <v>7980</v>
      </c>
      <c r="T918" s="4" t="s">
        <v>2067</v>
      </c>
      <c r="U918" s="4" t="s">
        <v>2198</v>
      </c>
      <c r="V918" s="4" t="s">
        <v>2067</v>
      </c>
      <c r="W918" s="4" t="s">
        <v>2082</v>
      </c>
    </row>
    <row r="919" spans="1:23" ht="20.100000000000001" customHeight="1" x14ac:dyDescent="0.25">
      <c r="A919" s="6" t="s">
        <v>1422</v>
      </c>
      <c r="B919" s="7" t="s">
        <v>2057</v>
      </c>
      <c r="C919" s="7" t="s">
        <v>7981</v>
      </c>
      <c r="D919" s="7" t="s">
        <v>2059</v>
      </c>
      <c r="E919" s="7" t="s">
        <v>1947</v>
      </c>
      <c r="F919" s="7" t="s">
        <v>2427</v>
      </c>
      <c r="G919" s="7" t="s">
        <v>2057</v>
      </c>
      <c r="H919" s="7" t="s">
        <v>1969</v>
      </c>
      <c r="I919" s="7" t="s">
        <v>1970</v>
      </c>
      <c r="J919" s="7" t="s">
        <v>7982</v>
      </c>
      <c r="K919" s="7" t="s">
        <v>7983</v>
      </c>
      <c r="L919" s="7" t="s">
        <v>7984</v>
      </c>
      <c r="M919" s="7" t="s">
        <v>2078</v>
      </c>
      <c r="N919" s="9">
        <v>46234</v>
      </c>
      <c r="O919" s="9">
        <v>46356</v>
      </c>
      <c r="P919" s="7" t="s">
        <v>2090</v>
      </c>
      <c r="Q919" s="7" t="s">
        <v>1970</v>
      </c>
      <c r="R919" s="7" t="s">
        <v>7985</v>
      </c>
      <c r="S919" s="7" t="s">
        <v>7986</v>
      </c>
      <c r="T919" s="7" t="s">
        <v>2067</v>
      </c>
      <c r="U919" s="7" t="s">
        <v>3337</v>
      </c>
      <c r="V919" s="7" t="s">
        <v>2067</v>
      </c>
      <c r="W919" s="7" t="s">
        <v>2082</v>
      </c>
    </row>
    <row r="920" spans="1:23" ht="20.100000000000001" customHeight="1" x14ac:dyDescent="0.25">
      <c r="A920" s="3" t="s">
        <v>1634</v>
      </c>
      <c r="B920" s="4" t="s">
        <v>2057</v>
      </c>
      <c r="C920" s="4" t="s">
        <v>7987</v>
      </c>
      <c r="D920" s="4" t="s">
        <v>2059</v>
      </c>
      <c r="E920" s="4" t="s">
        <v>1947</v>
      </c>
      <c r="F920" s="4" t="s">
        <v>1948</v>
      </c>
      <c r="G920" s="4" t="s">
        <v>2057</v>
      </c>
      <c r="H920" s="4" t="s">
        <v>1969</v>
      </c>
      <c r="I920" s="4" t="s">
        <v>1970</v>
      </c>
      <c r="J920" s="4" t="s">
        <v>7988</v>
      </c>
      <c r="K920" s="4" t="s">
        <v>7989</v>
      </c>
      <c r="L920" s="4" t="s">
        <v>7990</v>
      </c>
      <c r="M920" s="4" t="s">
        <v>2078</v>
      </c>
      <c r="N920" s="8">
        <v>46234</v>
      </c>
      <c r="O920" s="8">
        <v>46356</v>
      </c>
      <c r="P920" s="4" t="s">
        <v>2090</v>
      </c>
      <c r="Q920" s="4" t="s">
        <v>1970</v>
      </c>
      <c r="R920" s="4" t="s">
        <v>7991</v>
      </c>
      <c r="S920" s="4" t="s">
        <v>7992</v>
      </c>
      <c r="T920" s="4" t="s">
        <v>2067</v>
      </c>
      <c r="U920" s="4" t="s">
        <v>3153</v>
      </c>
      <c r="V920" s="4" t="s">
        <v>2067</v>
      </c>
      <c r="W920" s="4" t="s">
        <v>2082</v>
      </c>
    </row>
    <row r="921" spans="1:23" ht="20.100000000000001" customHeight="1" x14ac:dyDescent="0.25">
      <c r="A921" s="6" t="s">
        <v>7993</v>
      </c>
      <c r="B921" s="7" t="s">
        <v>2084</v>
      </c>
      <c r="C921" s="7" t="s">
        <v>7994</v>
      </c>
      <c r="D921" s="7" t="s">
        <v>2059</v>
      </c>
      <c r="E921" s="7" t="s">
        <v>1940</v>
      </c>
      <c r="F921" s="7" t="s">
        <v>1941</v>
      </c>
      <c r="G921" s="7" t="s">
        <v>2084</v>
      </c>
      <c r="H921" s="7" t="s">
        <v>7686</v>
      </c>
      <c r="I921" s="7" t="s">
        <v>1970</v>
      </c>
      <c r="J921" s="7" t="s">
        <v>4649</v>
      </c>
      <c r="K921" s="7" t="s">
        <v>7995</v>
      </c>
      <c r="L921" s="7" t="s">
        <v>7996</v>
      </c>
      <c r="M921" s="7" t="s">
        <v>2078</v>
      </c>
      <c r="N921" s="9">
        <v>46237</v>
      </c>
      <c r="O921" s="9">
        <v>46356</v>
      </c>
      <c r="P921" s="7" t="s">
        <v>1941</v>
      </c>
      <c r="Q921" s="7" t="s">
        <v>1970</v>
      </c>
      <c r="R921" s="7" t="s">
        <v>7997</v>
      </c>
      <c r="S921" s="7" t="s">
        <v>7998</v>
      </c>
      <c r="T921" s="7" t="s">
        <v>2067</v>
      </c>
      <c r="U921" s="7" t="s">
        <v>2068</v>
      </c>
      <c r="V921" s="7" t="s">
        <v>2067</v>
      </c>
      <c r="W921" s="7" t="s">
        <v>2082</v>
      </c>
    </row>
    <row r="922" spans="1:23" ht="20.100000000000001" customHeight="1" x14ac:dyDescent="0.25">
      <c r="A922" s="3" t="s">
        <v>7999</v>
      </c>
      <c r="B922" s="4" t="s">
        <v>2057</v>
      </c>
      <c r="C922" s="4" t="s">
        <v>8000</v>
      </c>
      <c r="D922" s="4" t="s">
        <v>2059</v>
      </c>
      <c r="E922" s="4" t="s">
        <v>1947</v>
      </c>
      <c r="F922" s="4" t="s">
        <v>1948</v>
      </c>
      <c r="G922" s="4" t="s">
        <v>2057</v>
      </c>
      <c r="H922" s="4" t="s">
        <v>7370</v>
      </c>
      <c r="I922" s="4" t="s">
        <v>1970</v>
      </c>
      <c r="J922" s="4" t="s">
        <v>8001</v>
      </c>
      <c r="K922" s="4" t="s">
        <v>8002</v>
      </c>
      <c r="L922" s="4" t="s">
        <v>8003</v>
      </c>
      <c r="M922" s="4" t="s">
        <v>2078</v>
      </c>
      <c r="N922" s="8">
        <v>46108</v>
      </c>
      <c r="O922" s="8">
        <v>46356</v>
      </c>
      <c r="P922" s="4" t="s">
        <v>2090</v>
      </c>
      <c r="Q922" s="4" t="s">
        <v>1970</v>
      </c>
      <c r="R922" s="4" t="s">
        <v>8004</v>
      </c>
      <c r="S922" s="4" t="s">
        <v>8005</v>
      </c>
      <c r="T922" s="4" t="s">
        <v>2067</v>
      </c>
      <c r="U922" s="4" t="s">
        <v>2146</v>
      </c>
      <c r="V922" s="4" t="s">
        <v>2067</v>
      </c>
      <c r="W922" s="4" t="s">
        <v>2069</v>
      </c>
    </row>
    <row r="923" spans="1:23" ht="20.100000000000001" customHeight="1" x14ac:dyDescent="0.25">
      <c r="A923" s="6" t="s">
        <v>1522</v>
      </c>
      <c r="B923" s="7" t="s">
        <v>2057</v>
      </c>
      <c r="C923" s="7" t="s">
        <v>8006</v>
      </c>
      <c r="D923" s="7" t="s">
        <v>2059</v>
      </c>
      <c r="E923" s="7" t="s">
        <v>1947</v>
      </c>
      <c r="F923" s="7" t="s">
        <v>1948</v>
      </c>
      <c r="G923" s="7" t="s">
        <v>2057</v>
      </c>
      <c r="H923" s="7" t="s">
        <v>1969</v>
      </c>
      <c r="I923" s="7" t="s">
        <v>1970</v>
      </c>
      <c r="J923" s="7" t="s">
        <v>8007</v>
      </c>
      <c r="K923" s="7" t="s">
        <v>8008</v>
      </c>
      <c r="L923" s="7" t="s">
        <v>8009</v>
      </c>
      <c r="M923" s="7" t="s">
        <v>2078</v>
      </c>
      <c r="N923" s="9">
        <v>46234</v>
      </c>
      <c r="O923" s="9">
        <v>46356</v>
      </c>
      <c r="P923" s="7" t="s">
        <v>2090</v>
      </c>
      <c r="Q923" s="7" t="s">
        <v>1970</v>
      </c>
      <c r="R923" s="7" t="s">
        <v>8010</v>
      </c>
      <c r="S923" s="7" t="s">
        <v>8011</v>
      </c>
      <c r="T923" s="7" t="s">
        <v>2067</v>
      </c>
      <c r="U923" s="7" t="s">
        <v>3153</v>
      </c>
      <c r="V923" s="7" t="s">
        <v>2067</v>
      </c>
      <c r="W923" s="7" t="s">
        <v>2082</v>
      </c>
    </row>
    <row r="924" spans="1:23" ht="20.100000000000001" customHeight="1" x14ac:dyDescent="0.25">
      <c r="A924" s="3" t="s">
        <v>8012</v>
      </c>
      <c r="B924" s="4" t="s">
        <v>2057</v>
      </c>
      <c r="C924" s="4" t="s">
        <v>8013</v>
      </c>
      <c r="D924" s="4" t="s">
        <v>2059</v>
      </c>
      <c r="E924" s="4" t="s">
        <v>2189</v>
      </c>
      <c r="F924" s="4" t="s">
        <v>2190</v>
      </c>
      <c r="G924" s="4" t="s">
        <v>2057</v>
      </c>
      <c r="H924" s="4" t="s">
        <v>7527</v>
      </c>
      <c r="I924" s="4" t="s">
        <v>1970</v>
      </c>
      <c r="J924" s="4" t="s">
        <v>8014</v>
      </c>
      <c r="K924" s="4" t="s">
        <v>8015</v>
      </c>
      <c r="L924" s="4" t="s">
        <v>8016</v>
      </c>
      <c r="M924" s="4" t="s">
        <v>2078</v>
      </c>
      <c r="N924" s="8">
        <v>46234</v>
      </c>
      <c r="O924" s="8">
        <v>46356</v>
      </c>
      <c r="P924" s="4" t="s">
        <v>2195</v>
      </c>
      <c r="Q924" s="4" t="s">
        <v>1970</v>
      </c>
      <c r="R924" s="4" t="s">
        <v>7414</v>
      </c>
      <c r="S924" s="4" t="s">
        <v>8017</v>
      </c>
      <c r="T924" s="4" t="s">
        <v>2067</v>
      </c>
      <c r="U924" s="4" t="s">
        <v>2198</v>
      </c>
      <c r="V924" s="4" t="s">
        <v>2067</v>
      </c>
      <c r="W924" s="4" t="s">
        <v>2082</v>
      </c>
    </row>
    <row r="925" spans="1:23" ht="20.100000000000001" customHeight="1" x14ac:dyDescent="0.25">
      <c r="A925" s="6" t="s">
        <v>482</v>
      </c>
      <c r="B925" s="7" t="s">
        <v>2057</v>
      </c>
      <c r="C925" s="7" t="s">
        <v>8018</v>
      </c>
      <c r="D925" s="7" t="s">
        <v>2059</v>
      </c>
      <c r="E925" s="7" t="s">
        <v>1940</v>
      </c>
      <c r="F925" s="7" t="s">
        <v>1941</v>
      </c>
      <c r="G925" s="7" t="s">
        <v>2057</v>
      </c>
      <c r="H925" s="7" t="s">
        <v>1969</v>
      </c>
      <c r="I925" s="7" t="s">
        <v>1970</v>
      </c>
      <c r="J925" s="7" t="s">
        <v>8019</v>
      </c>
      <c r="K925" s="7" t="s">
        <v>8020</v>
      </c>
      <c r="L925" s="7" t="s">
        <v>8021</v>
      </c>
      <c r="M925" s="7" t="s">
        <v>2078</v>
      </c>
      <c r="N925" s="9">
        <v>46234</v>
      </c>
      <c r="O925" s="9">
        <v>46356</v>
      </c>
      <c r="P925" s="7" t="s">
        <v>1941</v>
      </c>
      <c r="Q925" s="7" t="s">
        <v>1970</v>
      </c>
      <c r="R925" s="7" t="s">
        <v>3724</v>
      </c>
      <c r="S925" s="7" t="s">
        <v>8022</v>
      </c>
      <c r="T925" s="7" t="s">
        <v>2067</v>
      </c>
      <c r="U925" s="7" t="s">
        <v>2068</v>
      </c>
      <c r="V925" s="7" t="s">
        <v>2067</v>
      </c>
      <c r="W925" s="7" t="s">
        <v>2082</v>
      </c>
    </row>
    <row r="926" spans="1:23" ht="20.100000000000001" customHeight="1" x14ac:dyDescent="0.25">
      <c r="A926" s="3" t="s">
        <v>1576</v>
      </c>
      <c r="B926" s="4" t="s">
        <v>2057</v>
      </c>
      <c r="C926" s="4" t="s">
        <v>8023</v>
      </c>
      <c r="D926" s="4" t="s">
        <v>2059</v>
      </c>
      <c r="E926" s="4" t="s">
        <v>1947</v>
      </c>
      <c r="F926" s="4" t="s">
        <v>2121</v>
      </c>
      <c r="G926" s="4" t="s">
        <v>2057</v>
      </c>
      <c r="H926" s="4" t="s">
        <v>1969</v>
      </c>
      <c r="I926" s="4" t="s">
        <v>1970</v>
      </c>
      <c r="J926" s="4" t="s">
        <v>8024</v>
      </c>
      <c r="K926" s="4" t="s">
        <v>8025</v>
      </c>
      <c r="L926" s="4" t="s">
        <v>8026</v>
      </c>
      <c r="M926" s="4" t="s">
        <v>2078</v>
      </c>
      <c r="N926" s="8">
        <v>46234</v>
      </c>
      <c r="O926" s="8">
        <v>46356</v>
      </c>
      <c r="P926" s="4" t="s">
        <v>2090</v>
      </c>
      <c r="Q926" s="4" t="s">
        <v>1970</v>
      </c>
      <c r="R926" s="4" t="s">
        <v>8027</v>
      </c>
      <c r="S926" s="4" t="s">
        <v>8028</v>
      </c>
      <c r="T926" s="4" t="s">
        <v>2067</v>
      </c>
      <c r="U926" s="4" t="s">
        <v>2128</v>
      </c>
      <c r="V926" s="4" t="s">
        <v>2067</v>
      </c>
      <c r="W926" s="4" t="s">
        <v>2082</v>
      </c>
    </row>
    <row r="927" spans="1:23" ht="20.100000000000001" customHeight="1" x14ac:dyDescent="0.25">
      <c r="A927" s="6" t="s">
        <v>1362</v>
      </c>
      <c r="B927" s="7" t="s">
        <v>2057</v>
      </c>
      <c r="C927" s="7" t="s">
        <v>8029</v>
      </c>
      <c r="D927" s="7" t="s">
        <v>2059</v>
      </c>
      <c r="E927" s="7" t="s">
        <v>1947</v>
      </c>
      <c r="F927" s="7" t="s">
        <v>1948</v>
      </c>
      <c r="G927" s="7" t="s">
        <v>2057</v>
      </c>
      <c r="H927" s="7" t="s">
        <v>7527</v>
      </c>
      <c r="I927" s="7" t="s">
        <v>1970</v>
      </c>
      <c r="J927" s="7" t="s">
        <v>8030</v>
      </c>
      <c r="K927" s="7" t="s">
        <v>8031</v>
      </c>
      <c r="L927" s="7" t="s">
        <v>8032</v>
      </c>
      <c r="M927" s="7" t="s">
        <v>2078</v>
      </c>
      <c r="N927" s="9">
        <v>46234</v>
      </c>
      <c r="O927" s="9">
        <v>46356</v>
      </c>
      <c r="P927" s="7" t="s">
        <v>2090</v>
      </c>
      <c r="Q927" s="7" t="s">
        <v>1970</v>
      </c>
      <c r="R927" s="7" t="s">
        <v>8033</v>
      </c>
      <c r="S927" s="7" t="s">
        <v>8034</v>
      </c>
      <c r="T927" s="7" t="s">
        <v>2067</v>
      </c>
      <c r="U927" s="7" t="s">
        <v>2146</v>
      </c>
      <c r="V927" s="7" t="s">
        <v>2067</v>
      </c>
      <c r="W927" s="7" t="s">
        <v>2082</v>
      </c>
    </row>
    <row r="928" spans="1:23" ht="20.100000000000001" customHeight="1" x14ac:dyDescent="0.25">
      <c r="A928" s="3" t="s">
        <v>1248</v>
      </c>
      <c r="B928" s="4" t="s">
        <v>2057</v>
      </c>
      <c r="C928" s="4" t="s">
        <v>8035</v>
      </c>
      <c r="D928" s="4" t="s">
        <v>2059</v>
      </c>
      <c r="E928" s="4" t="s">
        <v>1947</v>
      </c>
      <c r="F928" s="4" t="s">
        <v>1948</v>
      </c>
      <c r="G928" s="4" t="s">
        <v>2057</v>
      </c>
      <c r="H928" s="4" t="s">
        <v>7527</v>
      </c>
      <c r="I928" s="4" t="s">
        <v>1970</v>
      </c>
      <c r="J928" s="4" t="s">
        <v>8036</v>
      </c>
      <c r="K928" s="4" t="s">
        <v>8037</v>
      </c>
      <c r="L928" s="4" t="s">
        <v>8038</v>
      </c>
      <c r="M928" s="4" t="s">
        <v>2078</v>
      </c>
      <c r="N928" s="8">
        <v>46234</v>
      </c>
      <c r="O928" s="8">
        <v>46356</v>
      </c>
      <c r="P928" s="4" t="s">
        <v>2090</v>
      </c>
      <c r="Q928" s="4" t="s">
        <v>1970</v>
      </c>
      <c r="R928" s="4" t="s">
        <v>8039</v>
      </c>
      <c r="S928" s="4" t="s">
        <v>8040</v>
      </c>
      <c r="T928" s="4" t="s">
        <v>2067</v>
      </c>
      <c r="U928" s="4" t="s">
        <v>2146</v>
      </c>
      <c r="V928" s="4" t="s">
        <v>2067</v>
      </c>
      <c r="W928" s="4" t="s">
        <v>2082</v>
      </c>
    </row>
    <row r="929" spans="1:23" ht="20.100000000000001" customHeight="1" x14ac:dyDescent="0.25">
      <c r="A929" s="6" t="s">
        <v>8041</v>
      </c>
      <c r="B929" s="7" t="s">
        <v>2084</v>
      </c>
      <c r="C929" s="7" t="s">
        <v>8042</v>
      </c>
      <c r="D929" s="7" t="s">
        <v>2059</v>
      </c>
      <c r="E929" s="7" t="s">
        <v>1947</v>
      </c>
      <c r="F929" s="7" t="s">
        <v>1948</v>
      </c>
      <c r="G929" s="7" t="s">
        <v>2084</v>
      </c>
      <c r="H929" s="7" t="s">
        <v>8043</v>
      </c>
      <c r="I929" s="7" t="s">
        <v>1970</v>
      </c>
      <c r="J929" s="7" t="s">
        <v>8044</v>
      </c>
      <c r="K929" s="7" t="s">
        <v>8045</v>
      </c>
      <c r="L929" s="7" t="s">
        <v>8046</v>
      </c>
      <c r="M929" s="7" t="s">
        <v>2078</v>
      </c>
      <c r="N929" s="9">
        <v>46234</v>
      </c>
      <c r="O929" s="9">
        <v>46356</v>
      </c>
      <c r="P929" s="7" t="s">
        <v>1953</v>
      </c>
      <c r="Q929" s="7" t="s">
        <v>1970</v>
      </c>
      <c r="R929" s="7" t="s">
        <v>8047</v>
      </c>
      <c r="S929" s="7" t="s">
        <v>8048</v>
      </c>
      <c r="T929" s="7" t="s">
        <v>2067</v>
      </c>
      <c r="U929" s="7" t="s">
        <v>2358</v>
      </c>
      <c r="V929" s="7" t="s">
        <v>2067</v>
      </c>
      <c r="W929" s="7" t="s">
        <v>2082</v>
      </c>
    </row>
    <row r="930" spans="1:23" ht="20.100000000000001" customHeight="1" x14ac:dyDescent="0.25">
      <c r="A930" s="3" t="s">
        <v>222</v>
      </c>
      <c r="B930" s="4" t="s">
        <v>2057</v>
      </c>
      <c r="C930" s="4" t="s">
        <v>8049</v>
      </c>
      <c r="D930" s="4" t="s">
        <v>2059</v>
      </c>
      <c r="E930" s="4" t="s">
        <v>1947</v>
      </c>
      <c r="F930" s="4" t="s">
        <v>2121</v>
      </c>
      <c r="G930" s="4" t="s">
        <v>2057</v>
      </c>
      <c r="H930" s="4" t="s">
        <v>7706</v>
      </c>
      <c r="I930" s="4" t="s">
        <v>1970</v>
      </c>
      <c r="J930" s="4" t="s">
        <v>8050</v>
      </c>
      <c r="K930" s="4" t="s">
        <v>8051</v>
      </c>
      <c r="L930" s="4" t="s">
        <v>8052</v>
      </c>
      <c r="M930" s="4" t="s">
        <v>2078</v>
      </c>
      <c r="N930" s="8">
        <v>46234</v>
      </c>
      <c r="O930" s="8">
        <v>46356</v>
      </c>
      <c r="P930" s="4" t="s">
        <v>2090</v>
      </c>
      <c r="Q930" s="4" t="s">
        <v>1970</v>
      </c>
      <c r="R930" s="4" t="s">
        <v>8053</v>
      </c>
      <c r="S930" s="4" t="s">
        <v>8054</v>
      </c>
      <c r="T930" s="4" t="s">
        <v>2067</v>
      </c>
      <c r="U930" s="4" t="s">
        <v>2128</v>
      </c>
      <c r="V930" s="4" t="s">
        <v>2067</v>
      </c>
      <c r="W930" s="4" t="s">
        <v>2082</v>
      </c>
    </row>
    <row r="931" spans="1:23" ht="20.100000000000001" customHeight="1" x14ac:dyDescent="0.25">
      <c r="A931" s="6" t="s">
        <v>8055</v>
      </c>
      <c r="B931" s="7" t="s">
        <v>2057</v>
      </c>
      <c r="C931" s="7" t="s">
        <v>8056</v>
      </c>
      <c r="D931" s="7" t="s">
        <v>2059</v>
      </c>
      <c r="E931" s="7" t="s">
        <v>1947</v>
      </c>
      <c r="F931" s="7" t="s">
        <v>2121</v>
      </c>
      <c r="G931" s="7" t="s">
        <v>2057</v>
      </c>
      <c r="H931" s="7" t="s">
        <v>1969</v>
      </c>
      <c r="I931" s="7" t="s">
        <v>1970</v>
      </c>
      <c r="J931" s="7" t="s">
        <v>8057</v>
      </c>
      <c r="K931" s="7" t="s">
        <v>8058</v>
      </c>
      <c r="L931" s="7" t="s">
        <v>8059</v>
      </c>
      <c r="M931" s="7" t="s">
        <v>2078</v>
      </c>
      <c r="N931" s="9">
        <v>46234</v>
      </c>
      <c r="O931" s="9">
        <v>46356</v>
      </c>
      <c r="P931" s="7" t="s">
        <v>2121</v>
      </c>
      <c r="Q931" s="7" t="s">
        <v>1970</v>
      </c>
      <c r="R931" s="7" t="s">
        <v>8060</v>
      </c>
      <c r="S931" s="7" t="s">
        <v>8061</v>
      </c>
      <c r="T931" s="7" t="s">
        <v>2067</v>
      </c>
      <c r="U931" s="7" t="s">
        <v>2128</v>
      </c>
      <c r="V931" s="7" t="s">
        <v>2067</v>
      </c>
      <c r="W931" s="7" t="s">
        <v>2082</v>
      </c>
    </row>
    <row r="932" spans="1:23" ht="20.100000000000001" customHeight="1" x14ac:dyDescent="0.25">
      <c r="A932" s="3" t="s">
        <v>8062</v>
      </c>
      <c r="B932" s="4" t="s">
        <v>2057</v>
      </c>
      <c r="C932" s="4" t="s">
        <v>8063</v>
      </c>
      <c r="D932" s="4" t="s">
        <v>2059</v>
      </c>
      <c r="E932" s="4" t="s">
        <v>1965</v>
      </c>
      <c r="F932" s="4" t="s">
        <v>1966</v>
      </c>
      <c r="G932" s="4" t="s">
        <v>2057</v>
      </c>
      <c r="H932" s="4" t="s">
        <v>7527</v>
      </c>
      <c r="I932" s="4" t="s">
        <v>1970</v>
      </c>
      <c r="J932" s="4" t="s">
        <v>8064</v>
      </c>
      <c r="K932" s="4" t="s">
        <v>8065</v>
      </c>
      <c r="L932" s="4" t="s">
        <v>8066</v>
      </c>
      <c r="M932" s="4" t="s">
        <v>2078</v>
      </c>
      <c r="N932" s="8">
        <v>46234</v>
      </c>
      <c r="O932" s="8">
        <v>46356</v>
      </c>
      <c r="P932" s="4" t="s">
        <v>1966</v>
      </c>
      <c r="Q932" s="4" t="s">
        <v>1970</v>
      </c>
      <c r="R932" s="4" t="s">
        <v>2222</v>
      </c>
      <c r="S932" s="4" t="s">
        <v>8067</v>
      </c>
      <c r="T932" s="4" t="s">
        <v>2067</v>
      </c>
      <c r="U932" s="4" t="s">
        <v>2174</v>
      </c>
      <c r="V932" s="4" t="s">
        <v>2067</v>
      </c>
      <c r="W932" s="4" t="s">
        <v>2082</v>
      </c>
    </row>
    <row r="933" spans="1:23" ht="20.100000000000001" customHeight="1" x14ac:dyDescent="0.25">
      <c r="A933" s="6" t="s">
        <v>8068</v>
      </c>
      <c r="B933" s="7" t="s">
        <v>2057</v>
      </c>
      <c r="C933" s="7" t="s">
        <v>8069</v>
      </c>
      <c r="D933" s="7" t="s">
        <v>2059</v>
      </c>
      <c r="E933" s="7" t="s">
        <v>1947</v>
      </c>
      <c r="F933" s="7" t="s">
        <v>2427</v>
      </c>
      <c r="G933" s="7" t="s">
        <v>2057</v>
      </c>
      <c r="H933" s="7" t="s">
        <v>1969</v>
      </c>
      <c r="I933" s="7" t="s">
        <v>1970</v>
      </c>
      <c r="J933" s="7" t="s">
        <v>8070</v>
      </c>
      <c r="K933" s="7" t="s">
        <v>8071</v>
      </c>
      <c r="L933" s="7" t="s">
        <v>8072</v>
      </c>
      <c r="M933" s="7" t="s">
        <v>2078</v>
      </c>
      <c r="N933" s="9">
        <v>46234</v>
      </c>
      <c r="O933" s="9">
        <v>46356</v>
      </c>
      <c r="P933" s="7" t="s">
        <v>2090</v>
      </c>
      <c r="Q933" s="7" t="s">
        <v>1970</v>
      </c>
      <c r="R933" s="7" t="s">
        <v>8073</v>
      </c>
      <c r="S933" s="7" t="s">
        <v>8074</v>
      </c>
      <c r="T933" s="7" t="s">
        <v>2067</v>
      </c>
      <c r="U933" s="7" t="s">
        <v>3337</v>
      </c>
      <c r="V933" s="7" t="s">
        <v>2067</v>
      </c>
      <c r="W933" s="7" t="s">
        <v>2082</v>
      </c>
    </row>
    <row r="934" spans="1:23" ht="20.100000000000001" customHeight="1" x14ac:dyDescent="0.25">
      <c r="A934" s="3" t="s">
        <v>78</v>
      </c>
      <c r="B934" s="4" t="s">
        <v>2057</v>
      </c>
      <c r="C934" s="4" t="s">
        <v>8075</v>
      </c>
      <c r="D934" s="4" t="s">
        <v>2059</v>
      </c>
      <c r="E934" s="4" t="s">
        <v>1947</v>
      </c>
      <c r="F934" s="4" t="s">
        <v>1948</v>
      </c>
      <c r="G934" s="4" t="s">
        <v>2057</v>
      </c>
      <c r="H934" s="4" t="s">
        <v>7527</v>
      </c>
      <c r="I934" s="4" t="s">
        <v>1970</v>
      </c>
      <c r="J934" s="4" t="s">
        <v>8076</v>
      </c>
      <c r="K934" s="4" t="s">
        <v>8077</v>
      </c>
      <c r="L934" s="4" t="s">
        <v>8078</v>
      </c>
      <c r="M934" s="4" t="s">
        <v>2078</v>
      </c>
      <c r="N934" s="8">
        <v>46052</v>
      </c>
      <c r="O934" s="8">
        <v>46355</v>
      </c>
      <c r="P934" s="4" t="s">
        <v>2090</v>
      </c>
      <c r="Q934" s="4" t="s">
        <v>1970</v>
      </c>
      <c r="R934" s="4" t="s">
        <v>8079</v>
      </c>
      <c r="S934" s="4" t="s">
        <v>8080</v>
      </c>
      <c r="T934" s="4" t="s">
        <v>2067</v>
      </c>
      <c r="U934" s="4" t="s">
        <v>3153</v>
      </c>
      <c r="V934" s="4" t="s">
        <v>2067</v>
      </c>
      <c r="W934" s="4" t="s">
        <v>2082</v>
      </c>
    </row>
    <row r="935" spans="1:23" ht="20.100000000000001" customHeight="1" x14ac:dyDescent="0.25">
      <c r="A935" s="6" t="s">
        <v>996</v>
      </c>
      <c r="B935" s="7" t="s">
        <v>2057</v>
      </c>
      <c r="C935" s="7" t="s">
        <v>8081</v>
      </c>
      <c r="D935" s="7" t="s">
        <v>2059</v>
      </c>
      <c r="E935" s="7" t="s">
        <v>1947</v>
      </c>
      <c r="F935" s="7" t="s">
        <v>2121</v>
      </c>
      <c r="G935" s="7" t="s">
        <v>2057</v>
      </c>
      <c r="H935" s="7" t="s">
        <v>1969</v>
      </c>
      <c r="I935" s="7" t="s">
        <v>1970</v>
      </c>
      <c r="J935" s="7" t="s">
        <v>8082</v>
      </c>
      <c r="K935" s="7" t="s">
        <v>8083</v>
      </c>
      <c r="L935" s="7" t="s">
        <v>8084</v>
      </c>
      <c r="M935" s="7" t="s">
        <v>2078</v>
      </c>
      <c r="N935" s="9">
        <v>46234</v>
      </c>
      <c r="O935" s="9">
        <v>46356</v>
      </c>
      <c r="P935" s="7" t="s">
        <v>2090</v>
      </c>
      <c r="Q935" s="7" t="s">
        <v>1970</v>
      </c>
      <c r="R935" s="7" t="s">
        <v>8085</v>
      </c>
      <c r="S935" s="7" t="s">
        <v>8086</v>
      </c>
      <c r="T935" s="7" t="s">
        <v>2067</v>
      </c>
      <c r="U935" s="7" t="s">
        <v>2128</v>
      </c>
      <c r="V935" s="7" t="s">
        <v>2067</v>
      </c>
      <c r="W935" s="7" t="s">
        <v>2082</v>
      </c>
    </row>
    <row r="936" spans="1:23" ht="20.100000000000001" customHeight="1" x14ac:dyDescent="0.25">
      <c r="A936" s="3" t="s">
        <v>1690</v>
      </c>
      <c r="B936" s="4" t="s">
        <v>2057</v>
      </c>
      <c r="C936" s="4" t="s">
        <v>8087</v>
      </c>
      <c r="D936" s="4" t="s">
        <v>2059</v>
      </c>
      <c r="E936" s="4" t="s">
        <v>1947</v>
      </c>
      <c r="F936" s="4" t="s">
        <v>1948</v>
      </c>
      <c r="G936" s="4" t="s">
        <v>2057</v>
      </c>
      <c r="H936" s="4" t="s">
        <v>1969</v>
      </c>
      <c r="I936" s="4" t="s">
        <v>1970</v>
      </c>
      <c r="J936" s="4" t="s">
        <v>8088</v>
      </c>
      <c r="K936" s="4" t="s">
        <v>8089</v>
      </c>
      <c r="L936" s="4" t="s">
        <v>8090</v>
      </c>
      <c r="M936" s="4" t="s">
        <v>2078</v>
      </c>
      <c r="N936" s="8">
        <v>46234</v>
      </c>
      <c r="O936" s="8">
        <v>46356</v>
      </c>
      <c r="P936" s="4" t="s">
        <v>2090</v>
      </c>
      <c r="Q936" s="4" t="s">
        <v>1970</v>
      </c>
      <c r="R936" s="4" t="s">
        <v>8091</v>
      </c>
      <c r="S936" s="4" t="s">
        <v>8092</v>
      </c>
      <c r="T936" s="4" t="s">
        <v>2067</v>
      </c>
      <c r="U936" s="4" t="s">
        <v>2146</v>
      </c>
      <c r="V936" s="4" t="s">
        <v>2067</v>
      </c>
      <c r="W936" s="4" t="s">
        <v>2082</v>
      </c>
    </row>
    <row r="937" spans="1:23" ht="20.100000000000001" customHeight="1" x14ac:dyDescent="0.25">
      <c r="A937" s="6" t="s">
        <v>870</v>
      </c>
      <c r="B937" s="7" t="s">
        <v>2084</v>
      </c>
      <c r="C937" s="7" t="s">
        <v>8093</v>
      </c>
      <c r="D937" s="7" t="s">
        <v>2059</v>
      </c>
      <c r="E937" s="7" t="s">
        <v>1947</v>
      </c>
      <c r="F937" s="7" t="s">
        <v>1948</v>
      </c>
      <c r="G937" s="7" t="s">
        <v>2084</v>
      </c>
      <c r="H937" s="7" t="s">
        <v>7549</v>
      </c>
      <c r="I937" s="7" t="s">
        <v>1970</v>
      </c>
      <c r="J937" s="7" t="s">
        <v>8094</v>
      </c>
      <c r="K937" s="7" t="s">
        <v>8095</v>
      </c>
      <c r="L937" s="7" t="s">
        <v>8096</v>
      </c>
      <c r="M937" s="7" t="s">
        <v>2078</v>
      </c>
      <c r="N937" s="9">
        <v>46127</v>
      </c>
      <c r="O937" s="9">
        <v>46248</v>
      </c>
      <c r="P937" s="7" t="s">
        <v>2090</v>
      </c>
      <c r="Q937" s="7" t="s">
        <v>1970</v>
      </c>
      <c r="R937" s="7" t="s">
        <v>8097</v>
      </c>
      <c r="S937" s="7" t="s">
        <v>8098</v>
      </c>
      <c r="T937" s="7" t="s">
        <v>2067</v>
      </c>
      <c r="U937" s="7" t="s">
        <v>2146</v>
      </c>
      <c r="V937" s="7" t="s">
        <v>2067</v>
      </c>
      <c r="W937" s="7" t="s">
        <v>2069</v>
      </c>
    </row>
    <row r="938" spans="1:23" ht="20.100000000000001" customHeight="1" x14ac:dyDescent="0.25">
      <c r="A938" s="3" t="s">
        <v>318</v>
      </c>
      <c r="B938" s="4" t="s">
        <v>2057</v>
      </c>
      <c r="C938" s="4" t="s">
        <v>8099</v>
      </c>
      <c r="D938" s="4" t="s">
        <v>2059</v>
      </c>
      <c r="E938" s="4" t="s">
        <v>1952</v>
      </c>
      <c r="F938" s="4" t="s">
        <v>1953</v>
      </c>
      <c r="G938" s="4" t="s">
        <v>2057</v>
      </c>
      <c r="H938" s="4" t="s">
        <v>8100</v>
      </c>
      <c r="I938" s="4" t="s">
        <v>8101</v>
      </c>
      <c r="J938" s="4" t="s">
        <v>8102</v>
      </c>
      <c r="K938" s="4" t="s">
        <v>8103</v>
      </c>
      <c r="L938" s="4" t="s">
        <v>8104</v>
      </c>
      <c r="M938" s="4" t="s">
        <v>2078</v>
      </c>
      <c r="N938" s="8">
        <v>46234</v>
      </c>
      <c r="O938" s="8">
        <v>46356</v>
      </c>
      <c r="P938" s="4" t="s">
        <v>1953</v>
      </c>
      <c r="Q938" s="4" t="s">
        <v>8101</v>
      </c>
      <c r="R938" s="4" t="s">
        <v>5891</v>
      </c>
      <c r="S938" s="4" t="s">
        <v>8105</v>
      </c>
      <c r="T938" s="4" t="s">
        <v>2067</v>
      </c>
      <c r="U938" s="4" t="s">
        <v>2358</v>
      </c>
      <c r="V938" s="4" t="s">
        <v>2067</v>
      </c>
      <c r="W938" s="4" t="s">
        <v>2082</v>
      </c>
    </row>
    <row r="939" spans="1:23" ht="20.100000000000001" customHeight="1" x14ac:dyDescent="0.25">
      <c r="A939" s="6" t="s">
        <v>1142</v>
      </c>
      <c r="B939" s="7" t="s">
        <v>2057</v>
      </c>
      <c r="C939" s="7" t="s">
        <v>8106</v>
      </c>
      <c r="D939" s="7" t="s">
        <v>2059</v>
      </c>
      <c r="E939" s="7" t="s">
        <v>1947</v>
      </c>
      <c r="F939" s="7" t="s">
        <v>1948</v>
      </c>
      <c r="G939" s="7" t="s">
        <v>2057</v>
      </c>
      <c r="H939" s="7" t="s">
        <v>8107</v>
      </c>
      <c r="I939" s="7" t="s">
        <v>8108</v>
      </c>
      <c r="J939" s="7" t="s">
        <v>8109</v>
      </c>
      <c r="K939" s="7" t="s">
        <v>8110</v>
      </c>
      <c r="L939" s="7" t="s">
        <v>8111</v>
      </c>
      <c r="M939" s="7" t="s">
        <v>2064</v>
      </c>
      <c r="N939" s="9">
        <v>46052</v>
      </c>
      <c r="O939" s="9"/>
      <c r="P939" s="7" t="s">
        <v>2090</v>
      </c>
      <c r="Q939" s="7" t="s">
        <v>8108</v>
      </c>
      <c r="R939" s="7" t="s">
        <v>8112</v>
      </c>
      <c r="S939" s="7" t="s">
        <v>8113</v>
      </c>
      <c r="T939" s="7" t="s">
        <v>2067</v>
      </c>
      <c r="U939" s="7" t="s">
        <v>8114</v>
      </c>
      <c r="V939" s="7" t="s">
        <v>2067</v>
      </c>
      <c r="W939" s="7" t="s">
        <v>2069</v>
      </c>
    </row>
    <row r="940" spans="1:23" ht="20.100000000000001" customHeight="1" x14ac:dyDescent="0.25">
      <c r="A940" s="3" t="s">
        <v>1394</v>
      </c>
      <c r="B940" s="4" t="s">
        <v>2057</v>
      </c>
      <c r="C940" s="4" t="s">
        <v>8115</v>
      </c>
      <c r="D940" s="4" t="s">
        <v>2059</v>
      </c>
      <c r="E940" s="4" t="s">
        <v>1947</v>
      </c>
      <c r="F940" s="4" t="s">
        <v>1948</v>
      </c>
      <c r="G940" s="4" t="s">
        <v>2057</v>
      </c>
      <c r="H940" s="4" t="s">
        <v>8116</v>
      </c>
      <c r="I940" s="4" t="s">
        <v>8108</v>
      </c>
      <c r="J940" s="4" t="s">
        <v>8117</v>
      </c>
      <c r="K940" s="4" t="s">
        <v>8118</v>
      </c>
      <c r="L940" s="4" t="s">
        <v>8119</v>
      </c>
      <c r="M940" s="4" t="s">
        <v>2064</v>
      </c>
      <c r="N940" s="8">
        <v>42768</v>
      </c>
      <c r="O940" s="8"/>
      <c r="P940" s="4" t="s">
        <v>2090</v>
      </c>
      <c r="Q940" s="4" t="s">
        <v>8108</v>
      </c>
      <c r="R940" s="4" t="s">
        <v>8120</v>
      </c>
      <c r="S940" s="4" t="s">
        <v>8121</v>
      </c>
      <c r="T940" s="4" t="s">
        <v>2067</v>
      </c>
      <c r="U940" s="4" t="s">
        <v>8114</v>
      </c>
      <c r="V940" s="4" t="s">
        <v>2067</v>
      </c>
      <c r="W940" s="4" t="s">
        <v>2069</v>
      </c>
    </row>
    <row r="941" spans="1:23" ht="20.100000000000001" customHeight="1" x14ac:dyDescent="0.25">
      <c r="A941" s="6" t="s">
        <v>948</v>
      </c>
      <c r="B941" s="7" t="s">
        <v>2057</v>
      </c>
      <c r="C941" s="7" t="s">
        <v>8122</v>
      </c>
      <c r="D941" s="7" t="s">
        <v>2059</v>
      </c>
      <c r="E941" s="7" t="s">
        <v>1947</v>
      </c>
      <c r="F941" s="7" t="s">
        <v>1948</v>
      </c>
      <c r="G941" s="7" t="s">
        <v>2057</v>
      </c>
      <c r="H941" s="7" t="s">
        <v>8116</v>
      </c>
      <c r="I941" s="7" t="s">
        <v>8108</v>
      </c>
      <c r="J941" s="7" t="s">
        <v>8123</v>
      </c>
      <c r="K941" s="7" t="s">
        <v>8124</v>
      </c>
      <c r="L941" s="7" t="s">
        <v>8125</v>
      </c>
      <c r="M941" s="7" t="s">
        <v>2078</v>
      </c>
      <c r="N941" s="9">
        <v>46052</v>
      </c>
      <c r="O941" s="9">
        <v>46355</v>
      </c>
      <c r="P941" s="7" t="s">
        <v>2090</v>
      </c>
      <c r="Q941" s="7" t="s">
        <v>8108</v>
      </c>
      <c r="R941" s="7" t="s">
        <v>6215</v>
      </c>
      <c r="S941" s="7" t="s">
        <v>8126</v>
      </c>
      <c r="T941" s="7" t="s">
        <v>2067</v>
      </c>
      <c r="U941" s="7" t="s">
        <v>8114</v>
      </c>
      <c r="V941" s="7" t="s">
        <v>2067</v>
      </c>
      <c r="W941" s="7" t="s">
        <v>2069</v>
      </c>
    </row>
    <row r="942" spans="1:23" ht="20.100000000000001" customHeight="1" x14ac:dyDescent="0.25">
      <c r="A942" s="3" t="s">
        <v>908</v>
      </c>
      <c r="B942" s="4" t="s">
        <v>2057</v>
      </c>
      <c r="C942" s="4" t="s">
        <v>8127</v>
      </c>
      <c r="D942" s="4" t="s">
        <v>2059</v>
      </c>
      <c r="E942" s="4" t="s">
        <v>1947</v>
      </c>
      <c r="F942" s="4" t="s">
        <v>1948</v>
      </c>
      <c r="G942" s="4" t="s">
        <v>2057</v>
      </c>
      <c r="H942" s="4" t="s">
        <v>8128</v>
      </c>
      <c r="I942" s="4" t="s">
        <v>8108</v>
      </c>
      <c r="J942" s="4" t="s">
        <v>8129</v>
      </c>
      <c r="K942" s="4" t="s">
        <v>8130</v>
      </c>
      <c r="L942" s="4" t="s">
        <v>8131</v>
      </c>
      <c r="M942" s="4" t="s">
        <v>2064</v>
      </c>
      <c r="N942" s="8">
        <v>41306</v>
      </c>
      <c r="O942" s="8"/>
      <c r="P942" s="4" t="s">
        <v>2090</v>
      </c>
      <c r="Q942" s="4" t="s">
        <v>8108</v>
      </c>
      <c r="R942" s="4" t="s">
        <v>8132</v>
      </c>
      <c r="S942" s="4" t="s">
        <v>8133</v>
      </c>
      <c r="T942" s="4" t="s">
        <v>2067</v>
      </c>
      <c r="U942" s="4" t="s">
        <v>8114</v>
      </c>
      <c r="V942" s="4" t="s">
        <v>2067</v>
      </c>
      <c r="W942" s="4" t="s">
        <v>2069</v>
      </c>
    </row>
    <row r="943" spans="1:23" ht="20.100000000000001" customHeight="1" x14ac:dyDescent="0.25">
      <c r="A943" s="6" t="s">
        <v>374</v>
      </c>
      <c r="B943" s="7" t="s">
        <v>2057</v>
      </c>
      <c r="C943" s="7" t="s">
        <v>8134</v>
      </c>
      <c r="D943" s="7" t="s">
        <v>2059</v>
      </c>
      <c r="E943" s="7" t="s">
        <v>1947</v>
      </c>
      <c r="F943" s="7" t="s">
        <v>1948</v>
      </c>
      <c r="G943" s="7" t="s">
        <v>2057</v>
      </c>
      <c r="H943" s="7" t="s">
        <v>8107</v>
      </c>
      <c r="I943" s="7" t="s">
        <v>8108</v>
      </c>
      <c r="J943" s="7" t="s">
        <v>8135</v>
      </c>
      <c r="K943" s="7" t="s">
        <v>8136</v>
      </c>
      <c r="L943" s="7" t="s">
        <v>8137</v>
      </c>
      <c r="M943" s="7" t="s">
        <v>2078</v>
      </c>
      <c r="N943" s="9">
        <v>46234</v>
      </c>
      <c r="O943" s="9">
        <v>46356</v>
      </c>
      <c r="P943" s="7" t="s">
        <v>2090</v>
      </c>
      <c r="Q943" s="7" t="s">
        <v>8108</v>
      </c>
      <c r="R943" s="7" t="s">
        <v>8138</v>
      </c>
      <c r="S943" s="7" t="s">
        <v>8139</v>
      </c>
      <c r="T943" s="7" t="s">
        <v>2067</v>
      </c>
      <c r="U943" s="7" t="s">
        <v>8114</v>
      </c>
      <c r="V943" s="7" t="s">
        <v>2067</v>
      </c>
      <c r="W943" s="7" t="s">
        <v>2069</v>
      </c>
    </row>
    <row r="944" spans="1:23" ht="20.100000000000001" customHeight="1" x14ac:dyDescent="0.25">
      <c r="A944" s="3" t="s">
        <v>1160</v>
      </c>
      <c r="B944" s="4" t="s">
        <v>2057</v>
      </c>
      <c r="C944" s="4" t="s">
        <v>8140</v>
      </c>
      <c r="D944" s="4" t="s">
        <v>2059</v>
      </c>
      <c r="E944" s="4" t="s">
        <v>1947</v>
      </c>
      <c r="F944" s="4" t="s">
        <v>1948</v>
      </c>
      <c r="G944" s="4" t="s">
        <v>2057</v>
      </c>
      <c r="H944" s="4" t="s">
        <v>8141</v>
      </c>
      <c r="I944" s="4" t="s">
        <v>8108</v>
      </c>
      <c r="J944" s="4" t="s">
        <v>8142</v>
      </c>
      <c r="K944" s="4" t="s">
        <v>8143</v>
      </c>
      <c r="L944" s="4" t="s">
        <v>8144</v>
      </c>
      <c r="M944" s="4" t="s">
        <v>2064</v>
      </c>
      <c r="N944" s="8">
        <v>46052</v>
      </c>
      <c r="O944" s="8"/>
      <c r="P944" s="4" t="s">
        <v>2090</v>
      </c>
      <c r="Q944" s="4" t="s">
        <v>8108</v>
      </c>
      <c r="R944" s="4" t="s">
        <v>8145</v>
      </c>
      <c r="S944" s="4" t="s">
        <v>8146</v>
      </c>
      <c r="T944" s="4" t="s">
        <v>2067</v>
      </c>
      <c r="U944" s="4" t="s">
        <v>8114</v>
      </c>
      <c r="V944" s="4" t="s">
        <v>2067</v>
      </c>
      <c r="W944" s="4" t="s">
        <v>2069</v>
      </c>
    </row>
    <row r="945" spans="1:23" ht="20.100000000000001" customHeight="1" x14ac:dyDescent="0.25">
      <c r="A945" s="6" t="s">
        <v>1524</v>
      </c>
      <c r="B945" s="7" t="s">
        <v>2057</v>
      </c>
      <c r="C945" s="7" t="s">
        <v>8147</v>
      </c>
      <c r="D945" s="7" t="s">
        <v>2059</v>
      </c>
      <c r="E945" s="7" t="s">
        <v>1947</v>
      </c>
      <c r="F945" s="7" t="s">
        <v>1948</v>
      </c>
      <c r="G945" s="7" t="s">
        <v>2057</v>
      </c>
      <c r="H945" s="7" t="s">
        <v>8148</v>
      </c>
      <c r="I945" s="7" t="s">
        <v>8108</v>
      </c>
      <c r="J945" s="7" t="s">
        <v>8149</v>
      </c>
      <c r="K945" s="7" t="s">
        <v>8150</v>
      </c>
      <c r="L945" s="7" t="s">
        <v>8151</v>
      </c>
      <c r="M945" s="7" t="s">
        <v>2078</v>
      </c>
      <c r="N945" s="9">
        <v>46234</v>
      </c>
      <c r="O945" s="9">
        <v>46356</v>
      </c>
      <c r="P945" s="7" t="s">
        <v>2090</v>
      </c>
      <c r="Q945" s="7" t="s">
        <v>8108</v>
      </c>
      <c r="R945" s="7" t="s">
        <v>8152</v>
      </c>
      <c r="S945" s="7" t="s">
        <v>8153</v>
      </c>
      <c r="T945" s="7" t="s">
        <v>2067</v>
      </c>
      <c r="U945" s="7" t="s">
        <v>8114</v>
      </c>
      <c r="V945" s="7" t="s">
        <v>2067</v>
      </c>
      <c r="W945" s="7" t="s">
        <v>2069</v>
      </c>
    </row>
    <row r="946" spans="1:23" ht="20.100000000000001" customHeight="1" x14ac:dyDescent="0.25">
      <c r="A946" s="3" t="s">
        <v>1556</v>
      </c>
      <c r="B946" s="4" t="s">
        <v>2057</v>
      </c>
      <c r="C946" s="4" t="s">
        <v>8154</v>
      </c>
      <c r="D946" s="4" t="s">
        <v>2059</v>
      </c>
      <c r="E946" s="4" t="s">
        <v>1947</v>
      </c>
      <c r="F946" s="4" t="s">
        <v>1948</v>
      </c>
      <c r="G946" s="4" t="s">
        <v>2057</v>
      </c>
      <c r="H946" s="4" t="s">
        <v>8107</v>
      </c>
      <c r="I946" s="4" t="s">
        <v>8108</v>
      </c>
      <c r="J946" s="4" t="s">
        <v>8155</v>
      </c>
      <c r="K946" s="4" t="s">
        <v>8156</v>
      </c>
      <c r="L946" s="4" t="s">
        <v>8157</v>
      </c>
      <c r="M946" s="4" t="s">
        <v>2064</v>
      </c>
      <c r="N946" s="8">
        <v>46036</v>
      </c>
      <c r="O946" s="8"/>
      <c r="P946" s="4" t="s">
        <v>2090</v>
      </c>
      <c r="Q946" s="4" t="s">
        <v>8108</v>
      </c>
      <c r="R946" s="4" t="s">
        <v>8158</v>
      </c>
      <c r="S946" s="4" t="s">
        <v>8159</v>
      </c>
      <c r="T946" s="4" t="s">
        <v>2067</v>
      </c>
      <c r="U946" s="4" t="s">
        <v>8114</v>
      </c>
      <c r="V946" s="4" t="s">
        <v>2067</v>
      </c>
      <c r="W946" s="4" t="s">
        <v>2069</v>
      </c>
    </row>
    <row r="947" spans="1:23" ht="20.100000000000001" customHeight="1" x14ac:dyDescent="0.25">
      <c r="A947" s="6" t="s">
        <v>8160</v>
      </c>
      <c r="B947" s="7" t="s">
        <v>2057</v>
      </c>
      <c r="C947" s="7" t="s">
        <v>8161</v>
      </c>
      <c r="D947" s="7" t="s">
        <v>2059</v>
      </c>
      <c r="E947" s="7" t="s">
        <v>1947</v>
      </c>
      <c r="F947" s="7" t="s">
        <v>1948</v>
      </c>
      <c r="G947" s="7" t="s">
        <v>2057</v>
      </c>
      <c r="H947" s="7" t="s">
        <v>8107</v>
      </c>
      <c r="I947" s="7" t="s">
        <v>8108</v>
      </c>
      <c r="J947" s="7" t="s">
        <v>8162</v>
      </c>
      <c r="K947" s="7" t="s">
        <v>8163</v>
      </c>
      <c r="L947" s="7" t="s">
        <v>8164</v>
      </c>
      <c r="M947" s="7" t="s">
        <v>2078</v>
      </c>
      <c r="N947" s="9">
        <v>46234</v>
      </c>
      <c r="O947" s="9">
        <v>46356</v>
      </c>
      <c r="P947" s="7" t="s">
        <v>2090</v>
      </c>
      <c r="Q947" s="7" t="s">
        <v>8108</v>
      </c>
      <c r="R947" s="7" t="s">
        <v>8165</v>
      </c>
      <c r="S947" s="7" t="s">
        <v>8166</v>
      </c>
      <c r="T947" s="7" t="s">
        <v>2067</v>
      </c>
      <c r="U947" s="7" t="s">
        <v>8114</v>
      </c>
      <c r="V947" s="7" t="s">
        <v>2067</v>
      </c>
      <c r="W947" s="7" t="s">
        <v>2069</v>
      </c>
    </row>
    <row r="948" spans="1:23" ht="20.100000000000001" customHeight="1" x14ac:dyDescent="0.25">
      <c r="A948" s="3" t="s">
        <v>8167</v>
      </c>
      <c r="B948" s="4" t="s">
        <v>2057</v>
      </c>
      <c r="C948" s="4" t="s">
        <v>8168</v>
      </c>
      <c r="D948" s="4" t="s">
        <v>2059</v>
      </c>
      <c r="E948" s="4" t="s">
        <v>1947</v>
      </c>
      <c r="F948" s="4" t="s">
        <v>1948</v>
      </c>
      <c r="G948" s="4" t="s">
        <v>2057</v>
      </c>
      <c r="H948" s="4" t="s">
        <v>8116</v>
      </c>
      <c r="I948" s="4" t="s">
        <v>8108</v>
      </c>
      <c r="J948" s="4" t="s">
        <v>8169</v>
      </c>
      <c r="K948" s="4" t="s">
        <v>8170</v>
      </c>
      <c r="L948" s="4" t="s">
        <v>8171</v>
      </c>
      <c r="M948" s="4" t="s">
        <v>2064</v>
      </c>
      <c r="N948" s="8">
        <v>46052</v>
      </c>
      <c r="O948" s="8"/>
      <c r="P948" s="4" t="s">
        <v>2090</v>
      </c>
      <c r="Q948" s="4" t="s">
        <v>8108</v>
      </c>
      <c r="R948" s="4" t="s">
        <v>8172</v>
      </c>
      <c r="S948" s="4" t="s">
        <v>8173</v>
      </c>
      <c r="T948" s="4" t="s">
        <v>2067</v>
      </c>
      <c r="U948" s="4" t="s">
        <v>8114</v>
      </c>
      <c r="V948" s="4" t="s">
        <v>2067</v>
      </c>
      <c r="W948" s="4" t="s">
        <v>2069</v>
      </c>
    </row>
    <row r="949" spans="1:23" ht="20.100000000000001" customHeight="1" x14ac:dyDescent="0.25">
      <c r="A949" s="6" t="s">
        <v>1154</v>
      </c>
      <c r="B949" s="7" t="s">
        <v>2057</v>
      </c>
      <c r="C949" s="7" t="s">
        <v>8174</v>
      </c>
      <c r="D949" s="7" t="s">
        <v>2059</v>
      </c>
      <c r="E949" s="7" t="s">
        <v>1947</v>
      </c>
      <c r="F949" s="7" t="s">
        <v>1948</v>
      </c>
      <c r="G949" s="7" t="s">
        <v>2057</v>
      </c>
      <c r="H949" s="7" t="s">
        <v>8148</v>
      </c>
      <c r="I949" s="7" t="s">
        <v>8108</v>
      </c>
      <c r="J949" s="7" t="s">
        <v>8175</v>
      </c>
      <c r="K949" s="7" t="s">
        <v>8176</v>
      </c>
      <c r="L949" s="7" t="s">
        <v>8177</v>
      </c>
      <c r="M949" s="7" t="s">
        <v>2064</v>
      </c>
      <c r="N949" s="9">
        <v>40206</v>
      </c>
      <c r="O949" s="9"/>
      <c r="P949" s="7" t="s">
        <v>2090</v>
      </c>
      <c r="Q949" s="7" t="s">
        <v>8108</v>
      </c>
      <c r="R949" s="7" t="s">
        <v>8178</v>
      </c>
      <c r="S949" s="7" t="s">
        <v>8179</v>
      </c>
      <c r="T949" s="7" t="s">
        <v>2067</v>
      </c>
      <c r="U949" s="7" t="s">
        <v>8114</v>
      </c>
      <c r="V949" s="7" t="s">
        <v>2067</v>
      </c>
      <c r="W949" s="7" t="s">
        <v>2069</v>
      </c>
    </row>
    <row r="950" spans="1:23" ht="20.100000000000001" customHeight="1" x14ac:dyDescent="0.25">
      <c r="A950" s="3" t="s">
        <v>1612</v>
      </c>
      <c r="B950" s="4" t="s">
        <v>2057</v>
      </c>
      <c r="C950" s="4" t="s">
        <v>8180</v>
      </c>
      <c r="D950" s="4" t="s">
        <v>2059</v>
      </c>
      <c r="E950" s="4" t="s">
        <v>1947</v>
      </c>
      <c r="F950" s="4" t="s">
        <v>1948</v>
      </c>
      <c r="G950" s="4" t="s">
        <v>2057</v>
      </c>
      <c r="H950" s="4" t="s">
        <v>8107</v>
      </c>
      <c r="I950" s="4" t="s">
        <v>8108</v>
      </c>
      <c r="J950" s="4" t="s">
        <v>8181</v>
      </c>
      <c r="K950" s="4" t="s">
        <v>8182</v>
      </c>
      <c r="L950" s="4" t="s">
        <v>8183</v>
      </c>
      <c r="M950" s="4" t="s">
        <v>2078</v>
      </c>
      <c r="N950" s="8">
        <v>46234</v>
      </c>
      <c r="O950" s="8">
        <v>46356</v>
      </c>
      <c r="P950" s="4" t="s">
        <v>2090</v>
      </c>
      <c r="Q950" s="4" t="s">
        <v>8108</v>
      </c>
      <c r="R950" s="4" t="s">
        <v>8184</v>
      </c>
      <c r="S950" s="4" t="s">
        <v>8185</v>
      </c>
      <c r="T950" s="4" t="s">
        <v>2067</v>
      </c>
      <c r="U950" s="4" t="s">
        <v>8114</v>
      </c>
      <c r="V950" s="4" t="s">
        <v>2067</v>
      </c>
      <c r="W950" s="4" t="s">
        <v>2069</v>
      </c>
    </row>
    <row r="951" spans="1:23" ht="20.100000000000001" customHeight="1" x14ac:dyDescent="0.25">
      <c r="A951" s="6" t="s">
        <v>796</v>
      </c>
      <c r="B951" s="7" t="s">
        <v>2057</v>
      </c>
      <c r="C951" s="7" t="s">
        <v>8186</v>
      </c>
      <c r="D951" s="7" t="s">
        <v>2059</v>
      </c>
      <c r="E951" s="7" t="s">
        <v>1947</v>
      </c>
      <c r="F951" s="7" t="s">
        <v>1948</v>
      </c>
      <c r="G951" s="7" t="s">
        <v>2057</v>
      </c>
      <c r="H951" s="7" t="s">
        <v>8187</v>
      </c>
      <c r="I951" s="7" t="s">
        <v>8108</v>
      </c>
      <c r="J951" s="7" t="s">
        <v>8188</v>
      </c>
      <c r="K951" s="7" t="s">
        <v>8189</v>
      </c>
      <c r="L951" s="7" t="s">
        <v>8190</v>
      </c>
      <c r="M951" s="7" t="s">
        <v>2078</v>
      </c>
      <c r="N951" s="9">
        <v>46234</v>
      </c>
      <c r="O951" s="9">
        <v>46356</v>
      </c>
      <c r="P951" s="7" t="s">
        <v>2090</v>
      </c>
      <c r="Q951" s="7" t="s">
        <v>8108</v>
      </c>
      <c r="R951" s="7" t="s">
        <v>6203</v>
      </c>
      <c r="S951" s="7" t="s">
        <v>8191</v>
      </c>
      <c r="T951" s="7" t="s">
        <v>2067</v>
      </c>
      <c r="U951" s="7" t="s">
        <v>8114</v>
      </c>
      <c r="V951" s="7" t="s">
        <v>2067</v>
      </c>
      <c r="W951" s="7" t="s">
        <v>2082</v>
      </c>
    </row>
    <row r="952" spans="1:23" ht="20.100000000000001" customHeight="1" x14ac:dyDescent="0.25">
      <c r="A952" s="3" t="s">
        <v>8192</v>
      </c>
      <c r="B952" s="4" t="s">
        <v>2057</v>
      </c>
      <c r="C952" s="4" t="s">
        <v>8193</v>
      </c>
      <c r="D952" s="4" t="s">
        <v>2059</v>
      </c>
      <c r="E952" s="4" t="s">
        <v>1947</v>
      </c>
      <c r="F952" s="4" t="s">
        <v>1948</v>
      </c>
      <c r="G952" s="4" t="s">
        <v>2057</v>
      </c>
      <c r="H952" s="4" t="s">
        <v>8187</v>
      </c>
      <c r="I952" s="4" t="s">
        <v>8108</v>
      </c>
      <c r="J952" s="4" t="s">
        <v>8194</v>
      </c>
      <c r="K952" s="4" t="s">
        <v>8195</v>
      </c>
      <c r="L952" s="4" t="s">
        <v>8196</v>
      </c>
      <c r="M952" s="4" t="s">
        <v>2078</v>
      </c>
      <c r="N952" s="8">
        <v>46234</v>
      </c>
      <c r="O952" s="8">
        <v>46356</v>
      </c>
      <c r="P952" s="4" t="s">
        <v>2090</v>
      </c>
      <c r="Q952" s="4" t="s">
        <v>8108</v>
      </c>
      <c r="R952" s="4" t="s">
        <v>8197</v>
      </c>
      <c r="S952" s="4" t="s">
        <v>8198</v>
      </c>
      <c r="T952" s="4" t="s">
        <v>2067</v>
      </c>
      <c r="U952" s="4" t="s">
        <v>8114</v>
      </c>
      <c r="V952" s="4" t="s">
        <v>2067</v>
      </c>
      <c r="W952" s="4" t="s">
        <v>2082</v>
      </c>
    </row>
    <row r="953" spans="1:23" ht="20.100000000000001" customHeight="1" x14ac:dyDescent="0.25">
      <c r="A953" s="6" t="s">
        <v>32</v>
      </c>
      <c r="B953" s="7" t="s">
        <v>2057</v>
      </c>
      <c r="C953" s="7" t="s">
        <v>8199</v>
      </c>
      <c r="D953" s="7" t="s">
        <v>2059</v>
      </c>
      <c r="E953" s="7" t="s">
        <v>1947</v>
      </c>
      <c r="F953" s="7" t="s">
        <v>1948</v>
      </c>
      <c r="G953" s="7" t="s">
        <v>2057</v>
      </c>
      <c r="H953" s="7" t="s">
        <v>8187</v>
      </c>
      <c r="I953" s="7" t="s">
        <v>8108</v>
      </c>
      <c r="J953" s="7" t="s">
        <v>8200</v>
      </c>
      <c r="K953" s="7" t="s">
        <v>8201</v>
      </c>
      <c r="L953" s="7" t="s">
        <v>8202</v>
      </c>
      <c r="M953" s="7" t="s">
        <v>2078</v>
      </c>
      <c r="N953" s="9">
        <v>46234</v>
      </c>
      <c r="O953" s="9">
        <v>46356</v>
      </c>
      <c r="P953" s="7" t="s">
        <v>2090</v>
      </c>
      <c r="Q953" s="7" t="s">
        <v>8108</v>
      </c>
      <c r="R953" s="7" t="s">
        <v>8203</v>
      </c>
      <c r="S953" s="7" t="s">
        <v>8204</v>
      </c>
      <c r="T953" s="7" t="s">
        <v>2067</v>
      </c>
      <c r="U953" s="7" t="s">
        <v>2146</v>
      </c>
      <c r="V953" s="7" t="s">
        <v>2067</v>
      </c>
      <c r="W953" s="7" t="s">
        <v>2082</v>
      </c>
    </row>
    <row r="954" spans="1:23" ht="20.100000000000001" customHeight="1" x14ac:dyDescent="0.25">
      <c r="A954" s="3" t="s">
        <v>8205</v>
      </c>
      <c r="B954" s="4" t="s">
        <v>2057</v>
      </c>
      <c r="C954" s="4" t="s">
        <v>8206</v>
      </c>
      <c r="D954" s="4" t="s">
        <v>2059</v>
      </c>
      <c r="E954" s="4" t="s">
        <v>1947</v>
      </c>
      <c r="F954" s="4" t="s">
        <v>1948</v>
      </c>
      <c r="G954" s="4" t="s">
        <v>2057</v>
      </c>
      <c r="H954" s="4" t="s">
        <v>8116</v>
      </c>
      <c r="I954" s="4" t="s">
        <v>8108</v>
      </c>
      <c r="J954" s="4" t="s">
        <v>8207</v>
      </c>
      <c r="K954" s="4" t="s">
        <v>8208</v>
      </c>
      <c r="L954" s="4" t="s">
        <v>8209</v>
      </c>
      <c r="M954" s="4" t="s">
        <v>2078</v>
      </c>
      <c r="N954" s="8">
        <v>46234</v>
      </c>
      <c r="O954" s="8">
        <v>46356</v>
      </c>
      <c r="P954" s="4" t="s">
        <v>2090</v>
      </c>
      <c r="Q954" s="4" t="s">
        <v>8108</v>
      </c>
      <c r="R954" s="4" t="s">
        <v>3724</v>
      </c>
      <c r="S954" s="4" t="s">
        <v>8210</v>
      </c>
      <c r="T954" s="4" t="s">
        <v>2067</v>
      </c>
      <c r="U954" s="4" t="s">
        <v>2146</v>
      </c>
      <c r="V954" s="4" t="s">
        <v>2067</v>
      </c>
      <c r="W954" s="4" t="s">
        <v>2069</v>
      </c>
    </row>
    <row r="955" spans="1:23" ht="20.100000000000001" customHeight="1" x14ac:dyDescent="0.25">
      <c r="A955" s="6" t="s">
        <v>8211</v>
      </c>
      <c r="B955" s="7" t="s">
        <v>2057</v>
      </c>
      <c r="C955" s="7" t="s">
        <v>8212</v>
      </c>
      <c r="D955" s="7" t="s">
        <v>2059</v>
      </c>
      <c r="E955" s="7" t="s">
        <v>1947</v>
      </c>
      <c r="F955" s="7" t="s">
        <v>1948</v>
      </c>
      <c r="G955" s="7" t="s">
        <v>2057</v>
      </c>
      <c r="H955" s="7" t="s">
        <v>8187</v>
      </c>
      <c r="I955" s="7" t="s">
        <v>8108</v>
      </c>
      <c r="J955" s="7" t="s">
        <v>4649</v>
      </c>
      <c r="K955" s="7" t="s">
        <v>8213</v>
      </c>
      <c r="L955" s="7" t="s">
        <v>8214</v>
      </c>
      <c r="M955" s="7" t="s">
        <v>2078</v>
      </c>
      <c r="N955" s="9">
        <v>46237</v>
      </c>
      <c r="O955" s="9">
        <v>46356</v>
      </c>
      <c r="P955" s="7" t="s">
        <v>2090</v>
      </c>
      <c r="Q955" s="7" t="s">
        <v>8108</v>
      </c>
      <c r="R955" s="7" t="s">
        <v>8215</v>
      </c>
      <c r="S955" s="7" t="s">
        <v>8216</v>
      </c>
      <c r="T955" s="7" t="s">
        <v>2067</v>
      </c>
      <c r="U955" s="7" t="s">
        <v>2146</v>
      </c>
      <c r="V955" s="7" t="s">
        <v>2067</v>
      </c>
      <c r="W955" s="7" t="s">
        <v>2082</v>
      </c>
    </row>
    <row r="956" spans="1:23" ht="20.100000000000001" customHeight="1" x14ac:dyDescent="0.25">
      <c r="A956" s="3" t="s">
        <v>332</v>
      </c>
      <c r="B956" s="4" t="s">
        <v>2084</v>
      </c>
      <c r="C956" s="4" t="s">
        <v>8217</v>
      </c>
      <c r="D956" s="4" t="s">
        <v>2059</v>
      </c>
      <c r="E956" s="4" t="s">
        <v>1947</v>
      </c>
      <c r="F956" s="4" t="s">
        <v>1948</v>
      </c>
      <c r="G956" s="4" t="s">
        <v>2084</v>
      </c>
      <c r="H956" s="4" t="s">
        <v>8218</v>
      </c>
      <c r="I956" s="4" t="s">
        <v>8219</v>
      </c>
      <c r="J956" s="4" t="s">
        <v>8220</v>
      </c>
      <c r="K956" s="4" t="s">
        <v>8221</v>
      </c>
      <c r="L956" s="4" t="s">
        <v>8222</v>
      </c>
      <c r="M956" s="4" t="s">
        <v>2078</v>
      </c>
      <c r="N956" s="8">
        <v>45992</v>
      </c>
      <c r="O956" s="8">
        <v>46356</v>
      </c>
      <c r="P956" s="4" t="s">
        <v>2090</v>
      </c>
      <c r="Q956" s="4" t="s">
        <v>8219</v>
      </c>
      <c r="R956" s="4" t="s">
        <v>8223</v>
      </c>
      <c r="S956" s="4" t="s">
        <v>8224</v>
      </c>
      <c r="T956" s="4" t="s">
        <v>2067</v>
      </c>
      <c r="U956" s="4" t="s">
        <v>2146</v>
      </c>
      <c r="V956" s="4" t="s">
        <v>2067</v>
      </c>
      <c r="W956" s="4" t="s">
        <v>2069</v>
      </c>
    </row>
    <row r="957" spans="1:23" ht="20.100000000000001" customHeight="1" x14ac:dyDescent="0.25">
      <c r="A957" s="6" t="s">
        <v>348</v>
      </c>
      <c r="B957" s="7" t="s">
        <v>2084</v>
      </c>
      <c r="C957" s="7" t="s">
        <v>8225</v>
      </c>
      <c r="D957" s="7" t="s">
        <v>2059</v>
      </c>
      <c r="E957" s="7" t="s">
        <v>1947</v>
      </c>
      <c r="F957" s="7" t="s">
        <v>1948</v>
      </c>
      <c r="G957" s="7" t="s">
        <v>2084</v>
      </c>
      <c r="H957" s="7" t="s">
        <v>8218</v>
      </c>
      <c r="I957" s="7" t="s">
        <v>8219</v>
      </c>
      <c r="J957" s="7" t="s">
        <v>8226</v>
      </c>
      <c r="K957" s="7" t="s">
        <v>8227</v>
      </c>
      <c r="L957" s="7" t="s">
        <v>8228</v>
      </c>
      <c r="M957" s="7" t="s">
        <v>2078</v>
      </c>
      <c r="N957" s="9">
        <v>45992</v>
      </c>
      <c r="O957" s="9">
        <v>46356</v>
      </c>
      <c r="P957" s="7" t="s">
        <v>2090</v>
      </c>
      <c r="Q957" s="7" t="s">
        <v>8219</v>
      </c>
      <c r="R957" s="7" t="s">
        <v>8229</v>
      </c>
      <c r="S957" s="7" t="s">
        <v>8230</v>
      </c>
      <c r="T957" s="7" t="s">
        <v>2067</v>
      </c>
      <c r="U957" s="7" t="s">
        <v>2146</v>
      </c>
      <c r="V957" s="7" t="s">
        <v>2067</v>
      </c>
      <c r="W957" s="7" t="s">
        <v>2069</v>
      </c>
    </row>
    <row r="958" spans="1:23" ht="20.100000000000001" customHeight="1" x14ac:dyDescent="0.25">
      <c r="A958" s="3" t="s">
        <v>8231</v>
      </c>
      <c r="B958" s="4" t="s">
        <v>2084</v>
      </c>
      <c r="C958" s="4" t="s">
        <v>8232</v>
      </c>
      <c r="D958" s="4" t="s">
        <v>2059</v>
      </c>
      <c r="E958" s="4" t="s">
        <v>2673</v>
      </c>
      <c r="F958" s="4" t="s">
        <v>2674</v>
      </c>
      <c r="G958" s="4" t="s">
        <v>2084</v>
      </c>
      <c r="H958" s="4" t="s">
        <v>8218</v>
      </c>
      <c r="I958" s="4" t="s">
        <v>8219</v>
      </c>
      <c r="J958" s="4" t="s">
        <v>8233</v>
      </c>
      <c r="K958" s="4" t="s">
        <v>8234</v>
      </c>
      <c r="L958" s="4" t="s">
        <v>8235</v>
      </c>
      <c r="M958" s="4" t="s">
        <v>2078</v>
      </c>
      <c r="N958" s="8">
        <v>45992</v>
      </c>
      <c r="O958" s="8">
        <v>46356</v>
      </c>
      <c r="P958" s="4" t="s">
        <v>2674</v>
      </c>
      <c r="Q958" s="4" t="s">
        <v>8219</v>
      </c>
      <c r="R958" s="4" t="s">
        <v>8236</v>
      </c>
      <c r="S958" s="4" t="s">
        <v>8237</v>
      </c>
      <c r="T958" s="4" t="s">
        <v>2067</v>
      </c>
      <c r="U958" s="4" t="s">
        <v>2680</v>
      </c>
      <c r="V958" s="4" t="s">
        <v>2067</v>
      </c>
      <c r="W958" s="4" t="s">
        <v>2069</v>
      </c>
    </row>
    <row r="959" spans="1:23" ht="20.100000000000001" customHeight="1" x14ac:dyDescent="0.25">
      <c r="A959" s="6" t="s">
        <v>256</v>
      </c>
      <c r="B959" s="7" t="s">
        <v>2084</v>
      </c>
      <c r="C959" s="7" t="s">
        <v>8238</v>
      </c>
      <c r="D959" s="7" t="s">
        <v>2059</v>
      </c>
      <c r="E959" s="7" t="s">
        <v>7018</v>
      </c>
      <c r="F959" s="7" t="s">
        <v>7019</v>
      </c>
      <c r="G959" s="7" t="s">
        <v>2084</v>
      </c>
      <c r="H959" s="7" t="s">
        <v>8239</v>
      </c>
      <c r="I959" s="7" t="s">
        <v>8219</v>
      </c>
      <c r="J959" s="7" t="s">
        <v>8240</v>
      </c>
      <c r="K959" s="7" t="s">
        <v>8241</v>
      </c>
      <c r="L959" s="7" t="s">
        <v>8242</v>
      </c>
      <c r="M959" s="7" t="s">
        <v>2078</v>
      </c>
      <c r="N959" s="9">
        <v>45992</v>
      </c>
      <c r="O959" s="9">
        <v>46356</v>
      </c>
      <c r="P959" s="7" t="s">
        <v>7024</v>
      </c>
      <c r="Q959" s="7" t="s">
        <v>8219</v>
      </c>
      <c r="R959" s="7" t="s">
        <v>8243</v>
      </c>
      <c r="S959" s="7" t="s">
        <v>8244</v>
      </c>
      <c r="T959" s="7" t="s">
        <v>2067</v>
      </c>
      <c r="U959" s="7" t="s">
        <v>7027</v>
      </c>
      <c r="V959" s="7" t="s">
        <v>2067</v>
      </c>
      <c r="W959" s="7" t="s">
        <v>2069</v>
      </c>
    </row>
    <row r="960" spans="1:23" ht="20.100000000000001" customHeight="1" x14ac:dyDescent="0.25">
      <c r="A960" s="3" t="s">
        <v>238</v>
      </c>
      <c r="B960" s="4" t="s">
        <v>2084</v>
      </c>
      <c r="C960" s="4" t="s">
        <v>8245</v>
      </c>
      <c r="D960" s="4" t="s">
        <v>2059</v>
      </c>
      <c r="E960" s="4" t="s">
        <v>6128</v>
      </c>
      <c r="F960" s="4" t="s">
        <v>6129</v>
      </c>
      <c r="G960" s="4" t="s">
        <v>2084</v>
      </c>
      <c r="H960" s="4" t="s">
        <v>8218</v>
      </c>
      <c r="I960" s="4" t="s">
        <v>8219</v>
      </c>
      <c r="J960" s="4" t="s">
        <v>8246</v>
      </c>
      <c r="K960" s="4" t="s">
        <v>8247</v>
      </c>
      <c r="L960" s="4" t="s">
        <v>8248</v>
      </c>
      <c r="M960" s="4" t="s">
        <v>2078</v>
      </c>
      <c r="N960" s="8">
        <v>45992</v>
      </c>
      <c r="O960" s="8">
        <v>46356</v>
      </c>
      <c r="P960" s="4" t="s">
        <v>6129</v>
      </c>
      <c r="Q960" s="4" t="s">
        <v>8219</v>
      </c>
      <c r="R960" s="4" t="s">
        <v>8249</v>
      </c>
      <c r="S960" s="4" t="s">
        <v>8250</v>
      </c>
      <c r="T960" s="4" t="s">
        <v>2067</v>
      </c>
      <c r="U960" s="4" t="s">
        <v>6135</v>
      </c>
      <c r="V960" s="4" t="s">
        <v>2067</v>
      </c>
      <c r="W960" s="4" t="s">
        <v>2069</v>
      </c>
    </row>
    <row r="961" spans="1:23" ht="20.100000000000001" customHeight="1" x14ac:dyDescent="0.25">
      <c r="A961" s="6" t="s">
        <v>294</v>
      </c>
      <c r="B961" s="7" t="s">
        <v>2084</v>
      </c>
      <c r="C961" s="7" t="s">
        <v>8251</v>
      </c>
      <c r="D961" s="7" t="s">
        <v>2059</v>
      </c>
      <c r="E961" s="7" t="s">
        <v>1947</v>
      </c>
      <c r="F961" s="7" t="s">
        <v>1948</v>
      </c>
      <c r="G961" s="7" t="s">
        <v>2084</v>
      </c>
      <c r="H961" s="7" t="s">
        <v>8218</v>
      </c>
      <c r="I961" s="7" t="s">
        <v>8219</v>
      </c>
      <c r="J961" s="7" t="s">
        <v>8252</v>
      </c>
      <c r="K961" s="7" t="s">
        <v>8253</v>
      </c>
      <c r="L961" s="7" t="s">
        <v>8254</v>
      </c>
      <c r="M961" s="7" t="s">
        <v>2078</v>
      </c>
      <c r="N961" s="9">
        <v>45992</v>
      </c>
      <c r="O961" s="9">
        <v>46356</v>
      </c>
      <c r="P961" s="7" t="s">
        <v>2090</v>
      </c>
      <c r="Q961" s="7" t="s">
        <v>8219</v>
      </c>
      <c r="R961" s="7" t="s">
        <v>8255</v>
      </c>
      <c r="S961" s="7" t="s">
        <v>8256</v>
      </c>
      <c r="T961" s="7" t="s">
        <v>2067</v>
      </c>
      <c r="U961" s="7" t="s">
        <v>2146</v>
      </c>
      <c r="V961" s="7" t="s">
        <v>2067</v>
      </c>
      <c r="W961" s="7" t="s">
        <v>2069</v>
      </c>
    </row>
    <row r="962" spans="1:23" ht="20.100000000000001" customHeight="1" x14ac:dyDescent="0.25">
      <c r="A962" s="3" t="s">
        <v>452</v>
      </c>
      <c r="B962" s="4" t="s">
        <v>2084</v>
      </c>
      <c r="C962" s="4" t="s">
        <v>8257</v>
      </c>
      <c r="D962" s="4" t="s">
        <v>2059</v>
      </c>
      <c r="E962" s="4" t="s">
        <v>7018</v>
      </c>
      <c r="F962" s="4" t="s">
        <v>7019</v>
      </c>
      <c r="G962" s="4" t="s">
        <v>2084</v>
      </c>
      <c r="H962" s="4" t="s">
        <v>8258</v>
      </c>
      <c r="I962" s="4" t="s">
        <v>8219</v>
      </c>
      <c r="J962" s="4" t="s">
        <v>8259</v>
      </c>
      <c r="K962" s="4" t="s">
        <v>8260</v>
      </c>
      <c r="L962" s="4" t="s">
        <v>8261</v>
      </c>
      <c r="M962" s="4" t="s">
        <v>2078</v>
      </c>
      <c r="N962" s="8">
        <v>45992</v>
      </c>
      <c r="O962" s="8">
        <v>46356</v>
      </c>
      <c r="P962" s="4" t="s">
        <v>7024</v>
      </c>
      <c r="Q962" s="4" t="s">
        <v>8219</v>
      </c>
      <c r="R962" s="4" t="s">
        <v>8262</v>
      </c>
      <c r="S962" s="4" t="s">
        <v>8263</v>
      </c>
      <c r="T962" s="4" t="s">
        <v>2067</v>
      </c>
      <c r="U962" s="4" t="s">
        <v>7027</v>
      </c>
      <c r="V962" s="4" t="s">
        <v>2067</v>
      </c>
      <c r="W962" s="4" t="s">
        <v>2069</v>
      </c>
    </row>
    <row r="963" spans="1:23" ht="20.100000000000001" customHeight="1" x14ac:dyDescent="0.25">
      <c r="A963" s="6" t="s">
        <v>1764</v>
      </c>
      <c r="B963" s="7" t="s">
        <v>2084</v>
      </c>
      <c r="C963" s="7" t="s">
        <v>8264</v>
      </c>
      <c r="D963" s="7" t="s">
        <v>2059</v>
      </c>
      <c r="E963" s="7" t="s">
        <v>1947</v>
      </c>
      <c r="F963" s="7" t="s">
        <v>1948</v>
      </c>
      <c r="G963" s="7" t="s">
        <v>2084</v>
      </c>
      <c r="H963" s="7" t="s">
        <v>8218</v>
      </c>
      <c r="I963" s="7" t="s">
        <v>8219</v>
      </c>
      <c r="J963" s="7" t="s">
        <v>8265</v>
      </c>
      <c r="K963" s="7" t="s">
        <v>8266</v>
      </c>
      <c r="L963" s="7" t="s">
        <v>8267</v>
      </c>
      <c r="M963" s="7" t="s">
        <v>2078</v>
      </c>
      <c r="N963" s="9">
        <v>45992</v>
      </c>
      <c r="O963" s="9">
        <v>46356</v>
      </c>
      <c r="P963" s="7" t="s">
        <v>2090</v>
      </c>
      <c r="Q963" s="7" t="s">
        <v>8219</v>
      </c>
      <c r="R963" s="7" t="s">
        <v>8268</v>
      </c>
      <c r="S963" s="7" t="s">
        <v>8269</v>
      </c>
      <c r="T963" s="7" t="s">
        <v>2067</v>
      </c>
      <c r="U963" s="7" t="s">
        <v>2146</v>
      </c>
      <c r="V963" s="7" t="s">
        <v>2067</v>
      </c>
      <c r="W963" s="7" t="s">
        <v>2069</v>
      </c>
    </row>
    <row r="964" spans="1:23" ht="20.100000000000001" customHeight="1" x14ac:dyDescent="0.25">
      <c r="A964" s="3" t="s">
        <v>366</v>
      </c>
      <c r="B964" s="4" t="s">
        <v>2084</v>
      </c>
      <c r="C964" s="4" t="s">
        <v>8270</v>
      </c>
      <c r="D964" s="4" t="s">
        <v>2059</v>
      </c>
      <c r="E964" s="4" t="s">
        <v>1947</v>
      </c>
      <c r="F964" s="4" t="s">
        <v>1948</v>
      </c>
      <c r="G964" s="4" t="s">
        <v>2084</v>
      </c>
      <c r="H964" s="4" t="s">
        <v>8218</v>
      </c>
      <c r="I964" s="4" t="s">
        <v>8219</v>
      </c>
      <c r="J964" s="4" t="s">
        <v>8271</v>
      </c>
      <c r="K964" s="4" t="s">
        <v>8272</v>
      </c>
      <c r="L964" s="4" t="s">
        <v>8273</v>
      </c>
      <c r="M964" s="4" t="s">
        <v>2078</v>
      </c>
      <c r="N964" s="8">
        <v>45992</v>
      </c>
      <c r="O964" s="8">
        <v>46356</v>
      </c>
      <c r="P964" s="4" t="s">
        <v>2090</v>
      </c>
      <c r="Q964" s="4" t="s">
        <v>8219</v>
      </c>
      <c r="R964" s="4" t="s">
        <v>8274</v>
      </c>
      <c r="S964" s="4" t="s">
        <v>8275</v>
      </c>
      <c r="T964" s="4" t="s">
        <v>2067</v>
      </c>
      <c r="U964" s="4" t="s">
        <v>2146</v>
      </c>
      <c r="V964" s="4" t="s">
        <v>2067</v>
      </c>
      <c r="W964" s="4" t="s">
        <v>2069</v>
      </c>
    </row>
    <row r="965" spans="1:23" ht="20.100000000000001" customHeight="1" x14ac:dyDescent="0.25">
      <c r="A965" s="6" t="s">
        <v>444</v>
      </c>
      <c r="B965" s="7" t="s">
        <v>2084</v>
      </c>
      <c r="C965" s="7" t="s">
        <v>8276</v>
      </c>
      <c r="D965" s="7" t="s">
        <v>2059</v>
      </c>
      <c r="E965" s="7" t="s">
        <v>3064</v>
      </c>
      <c r="F965" s="7" t="s">
        <v>3065</v>
      </c>
      <c r="G965" s="7" t="s">
        <v>2084</v>
      </c>
      <c r="H965" s="7" t="s">
        <v>8218</v>
      </c>
      <c r="I965" s="7" t="s">
        <v>8219</v>
      </c>
      <c r="J965" s="7" t="s">
        <v>8277</v>
      </c>
      <c r="K965" s="7" t="s">
        <v>8278</v>
      </c>
      <c r="L965" s="7" t="s">
        <v>8279</v>
      </c>
      <c r="M965" s="7" t="s">
        <v>2078</v>
      </c>
      <c r="N965" s="9">
        <v>45992</v>
      </c>
      <c r="O965" s="9">
        <v>46356</v>
      </c>
      <c r="P965" s="7" t="s">
        <v>3065</v>
      </c>
      <c r="Q965" s="7" t="s">
        <v>8219</v>
      </c>
      <c r="R965" s="7" t="s">
        <v>5007</v>
      </c>
      <c r="S965" s="7" t="s">
        <v>8280</v>
      </c>
      <c r="T965" s="7" t="s">
        <v>2067</v>
      </c>
      <c r="U965" s="7" t="s">
        <v>3073</v>
      </c>
      <c r="V965" s="7" t="s">
        <v>2067</v>
      </c>
      <c r="W965" s="7" t="s">
        <v>2069</v>
      </c>
    </row>
    <row r="966" spans="1:23" ht="20.100000000000001" customHeight="1" x14ac:dyDescent="0.25">
      <c r="A966" s="3" t="s">
        <v>1618</v>
      </c>
      <c r="B966" s="4" t="s">
        <v>2084</v>
      </c>
      <c r="C966" s="4" t="s">
        <v>8281</v>
      </c>
      <c r="D966" s="4" t="s">
        <v>2059</v>
      </c>
      <c r="E966" s="4" t="s">
        <v>1947</v>
      </c>
      <c r="F966" s="4" t="s">
        <v>1948</v>
      </c>
      <c r="G966" s="4" t="s">
        <v>2084</v>
      </c>
      <c r="H966" s="4" t="s">
        <v>8218</v>
      </c>
      <c r="I966" s="4" t="s">
        <v>8219</v>
      </c>
      <c r="J966" s="4" t="s">
        <v>8282</v>
      </c>
      <c r="K966" s="4" t="s">
        <v>8283</v>
      </c>
      <c r="L966" s="4" t="s">
        <v>8284</v>
      </c>
      <c r="M966" s="4" t="s">
        <v>2078</v>
      </c>
      <c r="N966" s="8">
        <v>45992</v>
      </c>
      <c r="O966" s="8">
        <v>46356</v>
      </c>
      <c r="P966" s="4" t="s">
        <v>2090</v>
      </c>
      <c r="Q966" s="4" t="s">
        <v>8219</v>
      </c>
      <c r="R966" s="4" t="s">
        <v>8285</v>
      </c>
      <c r="S966" s="4" t="s">
        <v>8286</v>
      </c>
      <c r="T966" s="4" t="s">
        <v>2067</v>
      </c>
      <c r="U966" s="4" t="s">
        <v>2146</v>
      </c>
      <c r="V966" s="4" t="s">
        <v>2067</v>
      </c>
      <c r="W966" s="4" t="s">
        <v>2069</v>
      </c>
    </row>
    <row r="967" spans="1:23" ht="20.100000000000001" customHeight="1" x14ac:dyDescent="0.25">
      <c r="A967" s="6" t="s">
        <v>1594</v>
      </c>
      <c r="B967" s="7" t="s">
        <v>2084</v>
      </c>
      <c r="C967" s="7" t="s">
        <v>8287</v>
      </c>
      <c r="D967" s="7" t="s">
        <v>2059</v>
      </c>
      <c r="E967" s="7" t="s">
        <v>1983</v>
      </c>
      <c r="F967" s="7" t="s">
        <v>1984</v>
      </c>
      <c r="G967" s="7" t="s">
        <v>2084</v>
      </c>
      <c r="H967" s="7" t="s">
        <v>8218</v>
      </c>
      <c r="I967" s="7" t="s">
        <v>8219</v>
      </c>
      <c r="J967" s="7" t="s">
        <v>8288</v>
      </c>
      <c r="K967" s="7" t="s">
        <v>8289</v>
      </c>
      <c r="L967" s="7" t="s">
        <v>8290</v>
      </c>
      <c r="M967" s="7" t="s">
        <v>2078</v>
      </c>
      <c r="N967" s="9">
        <v>45992</v>
      </c>
      <c r="O967" s="9">
        <v>46356</v>
      </c>
      <c r="P967" s="7" t="s">
        <v>2493</v>
      </c>
      <c r="Q967" s="7" t="s">
        <v>8219</v>
      </c>
      <c r="R967" s="7" t="s">
        <v>8291</v>
      </c>
      <c r="S967" s="7" t="s">
        <v>8292</v>
      </c>
      <c r="T967" s="7" t="s">
        <v>2067</v>
      </c>
      <c r="U967" s="7" t="s">
        <v>2496</v>
      </c>
      <c r="V967" s="7" t="s">
        <v>2067</v>
      </c>
      <c r="W967" s="7" t="s">
        <v>2069</v>
      </c>
    </row>
    <row r="968" spans="1:23" ht="20.100000000000001" customHeight="1" x14ac:dyDescent="0.25">
      <c r="A968" s="3" t="s">
        <v>612</v>
      </c>
      <c r="B968" s="4" t="s">
        <v>2084</v>
      </c>
      <c r="C968" s="4" t="s">
        <v>8293</v>
      </c>
      <c r="D968" s="4" t="s">
        <v>2059</v>
      </c>
      <c r="E968" s="4" t="s">
        <v>6137</v>
      </c>
      <c r="F968" s="4" t="s">
        <v>6138</v>
      </c>
      <c r="G968" s="4" t="s">
        <v>2084</v>
      </c>
      <c r="H968" s="4" t="s">
        <v>8294</v>
      </c>
      <c r="I968" s="4" t="s">
        <v>8219</v>
      </c>
      <c r="J968" s="4" t="s">
        <v>8295</v>
      </c>
      <c r="K968" s="4" t="s">
        <v>8296</v>
      </c>
      <c r="L968" s="4" t="s">
        <v>8297</v>
      </c>
      <c r="M968" s="4" t="s">
        <v>2078</v>
      </c>
      <c r="N968" s="8">
        <v>45992</v>
      </c>
      <c r="O968" s="8">
        <v>46356</v>
      </c>
      <c r="P968" s="4" t="s">
        <v>6142</v>
      </c>
      <c r="Q968" s="4" t="s">
        <v>8219</v>
      </c>
      <c r="R968" s="4" t="s">
        <v>3454</v>
      </c>
      <c r="S968" s="4" t="s">
        <v>8298</v>
      </c>
      <c r="T968" s="4" t="s">
        <v>2067</v>
      </c>
      <c r="U968" s="4" t="s">
        <v>6145</v>
      </c>
      <c r="V968" s="4" t="s">
        <v>2067</v>
      </c>
      <c r="W968" s="4" t="s">
        <v>2069</v>
      </c>
    </row>
    <row r="969" spans="1:23" ht="20.100000000000001" customHeight="1" x14ac:dyDescent="0.25">
      <c r="A969" s="6" t="s">
        <v>600</v>
      </c>
      <c r="B969" s="7" t="s">
        <v>2084</v>
      </c>
      <c r="C969" s="7" t="s">
        <v>8299</v>
      </c>
      <c r="D969" s="7" t="s">
        <v>2059</v>
      </c>
      <c r="E969" s="7" t="s">
        <v>3520</v>
      </c>
      <c r="F969" s="7" t="s">
        <v>3521</v>
      </c>
      <c r="G969" s="7" t="s">
        <v>2084</v>
      </c>
      <c r="H969" s="7" t="s">
        <v>8239</v>
      </c>
      <c r="I969" s="7" t="s">
        <v>8219</v>
      </c>
      <c r="J969" s="7" t="s">
        <v>8300</v>
      </c>
      <c r="K969" s="7" t="s">
        <v>8301</v>
      </c>
      <c r="L969" s="7" t="s">
        <v>8302</v>
      </c>
      <c r="M969" s="7" t="s">
        <v>2078</v>
      </c>
      <c r="N969" s="9">
        <v>45992</v>
      </c>
      <c r="O969" s="9">
        <v>46356</v>
      </c>
      <c r="P969" s="7" t="s">
        <v>3521</v>
      </c>
      <c r="Q969" s="7" t="s">
        <v>8219</v>
      </c>
      <c r="R969" s="7" t="s">
        <v>7138</v>
      </c>
      <c r="S969" s="7" t="s">
        <v>8303</v>
      </c>
      <c r="T969" s="7" t="s">
        <v>2067</v>
      </c>
      <c r="U969" s="7" t="s">
        <v>3527</v>
      </c>
      <c r="V969" s="7" t="s">
        <v>2067</v>
      </c>
      <c r="W969" s="7" t="s">
        <v>2069</v>
      </c>
    </row>
    <row r="970" spans="1:23" ht="20.100000000000001" customHeight="1" x14ac:dyDescent="0.25">
      <c r="A970" s="3" t="s">
        <v>640</v>
      </c>
      <c r="B970" s="4" t="s">
        <v>2084</v>
      </c>
      <c r="C970" s="4" t="s">
        <v>8304</v>
      </c>
      <c r="D970" s="4" t="s">
        <v>2059</v>
      </c>
      <c r="E970" s="4" t="s">
        <v>6137</v>
      </c>
      <c r="F970" s="4" t="s">
        <v>6138</v>
      </c>
      <c r="G970" s="4" t="s">
        <v>2084</v>
      </c>
      <c r="H970" s="4" t="s">
        <v>8305</v>
      </c>
      <c r="I970" s="4" t="s">
        <v>8219</v>
      </c>
      <c r="J970" s="4" t="s">
        <v>8306</v>
      </c>
      <c r="K970" s="4" t="s">
        <v>8307</v>
      </c>
      <c r="L970" s="4" t="s">
        <v>8308</v>
      </c>
      <c r="M970" s="4" t="s">
        <v>2078</v>
      </c>
      <c r="N970" s="8">
        <v>46234</v>
      </c>
      <c r="O970" s="8">
        <v>46356</v>
      </c>
      <c r="P970" s="4" t="s">
        <v>6142</v>
      </c>
      <c r="Q970" s="4" t="s">
        <v>8219</v>
      </c>
      <c r="R970" s="4" t="s">
        <v>8309</v>
      </c>
      <c r="S970" s="4" t="s">
        <v>8310</v>
      </c>
      <c r="T970" s="4" t="s">
        <v>2067</v>
      </c>
      <c r="U970" s="4" t="s">
        <v>6145</v>
      </c>
      <c r="V970" s="4" t="s">
        <v>2067</v>
      </c>
      <c r="W970" s="4" t="s">
        <v>2082</v>
      </c>
    </row>
    <row r="971" spans="1:23" ht="20.100000000000001" customHeight="1" x14ac:dyDescent="0.25">
      <c r="A971" s="6" t="s">
        <v>852</v>
      </c>
      <c r="B971" s="7" t="s">
        <v>2057</v>
      </c>
      <c r="C971" s="7" t="s">
        <v>8311</v>
      </c>
      <c r="D971" s="7" t="s">
        <v>2059</v>
      </c>
      <c r="E971" s="7" t="s">
        <v>1947</v>
      </c>
      <c r="F971" s="7" t="s">
        <v>1948</v>
      </c>
      <c r="G971" s="7" t="s">
        <v>2057</v>
      </c>
      <c r="H971" s="7" t="s">
        <v>8312</v>
      </c>
      <c r="I971" s="7" t="s">
        <v>8313</v>
      </c>
      <c r="J971" s="7" t="s">
        <v>8314</v>
      </c>
      <c r="K971" s="7" t="s">
        <v>8315</v>
      </c>
      <c r="L971" s="7" t="s">
        <v>8316</v>
      </c>
      <c r="M971" s="7" t="s">
        <v>2078</v>
      </c>
      <c r="N971" s="9">
        <v>46234</v>
      </c>
      <c r="O971" s="9">
        <v>46356</v>
      </c>
      <c r="P971" s="7" t="s">
        <v>2090</v>
      </c>
      <c r="Q971" s="7" t="s">
        <v>8313</v>
      </c>
      <c r="R971" s="7" t="s">
        <v>8317</v>
      </c>
      <c r="S971" s="7" t="s">
        <v>8318</v>
      </c>
      <c r="T971" s="7" t="s">
        <v>2067</v>
      </c>
      <c r="U971" s="7" t="s">
        <v>2146</v>
      </c>
      <c r="V971" s="7" t="s">
        <v>2067</v>
      </c>
      <c r="W971" s="7" t="s">
        <v>2082</v>
      </c>
    </row>
    <row r="972" spans="1:23" ht="20.100000000000001" customHeight="1" x14ac:dyDescent="0.25">
      <c r="A972" s="3" t="s">
        <v>216</v>
      </c>
      <c r="B972" s="4" t="s">
        <v>2057</v>
      </c>
      <c r="C972" s="4" t="s">
        <v>8319</v>
      </c>
      <c r="D972" s="4" t="s">
        <v>2059</v>
      </c>
      <c r="E972" s="4" t="s">
        <v>1947</v>
      </c>
      <c r="F972" s="4" t="s">
        <v>1948</v>
      </c>
      <c r="G972" s="4" t="s">
        <v>2057</v>
      </c>
      <c r="H972" s="4" t="s">
        <v>8320</v>
      </c>
      <c r="I972" s="4" t="s">
        <v>8313</v>
      </c>
      <c r="J972" s="4" t="s">
        <v>8321</v>
      </c>
      <c r="K972" s="4" t="s">
        <v>8322</v>
      </c>
      <c r="L972" s="4" t="s">
        <v>8323</v>
      </c>
      <c r="M972" s="4" t="s">
        <v>2078</v>
      </c>
      <c r="N972" s="8">
        <v>46234</v>
      </c>
      <c r="O972" s="8">
        <v>46356</v>
      </c>
      <c r="P972" s="4" t="s">
        <v>1941</v>
      </c>
      <c r="Q972" s="4" t="s">
        <v>8313</v>
      </c>
      <c r="R972" s="4" t="s">
        <v>5129</v>
      </c>
      <c r="S972" s="4" t="s">
        <v>8324</v>
      </c>
      <c r="T972" s="4" t="s">
        <v>2067</v>
      </c>
      <c r="U972" s="4" t="s">
        <v>2068</v>
      </c>
      <c r="V972" s="4" t="s">
        <v>2067</v>
      </c>
      <c r="W972" s="4" t="s">
        <v>2082</v>
      </c>
    </row>
    <row r="973" spans="1:23" ht="20.100000000000001" customHeight="1" x14ac:dyDescent="0.25">
      <c r="A973" s="6" t="s">
        <v>8325</v>
      </c>
      <c r="B973" s="7" t="s">
        <v>2057</v>
      </c>
      <c r="C973" s="7" t="s">
        <v>8326</v>
      </c>
      <c r="D973" s="7" t="s">
        <v>2059</v>
      </c>
      <c r="E973" s="7" t="s">
        <v>2189</v>
      </c>
      <c r="F973" s="7" t="s">
        <v>2190</v>
      </c>
      <c r="G973" s="7" t="s">
        <v>2057</v>
      </c>
      <c r="H973" s="7" t="s">
        <v>8327</v>
      </c>
      <c r="I973" s="7" t="s">
        <v>8313</v>
      </c>
      <c r="J973" s="7" t="s">
        <v>8328</v>
      </c>
      <c r="K973" s="7" t="s">
        <v>8329</v>
      </c>
      <c r="L973" s="7" t="s">
        <v>8330</v>
      </c>
      <c r="M973" s="7" t="s">
        <v>2078</v>
      </c>
      <c r="N973" s="9">
        <v>46234</v>
      </c>
      <c r="O973" s="9">
        <v>46356</v>
      </c>
      <c r="P973" s="7" t="s">
        <v>2195</v>
      </c>
      <c r="Q973" s="7" t="s">
        <v>8313</v>
      </c>
      <c r="R973" s="7" t="s">
        <v>8331</v>
      </c>
      <c r="S973" s="7" t="s">
        <v>8332</v>
      </c>
      <c r="T973" s="7" t="s">
        <v>2067</v>
      </c>
      <c r="U973" s="7" t="s">
        <v>2198</v>
      </c>
      <c r="V973" s="7" t="s">
        <v>2067</v>
      </c>
      <c r="W973" s="7" t="s">
        <v>2082</v>
      </c>
    </row>
    <row r="974" spans="1:23" ht="20.100000000000001" customHeight="1" x14ac:dyDescent="0.25">
      <c r="A974" s="3" t="s">
        <v>630</v>
      </c>
      <c r="B974" s="4" t="s">
        <v>2084</v>
      </c>
      <c r="C974" s="4" t="s">
        <v>8333</v>
      </c>
      <c r="D974" s="4" t="s">
        <v>2059</v>
      </c>
      <c r="E974" s="4" t="s">
        <v>4160</v>
      </c>
      <c r="F974" s="4" t="s">
        <v>4161</v>
      </c>
      <c r="G974" s="4" t="s">
        <v>2084</v>
      </c>
      <c r="H974" s="4" t="s">
        <v>8334</v>
      </c>
      <c r="I974" s="4" t="s">
        <v>8313</v>
      </c>
      <c r="J974" s="4" t="s">
        <v>8335</v>
      </c>
      <c r="K974" s="4" t="s">
        <v>8336</v>
      </c>
      <c r="L974" s="4" t="s">
        <v>8337</v>
      </c>
      <c r="M974" s="4" t="s">
        <v>2078</v>
      </c>
      <c r="N974" s="8">
        <v>46234</v>
      </c>
      <c r="O974" s="8">
        <v>46356</v>
      </c>
      <c r="P974" s="4" t="s">
        <v>4161</v>
      </c>
      <c r="Q974" s="4" t="s">
        <v>8313</v>
      </c>
      <c r="R974" s="4" t="s">
        <v>8338</v>
      </c>
      <c r="S974" s="4" t="s">
        <v>8339</v>
      </c>
      <c r="T974" s="4" t="s">
        <v>2067</v>
      </c>
      <c r="U974" s="4" t="s">
        <v>4167</v>
      </c>
      <c r="V974" s="4" t="s">
        <v>2067</v>
      </c>
      <c r="W974" s="4" t="s">
        <v>2082</v>
      </c>
    </row>
    <row r="975" spans="1:23" ht="20.100000000000001" customHeight="1" x14ac:dyDescent="0.25">
      <c r="A975" s="6" t="s">
        <v>518</v>
      </c>
      <c r="B975" s="7" t="s">
        <v>2057</v>
      </c>
      <c r="C975" s="7" t="s">
        <v>8340</v>
      </c>
      <c r="D975" s="7" t="s">
        <v>2059</v>
      </c>
      <c r="E975" s="7" t="s">
        <v>1952</v>
      </c>
      <c r="F975" s="7" t="s">
        <v>1953</v>
      </c>
      <c r="G975" s="7" t="s">
        <v>2057</v>
      </c>
      <c r="H975" s="7" t="s">
        <v>8320</v>
      </c>
      <c r="I975" s="7" t="s">
        <v>8313</v>
      </c>
      <c r="J975" s="7" t="s">
        <v>8341</v>
      </c>
      <c r="K975" s="7" t="s">
        <v>8342</v>
      </c>
      <c r="L975" s="7" t="s">
        <v>8343</v>
      </c>
      <c r="M975" s="7" t="s">
        <v>2078</v>
      </c>
      <c r="N975" s="9">
        <v>46234</v>
      </c>
      <c r="O975" s="9">
        <v>46356</v>
      </c>
      <c r="P975" s="7" t="s">
        <v>1953</v>
      </c>
      <c r="Q975" s="7" t="s">
        <v>8313</v>
      </c>
      <c r="R975" s="7" t="s">
        <v>3717</v>
      </c>
      <c r="S975" s="7" t="s">
        <v>8344</v>
      </c>
      <c r="T975" s="7" t="s">
        <v>2067</v>
      </c>
      <c r="U975" s="7" t="s">
        <v>2358</v>
      </c>
      <c r="V975" s="7" t="s">
        <v>2067</v>
      </c>
      <c r="W975" s="7" t="s">
        <v>2082</v>
      </c>
    </row>
    <row r="976" spans="1:23" ht="20.100000000000001" customHeight="1" x14ac:dyDescent="0.25">
      <c r="A976" s="3" t="s">
        <v>1488</v>
      </c>
      <c r="B976" s="4" t="s">
        <v>2084</v>
      </c>
      <c r="C976" s="4" t="s">
        <v>8345</v>
      </c>
      <c r="D976" s="4" t="s">
        <v>2059</v>
      </c>
      <c r="E976" s="4" t="s">
        <v>1947</v>
      </c>
      <c r="F976" s="4" t="s">
        <v>1948</v>
      </c>
      <c r="G976" s="4" t="s">
        <v>2084</v>
      </c>
      <c r="H976" s="4" t="s">
        <v>8334</v>
      </c>
      <c r="I976" s="4" t="s">
        <v>8313</v>
      </c>
      <c r="J976" s="4" t="s">
        <v>8346</v>
      </c>
      <c r="K976" s="4" t="s">
        <v>8347</v>
      </c>
      <c r="L976" s="4" t="s">
        <v>8348</v>
      </c>
      <c r="M976" s="4" t="s">
        <v>2078</v>
      </c>
      <c r="N976" s="8">
        <v>46234</v>
      </c>
      <c r="O976" s="8">
        <v>46356</v>
      </c>
      <c r="P976" s="4" t="s">
        <v>2090</v>
      </c>
      <c r="Q976" s="4" t="s">
        <v>8313</v>
      </c>
      <c r="R976" s="4" t="s">
        <v>8349</v>
      </c>
      <c r="S976" s="4" t="s">
        <v>8350</v>
      </c>
      <c r="T976" s="4" t="s">
        <v>2067</v>
      </c>
      <c r="U976" s="4" t="s">
        <v>2146</v>
      </c>
      <c r="V976" s="4" t="s">
        <v>2067</v>
      </c>
      <c r="W976" s="4" t="s">
        <v>2082</v>
      </c>
    </row>
    <row r="977" spans="1:23" ht="20.100000000000001" customHeight="1" x14ac:dyDescent="0.25">
      <c r="A977" s="6" t="s">
        <v>1610</v>
      </c>
      <c r="B977" s="7" t="s">
        <v>2084</v>
      </c>
      <c r="C977" s="7" t="s">
        <v>8351</v>
      </c>
      <c r="D977" s="7" t="s">
        <v>2059</v>
      </c>
      <c r="E977" s="7" t="s">
        <v>1947</v>
      </c>
      <c r="F977" s="7" t="s">
        <v>1948</v>
      </c>
      <c r="G977" s="7" t="s">
        <v>2084</v>
      </c>
      <c r="H977" s="7" t="s">
        <v>8352</v>
      </c>
      <c r="I977" s="7" t="s">
        <v>8313</v>
      </c>
      <c r="J977" s="7" t="s">
        <v>8353</v>
      </c>
      <c r="K977" s="7" t="s">
        <v>8354</v>
      </c>
      <c r="L977" s="7" t="s">
        <v>8355</v>
      </c>
      <c r="M977" s="7" t="s">
        <v>2078</v>
      </c>
      <c r="N977" s="9">
        <v>46234</v>
      </c>
      <c r="O977" s="9">
        <v>46356</v>
      </c>
      <c r="P977" s="7" t="s">
        <v>2090</v>
      </c>
      <c r="Q977" s="7" t="s">
        <v>8313</v>
      </c>
      <c r="R977" s="7" t="s">
        <v>4874</v>
      </c>
      <c r="S977" s="7" t="s">
        <v>8356</v>
      </c>
      <c r="T977" s="7" t="s">
        <v>2067</v>
      </c>
      <c r="U977" s="7" t="s">
        <v>2146</v>
      </c>
      <c r="V977" s="7" t="s">
        <v>2067</v>
      </c>
      <c r="W977" s="7" t="s">
        <v>2082</v>
      </c>
    </row>
    <row r="978" spans="1:23" ht="20.100000000000001" customHeight="1" x14ac:dyDescent="0.25">
      <c r="A978" s="3" t="s">
        <v>502</v>
      </c>
      <c r="B978" s="4" t="s">
        <v>2057</v>
      </c>
      <c r="C978" s="4" t="s">
        <v>8357</v>
      </c>
      <c r="D978" s="4" t="s">
        <v>2059</v>
      </c>
      <c r="E978" s="4" t="s">
        <v>1940</v>
      </c>
      <c r="F978" s="4" t="s">
        <v>1941</v>
      </c>
      <c r="G978" s="4" t="s">
        <v>2057</v>
      </c>
      <c r="H978" s="4" t="s">
        <v>8327</v>
      </c>
      <c r="I978" s="4" t="s">
        <v>8313</v>
      </c>
      <c r="J978" s="4" t="s">
        <v>8358</v>
      </c>
      <c r="K978" s="4" t="s">
        <v>8359</v>
      </c>
      <c r="L978" s="4" t="s">
        <v>8360</v>
      </c>
      <c r="M978" s="4" t="s">
        <v>2078</v>
      </c>
      <c r="N978" s="8">
        <v>46234</v>
      </c>
      <c r="O978" s="8">
        <v>46356</v>
      </c>
      <c r="P978" s="4" t="s">
        <v>1941</v>
      </c>
      <c r="Q978" s="4" t="s">
        <v>8313</v>
      </c>
      <c r="R978" s="4" t="s">
        <v>8361</v>
      </c>
      <c r="S978" s="4" t="s">
        <v>8362</v>
      </c>
      <c r="T978" s="4" t="s">
        <v>2067</v>
      </c>
      <c r="U978" s="4" t="s">
        <v>2068</v>
      </c>
      <c r="V978" s="4" t="s">
        <v>2067</v>
      </c>
      <c r="W978" s="4" t="s">
        <v>2082</v>
      </c>
    </row>
    <row r="979" spans="1:23" ht="20.100000000000001" customHeight="1" x14ac:dyDescent="0.25">
      <c r="A979" s="6" t="s">
        <v>1588</v>
      </c>
      <c r="B979" s="7" t="s">
        <v>2057</v>
      </c>
      <c r="C979" s="7" t="s">
        <v>8363</v>
      </c>
      <c r="D979" s="7" t="s">
        <v>2059</v>
      </c>
      <c r="E979" s="7" t="s">
        <v>1947</v>
      </c>
      <c r="F979" s="7" t="s">
        <v>1948</v>
      </c>
      <c r="G979" s="7" t="s">
        <v>2057</v>
      </c>
      <c r="H979" s="7" t="s">
        <v>8320</v>
      </c>
      <c r="I979" s="7" t="s">
        <v>8313</v>
      </c>
      <c r="J979" s="7" t="s">
        <v>8364</v>
      </c>
      <c r="K979" s="7" t="s">
        <v>8365</v>
      </c>
      <c r="L979" s="7" t="s">
        <v>8366</v>
      </c>
      <c r="M979" s="7" t="s">
        <v>2078</v>
      </c>
      <c r="N979" s="9">
        <v>46234</v>
      </c>
      <c r="O979" s="9">
        <v>46356</v>
      </c>
      <c r="P979" s="7" t="s">
        <v>2090</v>
      </c>
      <c r="Q979" s="7" t="s">
        <v>8313</v>
      </c>
      <c r="R979" s="7" t="s">
        <v>8367</v>
      </c>
      <c r="S979" s="7" t="s">
        <v>8368</v>
      </c>
      <c r="T979" s="7" t="s">
        <v>2067</v>
      </c>
      <c r="U979" s="7" t="s">
        <v>2146</v>
      </c>
      <c r="V979" s="7" t="s">
        <v>2067</v>
      </c>
      <c r="W979" s="7" t="s">
        <v>2082</v>
      </c>
    </row>
    <row r="980" spans="1:23" ht="20.100000000000001" customHeight="1" x14ac:dyDescent="0.25">
      <c r="A980" s="3" t="s">
        <v>1414</v>
      </c>
      <c r="B980" s="4" t="s">
        <v>2057</v>
      </c>
      <c r="C980" s="4" t="s">
        <v>8369</v>
      </c>
      <c r="D980" s="4" t="s">
        <v>2059</v>
      </c>
      <c r="E980" s="4" t="s">
        <v>1947</v>
      </c>
      <c r="F980" s="4" t="s">
        <v>1948</v>
      </c>
      <c r="G980" s="4" t="s">
        <v>2057</v>
      </c>
      <c r="H980" s="4" t="s">
        <v>8327</v>
      </c>
      <c r="I980" s="4" t="s">
        <v>8313</v>
      </c>
      <c r="J980" s="4" t="s">
        <v>8370</v>
      </c>
      <c r="K980" s="4" t="s">
        <v>8371</v>
      </c>
      <c r="L980" s="4" t="s">
        <v>8372</v>
      </c>
      <c r="M980" s="4" t="s">
        <v>2078</v>
      </c>
      <c r="N980" s="8">
        <v>46234</v>
      </c>
      <c r="O980" s="8">
        <v>46356</v>
      </c>
      <c r="P980" s="4" t="s">
        <v>2090</v>
      </c>
      <c r="Q980" s="4" t="s">
        <v>8313</v>
      </c>
      <c r="R980" s="4" t="s">
        <v>8373</v>
      </c>
      <c r="S980" s="4" t="s">
        <v>8374</v>
      </c>
      <c r="T980" s="4" t="s">
        <v>2067</v>
      </c>
      <c r="U980" s="4" t="s">
        <v>2146</v>
      </c>
      <c r="V980" s="4" t="s">
        <v>2067</v>
      </c>
      <c r="W980" s="4" t="s">
        <v>2082</v>
      </c>
    </row>
    <row r="981" spans="1:23" ht="20.100000000000001" customHeight="1" x14ac:dyDescent="0.25">
      <c r="A981" s="6" t="s">
        <v>8375</v>
      </c>
      <c r="B981" s="7" t="s">
        <v>2057</v>
      </c>
      <c r="C981" s="7" t="s">
        <v>8376</v>
      </c>
      <c r="D981" s="7" t="s">
        <v>2059</v>
      </c>
      <c r="E981" s="7" t="s">
        <v>2189</v>
      </c>
      <c r="F981" s="7" t="s">
        <v>2190</v>
      </c>
      <c r="G981" s="7" t="s">
        <v>2057</v>
      </c>
      <c r="H981" s="7" t="s">
        <v>8327</v>
      </c>
      <c r="I981" s="7" t="s">
        <v>8313</v>
      </c>
      <c r="J981" s="7" t="s">
        <v>8377</v>
      </c>
      <c r="K981" s="7" t="s">
        <v>6293</v>
      </c>
      <c r="L981" s="7" t="s">
        <v>6294</v>
      </c>
      <c r="M981" s="7" t="s">
        <v>2078</v>
      </c>
      <c r="N981" s="9">
        <v>46234</v>
      </c>
      <c r="O981" s="9">
        <v>46356</v>
      </c>
      <c r="P981" s="7" t="s">
        <v>2195</v>
      </c>
      <c r="Q981" s="7" t="s">
        <v>8313</v>
      </c>
      <c r="R981" s="7" t="s">
        <v>5891</v>
      </c>
      <c r="S981" s="7" t="s">
        <v>8378</v>
      </c>
      <c r="T981" s="7" t="s">
        <v>2067</v>
      </c>
      <c r="U981" s="7" t="s">
        <v>2198</v>
      </c>
      <c r="V981" s="7" t="s">
        <v>2067</v>
      </c>
      <c r="W981" s="7" t="s">
        <v>2082</v>
      </c>
    </row>
    <row r="982" spans="1:23" ht="20.100000000000001" customHeight="1" x14ac:dyDescent="0.25">
      <c r="A982" s="3" t="s">
        <v>1426</v>
      </c>
      <c r="B982" s="4" t="s">
        <v>2084</v>
      </c>
      <c r="C982" s="4" t="s">
        <v>8379</v>
      </c>
      <c r="D982" s="4" t="s">
        <v>2059</v>
      </c>
      <c r="E982" s="4" t="s">
        <v>1947</v>
      </c>
      <c r="F982" s="4" t="s">
        <v>1948</v>
      </c>
      <c r="G982" s="4" t="s">
        <v>2084</v>
      </c>
      <c r="H982" s="4" t="s">
        <v>8380</v>
      </c>
      <c r="I982" s="4" t="s">
        <v>8313</v>
      </c>
      <c r="J982" s="4" t="s">
        <v>8381</v>
      </c>
      <c r="K982" s="4" t="s">
        <v>8382</v>
      </c>
      <c r="L982" s="4" t="s">
        <v>8383</v>
      </c>
      <c r="M982" s="4" t="s">
        <v>2078</v>
      </c>
      <c r="N982" s="8">
        <v>46234</v>
      </c>
      <c r="O982" s="8">
        <v>46356</v>
      </c>
      <c r="P982" s="4" t="s">
        <v>2090</v>
      </c>
      <c r="Q982" s="4" t="s">
        <v>8313</v>
      </c>
      <c r="R982" s="4" t="s">
        <v>6343</v>
      </c>
      <c r="S982" s="4" t="s">
        <v>8384</v>
      </c>
      <c r="T982" s="4" t="s">
        <v>2067</v>
      </c>
      <c r="U982" s="4" t="s">
        <v>2146</v>
      </c>
      <c r="V982" s="4" t="s">
        <v>2067</v>
      </c>
      <c r="W982" s="4" t="s">
        <v>2082</v>
      </c>
    </row>
    <row r="983" spans="1:23" ht="20.100000000000001" customHeight="1" x14ac:dyDescent="0.25">
      <c r="A983" s="6" t="s">
        <v>1746</v>
      </c>
      <c r="B983" s="7" t="s">
        <v>2057</v>
      </c>
      <c r="C983" s="7" t="s">
        <v>8385</v>
      </c>
      <c r="D983" s="7" t="s">
        <v>2059</v>
      </c>
      <c r="E983" s="7" t="s">
        <v>1947</v>
      </c>
      <c r="F983" s="7" t="s">
        <v>1948</v>
      </c>
      <c r="G983" s="7" t="s">
        <v>2057</v>
      </c>
      <c r="H983" s="7" t="s">
        <v>8327</v>
      </c>
      <c r="I983" s="7" t="s">
        <v>8313</v>
      </c>
      <c r="J983" s="7" t="s">
        <v>8386</v>
      </c>
      <c r="K983" s="7" t="s">
        <v>8387</v>
      </c>
      <c r="L983" s="7" t="s">
        <v>8388</v>
      </c>
      <c r="M983" s="7" t="s">
        <v>2078</v>
      </c>
      <c r="N983" s="9">
        <v>46234</v>
      </c>
      <c r="O983" s="9">
        <v>46356</v>
      </c>
      <c r="P983" s="7" t="s">
        <v>2090</v>
      </c>
      <c r="Q983" s="7" t="s">
        <v>8313</v>
      </c>
      <c r="R983" s="7" t="s">
        <v>8389</v>
      </c>
      <c r="S983" s="7" t="s">
        <v>8390</v>
      </c>
      <c r="T983" s="7" t="s">
        <v>2067</v>
      </c>
      <c r="U983" s="7" t="s">
        <v>2146</v>
      </c>
      <c r="V983" s="7" t="s">
        <v>2067</v>
      </c>
      <c r="W983" s="7" t="s">
        <v>2082</v>
      </c>
    </row>
    <row r="984" spans="1:23" ht="20.100000000000001" customHeight="1" x14ac:dyDescent="0.25">
      <c r="A984" s="3" t="s">
        <v>1474</v>
      </c>
      <c r="B984" s="4" t="s">
        <v>2057</v>
      </c>
      <c r="C984" s="4" t="s">
        <v>8391</v>
      </c>
      <c r="D984" s="4" t="s">
        <v>2059</v>
      </c>
      <c r="E984" s="4" t="s">
        <v>1947</v>
      </c>
      <c r="F984" s="4" t="s">
        <v>1948</v>
      </c>
      <c r="G984" s="4" t="s">
        <v>2057</v>
      </c>
      <c r="H984" s="4" t="s">
        <v>8392</v>
      </c>
      <c r="I984" s="4" t="s">
        <v>8393</v>
      </c>
      <c r="J984" s="4" t="s">
        <v>8394</v>
      </c>
      <c r="K984" s="4" t="s">
        <v>8395</v>
      </c>
      <c r="L984" s="4" t="s">
        <v>8396</v>
      </c>
      <c r="M984" s="4" t="s">
        <v>2078</v>
      </c>
      <c r="N984" s="8">
        <v>46234</v>
      </c>
      <c r="O984" s="8">
        <v>46356</v>
      </c>
      <c r="P984" s="4" t="s">
        <v>2090</v>
      </c>
      <c r="Q984" s="4" t="s">
        <v>8393</v>
      </c>
      <c r="R984" s="4" t="s">
        <v>8397</v>
      </c>
      <c r="S984" s="4" t="s">
        <v>8398</v>
      </c>
      <c r="T984" s="4" t="s">
        <v>2067</v>
      </c>
      <c r="U984" s="4" t="s">
        <v>2146</v>
      </c>
      <c r="V984" s="4" t="s">
        <v>2067</v>
      </c>
      <c r="W984" s="4" t="s">
        <v>2069</v>
      </c>
    </row>
    <row r="985" spans="1:23" ht="20.100000000000001" customHeight="1" x14ac:dyDescent="0.25">
      <c r="A985" s="6" t="s">
        <v>782</v>
      </c>
      <c r="B985" s="7" t="s">
        <v>2057</v>
      </c>
      <c r="C985" s="7" t="s">
        <v>8399</v>
      </c>
      <c r="D985" s="7" t="s">
        <v>2059</v>
      </c>
      <c r="E985" s="7" t="s">
        <v>1947</v>
      </c>
      <c r="F985" s="7" t="s">
        <v>2329</v>
      </c>
      <c r="G985" s="7" t="s">
        <v>2057</v>
      </c>
      <c r="H985" s="7" t="s">
        <v>8400</v>
      </c>
      <c r="I985" s="7" t="s">
        <v>8393</v>
      </c>
      <c r="J985" s="7" t="s">
        <v>8401</v>
      </c>
      <c r="K985" s="7" t="s">
        <v>8402</v>
      </c>
      <c r="L985" s="7" t="s">
        <v>8403</v>
      </c>
      <c r="M985" s="7" t="s">
        <v>2078</v>
      </c>
      <c r="N985" s="9">
        <v>46234</v>
      </c>
      <c r="O985" s="9">
        <v>46356</v>
      </c>
      <c r="P985" s="7" t="s">
        <v>2090</v>
      </c>
      <c r="Q985" s="7" t="s">
        <v>8393</v>
      </c>
      <c r="R985" s="7" t="s">
        <v>8404</v>
      </c>
      <c r="S985" s="7" t="s">
        <v>8405</v>
      </c>
      <c r="T985" s="7" t="s">
        <v>2067</v>
      </c>
      <c r="U985" s="7" t="s">
        <v>3437</v>
      </c>
      <c r="V985" s="7" t="s">
        <v>2067</v>
      </c>
      <c r="W985" s="7" t="s">
        <v>2082</v>
      </c>
    </row>
    <row r="986" spans="1:23" ht="20.100000000000001" customHeight="1" x14ac:dyDescent="0.25">
      <c r="A986" s="3" t="s">
        <v>292</v>
      </c>
      <c r="B986" s="4" t="s">
        <v>2057</v>
      </c>
      <c r="C986" s="4" t="s">
        <v>8406</v>
      </c>
      <c r="D986" s="4" t="s">
        <v>2059</v>
      </c>
      <c r="E986" s="4" t="s">
        <v>1947</v>
      </c>
      <c r="F986" s="4" t="s">
        <v>1948</v>
      </c>
      <c r="G986" s="4" t="s">
        <v>2057</v>
      </c>
      <c r="H986" s="4" t="s">
        <v>8407</v>
      </c>
      <c r="I986" s="4" t="s">
        <v>8393</v>
      </c>
      <c r="J986" s="4" t="s">
        <v>8408</v>
      </c>
      <c r="K986" s="4" t="s">
        <v>8409</v>
      </c>
      <c r="L986" s="4" t="s">
        <v>8410</v>
      </c>
      <c r="M986" s="4" t="s">
        <v>2078</v>
      </c>
      <c r="N986" s="8">
        <v>46052</v>
      </c>
      <c r="O986" s="8">
        <v>46296</v>
      </c>
      <c r="P986" s="4" t="s">
        <v>2090</v>
      </c>
      <c r="Q986" s="4" t="s">
        <v>8393</v>
      </c>
      <c r="R986" s="4" t="s">
        <v>8411</v>
      </c>
      <c r="S986" s="4" t="s">
        <v>8412</v>
      </c>
      <c r="T986" s="4" t="s">
        <v>2067</v>
      </c>
      <c r="U986" s="4" t="s">
        <v>2109</v>
      </c>
      <c r="V986" s="4" t="s">
        <v>2067</v>
      </c>
      <c r="W986" s="4" t="s">
        <v>2069</v>
      </c>
    </row>
    <row r="987" spans="1:23" ht="20.100000000000001" customHeight="1" x14ac:dyDescent="0.25">
      <c r="A987" s="6" t="s">
        <v>654</v>
      </c>
      <c r="B987" s="7" t="s">
        <v>2084</v>
      </c>
      <c r="C987" s="7" t="s">
        <v>8413</v>
      </c>
      <c r="D987" s="7" t="s">
        <v>2059</v>
      </c>
      <c r="E987" s="7" t="s">
        <v>1947</v>
      </c>
      <c r="F987" s="7" t="s">
        <v>1948</v>
      </c>
      <c r="G987" s="7" t="s">
        <v>2084</v>
      </c>
      <c r="H987" s="7" t="s">
        <v>8414</v>
      </c>
      <c r="I987" s="7" t="s">
        <v>8393</v>
      </c>
      <c r="J987" s="7" t="s">
        <v>8415</v>
      </c>
      <c r="K987" s="7" t="s">
        <v>8416</v>
      </c>
      <c r="L987" s="7" t="s">
        <v>8417</v>
      </c>
      <c r="M987" s="7" t="s">
        <v>3316</v>
      </c>
      <c r="N987" s="9">
        <v>45509</v>
      </c>
      <c r="O987" s="9">
        <v>46263</v>
      </c>
      <c r="P987" s="7" t="s">
        <v>2090</v>
      </c>
      <c r="Q987" s="7" t="s">
        <v>8393</v>
      </c>
      <c r="R987" s="7" t="s">
        <v>8418</v>
      </c>
      <c r="S987" s="7" t="s">
        <v>8419</v>
      </c>
      <c r="T987" s="7" t="s">
        <v>2067</v>
      </c>
      <c r="U987" s="7" t="s">
        <v>2146</v>
      </c>
      <c r="V987" s="7" t="s">
        <v>2067</v>
      </c>
      <c r="W987" s="7" t="s">
        <v>2082</v>
      </c>
    </row>
    <row r="988" spans="1:23" ht="20.100000000000001" customHeight="1" x14ac:dyDescent="0.25">
      <c r="A988" s="3" t="s">
        <v>8420</v>
      </c>
      <c r="B988" s="4" t="s">
        <v>2057</v>
      </c>
      <c r="C988" s="4" t="s">
        <v>8421</v>
      </c>
      <c r="D988" s="4" t="s">
        <v>2059</v>
      </c>
      <c r="E988" s="4" t="s">
        <v>2189</v>
      </c>
      <c r="F988" s="4" t="s">
        <v>2190</v>
      </c>
      <c r="G988" s="4" t="s">
        <v>2057</v>
      </c>
      <c r="H988" s="4" t="s">
        <v>8392</v>
      </c>
      <c r="I988" s="4" t="s">
        <v>8393</v>
      </c>
      <c r="J988" s="4" t="s">
        <v>8422</v>
      </c>
      <c r="K988" s="4" t="s">
        <v>8423</v>
      </c>
      <c r="L988" s="4" t="s">
        <v>8424</v>
      </c>
      <c r="M988" s="4" t="s">
        <v>2078</v>
      </c>
      <c r="N988" s="8">
        <v>46234</v>
      </c>
      <c r="O988" s="8">
        <v>46356</v>
      </c>
      <c r="P988" s="4" t="s">
        <v>2195</v>
      </c>
      <c r="Q988" s="4" t="s">
        <v>8393</v>
      </c>
      <c r="R988" s="4" t="s">
        <v>5074</v>
      </c>
      <c r="S988" s="4" t="s">
        <v>8425</v>
      </c>
      <c r="T988" s="4" t="s">
        <v>2067</v>
      </c>
      <c r="U988" s="4" t="s">
        <v>2198</v>
      </c>
      <c r="V988" s="4" t="s">
        <v>2067</v>
      </c>
      <c r="W988" s="4" t="s">
        <v>2069</v>
      </c>
    </row>
    <row r="989" spans="1:23" ht="20.100000000000001" customHeight="1" x14ac:dyDescent="0.25">
      <c r="A989" s="6" t="s">
        <v>942</v>
      </c>
      <c r="B989" s="7" t="s">
        <v>2084</v>
      </c>
      <c r="C989" s="7" t="s">
        <v>8426</v>
      </c>
      <c r="D989" s="7" t="s">
        <v>2059</v>
      </c>
      <c r="E989" s="7" t="s">
        <v>1947</v>
      </c>
      <c r="F989" s="7" t="s">
        <v>1948</v>
      </c>
      <c r="G989" s="7" t="s">
        <v>2084</v>
      </c>
      <c r="H989" s="7" t="s">
        <v>8414</v>
      </c>
      <c r="I989" s="7" t="s">
        <v>8393</v>
      </c>
      <c r="J989" s="7" t="s">
        <v>8427</v>
      </c>
      <c r="K989" s="7" t="s">
        <v>8428</v>
      </c>
      <c r="L989" s="7" t="s">
        <v>8429</v>
      </c>
      <c r="M989" s="7" t="s">
        <v>2078</v>
      </c>
      <c r="N989" s="9">
        <v>46234</v>
      </c>
      <c r="O989" s="9">
        <v>46356</v>
      </c>
      <c r="P989" s="7" t="s">
        <v>2090</v>
      </c>
      <c r="Q989" s="7" t="s">
        <v>8393</v>
      </c>
      <c r="R989" s="7" t="s">
        <v>8430</v>
      </c>
      <c r="S989" s="7" t="s">
        <v>8431</v>
      </c>
      <c r="T989" s="7" t="s">
        <v>2067</v>
      </c>
      <c r="U989" s="7" t="s">
        <v>2146</v>
      </c>
      <c r="V989" s="7" t="s">
        <v>2067</v>
      </c>
      <c r="W989" s="7" t="s">
        <v>2082</v>
      </c>
    </row>
    <row r="990" spans="1:23" ht="20.100000000000001" customHeight="1" x14ac:dyDescent="0.25">
      <c r="A990" s="3" t="s">
        <v>278</v>
      </c>
      <c r="B990" s="4" t="s">
        <v>2057</v>
      </c>
      <c r="C990" s="4" t="s">
        <v>8432</v>
      </c>
      <c r="D990" s="4" t="s">
        <v>2059</v>
      </c>
      <c r="E990" s="4" t="s">
        <v>1952</v>
      </c>
      <c r="F990" s="4" t="s">
        <v>1953</v>
      </c>
      <c r="G990" s="4" t="s">
        <v>2057</v>
      </c>
      <c r="H990" s="4" t="s">
        <v>8433</v>
      </c>
      <c r="I990" s="4" t="s">
        <v>8393</v>
      </c>
      <c r="J990" s="4" t="s">
        <v>8434</v>
      </c>
      <c r="K990" s="4" t="s">
        <v>8435</v>
      </c>
      <c r="L990" s="4" t="s">
        <v>8436</v>
      </c>
      <c r="M990" s="4" t="s">
        <v>2078</v>
      </c>
      <c r="N990" s="8">
        <v>46234</v>
      </c>
      <c r="O990" s="8">
        <v>46356</v>
      </c>
      <c r="P990" s="4" t="s">
        <v>1953</v>
      </c>
      <c r="Q990" s="4" t="s">
        <v>8393</v>
      </c>
      <c r="R990" s="4" t="s">
        <v>8437</v>
      </c>
      <c r="S990" s="4" t="s">
        <v>8438</v>
      </c>
      <c r="T990" s="4" t="s">
        <v>2067</v>
      </c>
      <c r="U990" s="4" t="s">
        <v>2358</v>
      </c>
      <c r="V990" s="4" t="s">
        <v>2067</v>
      </c>
      <c r="W990" s="4" t="s">
        <v>2069</v>
      </c>
    </row>
    <row r="991" spans="1:23" ht="20.100000000000001" customHeight="1" x14ac:dyDescent="0.25">
      <c r="A991" s="6" t="s">
        <v>48</v>
      </c>
      <c r="B991" s="7" t="s">
        <v>2057</v>
      </c>
      <c r="C991" s="7" t="s">
        <v>8439</v>
      </c>
      <c r="D991" s="7" t="s">
        <v>2059</v>
      </c>
      <c r="E991" s="7" t="s">
        <v>1952</v>
      </c>
      <c r="F991" s="7" t="s">
        <v>1953</v>
      </c>
      <c r="G991" s="7" t="s">
        <v>2057</v>
      </c>
      <c r="H991" s="7" t="s">
        <v>8440</v>
      </c>
      <c r="I991" s="7" t="s">
        <v>8393</v>
      </c>
      <c r="J991" s="7" t="s">
        <v>8441</v>
      </c>
      <c r="K991" s="7" t="s">
        <v>8442</v>
      </c>
      <c r="L991" s="7" t="s">
        <v>8443</v>
      </c>
      <c r="M991" s="7" t="s">
        <v>2078</v>
      </c>
      <c r="N991" s="9">
        <v>46234</v>
      </c>
      <c r="O991" s="9">
        <v>46356</v>
      </c>
      <c r="P991" s="7" t="s">
        <v>1953</v>
      </c>
      <c r="Q991" s="7" t="s">
        <v>8393</v>
      </c>
      <c r="R991" s="7" t="s">
        <v>8444</v>
      </c>
      <c r="S991" s="7" t="s">
        <v>8445</v>
      </c>
      <c r="T991" s="7" t="s">
        <v>2067</v>
      </c>
      <c r="U991" s="7" t="s">
        <v>2358</v>
      </c>
      <c r="V991" s="7" t="s">
        <v>2067</v>
      </c>
      <c r="W991" s="7" t="s">
        <v>2069</v>
      </c>
    </row>
    <row r="992" spans="1:23" ht="20.100000000000001" customHeight="1" x14ac:dyDescent="0.25">
      <c r="A992" s="3" t="s">
        <v>122</v>
      </c>
      <c r="B992" s="4" t="s">
        <v>2084</v>
      </c>
      <c r="C992" s="4" t="s">
        <v>8446</v>
      </c>
      <c r="D992" s="4" t="s">
        <v>2059</v>
      </c>
      <c r="E992" s="4" t="s">
        <v>4160</v>
      </c>
      <c r="F992" s="4" t="s">
        <v>4161</v>
      </c>
      <c r="G992" s="4" t="s">
        <v>2084</v>
      </c>
      <c r="H992" s="4" t="s">
        <v>8447</v>
      </c>
      <c r="I992" s="4" t="s">
        <v>8393</v>
      </c>
      <c r="J992" s="4" t="s">
        <v>8448</v>
      </c>
      <c r="K992" s="4" t="s">
        <v>8449</v>
      </c>
      <c r="L992" s="4" t="s">
        <v>8450</v>
      </c>
      <c r="M992" s="4" t="s">
        <v>2078</v>
      </c>
      <c r="N992" s="8">
        <v>45992</v>
      </c>
      <c r="O992" s="8">
        <v>46356</v>
      </c>
      <c r="P992" s="4" t="s">
        <v>4161</v>
      </c>
      <c r="Q992" s="4" t="s">
        <v>8393</v>
      </c>
      <c r="R992" s="4" t="s">
        <v>8451</v>
      </c>
      <c r="S992" s="4" t="s">
        <v>8452</v>
      </c>
      <c r="T992" s="4" t="s">
        <v>2067</v>
      </c>
      <c r="U992" s="4" t="s">
        <v>4167</v>
      </c>
      <c r="V992" s="4" t="s">
        <v>2067</v>
      </c>
      <c r="W992" s="4" t="s">
        <v>2069</v>
      </c>
    </row>
    <row r="993" spans="1:23" ht="20.100000000000001" customHeight="1" x14ac:dyDescent="0.25">
      <c r="A993" s="6" t="s">
        <v>8453</v>
      </c>
      <c r="B993" s="7" t="s">
        <v>2057</v>
      </c>
      <c r="C993" s="7" t="s">
        <v>8454</v>
      </c>
      <c r="D993" s="7" t="s">
        <v>2059</v>
      </c>
      <c r="E993" s="7" t="s">
        <v>2189</v>
      </c>
      <c r="F993" s="7" t="s">
        <v>2190</v>
      </c>
      <c r="G993" s="7" t="s">
        <v>2057</v>
      </c>
      <c r="H993" s="7" t="s">
        <v>8407</v>
      </c>
      <c r="I993" s="7" t="s">
        <v>8393</v>
      </c>
      <c r="J993" s="7" t="s">
        <v>8455</v>
      </c>
      <c r="K993" s="7" t="s">
        <v>8456</v>
      </c>
      <c r="L993" s="7" t="s">
        <v>8457</v>
      </c>
      <c r="M993" s="7" t="s">
        <v>2078</v>
      </c>
      <c r="N993" s="9">
        <v>46234</v>
      </c>
      <c r="O993" s="9">
        <v>46356</v>
      </c>
      <c r="P993" s="7" t="s">
        <v>2195</v>
      </c>
      <c r="Q993" s="7" t="s">
        <v>8393</v>
      </c>
      <c r="R993" s="7" t="s">
        <v>3532</v>
      </c>
      <c r="S993" s="7" t="s">
        <v>8458</v>
      </c>
      <c r="T993" s="7" t="s">
        <v>2067</v>
      </c>
      <c r="U993" s="7" t="s">
        <v>2198</v>
      </c>
      <c r="V993" s="7" t="s">
        <v>2067</v>
      </c>
      <c r="W993" s="7" t="s">
        <v>2069</v>
      </c>
    </row>
    <row r="994" spans="1:23" ht="20.100000000000001" customHeight="1" x14ac:dyDescent="0.25">
      <c r="A994" s="3" t="s">
        <v>1000</v>
      </c>
      <c r="B994" s="4" t="s">
        <v>2057</v>
      </c>
      <c r="C994" s="4" t="s">
        <v>8459</v>
      </c>
      <c r="D994" s="4" t="s">
        <v>2059</v>
      </c>
      <c r="E994" s="4" t="s">
        <v>1947</v>
      </c>
      <c r="F994" s="4" t="s">
        <v>1948</v>
      </c>
      <c r="G994" s="4" t="s">
        <v>2057</v>
      </c>
      <c r="H994" s="4" t="s">
        <v>8407</v>
      </c>
      <c r="I994" s="4" t="s">
        <v>8393</v>
      </c>
      <c r="J994" s="4" t="s">
        <v>8460</v>
      </c>
      <c r="K994" s="4" t="s">
        <v>8461</v>
      </c>
      <c r="L994" s="4" t="s">
        <v>8462</v>
      </c>
      <c r="M994" s="4" t="s">
        <v>2078</v>
      </c>
      <c r="N994" s="8">
        <v>46234</v>
      </c>
      <c r="O994" s="8">
        <v>46356</v>
      </c>
      <c r="P994" s="4" t="s">
        <v>2090</v>
      </c>
      <c r="Q994" s="4" t="s">
        <v>8393</v>
      </c>
      <c r="R994" s="4" t="s">
        <v>8463</v>
      </c>
      <c r="S994" s="4" t="s">
        <v>8464</v>
      </c>
      <c r="T994" s="4" t="s">
        <v>2067</v>
      </c>
      <c r="U994" s="4" t="s">
        <v>3437</v>
      </c>
      <c r="V994" s="4" t="s">
        <v>2067</v>
      </c>
      <c r="W994" s="4" t="s">
        <v>2069</v>
      </c>
    </row>
    <row r="995" spans="1:23" ht="20.100000000000001" customHeight="1" x14ac:dyDescent="0.25">
      <c r="A995" s="6" t="s">
        <v>954</v>
      </c>
      <c r="B995" s="7" t="s">
        <v>2057</v>
      </c>
      <c r="C995" s="7" t="s">
        <v>8465</v>
      </c>
      <c r="D995" s="7" t="s">
        <v>2059</v>
      </c>
      <c r="E995" s="7" t="s">
        <v>1947</v>
      </c>
      <c r="F995" s="7" t="s">
        <v>1948</v>
      </c>
      <c r="G995" s="7" t="s">
        <v>2057</v>
      </c>
      <c r="H995" s="7" t="s">
        <v>8440</v>
      </c>
      <c r="I995" s="7" t="s">
        <v>8393</v>
      </c>
      <c r="J995" s="7" t="s">
        <v>8466</v>
      </c>
      <c r="K995" s="7" t="s">
        <v>8467</v>
      </c>
      <c r="L995" s="7" t="s">
        <v>8468</v>
      </c>
      <c r="M995" s="7" t="s">
        <v>2078</v>
      </c>
      <c r="N995" s="9">
        <v>46234</v>
      </c>
      <c r="O995" s="9">
        <v>46356</v>
      </c>
      <c r="P995" s="7" t="s">
        <v>2090</v>
      </c>
      <c r="Q995" s="7" t="s">
        <v>8393</v>
      </c>
      <c r="R995" s="7" t="s">
        <v>8469</v>
      </c>
      <c r="S995" s="7" t="s">
        <v>8470</v>
      </c>
      <c r="T995" s="7" t="s">
        <v>2067</v>
      </c>
      <c r="U995" s="7" t="s">
        <v>2128</v>
      </c>
      <c r="V995" s="7" t="s">
        <v>2067</v>
      </c>
      <c r="W995" s="7" t="s">
        <v>2069</v>
      </c>
    </row>
    <row r="996" spans="1:23" ht="20.100000000000001" customHeight="1" x14ac:dyDescent="0.25">
      <c r="A996" s="3" t="s">
        <v>882</v>
      </c>
      <c r="B996" s="4" t="s">
        <v>2057</v>
      </c>
      <c r="C996" s="4" t="s">
        <v>8471</v>
      </c>
      <c r="D996" s="4" t="s">
        <v>2059</v>
      </c>
      <c r="E996" s="4" t="s">
        <v>1947</v>
      </c>
      <c r="F996" s="4" t="s">
        <v>1948</v>
      </c>
      <c r="G996" s="4" t="s">
        <v>2057</v>
      </c>
      <c r="H996" s="4" t="s">
        <v>8472</v>
      </c>
      <c r="I996" s="4" t="s">
        <v>8393</v>
      </c>
      <c r="J996" s="4" t="s">
        <v>8473</v>
      </c>
      <c r="K996" s="4" t="s">
        <v>8474</v>
      </c>
      <c r="L996" s="4" t="s">
        <v>8475</v>
      </c>
      <c r="M996" s="4" t="s">
        <v>2064</v>
      </c>
      <c r="N996" s="8">
        <v>40204</v>
      </c>
      <c r="O996" s="8"/>
      <c r="P996" s="4" t="s">
        <v>2090</v>
      </c>
      <c r="Q996" s="4" t="s">
        <v>8393</v>
      </c>
      <c r="R996" s="4" t="s">
        <v>2222</v>
      </c>
      <c r="S996" s="4" t="s">
        <v>8476</v>
      </c>
      <c r="T996" s="4" t="s">
        <v>2067</v>
      </c>
      <c r="U996" s="4" t="s">
        <v>2768</v>
      </c>
      <c r="V996" s="4" t="s">
        <v>2067</v>
      </c>
      <c r="W996" s="4" t="s">
        <v>2069</v>
      </c>
    </row>
    <row r="997" spans="1:23" ht="20.100000000000001" customHeight="1" x14ac:dyDescent="0.25">
      <c r="A997" s="6" t="s">
        <v>1052</v>
      </c>
      <c r="B997" s="7" t="s">
        <v>2084</v>
      </c>
      <c r="C997" s="7" t="s">
        <v>8477</v>
      </c>
      <c r="D997" s="7" t="s">
        <v>2059</v>
      </c>
      <c r="E997" s="7" t="s">
        <v>1947</v>
      </c>
      <c r="F997" s="7" t="s">
        <v>1948</v>
      </c>
      <c r="G997" s="7" t="s">
        <v>2084</v>
      </c>
      <c r="H997" s="7" t="s">
        <v>8478</v>
      </c>
      <c r="I997" s="7" t="s">
        <v>8393</v>
      </c>
      <c r="J997" s="7" t="s">
        <v>8479</v>
      </c>
      <c r="K997" s="7" t="s">
        <v>8480</v>
      </c>
      <c r="L997" s="7" t="s">
        <v>8481</v>
      </c>
      <c r="M997" s="7" t="s">
        <v>2078</v>
      </c>
      <c r="N997" s="9">
        <v>45992</v>
      </c>
      <c r="O997" s="9">
        <v>46356</v>
      </c>
      <c r="P997" s="7" t="s">
        <v>2090</v>
      </c>
      <c r="Q997" s="7" t="s">
        <v>8393</v>
      </c>
      <c r="R997" s="7" t="s">
        <v>3383</v>
      </c>
      <c r="S997" s="7" t="s">
        <v>8482</v>
      </c>
      <c r="T997" s="7" t="s">
        <v>2067</v>
      </c>
      <c r="U997" s="7" t="s">
        <v>2146</v>
      </c>
      <c r="V997" s="7" t="s">
        <v>2067</v>
      </c>
      <c r="W997" s="7" t="s">
        <v>2069</v>
      </c>
    </row>
    <row r="998" spans="1:23" ht="20.100000000000001" customHeight="1" x14ac:dyDescent="0.25">
      <c r="A998" s="3" t="s">
        <v>866</v>
      </c>
      <c r="B998" s="4" t="s">
        <v>2057</v>
      </c>
      <c r="C998" s="4" t="s">
        <v>8483</v>
      </c>
      <c r="D998" s="4" t="s">
        <v>2059</v>
      </c>
      <c r="E998" s="4" t="s">
        <v>1947</v>
      </c>
      <c r="F998" s="4" t="s">
        <v>1948</v>
      </c>
      <c r="G998" s="4" t="s">
        <v>2057</v>
      </c>
      <c r="H998" s="4" t="s">
        <v>8484</v>
      </c>
      <c r="I998" s="4" t="s">
        <v>8393</v>
      </c>
      <c r="J998" s="4" t="s">
        <v>8485</v>
      </c>
      <c r="K998" s="4" t="s">
        <v>8486</v>
      </c>
      <c r="L998" s="4" t="s">
        <v>8487</v>
      </c>
      <c r="M998" s="4" t="s">
        <v>2078</v>
      </c>
      <c r="N998" s="8">
        <v>46052</v>
      </c>
      <c r="O998" s="8">
        <v>46296</v>
      </c>
      <c r="P998" s="4" t="s">
        <v>2090</v>
      </c>
      <c r="Q998" s="4" t="s">
        <v>8393</v>
      </c>
      <c r="R998" s="4" t="s">
        <v>8488</v>
      </c>
      <c r="S998" s="4" t="s">
        <v>8489</v>
      </c>
      <c r="T998" s="4" t="s">
        <v>2067</v>
      </c>
      <c r="U998" s="4" t="s">
        <v>3437</v>
      </c>
      <c r="V998" s="4" t="s">
        <v>2067</v>
      </c>
      <c r="W998" s="4" t="s">
        <v>2082</v>
      </c>
    </row>
    <row r="999" spans="1:23" ht="20.100000000000001" customHeight="1" x14ac:dyDescent="0.25">
      <c r="A999" s="6" t="s">
        <v>1144</v>
      </c>
      <c r="B999" s="7" t="s">
        <v>2057</v>
      </c>
      <c r="C999" s="7" t="s">
        <v>8490</v>
      </c>
      <c r="D999" s="7" t="s">
        <v>2059</v>
      </c>
      <c r="E999" s="7" t="s">
        <v>1947</v>
      </c>
      <c r="F999" s="7" t="s">
        <v>1948</v>
      </c>
      <c r="G999" s="7" t="s">
        <v>2057</v>
      </c>
      <c r="H999" s="7" t="s">
        <v>8392</v>
      </c>
      <c r="I999" s="7" t="s">
        <v>8393</v>
      </c>
      <c r="J999" s="7" t="s">
        <v>8491</v>
      </c>
      <c r="K999" s="7" t="s">
        <v>8492</v>
      </c>
      <c r="L999" s="7" t="s">
        <v>8493</v>
      </c>
      <c r="M999" s="7" t="s">
        <v>2078</v>
      </c>
      <c r="N999" s="9">
        <v>45992</v>
      </c>
      <c r="O999" s="9">
        <v>46356</v>
      </c>
      <c r="P999" s="7" t="s">
        <v>2090</v>
      </c>
      <c r="Q999" s="7" t="s">
        <v>8393</v>
      </c>
      <c r="R999" s="7" t="s">
        <v>8494</v>
      </c>
      <c r="S999" s="7" t="s">
        <v>8495</v>
      </c>
      <c r="T999" s="7" t="s">
        <v>2067</v>
      </c>
      <c r="U999" s="7" t="s">
        <v>3437</v>
      </c>
      <c r="V999" s="7" t="s">
        <v>2067</v>
      </c>
      <c r="W999" s="7" t="s">
        <v>2069</v>
      </c>
    </row>
    <row r="1000" spans="1:23" ht="20.100000000000001" customHeight="1" x14ac:dyDescent="0.25">
      <c r="A1000" s="3" t="s">
        <v>1396</v>
      </c>
      <c r="B1000" s="4" t="s">
        <v>2057</v>
      </c>
      <c r="C1000" s="4" t="s">
        <v>8496</v>
      </c>
      <c r="D1000" s="4" t="s">
        <v>2059</v>
      </c>
      <c r="E1000" s="4" t="s">
        <v>1947</v>
      </c>
      <c r="F1000" s="4" t="s">
        <v>1948</v>
      </c>
      <c r="G1000" s="4" t="s">
        <v>2057</v>
      </c>
      <c r="H1000" s="4" t="s">
        <v>8392</v>
      </c>
      <c r="I1000" s="4" t="s">
        <v>8393</v>
      </c>
      <c r="J1000" s="4" t="s">
        <v>8497</v>
      </c>
      <c r="K1000" s="4" t="s">
        <v>8498</v>
      </c>
      <c r="L1000" s="4" t="s">
        <v>8499</v>
      </c>
      <c r="M1000" s="4" t="s">
        <v>2078</v>
      </c>
      <c r="N1000" s="8">
        <v>45992</v>
      </c>
      <c r="O1000" s="8">
        <v>46356</v>
      </c>
      <c r="P1000" s="4" t="s">
        <v>2090</v>
      </c>
      <c r="Q1000" s="4" t="s">
        <v>8393</v>
      </c>
      <c r="R1000" s="4" t="s">
        <v>5189</v>
      </c>
      <c r="S1000" s="4" t="s">
        <v>4375</v>
      </c>
      <c r="T1000" s="4" t="s">
        <v>2067</v>
      </c>
      <c r="U1000" s="4" t="s">
        <v>2768</v>
      </c>
      <c r="V1000" s="4" t="s">
        <v>2067</v>
      </c>
      <c r="W1000" s="4" t="s">
        <v>2069</v>
      </c>
    </row>
    <row r="1001" spans="1:23" ht="20.100000000000001" customHeight="1" x14ac:dyDescent="0.25">
      <c r="A1001" s="6" t="s">
        <v>8500</v>
      </c>
      <c r="B1001" s="7" t="s">
        <v>2057</v>
      </c>
      <c r="C1001" s="7" t="s">
        <v>8501</v>
      </c>
      <c r="D1001" s="7" t="s">
        <v>2059</v>
      </c>
      <c r="E1001" s="7" t="s">
        <v>1965</v>
      </c>
      <c r="F1001" s="7" t="s">
        <v>1966</v>
      </c>
      <c r="G1001" s="7" t="s">
        <v>2057</v>
      </c>
      <c r="H1001" s="7" t="s">
        <v>8502</v>
      </c>
      <c r="I1001" s="7" t="s">
        <v>8393</v>
      </c>
      <c r="J1001" s="7" t="s">
        <v>8503</v>
      </c>
      <c r="K1001" s="7" t="s">
        <v>8504</v>
      </c>
      <c r="L1001" s="7" t="s">
        <v>8505</v>
      </c>
      <c r="M1001" s="7" t="s">
        <v>2078</v>
      </c>
      <c r="N1001" s="9">
        <v>46234</v>
      </c>
      <c r="O1001" s="9">
        <v>46356</v>
      </c>
      <c r="P1001" s="7" t="s">
        <v>1966</v>
      </c>
      <c r="Q1001" s="7" t="s">
        <v>8393</v>
      </c>
      <c r="R1001" s="7" t="s">
        <v>6516</v>
      </c>
      <c r="S1001" s="7" t="s">
        <v>8506</v>
      </c>
      <c r="T1001" s="7" t="s">
        <v>2067</v>
      </c>
      <c r="U1001" s="7" t="s">
        <v>2174</v>
      </c>
      <c r="V1001" s="7" t="s">
        <v>2067</v>
      </c>
      <c r="W1001" s="7" t="s">
        <v>2082</v>
      </c>
    </row>
    <row r="1002" spans="1:23" ht="20.100000000000001" customHeight="1" x14ac:dyDescent="0.25">
      <c r="A1002" s="3" t="s">
        <v>1226</v>
      </c>
      <c r="B1002" s="4" t="s">
        <v>2084</v>
      </c>
      <c r="C1002" s="4" t="s">
        <v>8507</v>
      </c>
      <c r="D1002" s="4" t="s">
        <v>2059</v>
      </c>
      <c r="E1002" s="4" t="s">
        <v>1947</v>
      </c>
      <c r="F1002" s="4" t="s">
        <v>1948</v>
      </c>
      <c r="G1002" s="4" t="s">
        <v>2084</v>
      </c>
      <c r="H1002" s="4" t="s">
        <v>8508</v>
      </c>
      <c r="I1002" s="4" t="s">
        <v>8393</v>
      </c>
      <c r="J1002" s="4" t="s">
        <v>8509</v>
      </c>
      <c r="K1002" s="4" t="s">
        <v>8510</v>
      </c>
      <c r="L1002" s="4" t="s">
        <v>8511</v>
      </c>
      <c r="M1002" s="4" t="s">
        <v>3316</v>
      </c>
      <c r="N1002" s="8">
        <v>45870</v>
      </c>
      <c r="O1002" s="8">
        <v>46355</v>
      </c>
      <c r="P1002" s="4" t="s">
        <v>2090</v>
      </c>
      <c r="Q1002" s="4" t="s">
        <v>8393</v>
      </c>
      <c r="R1002" s="4" t="s">
        <v>8512</v>
      </c>
      <c r="S1002" s="4" t="s">
        <v>8513</v>
      </c>
      <c r="T1002" s="4" t="s">
        <v>2067</v>
      </c>
      <c r="U1002" s="4" t="s">
        <v>2146</v>
      </c>
      <c r="V1002" s="4" t="s">
        <v>2067</v>
      </c>
      <c r="W1002" s="4" t="s">
        <v>2082</v>
      </c>
    </row>
    <row r="1003" spans="1:23" ht="20.100000000000001" customHeight="1" x14ac:dyDescent="0.25">
      <c r="A1003" s="6" t="s">
        <v>526</v>
      </c>
      <c r="B1003" s="7" t="s">
        <v>2057</v>
      </c>
      <c r="C1003" s="7" t="s">
        <v>8514</v>
      </c>
      <c r="D1003" s="7" t="s">
        <v>2059</v>
      </c>
      <c r="E1003" s="7" t="s">
        <v>1952</v>
      </c>
      <c r="F1003" s="7" t="s">
        <v>1953</v>
      </c>
      <c r="G1003" s="7" t="s">
        <v>2057</v>
      </c>
      <c r="H1003" s="7" t="s">
        <v>8400</v>
      </c>
      <c r="I1003" s="7" t="s">
        <v>8393</v>
      </c>
      <c r="J1003" s="7" t="s">
        <v>8515</v>
      </c>
      <c r="K1003" s="7" t="s">
        <v>8516</v>
      </c>
      <c r="L1003" s="7" t="s">
        <v>8517</v>
      </c>
      <c r="M1003" s="7" t="s">
        <v>2078</v>
      </c>
      <c r="N1003" s="9">
        <v>46234</v>
      </c>
      <c r="O1003" s="9">
        <v>46356</v>
      </c>
      <c r="P1003" s="7" t="s">
        <v>1953</v>
      </c>
      <c r="Q1003" s="7" t="s">
        <v>8393</v>
      </c>
      <c r="R1003" s="7" t="s">
        <v>5118</v>
      </c>
      <c r="S1003" s="7" t="s">
        <v>8518</v>
      </c>
      <c r="T1003" s="7" t="s">
        <v>2067</v>
      </c>
      <c r="U1003" s="7" t="s">
        <v>2358</v>
      </c>
      <c r="V1003" s="7" t="s">
        <v>2067</v>
      </c>
      <c r="W1003" s="7" t="s">
        <v>2082</v>
      </c>
    </row>
    <row r="1004" spans="1:23" ht="20.100000000000001" customHeight="1" x14ac:dyDescent="0.25">
      <c r="A1004" s="3" t="s">
        <v>8519</v>
      </c>
      <c r="B1004" s="4" t="s">
        <v>2057</v>
      </c>
      <c r="C1004" s="4" t="s">
        <v>8520</v>
      </c>
      <c r="D1004" s="4" t="s">
        <v>2059</v>
      </c>
      <c r="E1004" s="4" t="s">
        <v>2131</v>
      </c>
      <c r="F1004" s="4" t="s">
        <v>2132</v>
      </c>
      <c r="G1004" s="4" t="s">
        <v>2057</v>
      </c>
      <c r="H1004" s="4" t="s">
        <v>8400</v>
      </c>
      <c r="I1004" s="4" t="s">
        <v>8393</v>
      </c>
      <c r="J1004" s="4" t="s">
        <v>8521</v>
      </c>
      <c r="K1004" s="4" t="s">
        <v>8522</v>
      </c>
      <c r="L1004" s="4" t="s">
        <v>8523</v>
      </c>
      <c r="M1004" s="4" t="s">
        <v>2078</v>
      </c>
      <c r="N1004" s="8">
        <v>46234</v>
      </c>
      <c r="O1004" s="8">
        <v>46356</v>
      </c>
      <c r="P1004" s="4" t="s">
        <v>2132</v>
      </c>
      <c r="Q1004" s="4" t="s">
        <v>8393</v>
      </c>
      <c r="R1004" s="4" t="s">
        <v>8524</v>
      </c>
      <c r="S1004" s="4" t="s">
        <v>8525</v>
      </c>
      <c r="T1004" s="4" t="s">
        <v>2067</v>
      </c>
      <c r="U1004" s="4" t="s">
        <v>2138</v>
      </c>
      <c r="V1004" s="4" t="s">
        <v>2067</v>
      </c>
      <c r="W1004" s="4" t="s">
        <v>2082</v>
      </c>
    </row>
    <row r="1005" spans="1:23" ht="20.100000000000001" customHeight="1" x14ac:dyDescent="0.25">
      <c r="A1005" s="6" t="s">
        <v>8526</v>
      </c>
      <c r="B1005" s="7" t="s">
        <v>2057</v>
      </c>
      <c r="C1005" s="7" t="s">
        <v>8527</v>
      </c>
      <c r="D1005" s="7" t="s">
        <v>2059</v>
      </c>
      <c r="E1005" s="7" t="s">
        <v>1947</v>
      </c>
      <c r="F1005" s="7" t="s">
        <v>1948</v>
      </c>
      <c r="G1005" s="7" t="s">
        <v>2057</v>
      </c>
      <c r="H1005" s="7" t="s">
        <v>8392</v>
      </c>
      <c r="I1005" s="7" t="s">
        <v>8393</v>
      </c>
      <c r="J1005" s="7" t="s">
        <v>8528</v>
      </c>
      <c r="K1005" s="7" t="s">
        <v>8529</v>
      </c>
      <c r="L1005" s="7" t="s">
        <v>8530</v>
      </c>
      <c r="M1005" s="7" t="s">
        <v>2078</v>
      </c>
      <c r="N1005" s="9">
        <v>46234</v>
      </c>
      <c r="O1005" s="9">
        <v>46356</v>
      </c>
      <c r="P1005" s="7" t="s">
        <v>2112</v>
      </c>
      <c r="Q1005" s="7" t="s">
        <v>8393</v>
      </c>
      <c r="R1005" s="7" t="s">
        <v>8531</v>
      </c>
      <c r="S1005" s="7" t="s">
        <v>8532</v>
      </c>
      <c r="T1005" s="7" t="s">
        <v>2067</v>
      </c>
      <c r="U1005" s="7" t="s">
        <v>2119</v>
      </c>
      <c r="V1005" s="7" t="s">
        <v>2067</v>
      </c>
      <c r="W1005" s="7" t="s">
        <v>2069</v>
      </c>
    </row>
    <row r="1006" spans="1:23" ht="20.100000000000001" customHeight="1" x14ac:dyDescent="0.25">
      <c r="A1006" s="3" t="s">
        <v>788</v>
      </c>
      <c r="B1006" s="4" t="s">
        <v>2084</v>
      </c>
      <c r="C1006" s="4" t="s">
        <v>8533</v>
      </c>
      <c r="D1006" s="4" t="s">
        <v>2059</v>
      </c>
      <c r="E1006" s="4" t="s">
        <v>1947</v>
      </c>
      <c r="F1006" s="4" t="s">
        <v>1948</v>
      </c>
      <c r="G1006" s="4" t="s">
        <v>2084</v>
      </c>
      <c r="H1006" s="4" t="s">
        <v>1992</v>
      </c>
      <c r="I1006" s="4" t="s">
        <v>1993</v>
      </c>
      <c r="J1006" s="4" t="s">
        <v>8534</v>
      </c>
      <c r="K1006" s="4" t="s">
        <v>8535</v>
      </c>
      <c r="L1006" s="4" t="s">
        <v>8536</v>
      </c>
      <c r="M1006" s="4" t="s">
        <v>2078</v>
      </c>
      <c r="N1006" s="8">
        <v>45992</v>
      </c>
      <c r="O1006" s="8">
        <v>46356</v>
      </c>
      <c r="P1006" s="4" t="s">
        <v>2090</v>
      </c>
      <c r="Q1006" s="4" t="s">
        <v>1993</v>
      </c>
      <c r="R1006" s="4" t="s">
        <v>8537</v>
      </c>
      <c r="S1006" s="4" t="s">
        <v>8538</v>
      </c>
      <c r="T1006" s="4" t="s">
        <v>2351</v>
      </c>
      <c r="U1006" s="4" t="s">
        <v>2146</v>
      </c>
      <c r="V1006" s="4" t="s">
        <v>2351</v>
      </c>
      <c r="W1006" s="4" t="s">
        <v>2069</v>
      </c>
    </row>
    <row r="1007" spans="1:23" ht="20.100000000000001" customHeight="1" x14ac:dyDescent="0.25">
      <c r="A1007" s="6" t="s">
        <v>1070</v>
      </c>
      <c r="B1007" s="7" t="s">
        <v>2084</v>
      </c>
      <c r="C1007" s="7" t="s">
        <v>8539</v>
      </c>
      <c r="D1007" s="7" t="s">
        <v>2059</v>
      </c>
      <c r="E1007" s="7" t="s">
        <v>1947</v>
      </c>
      <c r="F1007" s="7" t="s">
        <v>1948</v>
      </c>
      <c r="G1007" s="7" t="s">
        <v>2084</v>
      </c>
      <c r="H1007" s="7" t="s">
        <v>8540</v>
      </c>
      <c r="I1007" s="7" t="s">
        <v>1993</v>
      </c>
      <c r="J1007" s="7" t="s">
        <v>8541</v>
      </c>
      <c r="K1007" s="7" t="s">
        <v>8542</v>
      </c>
      <c r="L1007" s="7" t="s">
        <v>8543</v>
      </c>
      <c r="M1007" s="7" t="s">
        <v>2078</v>
      </c>
      <c r="N1007" s="9">
        <v>45992</v>
      </c>
      <c r="O1007" s="9">
        <v>46356</v>
      </c>
      <c r="P1007" s="7" t="s">
        <v>2090</v>
      </c>
      <c r="Q1007" s="7" t="s">
        <v>1993</v>
      </c>
      <c r="R1007" s="7" t="s">
        <v>8544</v>
      </c>
      <c r="S1007" s="7" t="s">
        <v>8545</v>
      </c>
      <c r="T1007" s="7" t="s">
        <v>2067</v>
      </c>
      <c r="U1007" s="7" t="s">
        <v>2146</v>
      </c>
      <c r="V1007" s="7" t="s">
        <v>2067</v>
      </c>
      <c r="W1007" s="7" t="s">
        <v>2069</v>
      </c>
    </row>
    <row r="1008" spans="1:23" ht="20.100000000000001" customHeight="1" x14ac:dyDescent="0.25">
      <c r="A1008" s="3" t="s">
        <v>1068</v>
      </c>
      <c r="B1008" s="4" t="s">
        <v>2084</v>
      </c>
      <c r="C1008" s="4" t="s">
        <v>8546</v>
      </c>
      <c r="D1008" s="4" t="s">
        <v>2059</v>
      </c>
      <c r="E1008" s="4" t="s">
        <v>1947</v>
      </c>
      <c r="F1008" s="4" t="s">
        <v>1948</v>
      </c>
      <c r="G1008" s="4" t="s">
        <v>2084</v>
      </c>
      <c r="H1008" s="4" t="s">
        <v>8540</v>
      </c>
      <c r="I1008" s="4" t="s">
        <v>1993</v>
      </c>
      <c r="J1008" s="4" t="s">
        <v>8547</v>
      </c>
      <c r="K1008" s="4" t="s">
        <v>8548</v>
      </c>
      <c r="L1008" s="4" t="s">
        <v>8549</v>
      </c>
      <c r="M1008" s="4" t="s">
        <v>2078</v>
      </c>
      <c r="N1008" s="8">
        <v>45992</v>
      </c>
      <c r="O1008" s="8">
        <v>46356</v>
      </c>
      <c r="P1008" s="4" t="s">
        <v>2090</v>
      </c>
      <c r="Q1008" s="4" t="s">
        <v>1993</v>
      </c>
      <c r="R1008" s="4" t="s">
        <v>4983</v>
      </c>
      <c r="S1008" s="4" t="s">
        <v>8550</v>
      </c>
      <c r="T1008" s="4" t="s">
        <v>2067</v>
      </c>
      <c r="U1008" s="4" t="s">
        <v>2146</v>
      </c>
      <c r="V1008" s="4" t="s">
        <v>2067</v>
      </c>
      <c r="W1008" s="4" t="s">
        <v>2069</v>
      </c>
    </row>
    <row r="1009" spans="1:23" ht="20.100000000000001" customHeight="1" x14ac:dyDescent="0.25">
      <c r="A1009" s="6" t="s">
        <v>528</v>
      </c>
      <c r="B1009" s="7" t="s">
        <v>2084</v>
      </c>
      <c r="C1009" s="7" t="s">
        <v>8551</v>
      </c>
      <c r="D1009" s="7" t="s">
        <v>2059</v>
      </c>
      <c r="E1009" s="7" t="s">
        <v>3520</v>
      </c>
      <c r="F1009" s="7" t="s">
        <v>3521</v>
      </c>
      <c r="G1009" s="7" t="s">
        <v>2084</v>
      </c>
      <c r="H1009" s="7" t="s">
        <v>1992</v>
      </c>
      <c r="I1009" s="7" t="s">
        <v>1993</v>
      </c>
      <c r="J1009" s="7" t="s">
        <v>8552</v>
      </c>
      <c r="K1009" s="7" t="s">
        <v>8553</v>
      </c>
      <c r="L1009" s="7" t="s">
        <v>8554</v>
      </c>
      <c r="M1009" s="7" t="s">
        <v>2078</v>
      </c>
      <c r="N1009" s="9">
        <v>45992</v>
      </c>
      <c r="O1009" s="9">
        <v>46356</v>
      </c>
      <c r="P1009" s="7" t="s">
        <v>3521</v>
      </c>
      <c r="Q1009" s="7" t="s">
        <v>1993</v>
      </c>
      <c r="R1009" s="7" t="s">
        <v>7882</v>
      </c>
      <c r="S1009" s="7" t="s">
        <v>8555</v>
      </c>
      <c r="T1009" s="7" t="s">
        <v>2067</v>
      </c>
      <c r="U1009" s="7" t="s">
        <v>3527</v>
      </c>
      <c r="V1009" s="7" t="s">
        <v>2067</v>
      </c>
      <c r="W1009" s="7" t="s">
        <v>2069</v>
      </c>
    </row>
    <row r="1010" spans="1:23" ht="20.100000000000001" customHeight="1" x14ac:dyDescent="0.25">
      <c r="A1010" s="3" t="s">
        <v>1072</v>
      </c>
      <c r="B1010" s="4" t="s">
        <v>2084</v>
      </c>
      <c r="C1010" s="4" t="s">
        <v>8556</v>
      </c>
      <c r="D1010" s="4" t="s">
        <v>2059</v>
      </c>
      <c r="E1010" s="4" t="s">
        <v>1947</v>
      </c>
      <c r="F1010" s="4" t="s">
        <v>1948</v>
      </c>
      <c r="G1010" s="4" t="s">
        <v>2084</v>
      </c>
      <c r="H1010" s="4" t="s">
        <v>8540</v>
      </c>
      <c r="I1010" s="4" t="s">
        <v>1993</v>
      </c>
      <c r="J1010" s="4" t="s">
        <v>8557</v>
      </c>
      <c r="K1010" s="4" t="s">
        <v>8558</v>
      </c>
      <c r="L1010" s="4" t="s">
        <v>8559</v>
      </c>
      <c r="M1010" s="4" t="s">
        <v>2078</v>
      </c>
      <c r="N1010" s="8">
        <v>45992</v>
      </c>
      <c r="O1010" s="8">
        <v>46356</v>
      </c>
      <c r="P1010" s="4" t="s">
        <v>2090</v>
      </c>
      <c r="Q1010" s="4" t="s">
        <v>1993</v>
      </c>
      <c r="R1010" s="4" t="s">
        <v>8560</v>
      </c>
      <c r="S1010" s="4" t="s">
        <v>8561</v>
      </c>
      <c r="T1010" s="4" t="s">
        <v>2067</v>
      </c>
      <c r="U1010" s="4" t="s">
        <v>2146</v>
      </c>
      <c r="V1010" s="4" t="s">
        <v>2067</v>
      </c>
      <c r="W1010" s="4" t="s">
        <v>2069</v>
      </c>
    </row>
    <row r="1011" spans="1:23" ht="20.100000000000001" customHeight="1" x14ac:dyDescent="0.25">
      <c r="A1011" s="6" t="s">
        <v>572</v>
      </c>
      <c r="B1011" s="7" t="s">
        <v>2084</v>
      </c>
      <c r="C1011" s="7" t="s">
        <v>8562</v>
      </c>
      <c r="D1011" s="7" t="s">
        <v>2059</v>
      </c>
      <c r="E1011" s="7" t="s">
        <v>1947</v>
      </c>
      <c r="F1011" s="7" t="s">
        <v>1948</v>
      </c>
      <c r="G1011" s="7" t="s">
        <v>2084</v>
      </c>
      <c r="H1011" s="7" t="s">
        <v>8563</v>
      </c>
      <c r="I1011" s="7" t="s">
        <v>1993</v>
      </c>
      <c r="J1011" s="7" t="s">
        <v>8564</v>
      </c>
      <c r="K1011" s="7" t="s">
        <v>8565</v>
      </c>
      <c r="L1011" s="7" t="s">
        <v>8566</v>
      </c>
      <c r="M1011" s="7" t="s">
        <v>2078</v>
      </c>
      <c r="N1011" s="9">
        <v>46234</v>
      </c>
      <c r="O1011" s="9">
        <v>46356</v>
      </c>
      <c r="P1011" s="7" t="s">
        <v>2090</v>
      </c>
      <c r="Q1011" s="7" t="s">
        <v>1993</v>
      </c>
      <c r="R1011" s="7" t="s">
        <v>8567</v>
      </c>
      <c r="S1011" s="7" t="s">
        <v>8568</v>
      </c>
      <c r="T1011" s="7" t="s">
        <v>2067</v>
      </c>
      <c r="U1011" s="7" t="s">
        <v>2146</v>
      </c>
      <c r="V1011" s="7" t="s">
        <v>2067</v>
      </c>
      <c r="W1011" s="7" t="s">
        <v>2082</v>
      </c>
    </row>
    <row r="1012" spans="1:23" ht="20.100000000000001" customHeight="1" x14ac:dyDescent="0.25">
      <c r="A1012" s="3" t="s">
        <v>1018</v>
      </c>
      <c r="B1012" s="4" t="s">
        <v>2084</v>
      </c>
      <c r="C1012" s="4" t="s">
        <v>8569</v>
      </c>
      <c r="D1012" s="4" t="s">
        <v>2059</v>
      </c>
      <c r="E1012" s="4" t="s">
        <v>1947</v>
      </c>
      <c r="F1012" s="4" t="s">
        <v>1948</v>
      </c>
      <c r="G1012" s="4" t="s">
        <v>2084</v>
      </c>
      <c r="H1012" s="4" t="s">
        <v>8540</v>
      </c>
      <c r="I1012" s="4" t="s">
        <v>1993</v>
      </c>
      <c r="J1012" s="4" t="s">
        <v>8570</v>
      </c>
      <c r="K1012" s="4" t="s">
        <v>8571</v>
      </c>
      <c r="L1012" s="4" t="s">
        <v>8572</v>
      </c>
      <c r="M1012" s="4" t="s">
        <v>2078</v>
      </c>
      <c r="N1012" s="8">
        <v>45992</v>
      </c>
      <c r="O1012" s="8">
        <v>46356</v>
      </c>
      <c r="P1012" s="4" t="s">
        <v>2090</v>
      </c>
      <c r="Q1012" s="4" t="s">
        <v>1993</v>
      </c>
      <c r="R1012" s="4" t="s">
        <v>3823</v>
      </c>
      <c r="S1012" s="4" t="s">
        <v>8573</v>
      </c>
      <c r="T1012" s="4" t="s">
        <v>2067</v>
      </c>
      <c r="U1012" s="4" t="s">
        <v>2146</v>
      </c>
      <c r="V1012" s="4" t="s">
        <v>2067</v>
      </c>
      <c r="W1012" s="4" t="s">
        <v>2069</v>
      </c>
    </row>
    <row r="1013" spans="1:23" ht="20.100000000000001" customHeight="1" x14ac:dyDescent="0.25">
      <c r="A1013" s="6" t="s">
        <v>872</v>
      </c>
      <c r="B1013" s="7" t="s">
        <v>2084</v>
      </c>
      <c r="C1013" s="7" t="s">
        <v>8574</v>
      </c>
      <c r="D1013" s="7" t="s">
        <v>2059</v>
      </c>
      <c r="E1013" s="7" t="s">
        <v>1947</v>
      </c>
      <c r="F1013" s="7" t="s">
        <v>1948</v>
      </c>
      <c r="G1013" s="7" t="s">
        <v>2084</v>
      </c>
      <c r="H1013" s="7" t="s">
        <v>8575</v>
      </c>
      <c r="I1013" s="7" t="s">
        <v>1993</v>
      </c>
      <c r="J1013" s="7" t="s">
        <v>8576</v>
      </c>
      <c r="K1013" s="7" t="s">
        <v>8577</v>
      </c>
      <c r="L1013" s="7" t="s">
        <v>8578</v>
      </c>
      <c r="M1013" s="7" t="s">
        <v>2078</v>
      </c>
      <c r="N1013" s="9">
        <v>45992</v>
      </c>
      <c r="O1013" s="9">
        <v>46356</v>
      </c>
      <c r="P1013" s="7" t="s">
        <v>2090</v>
      </c>
      <c r="Q1013" s="7" t="s">
        <v>1993</v>
      </c>
      <c r="R1013" s="7" t="s">
        <v>6516</v>
      </c>
      <c r="S1013" s="7" t="s">
        <v>8579</v>
      </c>
      <c r="T1013" s="7" t="s">
        <v>2067</v>
      </c>
      <c r="U1013" s="7" t="s">
        <v>2146</v>
      </c>
      <c r="V1013" s="7" t="s">
        <v>2067</v>
      </c>
      <c r="W1013" s="7" t="s">
        <v>2082</v>
      </c>
    </row>
    <row r="1014" spans="1:23" ht="20.100000000000001" customHeight="1" x14ac:dyDescent="0.25">
      <c r="A1014" s="3" t="s">
        <v>780</v>
      </c>
      <c r="B1014" s="4" t="s">
        <v>2084</v>
      </c>
      <c r="C1014" s="4" t="s">
        <v>8580</v>
      </c>
      <c r="D1014" s="4" t="s">
        <v>2059</v>
      </c>
      <c r="E1014" s="4" t="s">
        <v>1947</v>
      </c>
      <c r="F1014" s="4" t="s">
        <v>1948</v>
      </c>
      <c r="G1014" s="4" t="s">
        <v>2084</v>
      </c>
      <c r="H1014" s="4" t="s">
        <v>8581</v>
      </c>
      <c r="I1014" s="4" t="s">
        <v>1993</v>
      </c>
      <c r="J1014" s="4" t="s">
        <v>8582</v>
      </c>
      <c r="K1014" s="4" t="s">
        <v>8583</v>
      </c>
      <c r="L1014" s="4" t="s">
        <v>8584</v>
      </c>
      <c r="M1014" s="4" t="s">
        <v>2078</v>
      </c>
      <c r="N1014" s="8">
        <v>45992</v>
      </c>
      <c r="O1014" s="8">
        <v>46356</v>
      </c>
      <c r="P1014" s="4" t="s">
        <v>2090</v>
      </c>
      <c r="Q1014" s="4" t="s">
        <v>1993</v>
      </c>
      <c r="R1014" s="4" t="s">
        <v>2851</v>
      </c>
      <c r="S1014" s="4" t="s">
        <v>8585</v>
      </c>
      <c r="T1014" s="4" t="s">
        <v>2067</v>
      </c>
      <c r="U1014" s="4" t="s">
        <v>2146</v>
      </c>
      <c r="V1014" s="4" t="s">
        <v>2067</v>
      </c>
      <c r="W1014" s="4" t="s">
        <v>2069</v>
      </c>
    </row>
    <row r="1015" spans="1:23" ht="20.100000000000001" customHeight="1" x14ac:dyDescent="0.25">
      <c r="A1015" s="6" t="s">
        <v>1130</v>
      </c>
      <c r="B1015" s="7" t="s">
        <v>2084</v>
      </c>
      <c r="C1015" s="7" t="s">
        <v>8586</v>
      </c>
      <c r="D1015" s="7" t="s">
        <v>2059</v>
      </c>
      <c r="E1015" s="7" t="s">
        <v>1947</v>
      </c>
      <c r="F1015" s="7" t="s">
        <v>1948</v>
      </c>
      <c r="G1015" s="7" t="s">
        <v>2084</v>
      </c>
      <c r="H1015" s="7" t="s">
        <v>8540</v>
      </c>
      <c r="I1015" s="7" t="s">
        <v>1993</v>
      </c>
      <c r="J1015" s="7" t="s">
        <v>8587</v>
      </c>
      <c r="K1015" s="7" t="s">
        <v>8588</v>
      </c>
      <c r="L1015" s="7" t="s">
        <v>8589</v>
      </c>
      <c r="M1015" s="7" t="s">
        <v>2078</v>
      </c>
      <c r="N1015" s="9">
        <v>45992</v>
      </c>
      <c r="O1015" s="9">
        <v>46356</v>
      </c>
      <c r="P1015" s="7" t="s">
        <v>2090</v>
      </c>
      <c r="Q1015" s="7" t="s">
        <v>1993</v>
      </c>
      <c r="R1015" s="7" t="s">
        <v>8590</v>
      </c>
      <c r="S1015" s="7" t="s">
        <v>8591</v>
      </c>
      <c r="T1015" s="7" t="s">
        <v>2067</v>
      </c>
      <c r="U1015" s="7" t="s">
        <v>2146</v>
      </c>
      <c r="V1015" s="7" t="s">
        <v>2067</v>
      </c>
      <c r="W1015" s="7" t="s">
        <v>2069</v>
      </c>
    </row>
    <row r="1016" spans="1:23" ht="20.100000000000001" customHeight="1" x14ac:dyDescent="0.25">
      <c r="A1016" s="3" t="s">
        <v>1990</v>
      </c>
      <c r="B1016" s="4" t="s">
        <v>2084</v>
      </c>
      <c r="C1016" s="4" t="s">
        <v>1991</v>
      </c>
      <c r="D1016" s="4" t="s">
        <v>2059</v>
      </c>
      <c r="E1016" s="4" t="s">
        <v>1947</v>
      </c>
      <c r="F1016" s="4" t="s">
        <v>1948</v>
      </c>
      <c r="G1016" s="4" t="s">
        <v>2084</v>
      </c>
      <c r="H1016" s="4" t="s">
        <v>1992</v>
      </c>
      <c r="I1016" s="4" t="s">
        <v>1993</v>
      </c>
      <c r="J1016" s="4" t="s">
        <v>8592</v>
      </c>
      <c r="K1016" s="4" t="s">
        <v>8593</v>
      </c>
      <c r="L1016" s="4" t="s">
        <v>8594</v>
      </c>
      <c r="M1016" s="4" t="s">
        <v>2078</v>
      </c>
      <c r="N1016" s="8">
        <v>45992</v>
      </c>
      <c r="O1016" s="8">
        <v>46356</v>
      </c>
      <c r="P1016" s="4" t="s">
        <v>2090</v>
      </c>
      <c r="Q1016" s="4" t="s">
        <v>1993</v>
      </c>
      <c r="R1016" s="4" t="s">
        <v>8595</v>
      </c>
      <c r="S1016" s="4" t="s">
        <v>8596</v>
      </c>
      <c r="T1016" s="4" t="s">
        <v>2067</v>
      </c>
      <c r="U1016" s="4" t="s">
        <v>2146</v>
      </c>
      <c r="V1016" s="4" t="s">
        <v>2067</v>
      </c>
      <c r="W1016" s="4" t="s">
        <v>2069</v>
      </c>
    </row>
    <row r="1017" spans="1:23" ht="20.100000000000001" customHeight="1" x14ac:dyDescent="0.25">
      <c r="A1017" s="6" t="s">
        <v>556</v>
      </c>
      <c r="B1017" s="7" t="s">
        <v>2084</v>
      </c>
      <c r="C1017" s="7" t="s">
        <v>8597</v>
      </c>
      <c r="D1017" s="7" t="s">
        <v>2059</v>
      </c>
      <c r="E1017" s="7" t="s">
        <v>4160</v>
      </c>
      <c r="F1017" s="7" t="s">
        <v>4161</v>
      </c>
      <c r="G1017" s="7" t="s">
        <v>2084</v>
      </c>
      <c r="H1017" s="7" t="s">
        <v>1992</v>
      </c>
      <c r="I1017" s="7" t="s">
        <v>1993</v>
      </c>
      <c r="J1017" s="7" t="s">
        <v>8598</v>
      </c>
      <c r="K1017" s="7" t="s">
        <v>8599</v>
      </c>
      <c r="L1017" s="7" t="s">
        <v>8600</v>
      </c>
      <c r="M1017" s="7" t="s">
        <v>2078</v>
      </c>
      <c r="N1017" s="9">
        <v>45992</v>
      </c>
      <c r="O1017" s="9">
        <v>46356</v>
      </c>
      <c r="P1017" s="7" t="s">
        <v>4161</v>
      </c>
      <c r="Q1017" s="7" t="s">
        <v>1993</v>
      </c>
      <c r="R1017" s="7" t="s">
        <v>8601</v>
      </c>
      <c r="S1017" s="7" t="s">
        <v>8602</v>
      </c>
      <c r="T1017" s="7" t="s">
        <v>2067</v>
      </c>
      <c r="U1017" s="7" t="s">
        <v>4167</v>
      </c>
      <c r="V1017" s="7" t="s">
        <v>2067</v>
      </c>
      <c r="W1017" s="7" t="s">
        <v>2069</v>
      </c>
    </row>
    <row r="1018" spans="1:23" ht="20.100000000000001" customHeight="1" x14ac:dyDescent="0.25">
      <c r="A1018" s="3" t="s">
        <v>538</v>
      </c>
      <c r="B1018" s="4" t="s">
        <v>2084</v>
      </c>
      <c r="C1018" s="4" t="s">
        <v>8603</v>
      </c>
      <c r="D1018" s="4" t="s">
        <v>2059</v>
      </c>
      <c r="E1018" s="4" t="s">
        <v>2072</v>
      </c>
      <c r="F1018" s="4" t="s">
        <v>2338</v>
      </c>
      <c r="G1018" s="4" t="s">
        <v>2084</v>
      </c>
      <c r="H1018" s="4" t="s">
        <v>8604</v>
      </c>
      <c r="I1018" s="4" t="s">
        <v>1993</v>
      </c>
      <c r="J1018" s="4" t="s">
        <v>8605</v>
      </c>
      <c r="K1018" s="4" t="s">
        <v>8606</v>
      </c>
      <c r="L1018" s="4" t="s">
        <v>8607</v>
      </c>
      <c r="M1018" s="4" t="s">
        <v>2078</v>
      </c>
      <c r="N1018" s="8">
        <v>46052</v>
      </c>
      <c r="O1018" s="8">
        <v>46296</v>
      </c>
      <c r="P1018" s="4" t="s">
        <v>2338</v>
      </c>
      <c r="Q1018" s="4" t="s">
        <v>1993</v>
      </c>
      <c r="R1018" s="4" t="s">
        <v>8608</v>
      </c>
      <c r="S1018" s="4" t="s">
        <v>8609</v>
      </c>
      <c r="T1018" s="4" t="s">
        <v>2067</v>
      </c>
      <c r="U1018" s="4" t="s">
        <v>2344</v>
      </c>
      <c r="V1018" s="4" t="s">
        <v>2067</v>
      </c>
      <c r="W1018" s="4" t="s">
        <v>2082</v>
      </c>
    </row>
    <row r="1019" spans="1:23" ht="20.100000000000001" customHeight="1" x14ac:dyDescent="0.25">
      <c r="A1019" s="6" t="s">
        <v>62</v>
      </c>
      <c r="B1019" s="7" t="s">
        <v>2084</v>
      </c>
      <c r="C1019" s="7" t="s">
        <v>8610</v>
      </c>
      <c r="D1019" s="7" t="s">
        <v>2059</v>
      </c>
      <c r="E1019" s="7" t="s">
        <v>4160</v>
      </c>
      <c r="F1019" s="7" t="s">
        <v>4161</v>
      </c>
      <c r="G1019" s="7" t="s">
        <v>2084</v>
      </c>
      <c r="H1019" s="7" t="s">
        <v>1992</v>
      </c>
      <c r="I1019" s="7" t="s">
        <v>1993</v>
      </c>
      <c r="J1019" s="7" t="s">
        <v>8611</v>
      </c>
      <c r="K1019" s="7" t="s">
        <v>8612</v>
      </c>
      <c r="L1019" s="7" t="s">
        <v>8613</v>
      </c>
      <c r="M1019" s="7" t="s">
        <v>2078</v>
      </c>
      <c r="N1019" s="9">
        <v>46052</v>
      </c>
      <c r="O1019" s="9">
        <v>46296</v>
      </c>
      <c r="P1019" s="7" t="s">
        <v>4161</v>
      </c>
      <c r="Q1019" s="7" t="s">
        <v>1993</v>
      </c>
      <c r="R1019" s="7" t="s">
        <v>8614</v>
      </c>
      <c r="S1019" s="7" t="s">
        <v>8615</v>
      </c>
      <c r="T1019" s="7" t="s">
        <v>2067</v>
      </c>
      <c r="U1019" s="7" t="s">
        <v>4167</v>
      </c>
      <c r="V1019" s="7" t="s">
        <v>2067</v>
      </c>
      <c r="W1019" s="7" t="s">
        <v>2069</v>
      </c>
    </row>
    <row r="1020" spans="1:23" ht="20.100000000000001" customHeight="1" x14ac:dyDescent="0.25">
      <c r="A1020" s="3" t="s">
        <v>1440</v>
      </c>
      <c r="B1020" s="4" t="s">
        <v>2084</v>
      </c>
      <c r="C1020" s="4" t="s">
        <v>8616</v>
      </c>
      <c r="D1020" s="4" t="s">
        <v>2059</v>
      </c>
      <c r="E1020" s="4" t="s">
        <v>1947</v>
      </c>
      <c r="F1020" s="4" t="s">
        <v>1948</v>
      </c>
      <c r="G1020" s="4" t="s">
        <v>2084</v>
      </c>
      <c r="H1020" s="4" t="s">
        <v>8604</v>
      </c>
      <c r="I1020" s="4" t="s">
        <v>1993</v>
      </c>
      <c r="J1020" s="4" t="s">
        <v>8617</v>
      </c>
      <c r="K1020" s="4" t="s">
        <v>8618</v>
      </c>
      <c r="L1020" s="4" t="s">
        <v>8619</v>
      </c>
      <c r="M1020" s="4" t="s">
        <v>2078</v>
      </c>
      <c r="N1020" s="8">
        <v>46164</v>
      </c>
      <c r="O1020" s="8">
        <v>46294</v>
      </c>
      <c r="P1020" s="4" t="s">
        <v>2090</v>
      </c>
      <c r="Q1020" s="4" t="s">
        <v>1993</v>
      </c>
      <c r="R1020" s="4" t="s">
        <v>8620</v>
      </c>
      <c r="S1020" s="4" t="s">
        <v>8621</v>
      </c>
      <c r="T1020" s="4" t="s">
        <v>2067</v>
      </c>
      <c r="U1020" s="4" t="s">
        <v>2146</v>
      </c>
      <c r="V1020" s="4" t="s">
        <v>2067</v>
      </c>
      <c r="W1020" s="4" t="s">
        <v>2082</v>
      </c>
    </row>
    <row r="1021" spans="1:23" ht="20.100000000000001" customHeight="1" x14ac:dyDescent="0.25">
      <c r="A1021" s="6" t="s">
        <v>8622</v>
      </c>
      <c r="B1021" s="7" t="s">
        <v>2084</v>
      </c>
      <c r="C1021" s="7" t="s">
        <v>8623</v>
      </c>
      <c r="D1021" s="7" t="s">
        <v>2059</v>
      </c>
      <c r="E1021" s="7" t="s">
        <v>1947</v>
      </c>
      <c r="F1021" s="7" t="s">
        <v>1948</v>
      </c>
      <c r="G1021" s="7" t="s">
        <v>2084</v>
      </c>
      <c r="H1021" s="7" t="s">
        <v>8604</v>
      </c>
      <c r="I1021" s="7" t="s">
        <v>1993</v>
      </c>
      <c r="J1021" s="7" t="s">
        <v>8624</v>
      </c>
      <c r="K1021" s="7" t="s">
        <v>8625</v>
      </c>
      <c r="L1021" s="7" t="s">
        <v>8626</v>
      </c>
      <c r="M1021" s="7" t="s">
        <v>2078</v>
      </c>
      <c r="N1021" s="9">
        <v>46234</v>
      </c>
      <c r="O1021" s="9">
        <v>46356</v>
      </c>
      <c r="P1021" s="7" t="s">
        <v>2090</v>
      </c>
      <c r="Q1021" s="7" t="s">
        <v>1993</v>
      </c>
      <c r="R1021" s="7" t="s">
        <v>7209</v>
      </c>
      <c r="S1021" s="7" t="s">
        <v>8627</v>
      </c>
      <c r="T1021" s="7" t="s">
        <v>2067</v>
      </c>
      <c r="U1021" s="7" t="s">
        <v>2146</v>
      </c>
      <c r="V1021" s="7" t="s">
        <v>2067</v>
      </c>
      <c r="W1021" s="7" t="s">
        <v>2082</v>
      </c>
    </row>
    <row r="1022" spans="1:23" ht="20.100000000000001" customHeight="1" x14ac:dyDescent="0.25">
      <c r="A1022" s="3" t="s">
        <v>1184</v>
      </c>
      <c r="B1022" s="4" t="s">
        <v>2084</v>
      </c>
      <c r="C1022" s="4" t="s">
        <v>8628</v>
      </c>
      <c r="D1022" s="4" t="s">
        <v>2059</v>
      </c>
      <c r="E1022" s="4" t="s">
        <v>1947</v>
      </c>
      <c r="F1022" s="4" t="s">
        <v>1948</v>
      </c>
      <c r="G1022" s="4" t="s">
        <v>2084</v>
      </c>
      <c r="H1022" s="4" t="s">
        <v>8629</v>
      </c>
      <c r="I1022" s="4" t="s">
        <v>1993</v>
      </c>
      <c r="J1022" s="4" t="s">
        <v>8630</v>
      </c>
      <c r="K1022" s="4" t="s">
        <v>8631</v>
      </c>
      <c r="L1022" s="4" t="s">
        <v>8632</v>
      </c>
      <c r="M1022" s="4" t="s">
        <v>2078</v>
      </c>
      <c r="N1022" s="8">
        <v>46234</v>
      </c>
      <c r="O1022" s="8">
        <v>46356</v>
      </c>
      <c r="P1022" s="4" t="s">
        <v>2090</v>
      </c>
      <c r="Q1022" s="4" t="s">
        <v>1993</v>
      </c>
      <c r="R1022" s="4" t="s">
        <v>3210</v>
      </c>
      <c r="S1022" s="4" t="s">
        <v>8633</v>
      </c>
      <c r="T1022" s="4" t="s">
        <v>2067</v>
      </c>
      <c r="U1022" s="4" t="s">
        <v>2146</v>
      </c>
      <c r="V1022" s="4" t="s">
        <v>2067</v>
      </c>
      <c r="W1022" s="4" t="s">
        <v>2082</v>
      </c>
    </row>
    <row r="1023" spans="1:23" ht="20.100000000000001" customHeight="1" x14ac:dyDescent="0.25">
      <c r="A1023" s="6" t="s">
        <v>548</v>
      </c>
      <c r="B1023" s="7" t="s">
        <v>2084</v>
      </c>
      <c r="C1023" s="7" t="s">
        <v>8634</v>
      </c>
      <c r="D1023" s="7" t="s">
        <v>2059</v>
      </c>
      <c r="E1023" s="7" t="s">
        <v>1947</v>
      </c>
      <c r="F1023" s="7" t="s">
        <v>1948</v>
      </c>
      <c r="G1023" s="7" t="s">
        <v>2084</v>
      </c>
      <c r="H1023" s="7" t="s">
        <v>1992</v>
      </c>
      <c r="I1023" s="7" t="s">
        <v>1993</v>
      </c>
      <c r="J1023" s="7" t="s">
        <v>8635</v>
      </c>
      <c r="K1023" s="7" t="s">
        <v>8636</v>
      </c>
      <c r="L1023" s="7" t="s">
        <v>8637</v>
      </c>
      <c r="M1023" s="7" t="s">
        <v>2078</v>
      </c>
      <c r="N1023" s="9">
        <v>46234</v>
      </c>
      <c r="O1023" s="9">
        <v>46356</v>
      </c>
      <c r="P1023" s="7" t="s">
        <v>2090</v>
      </c>
      <c r="Q1023" s="7" t="s">
        <v>1993</v>
      </c>
      <c r="R1023" s="7" t="s">
        <v>8638</v>
      </c>
      <c r="S1023" s="7" t="s">
        <v>8639</v>
      </c>
      <c r="T1023" s="7" t="s">
        <v>2067</v>
      </c>
      <c r="U1023" s="7" t="s">
        <v>2146</v>
      </c>
      <c r="V1023" s="7" t="s">
        <v>2067</v>
      </c>
      <c r="W1023" s="7" t="s">
        <v>2069</v>
      </c>
    </row>
    <row r="1024" spans="1:23" ht="20.100000000000001" customHeight="1" x14ac:dyDescent="0.25">
      <c r="A1024" s="3" t="s">
        <v>64</v>
      </c>
      <c r="B1024" s="4" t="s">
        <v>2084</v>
      </c>
      <c r="C1024" s="4" t="s">
        <v>8640</v>
      </c>
      <c r="D1024" s="4" t="s">
        <v>2059</v>
      </c>
      <c r="E1024" s="4" t="s">
        <v>4160</v>
      </c>
      <c r="F1024" s="4" t="s">
        <v>4161</v>
      </c>
      <c r="G1024" s="4" t="s">
        <v>2084</v>
      </c>
      <c r="H1024" s="4" t="s">
        <v>8575</v>
      </c>
      <c r="I1024" s="4" t="s">
        <v>1993</v>
      </c>
      <c r="J1024" s="4" t="s">
        <v>8641</v>
      </c>
      <c r="K1024" s="4" t="s">
        <v>8642</v>
      </c>
      <c r="L1024" s="4" t="s">
        <v>8643</v>
      </c>
      <c r="M1024" s="4" t="s">
        <v>2078</v>
      </c>
      <c r="N1024" s="8">
        <v>46234</v>
      </c>
      <c r="O1024" s="8">
        <v>46356</v>
      </c>
      <c r="P1024" s="4" t="s">
        <v>4161</v>
      </c>
      <c r="Q1024" s="4" t="s">
        <v>1993</v>
      </c>
      <c r="R1024" s="4" t="s">
        <v>8644</v>
      </c>
      <c r="S1024" s="4" t="s">
        <v>8645</v>
      </c>
      <c r="T1024" s="4" t="s">
        <v>2067</v>
      </c>
      <c r="U1024" s="4" t="s">
        <v>4167</v>
      </c>
      <c r="V1024" s="4" t="s">
        <v>2067</v>
      </c>
      <c r="W1024" s="4" t="s">
        <v>2082</v>
      </c>
    </row>
    <row r="1025" spans="1:23" ht="20.100000000000001" customHeight="1" x14ac:dyDescent="0.25">
      <c r="A1025" s="6" t="s">
        <v>1274</v>
      </c>
      <c r="B1025" s="7" t="s">
        <v>2084</v>
      </c>
      <c r="C1025" s="7" t="s">
        <v>8646</v>
      </c>
      <c r="D1025" s="7" t="s">
        <v>2059</v>
      </c>
      <c r="E1025" s="7" t="s">
        <v>1947</v>
      </c>
      <c r="F1025" s="7" t="s">
        <v>1948</v>
      </c>
      <c r="G1025" s="7" t="s">
        <v>2084</v>
      </c>
      <c r="H1025" s="7" t="s">
        <v>8647</v>
      </c>
      <c r="I1025" s="7" t="s">
        <v>8648</v>
      </c>
      <c r="J1025" s="7" t="s">
        <v>8649</v>
      </c>
      <c r="K1025" s="7" t="s">
        <v>8650</v>
      </c>
      <c r="L1025" s="7" t="s">
        <v>8651</v>
      </c>
      <c r="M1025" s="7" t="s">
        <v>2064</v>
      </c>
      <c r="N1025" s="9">
        <v>44174</v>
      </c>
      <c r="O1025" s="9"/>
      <c r="P1025" s="7" t="s">
        <v>2090</v>
      </c>
      <c r="Q1025" s="7" t="s">
        <v>8648</v>
      </c>
      <c r="R1025" s="7" t="s">
        <v>8652</v>
      </c>
      <c r="S1025" s="7" t="s">
        <v>8653</v>
      </c>
      <c r="T1025" s="7" t="s">
        <v>2067</v>
      </c>
      <c r="U1025" s="7" t="s">
        <v>2768</v>
      </c>
      <c r="V1025" s="7" t="s">
        <v>2067</v>
      </c>
      <c r="W1025" s="7" t="s">
        <v>2069</v>
      </c>
    </row>
    <row r="1026" spans="1:23" ht="20.100000000000001" customHeight="1" x14ac:dyDescent="0.25">
      <c r="A1026" s="3" t="s">
        <v>1416</v>
      </c>
      <c r="B1026" s="4" t="s">
        <v>2084</v>
      </c>
      <c r="C1026" s="4" t="s">
        <v>8654</v>
      </c>
      <c r="D1026" s="4" t="s">
        <v>2059</v>
      </c>
      <c r="E1026" s="4" t="s">
        <v>1947</v>
      </c>
      <c r="F1026" s="4" t="s">
        <v>1948</v>
      </c>
      <c r="G1026" s="4" t="s">
        <v>2084</v>
      </c>
      <c r="H1026" s="4" t="s">
        <v>8655</v>
      </c>
      <c r="I1026" s="4" t="s">
        <v>8648</v>
      </c>
      <c r="J1026" s="4" t="s">
        <v>8656</v>
      </c>
      <c r="K1026" s="4" t="s">
        <v>8657</v>
      </c>
      <c r="L1026" s="4" t="s">
        <v>8658</v>
      </c>
      <c r="M1026" s="4" t="s">
        <v>2078</v>
      </c>
      <c r="N1026" s="8">
        <v>45992</v>
      </c>
      <c r="O1026" s="8">
        <v>46356</v>
      </c>
      <c r="P1026" s="4" t="s">
        <v>2090</v>
      </c>
      <c r="Q1026" s="4" t="s">
        <v>8648</v>
      </c>
      <c r="R1026" s="4" t="s">
        <v>2437</v>
      </c>
      <c r="S1026" s="4" t="s">
        <v>8659</v>
      </c>
      <c r="T1026" s="4" t="s">
        <v>2067</v>
      </c>
      <c r="U1026" s="4" t="s">
        <v>2146</v>
      </c>
      <c r="V1026" s="4" t="s">
        <v>2067</v>
      </c>
      <c r="W1026" s="4" t="s">
        <v>2069</v>
      </c>
    </row>
    <row r="1027" spans="1:23" ht="20.100000000000001" customHeight="1" x14ac:dyDescent="0.25">
      <c r="A1027" s="6" t="s">
        <v>830</v>
      </c>
      <c r="B1027" s="7" t="s">
        <v>2084</v>
      </c>
      <c r="C1027" s="7" t="s">
        <v>8660</v>
      </c>
      <c r="D1027" s="7" t="s">
        <v>2059</v>
      </c>
      <c r="E1027" s="7" t="s">
        <v>1947</v>
      </c>
      <c r="F1027" s="7" t="s">
        <v>1948</v>
      </c>
      <c r="G1027" s="7" t="s">
        <v>2084</v>
      </c>
      <c r="H1027" s="7" t="s">
        <v>8661</v>
      </c>
      <c r="I1027" s="7" t="s">
        <v>8648</v>
      </c>
      <c r="J1027" s="7" t="s">
        <v>8662</v>
      </c>
      <c r="K1027" s="7" t="s">
        <v>8663</v>
      </c>
      <c r="L1027" s="7" t="s">
        <v>8664</v>
      </c>
      <c r="M1027" s="7" t="s">
        <v>3316</v>
      </c>
      <c r="N1027" s="9">
        <v>45509</v>
      </c>
      <c r="O1027" s="9">
        <v>46356</v>
      </c>
      <c r="P1027" s="7" t="s">
        <v>2090</v>
      </c>
      <c r="Q1027" s="7" t="s">
        <v>8648</v>
      </c>
      <c r="R1027" s="7" t="s">
        <v>8665</v>
      </c>
      <c r="S1027" s="7" t="s">
        <v>8666</v>
      </c>
      <c r="T1027" s="7" t="s">
        <v>2067</v>
      </c>
      <c r="U1027" s="7" t="s">
        <v>2146</v>
      </c>
      <c r="V1027" s="7" t="s">
        <v>2067</v>
      </c>
      <c r="W1027" s="7" t="s">
        <v>2069</v>
      </c>
    </row>
    <row r="1028" spans="1:23" ht="20.100000000000001" customHeight="1" x14ac:dyDescent="0.25">
      <c r="A1028" s="3" t="s">
        <v>800</v>
      </c>
      <c r="B1028" s="4" t="s">
        <v>2084</v>
      </c>
      <c r="C1028" s="4" t="s">
        <v>8667</v>
      </c>
      <c r="D1028" s="4" t="s">
        <v>2059</v>
      </c>
      <c r="E1028" s="4" t="s">
        <v>1947</v>
      </c>
      <c r="F1028" s="4" t="s">
        <v>1948</v>
      </c>
      <c r="G1028" s="4" t="s">
        <v>2084</v>
      </c>
      <c r="H1028" s="4" t="s">
        <v>8668</v>
      </c>
      <c r="I1028" s="4" t="s">
        <v>8648</v>
      </c>
      <c r="J1028" s="4" t="s">
        <v>8669</v>
      </c>
      <c r="K1028" s="4" t="s">
        <v>8670</v>
      </c>
      <c r="L1028" s="4" t="s">
        <v>8671</v>
      </c>
      <c r="M1028" s="4" t="s">
        <v>2078</v>
      </c>
      <c r="N1028" s="8">
        <v>46234</v>
      </c>
      <c r="O1028" s="8">
        <v>46356</v>
      </c>
      <c r="P1028" s="4" t="s">
        <v>2090</v>
      </c>
      <c r="Q1028" s="4" t="s">
        <v>8648</v>
      </c>
      <c r="R1028" s="4" t="s">
        <v>8672</v>
      </c>
      <c r="S1028" s="4" t="s">
        <v>8673</v>
      </c>
      <c r="T1028" s="4" t="s">
        <v>2067</v>
      </c>
      <c r="U1028" s="4" t="s">
        <v>2146</v>
      </c>
      <c r="V1028" s="4" t="s">
        <v>2067</v>
      </c>
      <c r="W1028" s="4" t="s">
        <v>2082</v>
      </c>
    </row>
    <row r="1029" spans="1:23" ht="20.100000000000001" customHeight="1" x14ac:dyDescent="0.25">
      <c r="A1029" s="6" t="s">
        <v>1766</v>
      </c>
      <c r="B1029" s="7" t="s">
        <v>2084</v>
      </c>
      <c r="C1029" s="7" t="s">
        <v>8674</v>
      </c>
      <c r="D1029" s="7" t="s">
        <v>2059</v>
      </c>
      <c r="E1029" s="7" t="s">
        <v>1947</v>
      </c>
      <c r="F1029" s="7" t="s">
        <v>1948</v>
      </c>
      <c r="G1029" s="7" t="s">
        <v>2084</v>
      </c>
      <c r="H1029" s="7" t="s">
        <v>8655</v>
      </c>
      <c r="I1029" s="7" t="s">
        <v>8648</v>
      </c>
      <c r="J1029" s="7" t="s">
        <v>8675</v>
      </c>
      <c r="K1029" s="7" t="s">
        <v>8676</v>
      </c>
      <c r="L1029" s="7" t="s">
        <v>8677</v>
      </c>
      <c r="M1029" s="7" t="s">
        <v>2078</v>
      </c>
      <c r="N1029" s="9">
        <v>45992</v>
      </c>
      <c r="O1029" s="9">
        <v>46356</v>
      </c>
      <c r="P1029" s="7" t="s">
        <v>2090</v>
      </c>
      <c r="Q1029" s="7" t="s">
        <v>8648</v>
      </c>
      <c r="R1029" s="7" t="s">
        <v>8678</v>
      </c>
      <c r="S1029" s="7" t="s">
        <v>8679</v>
      </c>
      <c r="T1029" s="7" t="s">
        <v>2067</v>
      </c>
      <c r="U1029" s="7" t="s">
        <v>2146</v>
      </c>
      <c r="V1029" s="7" t="s">
        <v>2067</v>
      </c>
      <c r="W1029" s="7" t="s">
        <v>2069</v>
      </c>
    </row>
    <row r="1030" spans="1:23" ht="20.100000000000001" customHeight="1" x14ac:dyDescent="0.25">
      <c r="A1030" s="3" t="s">
        <v>8680</v>
      </c>
      <c r="B1030" s="4" t="s">
        <v>2084</v>
      </c>
      <c r="C1030" s="4" t="s">
        <v>8681</v>
      </c>
      <c r="D1030" s="4" t="s">
        <v>2059</v>
      </c>
      <c r="E1030" s="4" t="s">
        <v>1947</v>
      </c>
      <c r="F1030" s="4" t="s">
        <v>1948</v>
      </c>
      <c r="G1030" s="4" t="s">
        <v>2084</v>
      </c>
      <c r="H1030" s="4" t="s">
        <v>8682</v>
      </c>
      <c r="I1030" s="4" t="s">
        <v>8648</v>
      </c>
      <c r="J1030" s="4" t="s">
        <v>8683</v>
      </c>
      <c r="K1030" s="4" t="s">
        <v>8684</v>
      </c>
      <c r="L1030" s="4" t="s">
        <v>8685</v>
      </c>
      <c r="M1030" s="4" t="s">
        <v>2078</v>
      </c>
      <c r="N1030" s="8">
        <v>46234</v>
      </c>
      <c r="O1030" s="8">
        <v>46356</v>
      </c>
      <c r="P1030" s="4" t="s">
        <v>2090</v>
      </c>
      <c r="Q1030" s="4" t="s">
        <v>8648</v>
      </c>
      <c r="R1030" s="4" t="s">
        <v>5195</v>
      </c>
      <c r="S1030" s="4" t="s">
        <v>8686</v>
      </c>
      <c r="T1030" s="4" t="s">
        <v>2067</v>
      </c>
      <c r="U1030" s="4" t="s">
        <v>2146</v>
      </c>
      <c r="V1030" s="4" t="s">
        <v>2067</v>
      </c>
      <c r="W1030" s="4" t="s">
        <v>2082</v>
      </c>
    </row>
    <row r="1031" spans="1:23" ht="20.100000000000001" customHeight="1" x14ac:dyDescent="0.25">
      <c r="A1031" s="6" t="s">
        <v>734</v>
      </c>
      <c r="B1031" s="7" t="s">
        <v>2084</v>
      </c>
      <c r="C1031" s="7" t="s">
        <v>8687</v>
      </c>
      <c r="D1031" s="7" t="s">
        <v>2059</v>
      </c>
      <c r="E1031" s="7" t="s">
        <v>1947</v>
      </c>
      <c r="F1031" s="7" t="s">
        <v>1948</v>
      </c>
      <c r="G1031" s="7" t="s">
        <v>2084</v>
      </c>
      <c r="H1031" s="7" t="s">
        <v>8668</v>
      </c>
      <c r="I1031" s="7" t="s">
        <v>8648</v>
      </c>
      <c r="J1031" s="7" t="s">
        <v>8688</v>
      </c>
      <c r="K1031" s="7" t="s">
        <v>8689</v>
      </c>
      <c r="L1031" s="7" t="s">
        <v>8690</v>
      </c>
      <c r="M1031" s="7" t="s">
        <v>2078</v>
      </c>
      <c r="N1031" s="9">
        <v>46234</v>
      </c>
      <c r="O1031" s="9">
        <v>46356</v>
      </c>
      <c r="P1031" s="7" t="s">
        <v>2090</v>
      </c>
      <c r="Q1031" s="7" t="s">
        <v>8648</v>
      </c>
      <c r="R1031" s="7" t="s">
        <v>7353</v>
      </c>
      <c r="S1031" s="7" t="s">
        <v>8691</v>
      </c>
      <c r="T1031" s="7" t="s">
        <v>2067</v>
      </c>
      <c r="U1031" s="7" t="s">
        <v>2146</v>
      </c>
      <c r="V1031" s="7" t="s">
        <v>2067</v>
      </c>
      <c r="W1031" s="7" t="s">
        <v>2082</v>
      </c>
    </row>
    <row r="1032" spans="1:23" ht="20.100000000000001" customHeight="1" x14ac:dyDescent="0.25">
      <c r="A1032" s="3" t="s">
        <v>964</v>
      </c>
      <c r="B1032" s="4" t="s">
        <v>2084</v>
      </c>
      <c r="C1032" s="4" t="s">
        <v>8692</v>
      </c>
      <c r="D1032" s="4" t="s">
        <v>2059</v>
      </c>
      <c r="E1032" s="4" t="s">
        <v>1947</v>
      </c>
      <c r="F1032" s="4" t="s">
        <v>1948</v>
      </c>
      <c r="G1032" s="4" t="s">
        <v>2084</v>
      </c>
      <c r="H1032" s="4" t="s">
        <v>8655</v>
      </c>
      <c r="I1032" s="4" t="s">
        <v>8648</v>
      </c>
      <c r="J1032" s="4" t="s">
        <v>8693</v>
      </c>
      <c r="K1032" s="4" t="s">
        <v>8694</v>
      </c>
      <c r="L1032" s="4" t="s">
        <v>8695</v>
      </c>
      <c r="M1032" s="4" t="s">
        <v>2078</v>
      </c>
      <c r="N1032" s="8">
        <v>45992</v>
      </c>
      <c r="O1032" s="8">
        <v>46356</v>
      </c>
      <c r="P1032" s="4" t="s">
        <v>2090</v>
      </c>
      <c r="Q1032" s="4" t="s">
        <v>8648</v>
      </c>
      <c r="R1032" s="4" t="s">
        <v>8696</v>
      </c>
      <c r="S1032" s="4" t="s">
        <v>8697</v>
      </c>
      <c r="T1032" s="4" t="s">
        <v>2067</v>
      </c>
      <c r="U1032" s="4" t="s">
        <v>2146</v>
      </c>
      <c r="V1032" s="4" t="s">
        <v>2067</v>
      </c>
      <c r="W1032" s="4" t="s">
        <v>2069</v>
      </c>
    </row>
    <row r="1033" spans="1:23" ht="20.100000000000001" customHeight="1" x14ac:dyDescent="0.25">
      <c r="A1033" s="6" t="s">
        <v>1412</v>
      </c>
      <c r="B1033" s="7" t="s">
        <v>2084</v>
      </c>
      <c r="C1033" s="7" t="s">
        <v>8698</v>
      </c>
      <c r="D1033" s="7" t="s">
        <v>2059</v>
      </c>
      <c r="E1033" s="7" t="s">
        <v>1947</v>
      </c>
      <c r="F1033" s="7" t="s">
        <v>1948</v>
      </c>
      <c r="G1033" s="7" t="s">
        <v>2084</v>
      </c>
      <c r="H1033" s="7" t="s">
        <v>8682</v>
      </c>
      <c r="I1033" s="7" t="s">
        <v>8648</v>
      </c>
      <c r="J1033" s="7" t="s">
        <v>8699</v>
      </c>
      <c r="K1033" s="7" t="s">
        <v>8700</v>
      </c>
      <c r="L1033" s="7" t="s">
        <v>8701</v>
      </c>
      <c r="M1033" s="7" t="s">
        <v>2078</v>
      </c>
      <c r="N1033" s="9">
        <v>46234</v>
      </c>
      <c r="O1033" s="9">
        <v>46356</v>
      </c>
      <c r="P1033" s="7" t="s">
        <v>2090</v>
      </c>
      <c r="Q1033" s="7" t="s">
        <v>8648</v>
      </c>
      <c r="R1033" s="7" t="s">
        <v>8702</v>
      </c>
      <c r="S1033" s="7" t="s">
        <v>8703</v>
      </c>
      <c r="T1033" s="7" t="s">
        <v>2067</v>
      </c>
      <c r="U1033" s="7" t="s">
        <v>2768</v>
      </c>
      <c r="V1033" s="7" t="s">
        <v>2067</v>
      </c>
      <c r="W1033" s="7" t="s">
        <v>2082</v>
      </c>
    </row>
    <row r="1034" spans="1:23" ht="20.100000000000001" customHeight="1" x14ac:dyDescent="0.25">
      <c r="A1034" s="3" t="s">
        <v>1358</v>
      </c>
      <c r="B1034" s="4" t="s">
        <v>2084</v>
      </c>
      <c r="C1034" s="4" t="s">
        <v>8704</v>
      </c>
      <c r="D1034" s="4" t="s">
        <v>2059</v>
      </c>
      <c r="E1034" s="4" t="s">
        <v>1947</v>
      </c>
      <c r="F1034" s="4" t="s">
        <v>1948</v>
      </c>
      <c r="G1034" s="4" t="s">
        <v>2084</v>
      </c>
      <c r="H1034" s="4" t="s">
        <v>8661</v>
      </c>
      <c r="I1034" s="4" t="s">
        <v>8648</v>
      </c>
      <c r="J1034" s="4" t="s">
        <v>8705</v>
      </c>
      <c r="K1034" s="4" t="s">
        <v>8706</v>
      </c>
      <c r="L1034" s="4" t="s">
        <v>8707</v>
      </c>
      <c r="M1034" s="4" t="s">
        <v>2078</v>
      </c>
      <c r="N1034" s="8">
        <v>45992</v>
      </c>
      <c r="O1034" s="8">
        <v>46356</v>
      </c>
      <c r="P1034" s="4" t="s">
        <v>2090</v>
      </c>
      <c r="Q1034" s="4" t="s">
        <v>8648</v>
      </c>
      <c r="R1034" s="4" t="s">
        <v>7809</v>
      </c>
      <c r="S1034" s="4" t="s">
        <v>8708</v>
      </c>
      <c r="T1034" s="4" t="s">
        <v>2067</v>
      </c>
      <c r="U1034" s="4" t="s">
        <v>2146</v>
      </c>
      <c r="V1034" s="4" t="s">
        <v>2067</v>
      </c>
      <c r="W1034" s="4" t="s">
        <v>2069</v>
      </c>
    </row>
    <row r="1035" spans="1:23" ht="20.100000000000001" customHeight="1" x14ac:dyDescent="0.25">
      <c r="A1035" s="6" t="s">
        <v>890</v>
      </c>
      <c r="B1035" s="7" t="s">
        <v>2084</v>
      </c>
      <c r="C1035" s="7" t="s">
        <v>8709</v>
      </c>
      <c r="D1035" s="7" t="s">
        <v>2059</v>
      </c>
      <c r="E1035" s="7" t="s">
        <v>1947</v>
      </c>
      <c r="F1035" s="7" t="s">
        <v>1948</v>
      </c>
      <c r="G1035" s="7" t="s">
        <v>2084</v>
      </c>
      <c r="H1035" s="7" t="s">
        <v>8710</v>
      </c>
      <c r="I1035" s="7" t="s">
        <v>8648</v>
      </c>
      <c r="J1035" s="7" t="s">
        <v>8711</v>
      </c>
      <c r="K1035" s="7" t="s">
        <v>8712</v>
      </c>
      <c r="L1035" s="7" t="s">
        <v>8713</v>
      </c>
      <c r="M1035" s="7" t="s">
        <v>2064</v>
      </c>
      <c r="N1035" s="9">
        <v>41306</v>
      </c>
      <c r="O1035" s="9"/>
      <c r="P1035" s="7" t="s">
        <v>2090</v>
      </c>
      <c r="Q1035" s="7" t="s">
        <v>8648</v>
      </c>
      <c r="R1035" s="7" t="s">
        <v>8714</v>
      </c>
      <c r="S1035" s="7" t="s">
        <v>8715</v>
      </c>
      <c r="T1035" s="7" t="s">
        <v>2067</v>
      </c>
      <c r="U1035" s="7" t="s">
        <v>2768</v>
      </c>
      <c r="V1035" s="7" t="s">
        <v>2067</v>
      </c>
      <c r="W1035" s="7" t="s">
        <v>2069</v>
      </c>
    </row>
    <row r="1036" spans="1:23" ht="20.100000000000001" customHeight="1" x14ac:dyDescent="0.25">
      <c r="A1036" s="3" t="s">
        <v>8716</v>
      </c>
      <c r="B1036" s="4" t="s">
        <v>2084</v>
      </c>
      <c r="C1036" s="4" t="s">
        <v>8717</v>
      </c>
      <c r="D1036" s="4" t="s">
        <v>2059</v>
      </c>
      <c r="E1036" s="4" t="s">
        <v>1947</v>
      </c>
      <c r="F1036" s="4" t="s">
        <v>1948</v>
      </c>
      <c r="G1036" s="4" t="s">
        <v>2084</v>
      </c>
      <c r="H1036" s="4" t="s">
        <v>8655</v>
      </c>
      <c r="I1036" s="4" t="s">
        <v>8648</v>
      </c>
      <c r="J1036" s="4" t="s">
        <v>8718</v>
      </c>
      <c r="K1036" s="4" t="s">
        <v>8719</v>
      </c>
      <c r="L1036" s="4" t="s">
        <v>8720</v>
      </c>
      <c r="M1036" s="4" t="s">
        <v>2078</v>
      </c>
      <c r="N1036" s="8">
        <v>45992</v>
      </c>
      <c r="O1036" s="8">
        <v>46356</v>
      </c>
      <c r="P1036" s="4" t="s">
        <v>2090</v>
      </c>
      <c r="Q1036" s="4" t="s">
        <v>8648</v>
      </c>
      <c r="R1036" s="4" t="s">
        <v>8721</v>
      </c>
      <c r="S1036" s="4" t="s">
        <v>8722</v>
      </c>
      <c r="T1036" s="4" t="s">
        <v>2067</v>
      </c>
      <c r="U1036" s="4" t="s">
        <v>2146</v>
      </c>
      <c r="V1036" s="4" t="s">
        <v>2067</v>
      </c>
      <c r="W1036" s="4" t="s">
        <v>2069</v>
      </c>
    </row>
    <row r="1037" spans="1:23" ht="20.100000000000001" customHeight="1" x14ac:dyDescent="0.25">
      <c r="A1037" s="6" t="s">
        <v>1024</v>
      </c>
      <c r="B1037" s="7" t="s">
        <v>2084</v>
      </c>
      <c r="C1037" s="7" t="s">
        <v>8723</v>
      </c>
      <c r="D1037" s="7" t="s">
        <v>2059</v>
      </c>
      <c r="E1037" s="7" t="s">
        <v>1947</v>
      </c>
      <c r="F1037" s="7" t="s">
        <v>1948</v>
      </c>
      <c r="G1037" s="7" t="s">
        <v>2084</v>
      </c>
      <c r="H1037" s="7" t="s">
        <v>8724</v>
      </c>
      <c r="I1037" s="7" t="s">
        <v>8648</v>
      </c>
      <c r="J1037" s="7" t="s">
        <v>8725</v>
      </c>
      <c r="K1037" s="7" t="s">
        <v>8726</v>
      </c>
      <c r="L1037" s="7" t="s">
        <v>8727</v>
      </c>
      <c r="M1037" s="7" t="s">
        <v>2078</v>
      </c>
      <c r="N1037" s="9">
        <v>45992</v>
      </c>
      <c r="O1037" s="9">
        <v>46356</v>
      </c>
      <c r="P1037" s="7" t="s">
        <v>2090</v>
      </c>
      <c r="Q1037" s="7" t="s">
        <v>8648</v>
      </c>
      <c r="R1037" s="7" t="s">
        <v>8728</v>
      </c>
      <c r="S1037" s="7" t="s">
        <v>8729</v>
      </c>
      <c r="T1037" s="7" t="s">
        <v>2067</v>
      </c>
      <c r="U1037" s="7" t="s">
        <v>2146</v>
      </c>
      <c r="V1037" s="7" t="s">
        <v>2067</v>
      </c>
      <c r="W1037" s="7" t="s">
        <v>2069</v>
      </c>
    </row>
    <row r="1038" spans="1:23" ht="20.100000000000001" customHeight="1" x14ac:dyDescent="0.25">
      <c r="A1038" s="3" t="s">
        <v>158</v>
      </c>
      <c r="B1038" s="4" t="s">
        <v>2084</v>
      </c>
      <c r="C1038" s="4" t="s">
        <v>8730</v>
      </c>
      <c r="D1038" s="4" t="s">
        <v>2059</v>
      </c>
      <c r="E1038" s="4" t="s">
        <v>1947</v>
      </c>
      <c r="F1038" s="4" t="s">
        <v>1948</v>
      </c>
      <c r="G1038" s="4" t="s">
        <v>2084</v>
      </c>
      <c r="H1038" s="4" t="s">
        <v>8682</v>
      </c>
      <c r="I1038" s="4" t="s">
        <v>8648</v>
      </c>
      <c r="J1038" s="4" t="s">
        <v>8731</v>
      </c>
      <c r="K1038" s="4" t="s">
        <v>8732</v>
      </c>
      <c r="L1038" s="4" t="s">
        <v>8733</v>
      </c>
      <c r="M1038" s="4" t="s">
        <v>2078</v>
      </c>
      <c r="N1038" s="8">
        <v>46234</v>
      </c>
      <c r="O1038" s="8">
        <v>46356</v>
      </c>
      <c r="P1038" s="4" t="s">
        <v>2090</v>
      </c>
      <c r="Q1038" s="4" t="s">
        <v>8648</v>
      </c>
      <c r="R1038" s="4" t="s">
        <v>2297</v>
      </c>
      <c r="S1038" s="4" t="s">
        <v>8734</v>
      </c>
      <c r="T1038" s="4" t="s">
        <v>2067</v>
      </c>
      <c r="U1038" s="4" t="s">
        <v>2146</v>
      </c>
      <c r="V1038" s="4" t="s">
        <v>2067</v>
      </c>
      <c r="W1038" s="4" t="s">
        <v>2082</v>
      </c>
    </row>
    <row r="1039" spans="1:23" ht="20.100000000000001" customHeight="1" x14ac:dyDescent="0.25">
      <c r="A1039" s="6" t="s">
        <v>900</v>
      </c>
      <c r="B1039" s="7" t="s">
        <v>2057</v>
      </c>
      <c r="C1039" s="7" t="s">
        <v>8735</v>
      </c>
      <c r="D1039" s="7" t="s">
        <v>8736</v>
      </c>
      <c r="E1039" s="7" t="s">
        <v>1947</v>
      </c>
      <c r="F1039" s="7" t="s">
        <v>1948</v>
      </c>
      <c r="G1039" s="7" t="s">
        <v>2057</v>
      </c>
      <c r="H1039" s="7" t="s">
        <v>8737</v>
      </c>
      <c r="I1039" s="7" t="s">
        <v>1939</v>
      </c>
      <c r="J1039" s="7" t="s">
        <v>8738</v>
      </c>
      <c r="K1039" s="7" t="s">
        <v>8739</v>
      </c>
      <c r="L1039" s="7" t="s">
        <v>8740</v>
      </c>
      <c r="M1039" s="7" t="s">
        <v>2078</v>
      </c>
      <c r="N1039" s="9">
        <v>46052</v>
      </c>
      <c r="O1039" s="9">
        <v>46356</v>
      </c>
      <c r="P1039" s="7" t="s">
        <v>2090</v>
      </c>
      <c r="Q1039" s="7" t="s">
        <v>1939</v>
      </c>
      <c r="R1039" s="7" t="s">
        <v>8741</v>
      </c>
      <c r="S1039" s="7" t="s">
        <v>8742</v>
      </c>
      <c r="T1039" s="7" t="s">
        <v>2067</v>
      </c>
      <c r="U1039" s="7" t="s">
        <v>3153</v>
      </c>
      <c r="V1039" s="7" t="s">
        <v>2067</v>
      </c>
      <c r="W1039" s="7" t="s">
        <v>2069</v>
      </c>
    </row>
    <row r="1040" spans="1:23" ht="20.100000000000001" customHeight="1" x14ac:dyDescent="0.25">
      <c r="A1040" s="3" t="s">
        <v>74</v>
      </c>
      <c r="B1040" s="4" t="s">
        <v>2057</v>
      </c>
      <c r="C1040" s="4" t="s">
        <v>8743</v>
      </c>
      <c r="D1040" s="4" t="s">
        <v>8736</v>
      </c>
      <c r="E1040" s="4" t="s">
        <v>1952</v>
      </c>
      <c r="F1040" s="4" t="s">
        <v>1953</v>
      </c>
      <c r="G1040" s="4" t="s">
        <v>2057</v>
      </c>
      <c r="H1040" s="4" t="s">
        <v>1964</v>
      </c>
      <c r="I1040" s="4" t="s">
        <v>1939</v>
      </c>
      <c r="J1040" s="4" t="s">
        <v>8744</v>
      </c>
      <c r="K1040" s="4" t="s">
        <v>8745</v>
      </c>
      <c r="L1040" s="4" t="s">
        <v>8746</v>
      </c>
      <c r="M1040" s="4" t="s">
        <v>2078</v>
      </c>
      <c r="N1040" s="8">
        <v>46052</v>
      </c>
      <c r="O1040" s="8">
        <v>46356</v>
      </c>
      <c r="P1040" s="4" t="s">
        <v>1953</v>
      </c>
      <c r="Q1040" s="4" t="s">
        <v>1939</v>
      </c>
      <c r="R1040" s="4" t="s">
        <v>8747</v>
      </c>
      <c r="S1040" s="4" t="s">
        <v>8748</v>
      </c>
      <c r="T1040" s="4" t="s">
        <v>2067</v>
      </c>
      <c r="U1040" s="4" t="s">
        <v>2358</v>
      </c>
      <c r="V1040" s="4" t="s">
        <v>2067</v>
      </c>
      <c r="W1040" s="4" t="s">
        <v>2069</v>
      </c>
    </row>
    <row r="1041" spans="1:23" ht="20.100000000000001" customHeight="1" x14ac:dyDescent="0.25">
      <c r="A1041" s="6" t="s">
        <v>176</v>
      </c>
      <c r="B1041" s="7" t="s">
        <v>2057</v>
      </c>
      <c r="C1041" s="7" t="s">
        <v>8749</v>
      </c>
      <c r="D1041" s="7" t="s">
        <v>8736</v>
      </c>
      <c r="E1041" s="7" t="s">
        <v>2189</v>
      </c>
      <c r="F1041" s="7" t="s">
        <v>2190</v>
      </c>
      <c r="G1041" s="7" t="s">
        <v>2057</v>
      </c>
      <c r="H1041" s="7" t="s">
        <v>8750</v>
      </c>
      <c r="I1041" s="7" t="s">
        <v>1939</v>
      </c>
      <c r="J1041" s="7" t="s">
        <v>8751</v>
      </c>
      <c r="K1041" s="7" t="s">
        <v>8752</v>
      </c>
      <c r="L1041" s="7" t="s">
        <v>8753</v>
      </c>
      <c r="M1041" s="7" t="s">
        <v>2078</v>
      </c>
      <c r="N1041" s="9">
        <v>46052</v>
      </c>
      <c r="O1041" s="9">
        <v>46356</v>
      </c>
      <c r="P1041" s="7" t="s">
        <v>2195</v>
      </c>
      <c r="Q1041" s="7" t="s">
        <v>1939</v>
      </c>
      <c r="R1041" s="7" t="s">
        <v>2605</v>
      </c>
      <c r="S1041" s="7" t="s">
        <v>8754</v>
      </c>
      <c r="T1041" s="7" t="s">
        <v>2067</v>
      </c>
      <c r="U1041" s="7" t="s">
        <v>2198</v>
      </c>
      <c r="V1041" s="7" t="s">
        <v>2067</v>
      </c>
      <c r="W1041" s="7" t="s">
        <v>2069</v>
      </c>
    </row>
    <row r="1042" spans="1:23" ht="20.100000000000001" customHeight="1" x14ac:dyDescent="0.25">
      <c r="A1042" s="3" t="s">
        <v>342</v>
      </c>
      <c r="B1042" s="4" t="s">
        <v>2084</v>
      </c>
      <c r="C1042" s="4" t="s">
        <v>8755</v>
      </c>
      <c r="D1042" s="4" t="s">
        <v>8736</v>
      </c>
      <c r="E1042" s="4" t="s">
        <v>1965</v>
      </c>
      <c r="F1042" s="4" t="s">
        <v>1966</v>
      </c>
      <c r="G1042" s="4" t="s">
        <v>2084</v>
      </c>
      <c r="H1042" s="4" t="s">
        <v>2040</v>
      </c>
      <c r="I1042" s="4" t="s">
        <v>1939</v>
      </c>
      <c r="J1042" s="4" t="s">
        <v>8756</v>
      </c>
      <c r="K1042" s="4" t="s">
        <v>8757</v>
      </c>
      <c r="L1042" s="4" t="s">
        <v>8758</v>
      </c>
      <c r="M1042" s="4" t="s">
        <v>2064</v>
      </c>
      <c r="N1042" s="8">
        <v>45330</v>
      </c>
      <c r="O1042" s="8"/>
      <c r="P1042" s="4" t="s">
        <v>1966</v>
      </c>
      <c r="Q1042" s="4" t="s">
        <v>1939</v>
      </c>
      <c r="R1042" s="4" t="s">
        <v>8759</v>
      </c>
      <c r="S1042" s="4" t="s">
        <v>8760</v>
      </c>
      <c r="T1042" s="4" t="s">
        <v>2067</v>
      </c>
      <c r="U1042" s="4" t="s">
        <v>2174</v>
      </c>
      <c r="V1042" s="4" t="s">
        <v>2067</v>
      </c>
      <c r="W1042" s="4" t="s">
        <v>2069</v>
      </c>
    </row>
    <row r="1043" spans="1:23" ht="20.100000000000001" customHeight="1" x14ac:dyDescent="0.25">
      <c r="A1043" s="6" t="s">
        <v>8761</v>
      </c>
      <c r="B1043" s="7" t="s">
        <v>2084</v>
      </c>
      <c r="C1043" s="7" t="s">
        <v>8762</v>
      </c>
      <c r="D1043" s="7" t="s">
        <v>8736</v>
      </c>
      <c r="E1043" s="7" t="s">
        <v>1947</v>
      </c>
      <c r="F1043" s="7" t="s">
        <v>1948</v>
      </c>
      <c r="G1043" s="7" t="s">
        <v>2084</v>
      </c>
      <c r="H1043" s="7" t="s">
        <v>8763</v>
      </c>
      <c r="I1043" s="7" t="s">
        <v>1939</v>
      </c>
      <c r="J1043" s="7" t="s">
        <v>8764</v>
      </c>
      <c r="K1043" s="7" t="s">
        <v>8765</v>
      </c>
      <c r="L1043" s="7" t="s">
        <v>8766</v>
      </c>
      <c r="M1043" s="7" t="s">
        <v>2064</v>
      </c>
      <c r="N1043" s="9">
        <v>43151</v>
      </c>
      <c r="O1043" s="9"/>
      <c r="P1043" s="7" t="s">
        <v>2090</v>
      </c>
      <c r="Q1043" s="7" t="s">
        <v>1939</v>
      </c>
      <c r="R1043" s="7" t="s">
        <v>8767</v>
      </c>
      <c r="S1043" s="7" t="s">
        <v>8768</v>
      </c>
      <c r="T1043" s="7" t="s">
        <v>2067</v>
      </c>
      <c r="U1043" s="7" t="s">
        <v>2146</v>
      </c>
      <c r="V1043" s="7" t="s">
        <v>2067</v>
      </c>
      <c r="W1043" s="7" t="s">
        <v>2069</v>
      </c>
    </row>
    <row r="1044" spans="1:23" ht="20.100000000000001" customHeight="1" x14ac:dyDescent="0.25">
      <c r="A1044" s="3" t="s">
        <v>8769</v>
      </c>
      <c r="B1044" s="4" t="s">
        <v>2057</v>
      </c>
      <c r="C1044" s="4" t="s">
        <v>8770</v>
      </c>
      <c r="D1044" s="4" t="s">
        <v>8736</v>
      </c>
      <c r="E1044" s="4" t="s">
        <v>2189</v>
      </c>
      <c r="F1044" s="4" t="s">
        <v>2190</v>
      </c>
      <c r="G1044" s="4" t="s">
        <v>2057</v>
      </c>
      <c r="H1044" s="4" t="s">
        <v>8771</v>
      </c>
      <c r="I1044" s="4" t="s">
        <v>1939</v>
      </c>
      <c r="J1044" s="4" t="s">
        <v>8772</v>
      </c>
      <c r="K1044" s="4" t="s">
        <v>8773</v>
      </c>
      <c r="L1044" s="4" t="s">
        <v>8774</v>
      </c>
      <c r="M1044" s="4" t="s">
        <v>2078</v>
      </c>
      <c r="N1044" s="8">
        <v>46052</v>
      </c>
      <c r="O1044" s="8">
        <v>46356</v>
      </c>
      <c r="P1044" s="4" t="s">
        <v>2195</v>
      </c>
      <c r="Q1044" s="4" t="s">
        <v>1939</v>
      </c>
      <c r="R1044" s="4" t="s">
        <v>8775</v>
      </c>
      <c r="S1044" s="4" t="s">
        <v>8776</v>
      </c>
      <c r="T1044" s="4" t="s">
        <v>2067</v>
      </c>
      <c r="U1044" s="4" t="s">
        <v>2198</v>
      </c>
      <c r="V1044" s="4" t="s">
        <v>2067</v>
      </c>
      <c r="W1044" s="4" t="s">
        <v>2069</v>
      </c>
    </row>
    <row r="1045" spans="1:23" ht="20.100000000000001" customHeight="1" x14ac:dyDescent="0.25">
      <c r="A1045" s="6" t="s">
        <v>1202</v>
      </c>
      <c r="B1045" s="7" t="s">
        <v>2084</v>
      </c>
      <c r="C1045" s="7" t="s">
        <v>8777</v>
      </c>
      <c r="D1045" s="7" t="s">
        <v>8736</v>
      </c>
      <c r="E1045" s="7" t="s">
        <v>1947</v>
      </c>
      <c r="F1045" s="7" t="s">
        <v>1948</v>
      </c>
      <c r="G1045" s="7" t="s">
        <v>2084</v>
      </c>
      <c r="H1045" s="7" t="s">
        <v>1938</v>
      </c>
      <c r="I1045" s="7" t="s">
        <v>1939</v>
      </c>
      <c r="J1045" s="7" t="s">
        <v>8778</v>
      </c>
      <c r="K1045" s="7" t="s">
        <v>8779</v>
      </c>
      <c r="L1045" s="7" t="s">
        <v>8780</v>
      </c>
      <c r="M1045" s="7" t="s">
        <v>2078</v>
      </c>
      <c r="N1045" s="9">
        <v>46052</v>
      </c>
      <c r="O1045" s="9">
        <v>46356</v>
      </c>
      <c r="P1045" s="7" t="s">
        <v>2090</v>
      </c>
      <c r="Q1045" s="7" t="s">
        <v>1939</v>
      </c>
      <c r="R1045" s="7" t="s">
        <v>8781</v>
      </c>
      <c r="S1045" s="7" t="s">
        <v>8782</v>
      </c>
      <c r="T1045" s="7" t="s">
        <v>2067</v>
      </c>
      <c r="U1045" s="7" t="s">
        <v>2146</v>
      </c>
      <c r="V1045" s="7" t="s">
        <v>2067</v>
      </c>
      <c r="W1045" s="7" t="s">
        <v>2069</v>
      </c>
    </row>
    <row r="1046" spans="1:23" ht="20.100000000000001" customHeight="1" x14ac:dyDescent="0.25">
      <c r="A1046" s="3" t="s">
        <v>8783</v>
      </c>
      <c r="B1046" s="4" t="s">
        <v>2057</v>
      </c>
      <c r="C1046" s="4" t="s">
        <v>8784</v>
      </c>
      <c r="D1046" s="4" t="s">
        <v>8736</v>
      </c>
      <c r="E1046" s="4" t="s">
        <v>8785</v>
      </c>
      <c r="F1046" s="4" t="s">
        <v>8786</v>
      </c>
      <c r="G1046" s="4" t="s">
        <v>2057</v>
      </c>
      <c r="H1046" s="4" t="s">
        <v>8750</v>
      </c>
      <c r="I1046" s="4" t="s">
        <v>1939</v>
      </c>
      <c r="J1046" s="4" t="s">
        <v>8787</v>
      </c>
      <c r="K1046" s="4" t="s">
        <v>8788</v>
      </c>
      <c r="L1046" s="4" t="s">
        <v>8789</v>
      </c>
      <c r="M1046" s="4" t="s">
        <v>2064</v>
      </c>
      <c r="N1046" s="8">
        <v>45327</v>
      </c>
      <c r="O1046" s="8"/>
      <c r="P1046" s="4" t="s">
        <v>8786</v>
      </c>
      <c r="Q1046" s="4" t="s">
        <v>1939</v>
      </c>
      <c r="R1046" s="4" t="s">
        <v>8790</v>
      </c>
      <c r="S1046" s="4" t="s">
        <v>8791</v>
      </c>
      <c r="T1046" s="4" t="s">
        <v>2067</v>
      </c>
      <c r="U1046" s="4" t="s">
        <v>8792</v>
      </c>
      <c r="V1046" s="4" t="s">
        <v>2067</v>
      </c>
      <c r="W1046" s="4" t="s">
        <v>2069</v>
      </c>
    </row>
    <row r="1047" spans="1:23" ht="20.100000000000001" customHeight="1" x14ac:dyDescent="0.25">
      <c r="A1047" s="6" t="s">
        <v>246</v>
      </c>
      <c r="B1047" s="7" t="s">
        <v>2057</v>
      </c>
      <c r="C1047" s="7" t="s">
        <v>8793</v>
      </c>
      <c r="D1047" s="7" t="s">
        <v>8736</v>
      </c>
      <c r="E1047" s="7" t="s">
        <v>2072</v>
      </c>
      <c r="F1047" s="7" t="s">
        <v>2073</v>
      </c>
      <c r="G1047" s="7" t="s">
        <v>2057</v>
      </c>
      <c r="H1047" s="7" t="s">
        <v>8794</v>
      </c>
      <c r="I1047" s="7" t="s">
        <v>1939</v>
      </c>
      <c r="J1047" s="7" t="s">
        <v>8795</v>
      </c>
      <c r="K1047" s="7" t="s">
        <v>8796</v>
      </c>
      <c r="L1047" s="7" t="s">
        <v>8797</v>
      </c>
      <c r="M1047" s="7" t="s">
        <v>2078</v>
      </c>
      <c r="N1047" s="9">
        <v>46052</v>
      </c>
      <c r="O1047" s="9">
        <v>46356</v>
      </c>
      <c r="P1047" s="7" t="s">
        <v>2073</v>
      </c>
      <c r="Q1047" s="7" t="s">
        <v>1939</v>
      </c>
      <c r="R1047" s="7" t="s">
        <v>8798</v>
      </c>
      <c r="S1047" s="7" t="s">
        <v>8799</v>
      </c>
      <c r="T1047" s="7" t="s">
        <v>2067</v>
      </c>
      <c r="U1047" s="7" t="s">
        <v>2081</v>
      </c>
      <c r="V1047" s="7" t="s">
        <v>2067</v>
      </c>
      <c r="W1047" s="7" t="s">
        <v>2069</v>
      </c>
    </row>
    <row r="1048" spans="1:23" ht="20.100000000000001" customHeight="1" x14ac:dyDescent="0.25">
      <c r="A1048" s="3" t="s">
        <v>8800</v>
      </c>
      <c r="B1048" s="4" t="s">
        <v>2084</v>
      </c>
      <c r="C1048" s="4" t="s">
        <v>8801</v>
      </c>
      <c r="D1048" s="4" t="s">
        <v>8736</v>
      </c>
      <c r="E1048" s="4" t="s">
        <v>1947</v>
      </c>
      <c r="F1048" s="4" t="s">
        <v>1948</v>
      </c>
      <c r="G1048" s="4" t="s">
        <v>2084</v>
      </c>
      <c r="H1048" s="4" t="s">
        <v>1982</v>
      </c>
      <c r="I1048" s="4" t="s">
        <v>1939</v>
      </c>
      <c r="J1048" s="4" t="s">
        <v>8802</v>
      </c>
      <c r="K1048" s="4" t="s">
        <v>8803</v>
      </c>
      <c r="L1048" s="4" t="s">
        <v>8804</v>
      </c>
      <c r="M1048" s="4" t="s">
        <v>2064</v>
      </c>
      <c r="N1048" s="8">
        <v>43649</v>
      </c>
      <c r="O1048" s="8"/>
      <c r="P1048" s="4" t="s">
        <v>2090</v>
      </c>
      <c r="Q1048" s="4" t="s">
        <v>1939</v>
      </c>
      <c r="R1048" s="4" t="s">
        <v>4702</v>
      </c>
      <c r="S1048" s="4" t="s">
        <v>8805</v>
      </c>
      <c r="T1048" s="4" t="s">
        <v>2067</v>
      </c>
      <c r="U1048" s="4" t="s">
        <v>2093</v>
      </c>
      <c r="V1048" s="4" t="s">
        <v>2067</v>
      </c>
      <c r="W1048" s="4" t="s">
        <v>2069</v>
      </c>
    </row>
    <row r="1049" spans="1:23" ht="20.100000000000001" customHeight="1" x14ac:dyDescent="0.25">
      <c r="A1049" s="6" t="s">
        <v>682</v>
      </c>
      <c r="B1049" s="7" t="s">
        <v>2057</v>
      </c>
      <c r="C1049" s="7" t="s">
        <v>8806</v>
      </c>
      <c r="D1049" s="7" t="s">
        <v>8736</v>
      </c>
      <c r="E1049" s="7" t="s">
        <v>3064</v>
      </c>
      <c r="F1049" s="7" t="s">
        <v>3065</v>
      </c>
      <c r="G1049" s="7" t="s">
        <v>2057</v>
      </c>
      <c r="H1049" s="7" t="s">
        <v>8750</v>
      </c>
      <c r="I1049" s="7" t="s">
        <v>1939</v>
      </c>
      <c r="J1049" s="7" t="s">
        <v>8807</v>
      </c>
      <c r="K1049" s="7" t="s">
        <v>8808</v>
      </c>
      <c r="L1049" s="7" t="s">
        <v>8809</v>
      </c>
      <c r="M1049" s="7" t="s">
        <v>2078</v>
      </c>
      <c r="N1049" s="9">
        <v>46052</v>
      </c>
      <c r="O1049" s="9">
        <v>46356</v>
      </c>
      <c r="P1049" s="7" t="s">
        <v>3065</v>
      </c>
      <c r="Q1049" s="7" t="s">
        <v>1939</v>
      </c>
      <c r="R1049" s="7" t="s">
        <v>8810</v>
      </c>
      <c r="S1049" s="7" t="s">
        <v>8811</v>
      </c>
      <c r="T1049" s="7" t="s">
        <v>2067</v>
      </c>
      <c r="U1049" s="7" t="s">
        <v>3073</v>
      </c>
      <c r="V1049" s="7" t="s">
        <v>2067</v>
      </c>
      <c r="W1049" s="7" t="s">
        <v>2069</v>
      </c>
    </row>
    <row r="1050" spans="1:23" ht="20.100000000000001" customHeight="1" x14ac:dyDescent="0.25">
      <c r="A1050" s="3" t="s">
        <v>396</v>
      </c>
      <c r="B1050" s="4" t="s">
        <v>2057</v>
      </c>
      <c r="C1050" s="4" t="s">
        <v>8812</v>
      </c>
      <c r="D1050" s="4" t="s">
        <v>8736</v>
      </c>
      <c r="E1050" s="4" t="s">
        <v>1947</v>
      </c>
      <c r="F1050" s="4" t="s">
        <v>1948</v>
      </c>
      <c r="G1050" s="4" t="s">
        <v>2057</v>
      </c>
      <c r="H1050" s="4" t="s">
        <v>8750</v>
      </c>
      <c r="I1050" s="4" t="s">
        <v>1939</v>
      </c>
      <c r="J1050" s="4" t="s">
        <v>8813</v>
      </c>
      <c r="K1050" s="4" t="s">
        <v>8814</v>
      </c>
      <c r="L1050" s="4" t="s">
        <v>8815</v>
      </c>
      <c r="M1050" s="4" t="s">
        <v>2078</v>
      </c>
      <c r="N1050" s="8">
        <v>45992</v>
      </c>
      <c r="O1050" s="8">
        <v>46356</v>
      </c>
      <c r="P1050" s="4" t="s">
        <v>2090</v>
      </c>
      <c r="Q1050" s="4" t="s">
        <v>1939</v>
      </c>
      <c r="R1050" s="4" t="s">
        <v>8816</v>
      </c>
      <c r="S1050" s="4" t="s">
        <v>8817</v>
      </c>
      <c r="T1050" s="4" t="s">
        <v>2067</v>
      </c>
      <c r="U1050" s="4" t="s">
        <v>3153</v>
      </c>
      <c r="V1050" s="4" t="s">
        <v>2067</v>
      </c>
      <c r="W1050" s="4" t="s">
        <v>2069</v>
      </c>
    </row>
    <row r="1051" spans="1:23" ht="20.100000000000001" customHeight="1" x14ac:dyDescent="0.25">
      <c r="A1051" s="6" t="s">
        <v>8818</v>
      </c>
      <c r="B1051" s="7" t="s">
        <v>2084</v>
      </c>
      <c r="C1051" s="7" t="s">
        <v>8819</v>
      </c>
      <c r="D1051" s="7" t="s">
        <v>8736</v>
      </c>
      <c r="E1051" s="7" t="s">
        <v>1947</v>
      </c>
      <c r="F1051" s="7" t="s">
        <v>1948</v>
      </c>
      <c r="G1051" s="7" t="s">
        <v>2084</v>
      </c>
      <c r="H1051" s="7" t="s">
        <v>1982</v>
      </c>
      <c r="I1051" s="7" t="s">
        <v>1939</v>
      </c>
      <c r="J1051" s="7" t="s">
        <v>8820</v>
      </c>
      <c r="K1051" s="7" t="s">
        <v>8821</v>
      </c>
      <c r="L1051" s="7" t="s">
        <v>8822</v>
      </c>
      <c r="M1051" s="7" t="s">
        <v>2064</v>
      </c>
      <c r="N1051" s="9">
        <v>44671</v>
      </c>
      <c r="O1051" s="9"/>
      <c r="P1051" s="7" t="s">
        <v>2090</v>
      </c>
      <c r="Q1051" s="7" t="s">
        <v>1939</v>
      </c>
      <c r="R1051" s="7" t="s">
        <v>8373</v>
      </c>
      <c r="S1051" s="7" t="s">
        <v>8823</v>
      </c>
      <c r="T1051" s="7" t="s">
        <v>2067</v>
      </c>
      <c r="U1051" s="7" t="s">
        <v>8824</v>
      </c>
      <c r="V1051" s="7" t="s">
        <v>2067</v>
      </c>
      <c r="W1051" s="7" t="s">
        <v>2069</v>
      </c>
    </row>
    <row r="1052" spans="1:23" ht="20.100000000000001" customHeight="1" x14ac:dyDescent="0.25">
      <c r="A1052" s="3" t="s">
        <v>880</v>
      </c>
      <c r="B1052" s="4" t="s">
        <v>2057</v>
      </c>
      <c r="C1052" s="4" t="s">
        <v>8825</v>
      </c>
      <c r="D1052" s="4" t="s">
        <v>8736</v>
      </c>
      <c r="E1052" s="4" t="s">
        <v>1947</v>
      </c>
      <c r="F1052" s="4" t="s">
        <v>1948</v>
      </c>
      <c r="G1052" s="4" t="s">
        <v>2057</v>
      </c>
      <c r="H1052" s="4" t="s">
        <v>1964</v>
      </c>
      <c r="I1052" s="4" t="s">
        <v>1939</v>
      </c>
      <c r="J1052" s="4" t="s">
        <v>8826</v>
      </c>
      <c r="K1052" s="4" t="s">
        <v>8827</v>
      </c>
      <c r="L1052" s="4" t="s">
        <v>8828</v>
      </c>
      <c r="M1052" s="4" t="s">
        <v>2078</v>
      </c>
      <c r="N1052" s="8">
        <v>45992</v>
      </c>
      <c r="O1052" s="8">
        <v>46356</v>
      </c>
      <c r="P1052" s="4" t="s">
        <v>2090</v>
      </c>
      <c r="Q1052" s="4" t="s">
        <v>1939</v>
      </c>
      <c r="R1052" s="4" t="s">
        <v>8829</v>
      </c>
      <c r="S1052" s="4" t="s">
        <v>8830</v>
      </c>
      <c r="T1052" s="4" t="s">
        <v>2067</v>
      </c>
      <c r="U1052" s="4" t="s">
        <v>3153</v>
      </c>
      <c r="V1052" s="4" t="s">
        <v>2067</v>
      </c>
      <c r="W1052" s="4" t="s">
        <v>2069</v>
      </c>
    </row>
    <row r="1053" spans="1:23" ht="20.100000000000001" customHeight="1" x14ac:dyDescent="0.25">
      <c r="A1053" s="6" t="s">
        <v>1224</v>
      </c>
      <c r="B1053" s="7" t="s">
        <v>2057</v>
      </c>
      <c r="C1053" s="7" t="s">
        <v>8831</v>
      </c>
      <c r="D1053" s="7" t="s">
        <v>8736</v>
      </c>
      <c r="E1053" s="7" t="s">
        <v>1947</v>
      </c>
      <c r="F1053" s="7" t="s">
        <v>2238</v>
      </c>
      <c r="G1053" s="7" t="s">
        <v>2057</v>
      </c>
      <c r="H1053" s="7" t="s">
        <v>8794</v>
      </c>
      <c r="I1053" s="7" t="s">
        <v>1939</v>
      </c>
      <c r="J1053" s="7" t="s">
        <v>8832</v>
      </c>
      <c r="K1053" s="7" t="s">
        <v>8833</v>
      </c>
      <c r="L1053" s="7" t="s">
        <v>8834</v>
      </c>
      <c r="M1053" s="7" t="s">
        <v>2078</v>
      </c>
      <c r="N1053" s="9">
        <v>46234</v>
      </c>
      <c r="O1053" s="9">
        <v>46356</v>
      </c>
      <c r="P1053" s="7" t="s">
        <v>2090</v>
      </c>
      <c r="Q1053" s="7" t="s">
        <v>1939</v>
      </c>
      <c r="R1053" s="7" t="s">
        <v>4133</v>
      </c>
      <c r="S1053" s="7" t="s">
        <v>8835</v>
      </c>
      <c r="T1053" s="7" t="s">
        <v>2067</v>
      </c>
      <c r="U1053" s="7" t="s">
        <v>8824</v>
      </c>
      <c r="V1053" s="7" t="s">
        <v>2067</v>
      </c>
      <c r="W1053" s="7" t="s">
        <v>2069</v>
      </c>
    </row>
    <row r="1054" spans="1:23" ht="20.100000000000001" customHeight="1" x14ac:dyDescent="0.25">
      <c r="A1054" s="3" t="s">
        <v>20</v>
      </c>
      <c r="B1054" s="4" t="s">
        <v>2057</v>
      </c>
      <c r="C1054" s="4" t="s">
        <v>8836</v>
      </c>
      <c r="D1054" s="4" t="s">
        <v>8736</v>
      </c>
      <c r="E1054" s="4" t="s">
        <v>1947</v>
      </c>
      <c r="F1054" s="4" t="s">
        <v>1948</v>
      </c>
      <c r="G1054" s="4" t="s">
        <v>2057</v>
      </c>
      <c r="H1054" s="4" t="s">
        <v>8771</v>
      </c>
      <c r="I1054" s="4" t="s">
        <v>1939</v>
      </c>
      <c r="J1054" s="4" t="s">
        <v>8837</v>
      </c>
      <c r="K1054" s="4" t="s">
        <v>8838</v>
      </c>
      <c r="L1054" s="4" t="s">
        <v>8839</v>
      </c>
      <c r="M1054" s="4" t="s">
        <v>2078</v>
      </c>
      <c r="N1054" s="8">
        <v>45992</v>
      </c>
      <c r="O1054" s="8">
        <v>46356</v>
      </c>
      <c r="P1054" s="4" t="s">
        <v>2090</v>
      </c>
      <c r="Q1054" s="4" t="s">
        <v>1939</v>
      </c>
      <c r="R1054" s="4" t="s">
        <v>8840</v>
      </c>
      <c r="S1054" s="4" t="s">
        <v>8841</v>
      </c>
      <c r="T1054" s="4" t="s">
        <v>2067</v>
      </c>
      <c r="U1054" s="4" t="s">
        <v>2109</v>
      </c>
      <c r="V1054" s="4" t="s">
        <v>2067</v>
      </c>
      <c r="W1054" s="4" t="s">
        <v>2069</v>
      </c>
    </row>
    <row r="1055" spans="1:23" ht="20.100000000000001" customHeight="1" x14ac:dyDescent="0.25">
      <c r="A1055" s="6" t="s">
        <v>8842</v>
      </c>
      <c r="B1055" s="7" t="s">
        <v>2057</v>
      </c>
      <c r="C1055" s="7" t="s">
        <v>8843</v>
      </c>
      <c r="D1055" s="7" t="s">
        <v>8736</v>
      </c>
      <c r="E1055" s="7" t="s">
        <v>7056</v>
      </c>
      <c r="F1055" s="7" t="s">
        <v>7057</v>
      </c>
      <c r="G1055" s="7" t="s">
        <v>2057</v>
      </c>
      <c r="H1055" s="7" t="s">
        <v>8750</v>
      </c>
      <c r="I1055" s="7" t="s">
        <v>1939</v>
      </c>
      <c r="J1055" s="7" t="s">
        <v>8844</v>
      </c>
      <c r="K1055" s="7" t="s">
        <v>8845</v>
      </c>
      <c r="L1055" s="7" t="s">
        <v>8846</v>
      </c>
      <c r="M1055" s="7" t="s">
        <v>2064</v>
      </c>
      <c r="N1055" s="9">
        <v>45327</v>
      </c>
      <c r="O1055" s="9"/>
      <c r="P1055" s="7" t="s">
        <v>7057</v>
      </c>
      <c r="Q1055" s="7" t="s">
        <v>1939</v>
      </c>
      <c r="R1055" s="7" t="s">
        <v>8847</v>
      </c>
      <c r="S1055" s="7" t="s">
        <v>8848</v>
      </c>
      <c r="T1055" s="7" t="s">
        <v>2067</v>
      </c>
      <c r="U1055" s="7" t="s">
        <v>7064</v>
      </c>
      <c r="V1055" s="7" t="s">
        <v>2067</v>
      </c>
      <c r="W1055" s="7" t="s">
        <v>2069</v>
      </c>
    </row>
    <row r="1056" spans="1:23" ht="20.100000000000001" customHeight="1" x14ac:dyDescent="0.25">
      <c r="A1056" s="3" t="s">
        <v>620</v>
      </c>
      <c r="B1056" s="4" t="s">
        <v>2084</v>
      </c>
      <c r="C1056" s="4" t="s">
        <v>8849</v>
      </c>
      <c r="D1056" s="4" t="s">
        <v>8736</v>
      </c>
      <c r="E1056" s="4" t="s">
        <v>1983</v>
      </c>
      <c r="F1056" s="4" t="s">
        <v>1984</v>
      </c>
      <c r="G1056" s="4" t="s">
        <v>2084</v>
      </c>
      <c r="H1056" s="4" t="s">
        <v>1982</v>
      </c>
      <c r="I1056" s="4" t="s">
        <v>1939</v>
      </c>
      <c r="J1056" s="4" t="s">
        <v>8850</v>
      </c>
      <c r="K1056" s="4" t="s">
        <v>8851</v>
      </c>
      <c r="L1056" s="4" t="s">
        <v>8852</v>
      </c>
      <c r="M1056" s="4" t="s">
        <v>2078</v>
      </c>
      <c r="N1056" s="8">
        <v>45992</v>
      </c>
      <c r="O1056" s="8">
        <v>46356</v>
      </c>
      <c r="P1056" s="4" t="s">
        <v>2493</v>
      </c>
      <c r="Q1056" s="4" t="s">
        <v>1939</v>
      </c>
      <c r="R1056" s="4" t="s">
        <v>8853</v>
      </c>
      <c r="S1056" s="4" t="s">
        <v>8854</v>
      </c>
      <c r="T1056" s="4" t="s">
        <v>2067</v>
      </c>
      <c r="U1056" s="4" t="s">
        <v>2496</v>
      </c>
      <c r="V1056" s="4" t="s">
        <v>2067</v>
      </c>
      <c r="W1056" s="4" t="s">
        <v>2069</v>
      </c>
    </row>
    <row r="1057" spans="1:23" ht="20.100000000000001" customHeight="1" x14ac:dyDescent="0.25">
      <c r="A1057" s="6" t="s">
        <v>522</v>
      </c>
      <c r="B1057" s="7" t="s">
        <v>2057</v>
      </c>
      <c r="C1057" s="7" t="s">
        <v>8855</v>
      </c>
      <c r="D1057" s="7" t="s">
        <v>8736</v>
      </c>
      <c r="E1057" s="7" t="s">
        <v>1947</v>
      </c>
      <c r="F1057" s="7" t="s">
        <v>1948</v>
      </c>
      <c r="G1057" s="7" t="s">
        <v>2057</v>
      </c>
      <c r="H1057" s="7" t="s">
        <v>8737</v>
      </c>
      <c r="I1057" s="7" t="s">
        <v>1939</v>
      </c>
      <c r="J1057" s="7" t="s">
        <v>8856</v>
      </c>
      <c r="K1057" s="7" t="s">
        <v>8857</v>
      </c>
      <c r="L1057" s="7" t="s">
        <v>8858</v>
      </c>
      <c r="M1057" s="7" t="s">
        <v>2078</v>
      </c>
      <c r="N1057" s="9">
        <v>46052</v>
      </c>
      <c r="O1057" s="9">
        <v>46356</v>
      </c>
      <c r="P1057" s="7" t="s">
        <v>2090</v>
      </c>
      <c r="Q1057" s="7" t="s">
        <v>1939</v>
      </c>
      <c r="R1057" s="7" t="s">
        <v>8859</v>
      </c>
      <c r="S1057" s="7" t="s">
        <v>8860</v>
      </c>
      <c r="T1057" s="7" t="s">
        <v>2067</v>
      </c>
      <c r="U1057" s="7" t="s">
        <v>2109</v>
      </c>
      <c r="V1057" s="7" t="s">
        <v>2067</v>
      </c>
      <c r="W1057" s="7" t="s">
        <v>2069</v>
      </c>
    </row>
    <row r="1058" spans="1:23" ht="20.100000000000001" customHeight="1" x14ac:dyDescent="0.25">
      <c r="A1058" s="3" t="s">
        <v>812</v>
      </c>
      <c r="B1058" s="4" t="s">
        <v>2057</v>
      </c>
      <c r="C1058" s="4" t="s">
        <v>8861</v>
      </c>
      <c r="D1058" s="4" t="s">
        <v>8736</v>
      </c>
      <c r="E1058" s="4" t="s">
        <v>1947</v>
      </c>
      <c r="F1058" s="4" t="s">
        <v>1948</v>
      </c>
      <c r="G1058" s="4" t="s">
        <v>2057</v>
      </c>
      <c r="H1058" s="4" t="s">
        <v>8737</v>
      </c>
      <c r="I1058" s="4" t="s">
        <v>1939</v>
      </c>
      <c r="J1058" s="4" t="s">
        <v>8862</v>
      </c>
      <c r="K1058" s="4" t="s">
        <v>8863</v>
      </c>
      <c r="L1058" s="4" t="s">
        <v>8864</v>
      </c>
      <c r="M1058" s="4" t="s">
        <v>2078</v>
      </c>
      <c r="N1058" s="8">
        <v>46052</v>
      </c>
      <c r="O1058" s="8">
        <v>46356</v>
      </c>
      <c r="P1058" s="4" t="s">
        <v>2090</v>
      </c>
      <c r="Q1058" s="4" t="s">
        <v>1939</v>
      </c>
      <c r="R1058" s="4" t="s">
        <v>8865</v>
      </c>
      <c r="S1058" s="4" t="s">
        <v>8866</v>
      </c>
      <c r="T1058" s="4" t="s">
        <v>2067</v>
      </c>
      <c r="U1058" s="4" t="s">
        <v>3437</v>
      </c>
      <c r="V1058" s="4" t="s">
        <v>2067</v>
      </c>
      <c r="W1058" s="4" t="s">
        <v>2069</v>
      </c>
    </row>
    <row r="1059" spans="1:23" ht="20.100000000000001" customHeight="1" x14ac:dyDescent="0.25">
      <c r="A1059" s="6" t="s">
        <v>50</v>
      </c>
      <c r="B1059" s="7" t="s">
        <v>2057</v>
      </c>
      <c r="C1059" s="7" t="s">
        <v>8867</v>
      </c>
      <c r="D1059" s="7" t="s">
        <v>8736</v>
      </c>
      <c r="E1059" s="7" t="s">
        <v>1940</v>
      </c>
      <c r="F1059" s="7" t="s">
        <v>1941</v>
      </c>
      <c r="G1059" s="7" t="s">
        <v>2057</v>
      </c>
      <c r="H1059" s="7" t="s">
        <v>8750</v>
      </c>
      <c r="I1059" s="7" t="s">
        <v>1939</v>
      </c>
      <c r="J1059" s="7" t="s">
        <v>8868</v>
      </c>
      <c r="K1059" s="7" t="s">
        <v>8869</v>
      </c>
      <c r="L1059" s="7" t="s">
        <v>8870</v>
      </c>
      <c r="M1059" s="7" t="s">
        <v>2064</v>
      </c>
      <c r="N1059" s="9">
        <v>46052</v>
      </c>
      <c r="O1059" s="9"/>
      <c r="P1059" s="7" t="s">
        <v>1941</v>
      </c>
      <c r="Q1059" s="7" t="s">
        <v>1939</v>
      </c>
      <c r="R1059" s="7" t="s">
        <v>8871</v>
      </c>
      <c r="S1059" s="7" t="s">
        <v>8872</v>
      </c>
      <c r="T1059" s="7" t="s">
        <v>2067</v>
      </c>
      <c r="U1059" s="7" t="s">
        <v>2068</v>
      </c>
      <c r="V1059" s="7" t="s">
        <v>2067</v>
      </c>
      <c r="W1059" s="7" t="s">
        <v>2069</v>
      </c>
    </row>
    <row r="1060" spans="1:23" ht="20.100000000000001" customHeight="1" x14ac:dyDescent="0.25">
      <c r="A1060" s="3" t="s">
        <v>208</v>
      </c>
      <c r="B1060" s="4" t="s">
        <v>2057</v>
      </c>
      <c r="C1060" s="4" t="s">
        <v>8873</v>
      </c>
      <c r="D1060" s="4" t="s">
        <v>8736</v>
      </c>
      <c r="E1060" s="4" t="s">
        <v>1947</v>
      </c>
      <c r="F1060" s="4" t="s">
        <v>1948</v>
      </c>
      <c r="G1060" s="4" t="s">
        <v>2057</v>
      </c>
      <c r="H1060" s="4" t="s">
        <v>8737</v>
      </c>
      <c r="I1060" s="4" t="s">
        <v>1939</v>
      </c>
      <c r="J1060" s="4" t="s">
        <v>8874</v>
      </c>
      <c r="K1060" s="4" t="s">
        <v>8875</v>
      </c>
      <c r="L1060" s="4" t="s">
        <v>8876</v>
      </c>
      <c r="M1060" s="4" t="s">
        <v>2078</v>
      </c>
      <c r="N1060" s="8">
        <v>46017</v>
      </c>
      <c r="O1060" s="8">
        <v>46356</v>
      </c>
      <c r="P1060" s="4" t="s">
        <v>2090</v>
      </c>
      <c r="Q1060" s="4" t="s">
        <v>1939</v>
      </c>
      <c r="R1060" s="4" t="s">
        <v>5740</v>
      </c>
      <c r="S1060" s="4" t="s">
        <v>8877</v>
      </c>
      <c r="T1060" s="4" t="s">
        <v>2067</v>
      </c>
      <c r="U1060" s="4" t="s">
        <v>3153</v>
      </c>
      <c r="V1060" s="4" t="s">
        <v>2067</v>
      </c>
      <c r="W1060" s="4" t="s">
        <v>2069</v>
      </c>
    </row>
    <row r="1061" spans="1:23" ht="20.100000000000001" customHeight="1" x14ac:dyDescent="0.25">
      <c r="A1061" s="6" t="s">
        <v>270</v>
      </c>
      <c r="B1061" s="7" t="s">
        <v>2084</v>
      </c>
      <c r="C1061" s="7" t="s">
        <v>8878</v>
      </c>
      <c r="D1061" s="7" t="s">
        <v>8736</v>
      </c>
      <c r="E1061" s="7" t="s">
        <v>1947</v>
      </c>
      <c r="F1061" s="7" t="s">
        <v>1948</v>
      </c>
      <c r="G1061" s="7" t="s">
        <v>2084</v>
      </c>
      <c r="H1061" s="7" t="s">
        <v>8879</v>
      </c>
      <c r="I1061" s="7" t="s">
        <v>1939</v>
      </c>
      <c r="J1061" s="7" t="s">
        <v>8880</v>
      </c>
      <c r="K1061" s="7" t="s">
        <v>8881</v>
      </c>
      <c r="L1061" s="7" t="s">
        <v>8882</v>
      </c>
      <c r="M1061" s="7" t="s">
        <v>2078</v>
      </c>
      <c r="N1061" s="9">
        <v>46052</v>
      </c>
      <c r="O1061" s="9">
        <v>46356</v>
      </c>
      <c r="P1061" s="7" t="s">
        <v>2090</v>
      </c>
      <c r="Q1061" s="7" t="s">
        <v>1939</v>
      </c>
      <c r="R1061" s="7" t="s">
        <v>8883</v>
      </c>
      <c r="S1061" s="7" t="s">
        <v>8884</v>
      </c>
      <c r="T1061" s="7" t="s">
        <v>2067</v>
      </c>
      <c r="U1061" s="7" t="s">
        <v>2146</v>
      </c>
      <c r="V1061" s="7" t="s">
        <v>2067</v>
      </c>
      <c r="W1061" s="7" t="s">
        <v>2069</v>
      </c>
    </row>
    <row r="1062" spans="1:23" ht="20.100000000000001" customHeight="1" x14ac:dyDescent="0.25">
      <c r="A1062" s="3" t="s">
        <v>42</v>
      </c>
      <c r="B1062" s="4" t="s">
        <v>2057</v>
      </c>
      <c r="C1062" s="4" t="s">
        <v>8885</v>
      </c>
      <c r="D1062" s="4" t="s">
        <v>8736</v>
      </c>
      <c r="E1062" s="4" t="s">
        <v>1947</v>
      </c>
      <c r="F1062" s="4" t="s">
        <v>1948</v>
      </c>
      <c r="G1062" s="4" t="s">
        <v>2057</v>
      </c>
      <c r="H1062" s="4" t="s">
        <v>8794</v>
      </c>
      <c r="I1062" s="4" t="s">
        <v>1939</v>
      </c>
      <c r="J1062" s="4" t="s">
        <v>8886</v>
      </c>
      <c r="K1062" s="4" t="s">
        <v>8887</v>
      </c>
      <c r="L1062" s="4" t="s">
        <v>8888</v>
      </c>
      <c r="M1062" s="4" t="s">
        <v>2064</v>
      </c>
      <c r="N1062" s="8">
        <v>44776</v>
      </c>
      <c r="O1062" s="8"/>
      <c r="P1062" s="4" t="s">
        <v>2090</v>
      </c>
      <c r="Q1062" s="4" t="s">
        <v>1939</v>
      </c>
      <c r="R1062" s="4" t="s">
        <v>8889</v>
      </c>
      <c r="S1062" s="4" t="s">
        <v>8890</v>
      </c>
      <c r="T1062" s="4" t="s">
        <v>2067</v>
      </c>
      <c r="U1062" s="4" t="s">
        <v>3153</v>
      </c>
      <c r="V1062" s="4" t="s">
        <v>2067</v>
      </c>
      <c r="W1062" s="4" t="s">
        <v>2069</v>
      </c>
    </row>
    <row r="1063" spans="1:23" ht="20.100000000000001" customHeight="1" x14ac:dyDescent="0.25">
      <c r="A1063" s="6" t="s">
        <v>8891</v>
      </c>
      <c r="B1063" s="7" t="s">
        <v>2084</v>
      </c>
      <c r="C1063" s="7" t="s">
        <v>8892</v>
      </c>
      <c r="D1063" s="7" t="s">
        <v>8736</v>
      </c>
      <c r="E1063" s="7" t="s">
        <v>6128</v>
      </c>
      <c r="F1063" s="7" t="s">
        <v>6129</v>
      </c>
      <c r="G1063" s="7" t="s">
        <v>2084</v>
      </c>
      <c r="H1063" s="7" t="s">
        <v>1938</v>
      </c>
      <c r="I1063" s="7" t="s">
        <v>1939</v>
      </c>
      <c r="J1063" s="7" t="s">
        <v>8893</v>
      </c>
      <c r="K1063" s="7" t="s">
        <v>8894</v>
      </c>
      <c r="L1063" s="7" t="s">
        <v>8895</v>
      </c>
      <c r="M1063" s="7" t="s">
        <v>2078</v>
      </c>
      <c r="N1063" s="9">
        <v>46024</v>
      </c>
      <c r="O1063" s="9">
        <v>46356</v>
      </c>
      <c r="P1063" s="7" t="s">
        <v>6129</v>
      </c>
      <c r="Q1063" s="7" t="s">
        <v>1939</v>
      </c>
      <c r="R1063" s="7" t="s">
        <v>6494</v>
      </c>
      <c r="S1063" s="7" t="s">
        <v>8896</v>
      </c>
      <c r="T1063" s="7" t="s">
        <v>2067</v>
      </c>
      <c r="U1063" s="7" t="s">
        <v>6135</v>
      </c>
      <c r="V1063" s="7" t="s">
        <v>2067</v>
      </c>
      <c r="W1063" s="7" t="s">
        <v>2069</v>
      </c>
    </row>
    <row r="1064" spans="1:23" ht="20.100000000000001" customHeight="1" x14ac:dyDescent="0.25">
      <c r="A1064" s="3" t="s">
        <v>8897</v>
      </c>
      <c r="B1064" s="4" t="s">
        <v>2057</v>
      </c>
      <c r="C1064" s="4" t="s">
        <v>8898</v>
      </c>
      <c r="D1064" s="4" t="s">
        <v>8736</v>
      </c>
      <c r="E1064" s="4" t="s">
        <v>1965</v>
      </c>
      <c r="F1064" s="4" t="s">
        <v>1966</v>
      </c>
      <c r="G1064" s="4" t="s">
        <v>2057</v>
      </c>
      <c r="H1064" s="4" t="s">
        <v>8794</v>
      </c>
      <c r="I1064" s="4" t="s">
        <v>1939</v>
      </c>
      <c r="J1064" s="4" t="s">
        <v>8899</v>
      </c>
      <c r="K1064" s="4" t="s">
        <v>8900</v>
      </c>
      <c r="L1064" s="4" t="s">
        <v>8901</v>
      </c>
      <c r="M1064" s="4" t="s">
        <v>2078</v>
      </c>
      <c r="N1064" s="8">
        <v>46052</v>
      </c>
      <c r="O1064" s="8">
        <v>46356</v>
      </c>
      <c r="P1064" s="4" t="s">
        <v>1966</v>
      </c>
      <c r="Q1064" s="4" t="s">
        <v>1939</v>
      </c>
      <c r="R1064" s="4" t="s">
        <v>8902</v>
      </c>
      <c r="S1064" s="4" t="s">
        <v>8903</v>
      </c>
      <c r="T1064" s="4" t="s">
        <v>2067</v>
      </c>
      <c r="U1064" s="4" t="s">
        <v>2174</v>
      </c>
      <c r="V1064" s="4" t="s">
        <v>2067</v>
      </c>
      <c r="W1064" s="4" t="s">
        <v>2069</v>
      </c>
    </row>
    <row r="1065" spans="1:23" ht="20.100000000000001" customHeight="1" x14ac:dyDescent="0.25">
      <c r="A1065" s="6" t="s">
        <v>8904</v>
      </c>
      <c r="B1065" s="7" t="s">
        <v>2057</v>
      </c>
      <c r="C1065" s="7" t="s">
        <v>8905</v>
      </c>
      <c r="D1065" s="7" t="s">
        <v>8736</v>
      </c>
      <c r="E1065" s="7" t="s">
        <v>1965</v>
      </c>
      <c r="F1065" s="7" t="s">
        <v>1966</v>
      </c>
      <c r="G1065" s="7" t="s">
        <v>2057</v>
      </c>
      <c r="H1065" s="7" t="s">
        <v>8750</v>
      </c>
      <c r="I1065" s="7" t="s">
        <v>1939</v>
      </c>
      <c r="J1065" s="7" t="s">
        <v>8906</v>
      </c>
      <c r="K1065" s="7" t="s">
        <v>8907</v>
      </c>
      <c r="L1065" s="7" t="s">
        <v>8908</v>
      </c>
      <c r="M1065" s="7" t="s">
        <v>2064</v>
      </c>
      <c r="N1065" s="9">
        <v>45327</v>
      </c>
      <c r="O1065" s="9"/>
      <c r="P1065" s="7" t="s">
        <v>1966</v>
      </c>
      <c r="Q1065" s="7" t="s">
        <v>1939</v>
      </c>
      <c r="R1065" s="7" t="s">
        <v>2126</v>
      </c>
      <c r="S1065" s="7" t="s">
        <v>8909</v>
      </c>
      <c r="T1065" s="7" t="s">
        <v>2067</v>
      </c>
      <c r="U1065" s="7" t="s">
        <v>2174</v>
      </c>
      <c r="V1065" s="7" t="s">
        <v>2067</v>
      </c>
      <c r="W1065" s="7" t="s">
        <v>2069</v>
      </c>
    </row>
    <row r="1066" spans="1:23" ht="20.100000000000001" customHeight="1" x14ac:dyDescent="0.25">
      <c r="A1066" s="3" t="s">
        <v>524</v>
      </c>
      <c r="B1066" s="4" t="s">
        <v>2057</v>
      </c>
      <c r="C1066" s="4" t="s">
        <v>8910</v>
      </c>
      <c r="D1066" s="4" t="s">
        <v>8736</v>
      </c>
      <c r="E1066" s="4" t="s">
        <v>1952</v>
      </c>
      <c r="F1066" s="4" t="s">
        <v>1953</v>
      </c>
      <c r="G1066" s="4" t="s">
        <v>2057</v>
      </c>
      <c r="H1066" s="4" t="s">
        <v>1964</v>
      </c>
      <c r="I1066" s="4" t="s">
        <v>1939</v>
      </c>
      <c r="J1066" s="4" t="s">
        <v>8911</v>
      </c>
      <c r="K1066" s="4" t="s">
        <v>8912</v>
      </c>
      <c r="L1066" s="4" t="s">
        <v>8913</v>
      </c>
      <c r="M1066" s="4" t="s">
        <v>2064</v>
      </c>
      <c r="N1066" s="8">
        <v>45327</v>
      </c>
      <c r="O1066" s="8"/>
      <c r="P1066" s="4" t="s">
        <v>1953</v>
      </c>
      <c r="Q1066" s="4" t="s">
        <v>1939</v>
      </c>
      <c r="R1066" s="4" t="s">
        <v>8914</v>
      </c>
      <c r="S1066" s="4" t="s">
        <v>8915</v>
      </c>
      <c r="T1066" s="4" t="s">
        <v>2067</v>
      </c>
      <c r="U1066" s="4" t="s">
        <v>2358</v>
      </c>
      <c r="V1066" s="4" t="s">
        <v>2067</v>
      </c>
      <c r="W1066" s="4" t="s">
        <v>2069</v>
      </c>
    </row>
    <row r="1067" spans="1:23" ht="20.100000000000001" customHeight="1" x14ac:dyDescent="0.25">
      <c r="A1067" s="6" t="s">
        <v>154</v>
      </c>
      <c r="B1067" s="7" t="s">
        <v>2057</v>
      </c>
      <c r="C1067" s="7" t="s">
        <v>8916</v>
      </c>
      <c r="D1067" s="7" t="s">
        <v>8736</v>
      </c>
      <c r="E1067" s="7" t="s">
        <v>1952</v>
      </c>
      <c r="F1067" s="7" t="s">
        <v>1953</v>
      </c>
      <c r="G1067" s="7" t="s">
        <v>2057</v>
      </c>
      <c r="H1067" s="7" t="s">
        <v>8750</v>
      </c>
      <c r="I1067" s="7" t="s">
        <v>1939</v>
      </c>
      <c r="J1067" s="7" t="s">
        <v>8917</v>
      </c>
      <c r="K1067" s="7" t="s">
        <v>8918</v>
      </c>
      <c r="L1067" s="7" t="s">
        <v>8919</v>
      </c>
      <c r="M1067" s="7" t="s">
        <v>2064</v>
      </c>
      <c r="N1067" s="9">
        <v>45327</v>
      </c>
      <c r="O1067" s="9"/>
      <c r="P1067" s="7" t="s">
        <v>1953</v>
      </c>
      <c r="Q1067" s="7" t="s">
        <v>1939</v>
      </c>
      <c r="R1067" s="7" t="s">
        <v>5388</v>
      </c>
      <c r="S1067" s="7" t="s">
        <v>8920</v>
      </c>
      <c r="T1067" s="7" t="s">
        <v>2067</v>
      </c>
      <c r="U1067" s="7" t="s">
        <v>2358</v>
      </c>
      <c r="V1067" s="7" t="s">
        <v>2067</v>
      </c>
      <c r="W1067" s="7" t="s">
        <v>2069</v>
      </c>
    </row>
    <row r="1068" spans="1:23" ht="20.100000000000001" customHeight="1" x14ac:dyDescent="0.25">
      <c r="A1068" s="3" t="s">
        <v>290</v>
      </c>
      <c r="B1068" s="4" t="s">
        <v>2057</v>
      </c>
      <c r="C1068" s="4" t="s">
        <v>8921</v>
      </c>
      <c r="D1068" s="4" t="s">
        <v>8736</v>
      </c>
      <c r="E1068" s="4" t="s">
        <v>1940</v>
      </c>
      <c r="F1068" s="4" t="s">
        <v>1941</v>
      </c>
      <c r="G1068" s="4" t="s">
        <v>2057</v>
      </c>
      <c r="H1068" s="4" t="s">
        <v>8750</v>
      </c>
      <c r="I1068" s="4" t="s">
        <v>1939</v>
      </c>
      <c r="J1068" s="4" t="s">
        <v>8922</v>
      </c>
      <c r="K1068" s="4" t="s">
        <v>8923</v>
      </c>
      <c r="L1068" s="4" t="s">
        <v>8924</v>
      </c>
      <c r="M1068" s="4" t="s">
        <v>2078</v>
      </c>
      <c r="N1068" s="8">
        <v>46052</v>
      </c>
      <c r="O1068" s="8">
        <v>46356</v>
      </c>
      <c r="P1068" s="4" t="s">
        <v>1941</v>
      </c>
      <c r="Q1068" s="4" t="s">
        <v>1939</v>
      </c>
      <c r="R1068" s="4" t="s">
        <v>8925</v>
      </c>
      <c r="S1068" s="4" t="s">
        <v>8926</v>
      </c>
      <c r="T1068" s="4" t="s">
        <v>2067</v>
      </c>
      <c r="U1068" s="4" t="s">
        <v>2068</v>
      </c>
      <c r="V1068" s="4" t="s">
        <v>2067</v>
      </c>
      <c r="W1068" s="4" t="s">
        <v>2069</v>
      </c>
    </row>
    <row r="1069" spans="1:23" ht="20.100000000000001" customHeight="1" x14ac:dyDescent="0.25">
      <c r="A1069" s="6" t="s">
        <v>680</v>
      </c>
      <c r="B1069" s="7" t="s">
        <v>2084</v>
      </c>
      <c r="C1069" s="7" t="s">
        <v>8927</v>
      </c>
      <c r="D1069" s="7" t="s">
        <v>8736</v>
      </c>
      <c r="E1069" s="7" t="s">
        <v>1947</v>
      </c>
      <c r="F1069" s="7" t="s">
        <v>1948</v>
      </c>
      <c r="G1069" s="7" t="s">
        <v>2084</v>
      </c>
      <c r="H1069" s="7" t="s">
        <v>1982</v>
      </c>
      <c r="I1069" s="7" t="s">
        <v>1939</v>
      </c>
      <c r="J1069" s="7" t="s">
        <v>8928</v>
      </c>
      <c r="K1069" s="7" t="s">
        <v>8929</v>
      </c>
      <c r="L1069" s="7" t="s">
        <v>8930</v>
      </c>
      <c r="M1069" s="7" t="s">
        <v>2078</v>
      </c>
      <c r="N1069" s="9">
        <v>46052</v>
      </c>
      <c r="O1069" s="9">
        <v>46356</v>
      </c>
      <c r="P1069" s="7" t="s">
        <v>2090</v>
      </c>
      <c r="Q1069" s="7" t="s">
        <v>1939</v>
      </c>
      <c r="R1069" s="7" t="s">
        <v>8931</v>
      </c>
      <c r="S1069" s="7" t="s">
        <v>8932</v>
      </c>
      <c r="T1069" s="7" t="s">
        <v>2351</v>
      </c>
      <c r="U1069" s="7" t="s">
        <v>8933</v>
      </c>
      <c r="V1069" s="7" t="s">
        <v>2351</v>
      </c>
      <c r="W1069" s="7" t="s">
        <v>2069</v>
      </c>
    </row>
    <row r="1070" spans="1:23" ht="20.100000000000001" customHeight="1" x14ac:dyDescent="0.25">
      <c r="A1070" s="3" t="s">
        <v>1010</v>
      </c>
      <c r="B1070" s="4" t="s">
        <v>2057</v>
      </c>
      <c r="C1070" s="4" t="s">
        <v>8934</v>
      </c>
      <c r="D1070" s="4" t="s">
        <v>8736</v>
      </c>
      <c r="E1070" s="4" t="s">
        <v>1947</v>
      </c>
      <c r="F1070" s="4" t="s">
        <v>1948</v>
      </c>
      <c r="G1070" s="4" t="s">
        <v>2057</v>
      </c>
      <c r="H1070" s="4" t="s">
        <v>8750</v>
      </c>
      <c r="I1070" s="4" t="s">
        <v>1939</v>
      </c>
      <c r="J1070" s="4" t="s">
        <v>8935</v>
      </c>
      <c r="K1070" s="4" t="s">
        <v>8936</v>
      </c>
      <c r="L1070" s="4" t="s">
        <v>8937</v>
      </c>
      <c r="M1070" s="4" t="s">
        <v>2064</v>
      </c>
      <c r="N1070" s="8">
        <v>39462</v>
      </c>
      <c r="O1070" s="8"/>
      <c r="P1070" s="4" t="s">
        <v>2090</v>
      </c>
      <c r="Q1070" s="4" t="s">
        <v>1939</v>
      </c>
      <c r="R1070" s="4" t="s">
        <v>8938</v>
      </c>
      <c r="S1070" s="4" t="s">
        <v>8939</v>
      </c>
      <c r="T1070" s="4" t="s">
        <v>2067</v>
      </c>
      <c r="U1070" s="4" t="s">
        <v>3437</v>
      </c>
      <c r="V1070" s="4" t="s">
        <v>2067</v>
      </c>
      <c r="W1070" s="4" t="s">
        <v>2069</v>
      </c>
    </row>
    <row r="1071" spans="1:23" ht="20.100000000000001" customHeight="1" x14ac:dyDescent="0.25">
      <c r="A1071" s="6" t="s">
        <v>1962</v>
      </c>
      <c r="B1071" s="7" t="s">
        <v>2057</v>
      </c>
      <c r="C1071" s="7" t="s">
        <v>1963</v>
      </c>
      <c r="D1071" s="7" t="s">
        <v>8736</v>
      </c>
      <c r="E1071" s="7" t="s">
        <v>1965</v>
      </c>
      <c r="F1071" s="7" t="s">
        <v>1966</v>
      </c>
      <c r="G1071" s="7" t="s">
        <v>2057</v>
      </c>
      <c r="H1071" s="7" t="s">
        <v>1964</v>
      </c>
      <c r="I1071" s="7" t="s">
        <v>1939</v>
      </c>
      <c r="J1071" s="7" t="s">
        <v>8940</v>
      </c>
      <c r="K1071" s="7" t="s">
        <v>8941</v>
      </c>
      <c r="L1071" s="7" t="s">
        <v>8942</v>
      </c>
      <c r="M1071" s="7" t="s">
        <v>2064</v>
      </c>
      <c r="N1071" s="9">
        <v>45327</v>
      </c>
      <c r="O1071" s="9"/>
      <c r="P1071" s="7" t="s">
        <v>1966</v>
      </c>
      <c r="Q1071" s="7" t="s">
        <v>1939</v>
      </c>
      <c r="R1071" s="7" t="s">
        <v>4121</v>
      </c>
      <c r="S1071" s="7" t="s">
        <v>8943</v>
      </c>
      <c r="T1071" s="7" t="s">
        <v>2067</v>
      </c>
      <c r="U1071" s="7" t="s">
        <v>2174</v>
      </c>
      <c r="V1071" s="7" t="s">
        <v>2067</v>
      </c>
      <c r="W1071" s="7" t="s">
        <v>2069</v>
      </c>
    </row>
    <row r="1072" spans="1:23" ht="20.100000000000001" customHeight="1" x14ac:dyDescent="0.25">
      <c r="A1072" s="3" t="s">
        <v>8944</v>
      </c>
      <c r="B1072" s="4" t="s">
        <v>2057</v>
      </c>
      <c r="C1072" s="4" t="s">
        <v>8945</v>
      </c>
      <c r="D1072" s="4" t="s">
        <v>8736</v>
      </c>
      <c r="E1072" s="4" t="s">
        <v>2111</v>
      </c>
      <c r="F1072" s="4" t="s">
        <v>2112</v>
      </c>
      <c r="G1072" s="4" t="s">
        <v>2057</v>
      </c>
      <c r="H1072" s="4" t="s">
        <v>8737</v>
      </c>
      <c r="I1072" s="4" t="s">
        <v>1939</v>
      </c>
      <c r="J1072" s="4" t="s">
        <v>8946</v>
      </c>
      <c r="K1072" s="4" t="s">
        <v>8947</v>
      </c>
      <c r="L1072" s="4" t="s">
        <v>8948</v>
      </c>
      <c r="M1072" s="4" t="s">
        <v>2078</v>
      </c>
      <c r="N1072" s="8">
        <v>46052</v>
      </c>
      <c r="O1072" s="8">
        <v>46356</v>
      </c>
      <c r="P1072" s="4" t="s">
        <v>2112</v>
      </c>
      <c r="Q1072" s="4" t="s">
        <v>1939</v>
      </c>
      <c r="R1072" s="4" t="s">
        <v>8949</v>
      </c>
      <c r="S1072" s="4" t="s">
        <v>8950</v>
      </c>
      <c r="T1072" s="4" t="s">
        <v>2067</v>
      </c>
      <c r="U1072" s="4" t="s">
        <v>2119</v>
      </c>
      <c r="V1072" s="4" t="s">
        <v>2067</v>
      </c>
      <c r="W1072" s="4" t="s">
        <v>2069</v>
      </c>
    </row>
    <row r="1073" spans="1:23" ht="20.100000000000001" customHeight="1" x14ac:dyDescent="0.25">
      <c r="A1073" s="6" t="s">
        <v>1324</v>
      </c>
      <c r="B1073" s="7" t="s">
        <v>2057</v>
      </c>
      <c r="C1073" s="7" t="s">
        <v>8951</v>
      </c>
      <c r="D1073" s="7" t="s">
        <v>8736</v>
      </c>
      <c r="E1073" s="7" t="s">
        <v>1947</v>
      </c>
      <c r="F1073" s="7" t="s">
        <v>1948</v>
      </c>
      <c r="G1073" s="7" t="s">
        <v>2057</v>
      </c>
      <c r="H1073" s="7" t="s">
        <v>8750</v>
      </c>
      <c r="I1073" s="7" t="s">
        <v>1939</v>
      </c>
      <c r="J1073" s="7" t="s">
        <v>8952</v>
      </c>
      <c r="K1073" s="7" t="s">
        <v>8953</v>
      </c>
      <c r="L1073" s="7" t="s">
        <v>8954</v>
      </c>
      <c r="M1073" s="7" t="s">
        <v>2064</v>
      </c>
      <c r="N1073" s="9">
        <v>44963</v>
      </c>
      <c r="O1073" s="9"/>
      <c r="P1073" s="7" t="s">
        <v>2090</v>
      </c>
      <c r="Q1073" s="7" t="s">
        <v>1939</v>
      </c>
      <c r="R1073" s="7" t="s">
        <v>3685</v>
      </c>
      <c r="S1073" s="7" t="s">
        <v>8955</v>
      </c>
      <c r="T1073" s="7" t="s">
        <v>2067</v>
      </c>
      <c r="U1073" s="7" t="s">
        <v>2768</v>
      </c>
      <c r="V1073" s="7" t="s">
        <v>2067</v>
      </c>
      <c r="W1073" s="7" t="s">
        <v>2069</v>
      </c>
    </row>
    <row r="1074" spans="1:23" ht="20.100000000000001" customHeight="1" x14ac:dyDescent="0.25">
      <c r="A1074" s="3" t="s">
        <v>364</v>
      </c>
      <c r="B1074" s="4" t="s">
        <v>2057</v>
      </c>
      <c r="C1074" s="4" t="s">
        <v>8956</v>
      </c>
      <c r="D1074" s="4" t="s">
        <v>8736</v>
      </c>
      <c r="E1074" s="4" t="s">
        <v>1965</v>
      </c>
      <c r="F1074" s="4" t="s">
        <v>1966</v>
      </c>
      <c r="G1074" s="4" t="s">
        <v>2057</v>
      </c>
      <c r="H1074" s="4" t="s">
        <v>1964</v>
      </c>
      <c r="I1074" s="4" t="s">
        <v>1939</v>
      </c>
      <c r="J1074" s="4" t="s">
        <v>8957</v>
      </c>
      <c r="K1074" s="4" t="s">
        <v>8958</v>
      </c>
      <c r="L1074" s="4" t="s">
        <v>8959</v>
      </c>
      <c r="M1074" s="4" t="s">
        <v>2064</v>
      </c>
      <c r="N1074" s="8">
        <v>44963</v>
      </c>
      <c r="O1074" s="8"/>
      <c r="P1074" s="4" t="s">
        <v>1966</v>
      </c>
      <c r="Q1074" s="4" t="s">
        <v>1939</v>
      </c>
      <c r="R1074" s="4" t="s">
        <v>8960</v>
      </c>
      <c r="S1074" s="4" t="s">
        <v>8961</v>
      </c>
      <c r="T1074" s="4" t="s">
        <v>2067</v>
      </c>
      <c r="U1074" s="4" t="s">
        <v>2174</v>
      </c>
      <c r="V1074" s="4" t="s">
        <v>2067</v>
      </c>
      <c r="W1074" s="4" t="s">
        <v>2069</v>
      </c>
    </row>
    <row r="1075" spans="1:23" ht="20.100000000000001" customHeight="1" x14ac:dyDescent="0.25">
      <c r="A1075" s="6" t="s">
        <v>1558</v>
      </c>
      <c r="B1075" s="7" t="s">
        <v>2057</v>
      </c>
      <c r="C1075" s="7" t="s">
        <v>8962</v>
      </c>
      <c r="D1075" s="7" t="s">
        <v>8736</v>
      </c>
      <c r="E1075" s="7" t="s">
        <v>1947</v>
      </c>
      <c r="F1075" s="7" t="s">
        <v>1948</v>
      </c>
      <c r="G1075" s="7" t="s">
        <v>2057</v>
      </c>
      <c r="H1075" s="7" t="s">
        <v>8737</v>
      </c>
      <c r="I1075" s="7" t="s">
        <v>1939</v>
      </c>
      <c r="J1075" s="7" t="s">
        <v>8963</v>
      </c>
      <c r="K1075" s="7" t="s">
        <v>8964</v>
      </c>
      <c r="L1075" s="7" t="s">
        <v>8965</v>
      </c>
      <c r="M1075" s="7" t="s">
        <v>2064</v>
      </c>
      <c r="N1075" s="9">
        <v>41253</v>
      </c>
      <c r="O1075" s="9"/>
      <c r="P1075" s="7" t="s">
        <v>2090</v>
      </c>
      <c r="Q1075" s="7" t="s">
        <v>1939</v>
      </c>
      <c r="R1075" s="7" t="s">
        <v>6516</v>
      </c>
      <c r="S1075" s="7" t="s">
        <v>8966</v>
      </c>
      <c r="T1075" s="7" t="s">
        <v>2067</v>
      </c>
      <c r="U1075" s="7" t="s">
        <v>2109</v>
      </c>
      <c r="V1075" s="7" t="s">
        <v>2067</v>
      </c>
      <c r="W1075" s="7" t="s">
        <v>2069</v>
      </c>
    </row>
    <row r="1076" spans="1:23" ht="20.100000000000001" customHeight="1" x14ac:dyDescent="0.25">
      <c r="A1076" s="3" t="s">
        <v>760</v>
      </c>
      <c r="B1076" s="4" t="s">
        <v>2057</v>
      </c>
      <c r="C1076" s="4" t="s">
        <v>8967</v>
      </c>
      <c r="D1076" s="4" t="s">
        <v>8736</v>
      </c>
      <c r="E1076" s="4" t="s">
        <v>3520</v>
      </c>
      <c r="F1076" s="4" t="s">
        <v>3521</v>
      </c>
      <c r="G1076" s="4" t="s">
        <v>2057</v>
      </c>
      <c r="H1076" s="4" t="s">
        <v>8737</v>
      </c>
      <c r="I1076" s="4" t="s">
        <v>1939</v>
      </c>
      <c r="J1076" s="4" t="s">
        <v>8968</v>
      </c>
      <c r="K1076" s="4" t="s">
        <v>8969</v>
      </c>
      <c r="L1076" s="4" t="s">
        <v>8970</v>
      </c>
      <c r="M1076" s="4" t="s">
        <v>2078</v>
      </c>
      <c r="N1076" s="8">
        <v>46052</v>
      </c>
      <c r="O1076" s="8">
        <v>46356</v>
      </c>
      <c r="P1076" s="4" t="s">
        <v>3521</v>
      </c>
      <c r="Q1076" s="4" t="s">
        <v>1939</v>
      </c>
      <c r="R1076" s="4" t="s">
        <v>8971</v>
      </c>
      <c r="S1076" s="4" t="s">
        <v>8972</v>
      </c>
      <c r="T1076" s="4" t="s">
        <v>2067</v>
      </c>
      <c r="U1076" s="4" t="s">
        <v>3527</v>
      </c>
      <c r="V1076" s="4" t="s">
        <v>2067</v>
      </c>
      <c r="W1076" s="4" t="s">
        <v>2069</v>
      </c>
    </row>
    <row r="1077" spans="1:23" ht="20.100000000000001" customHeight="1" x14ac:dyDescent="0.25">
      <c r="A1077" s="6" t="s">
        <v>1478</v>
      </c>
      <c r="B1077" s="7" t="s">
        <v>2057</v>
      </c>
      <c r="C1077" s="7" t="s">
        <v>8973</v>
      </c>
      <c r="D1077" s="7" t="s">
        <v>8736</v>
      </c>
      <c r="E1077" s="7" t="s">
        <v>1947</v>
      </c>
      <c r="F1077" s="7" t="s">
        <v>1948</v>
      </c>
      <c r="G1077" s="7" t="s">
        <v>2057</v>
      </c>
      <c r="H1077" s="7" t="s">
        <v>1946</v>
      </c>
      <c r="I1077" s="7" t="s">
        <v>1939</v>
      </c>
      <c r="J1077" s="7" t="s">
        <v>8974</v>
      </c>
      <c r="K1077" s="7" t="s">
        <v>8975</v>
      </c>
      <c r="L1077" s="7" t="s">
        <v>8976</v>
      </c>
      <c r="M1077" s="7" t="s">
        <v>2078</v>
      </c>
      <c r="N1077" s="9">
        <v>46052</v>
      </c>
      <c r="O1077" s="9">
        <v>46356</v>
      </c>
      <c r="P1077" s="7" t="s">
        <v>2090</v>
      </c>
      <c r="Q1077" s="7" t="s">
        <v>1939</v>
      </c>
      <c r="R1077" s="7" t="s">
        <v>8977</v>
      </c>
      <c r="S1077" s="7" t="s">
        <v>8978</v>
      </c>
      <c r="T1077" s="7" t="s">
        <v>2067</v>
      </c>
      <c r="U1077" s="7" t="s">
        <v>3153</v>
      </c>
      <c r="V1077" s="7" t="s">
        <v>2067</v>
      </c>
      <c r="W1077" s="7" t="s">
        <v>2069</v>
      </c>
    </row>
    <row r="1078" spans="1:23" ht="20.100000000000001" customHeight="1" x14ac:dyDescent="0.25">
      <c r="A1078" s="3" t="s">
        <v>912</v>
      </c>
      <c r="B1078" s="4" t="s">
        <v>2057</v>
      </c>
      <c r="C1078" s="4" t="s">
        <v>8979</v>
      </c>
      <c r="D1078" s="4" t="s">
        <v>8736</v>
      </c>
      <c r="E1078" s="4" t="s">
        <v>1947</v>
      </c>
      <c r="F1078" s="4" t="s">
        <v>2121</v>
      </c>
      <c r="G1078" s="4" t="s">
        <v>2057</v>
      </c>
      <c r="H1078" s="4" t="s">
        <v>8750</v>
      </c>
      <c r="I1078" s="4" t="s">
        <v>1939</v>
      </c>
      <c r="J1078" s="4" t="s">
        <v>8980</v>
      </c>
      <c r="K1078" s="4" t="s">
        <v>8981</v>
      </c>
      <c r="L1078" s="4" t="s">
        <v>8982</v>
      </c>
      <c r="M1078" s="4" t="s">
        <v>2078</v>
      </c>
      <c r="N1078" s="8">
        <v>46024</v>
      </c>
      <c r="O1078" s="8">
        <v>46356</v>
      </c>
      <c r="P1078" s="4" t="s">
        <v>2090</v>
      </c>
      <c r="Q1078" s="4" t="s">
        <v>1939</v>
      </c>
      <c r="R1078" s="4" t="s">
        <v>8983</v>
      </c>
      <c r="S1078" s="4" t="s">
        <v>8984</v>
      </c>
      <c r="T1078" s="4" t="s">
        <v>2067</v>
      </c>
      <c r="U1078" s="4" t="s">
        <v>8824</v>
      </c>
      <c r="V1078" s="4" t="s">
        <v>2067</v>
      </c>
      <c r="W1078" s="4" t="s">
        <v>2069</v>
      </c>
    </row>
    <row r="1079" spans="1:23" ht="20.100000000000001" customHeight="1" x14ac:dyDescent="0.25">
      <c r="A1079" s="6" t="s">
        <v>990</v>
      </c>
      <c r="B1079" s="7" t="s">
        <v>2057</v>
      </c>
      <c r="C1079" s="7" t="s">
        <v>8985</v>
      </c>
      <c r="D1079" s="7" t="s">
        <v>8736</v>
      </c>
      <c r="E1079" s="7" t="s">
        <v>1947</v>
      </c>
      <c r="F1079" s="7" t="s">
        <v>1948</v>
      </c>
      <c r="G1079" s="7" t="s">
        <v>2057</v>
      </c>
      <c r="H1079" s="7" t="s">
        <v>8737</v>
      </c>
      <c r="I1079" s="7" t="s">
        <v>1939</v>
      </c>
      <c r="J1079" s="7" t="s">
        <v>8986</v>
      </c>
      <c r="K1079" s="7" t="s">
        <v>8987</v>
      </c>
      <c r="L1079" s="7" t="s">
        <v>8988</v>
      </c>
      <c r="M1079" s="7" t="s">
        <v>2064</v>
      </c>
      <c r="N1079" s="9">
        <v>43136</v>
      </c>
      <c r="O1079" s="9"/>
      <c r="P1079" s="7" t="s">
        <v>2090</v>
      </c>
      <c r="Q1079" s="7" t="s">
        <v>1939</v>
      </c>
      <c r="R1079" s="7" t="s">
        <v>3236</v>
      </c>
      <c r="S1079" s="7" t="s">
        <v>8989</v>
      </c>
      <c r="T1079" s="7" t="s">
        <v>2067</v>
      </c>
      <c r="U1079" s="7" t="s">
        <v>2109</v>
      </c>
      <c r="V1079" s="7" t="s">
        <v>2067</v>
      </c>
      <c r="W1079" s="7" t="s">
        <v>2069</v>
      </c>
    </row>
    <row r="1080" spans="1:23" ht="20.100000000000001" customHeight="1" x14ac:dyDescent="0.25">
      <c r="A1080" s="3" t="s">
        <v>418</v>
      </c>
      <c r="B1080" s="4" t="s">
        <v>2057</v>
      </c>
      <c r="C1080" s="4" t="s">
        <v>8990</v>
      </c>
      <c r="D1080" s="4" t="s">
        <v>8736</v>
      </c>
      <c r="E1080" s="4" t="s">
        <v>1947</v>
      </c>
      <c r="F1080" s="4" t="s">
        <v>1948</v>
      </c>
      <c r="G1080" s="4" t="s">
        <v>2057</v>
      </c>
      <c r="H1080" s="4" t="s">
        <v>8737</v>
      </c>
      <c r="I1080" s="4" t="s">
        <v>1939</v>
      </c>
      <c r="J1080" s="4" t="s">
        <v>8991</v>
      </c>
      <c r="K1080" s="4" t="s">
        <v>8992</v>
      </c>
      <c r="L1080" s="4" t="s">
        <v>8993</v>
      </c>
      <c r="M1080" s="4" t="s">
        <v>2078</v>
      </c>
      <c r="N1080" s="8">
        <v>46052</v>
      </c>
      <c r="O1080" s="8">
        <v>46356</v>
      </c>
      <c r="P1080" s="4" t="s">
        <v>2090</v>
      </c>
      <c r="Q1080" s="4" t="s">
        <v>1939</v>
      </c>
      <c r="R1080" s="4" t="s">
        <v>8994</v>
      </c>
      <c r="S1080" s="4" t="s">
        <v>8995</v>
      </c>
      <c r="T1080" s="4" t="s">
        <v>2067</v>
      </c>
      <c r="U1080" s="4" t="s">
        <v>2109</v>
      </c>
      <c r="V1080" s="4" t="s">
        <v>2067</v>
      </c>
      <c r="W1080" s="4" t="s">
        <v>2069</v>
      </c>
    </row>
    <row r="1081" spans="1:23" ht="20.100000000000001" customHeight="1" x14ac:dyDescent="0.25">
      <c r="A1081" s="6" t="s">
        <v>546</v>
      </c>
      <c r="B1081" s="7" t="s">
        <v>2057</v>
      </c>
      <c r="C1081" s="7" t="s">
        <v>8996</v>
      </c>
      <c r="D1081" s="7" t="s">
        <v>8736</v>
      </c>
      <c r="E1081" s="7" t="s">
        <v>1965</v>
      </c>
      <c r="F1081" s="7" t="s">
        <v>1966</v>
      </c>
      <c r="G1081" s="7" t="s">
        <v>2057</v>
      </c>
      <c r="H1081" s="7" t="s">
        <v>8750</v>
      </c>
      <c r="I1081" s="7" t="s">
        <v>1939</v>
      </c>
      <c r="J1081" s="7" t="s">
        <v>8997</v>
      </c>
      <c r="K1081" s="7" t="s">
        <v>8998</v>
      </c>
      <c r="L1081" s="7" t="s">
        <v>8999</v>
      </c>
      <c r="M1081" s="7" t="s">
        <v>2064</v>
      </c>
      <c r="N1081" s="9">
        <v>45327</v>
      </c>
      <c r="O1081" s="9"/>
      <c r="P1081" s="7" t="s">
        <v>1966</v>
      </c>
      <c r="Q1081" s="7" t="s">
        <v>1939</v>
      </c>
      <c r="R1081" s="7" t="s">
        <v>9000</v>
      </c>
      <c r="S1081" s="7" t="s">
        <v>9001</v>
      </c>
      <c r="T1081" s="7" t="s">
        <v>2067</v>
      </c>
      <c r="U1081" s="7" t="s">
        <v>2174</v>
      </c>
      <c r="V1081" s="7" t="s">
        <v>2067</v>
      </c>
      <c r="W1081" s="7" t="s">
        <v>2069</v>
      </c>
    </row>
    <row r="1082" spans="1:23" ht="20.100000000000001" customHeight="1" x14ac:dyDescent="0.25">
      <c r="A1082" s="3" t="s">
        <v>9002</v>
      </c>
      <c r="B1082" s="4" t="s">
        <v>2057</v>
      </c>
      <c r="C1082" s="4" t="s">
        <v>9003</v>
      </c>
      <c r="D1082" s="4" t="s">
        <v>8736</v>
      </c>
      <c r="E1082" s="4" t="s">
        <v>2189</v>
      </c>
      <c r="F1082" s="4" t="s">
        <v>2190</v>
      </c>
      <c r="G1082" s="4" t="s">
        <v>2057</v>
      </c>
      <c r="H1082" s="4" t="s">
        <v>1946</v>
      </c>
      <c r="I1082" s="4" t="s">
        <v>1939</v>
      </c>
      <c r="J1082" s="4" t="s">
        <v>9004</v>
      </c>
      <c r="K1082" s="4" t="s">
        <v>9005</v>
      </c>
      <c r="L1082" s="4" t="s">
        <v>9006</v>
      </c>
      <c r="M1082" s="4" t="s">
        <v>3316</v>
      </c>
      <c r="N1082" s="8">
        <v>44916</v>
      </c>
      <c r="O1082" s="8">
        <v>46356</v>
      </c>
      <c r="P1082" s="4" t="s">
        <v>2195</v>
      </c>
      <c r="Q1082" s="4" t="s">
        <v>1939</v>
      </c>
      <c r="R1082" s="4" t="s">
        <v>9007</v>
      </c>
      <c r="S1082" s="4" t="s">
        <v>9008</v>
      </c>
      <c r="T1082" s="4" t="s">
        <v>2067</v>
      </c>
      <c r="U1082" s="4" t="s">
        <v>2198</v>
      </c>
      <c r="V1082" s="4" t="s">
        <v>2067</v>
      </c>
      <c r="W1082" s="4" t="s">
        <v>2069</v>
      </c>
    </row>
    <row r="1083" spans="1:23" ht="20.100000000000001" customHeight="1" x14ac:dyDescent="0.25">
      <c r="A1083" s="6" t="s">
        <v>1262</v>
      </c>
      <c r="B1083" s="7" t="s">
        <v>2057</v>
      </c>
      <c r="C1083" s="7" t="s">
        <v>9009</v>
      </c>
      <c r="D1083" s="7" t="s">
        <v>8736</v>
      </c>
      <c r="E1083" s="7" t="s">
        <v>1947</v>
      </c>
      <c r="F1083" s="7" t="s">
        <v>1948</v>
      </c>
      <c r="G1083" s="7" t="s">
        <v>2057</v>
      </c>
      <c r="H1083" s="7" t="s">
        <v>8737</v>
      </c>
      <c r="I1083" s="7" t="s">
        <v>1939</v>
      </c>
      <c r="J1083" s="7" t="s">
        <v>9010</v>
      </c>
      <c r="K1083" s="7" t="s">
        <v>9011</v>
      </c>
      <c r="L1083" s="7" t="s">
        <v>9012</v>
      </c>
      <c r="M1083" s="7" t="s">
        <v>2078</v>
      </c>
      <c r="N1083" s="9">
        <v>46052</v>
      </c>
      <c r="O1083" s="9">
        <v>46356</v>
      </c>
      <c r="P1083" s="7" t="s">
        <v>2090</v>
      </c>
      <c r="Q1083" s="7" t="s">
        <v>1939</v>
      </c>
      <c r="R1083" s="7" t="s">
        <v>2126</v>
      </c>
      <c r="S1083" s="7" t="s">
        <v>9013</v>
      </c>
      <c r="T1083" s="7" t="s">
        <v>2067</v>
      </c>
      <c r="U1083" s="7" t="s">
        <v>3437</v>
      </c>
      <c r="V1083" s="7" t="s">
        <v>2067</v>
      </c>
      <c r="W1083" s="7" t="s">
        <v>2069</v>
      </c>
    </row>
    <row r="1084" spans="1:23" ht="20.100000000000001" customHeight="1" x14ac:dyDescent="0.25">
      <c r="A1084" s="3" t="s">
        <v>1114</v>
      </c>
      <c r="B1084" s="4" t="s">
        <v>2057</v>
      </c>
      <c r="C1084" s="4" t="s">
        <v>9014</v>
      </c>
      <c r="D1084" s="4" t="s">
        <v>8736</v>
      </c>
      <c r="E1084" s="4" t="s">
        <v>1947</v>
      </c>
      <c r="F1084" s="4" t="s">
        <v>1948</v>
      </c>
      <c r="G1084" s="4" t="s">
        <v>2057</v>
      </c>
      <c r="H1084" s="4" t="s">
        <v>8750</v>
      </c>
      <c r="I1084" s="4" t="s">
        <v>1939</v>
      </c>
      <c r="J1084" s="4" t="s">
        <v>9015</v>
      </c>
      <c r="K1084" s="4" t="s">
        <v>9016</v>
      </c>
      <c r="L1084" s="4" t="s">
        <v>9017</v>
      </c>
      <c r="M1084" s="4" t="s">
        <v>2064</v>
      </c>
      <c r="N1084" s="8">
        <v>45327</v>
      </c>
      <c r="O1084" s="8"/>
      <c r="P1084" s="4" t="s">
        <v>2090</v>
      </c>
      <c r="Q1084" s="4" t="s">
        <v>1939</v>
      </c>
      <c r="R1084" s="4" t="s">
        <v>5074</v>
      </c>
      <c r="S1084" s="4" t="s">
        <v>9018</v>
      </c>
      <c r="T1084" s="4" t="s">
        <v>2067</v>
      </c>
      <c r="U1084" s="4" t="s">
        <v>3437</v>
      </c>
      <c r="V1084" s="4" t="s">
        <v>2067</v>
      </c>
      <c r="W1084" s="4" t="s">
        <v>2069</v>
      </c>
    </row>
    <row r="1085" spans="1:23" ht="20.100000000000001" customHeight="1" x14ac:dyDescent="0.25">
      <c r="A1085" s="6" t="s">
        <v>918</v>
      </c>
      <c r="B1085" s="7" t="s">
        <v>2084</v>
      </c>
      <c r="C1085" s="7" t="s">
        <v>9019</v>
      </c>
      <c r="D1085" s="7" t="s">
        <v>8736</v>
      </c>
      <c r="E1085" s="7" t="s">
        <v>1947</v>
      </c>
      <c r="F1085" s="7" t="s">
        <v>1948</v>
      </c>
      <c r="G1085" s="7" t="s">
        <v>2084</v>
      </c>
      <c r="H1085" s="7" t="s">
        <v>9020</v>
      </c>
      <c r="I1085" s="7" t="s">
        <v>1939</v>
      </c>
      <c r="J1085" s="7" t="s">
        <v>9021</v>
      </c>
      <c r="K1085" s="7" t="s">
        <v>9022</v>
      </c>
      <c r="L1085" s="7" t="s">
        <v>9023</v>
      </c>
      <c r="M1085" s="7" t="s">
        <v>2078</v>
      </c>
      <c r="N1085" s="9">
        <v>46037</v>
      </c>
      <c r="O1085" s="9">
        <v>46356</v>
      </c>
      <c r="P1085" s="7" t="s">
        <v>2090</v>
      </c>
      <c r="Q1085" s="7" t="s">
        <v>1939</v>
      </c>
      <c r="R1085" s="7" t="s">
        <v>9024</v>
      </c>
      <c r="S1085" s="7" t="s">
        <v>9025</v>
      </c>
      <c r="T1085" s="7" t="s">
        <v>2067</v>
      </c>
      <c r="U1085" s="7" t="s">
        <v>2146</v>
      </c>
      <c r="V1085" s="7" t="s">
        <v>2067</v>
      </c>
      <c r="W1085" s="7" t="s">
        <v>2069</v>
      </c>
    </row>
    <row r="1086" spans="1:23" ht="20.100000000000001" customHeight="1" x14ac:dyDescent="0.25">
      <c r="A1086" s="3" t="s">
        <v>684</v>
      </c>
      <c r="B1086" s="4" t="s">
        <v>2057</v>
      </c>
      <c r="C1086" s="4" t="s">
        <v>9026</v>
      </c>
      <c r="D1086" s="4" t="s">
        <v>8736</v>
      </c>
      <c r="E1086" s="4" t="s">
        <v>2111</v>
      </c>
      <c r="F1086" s="4" t="s">
        <v>2112</v>
      </c>
      <c r="G1086" s="4" t="s">
        <v>2057</v>
      </c>
      <c r="H1086" s="4" t="s">
        <v>8794</v>
      </c>
      <c r="I1086" s="4" t="s">
        <v>1939</v>
      </c>
      <c r="J1086" s="4" t="s">
        <v>9027</v>
      </c>
      <c r="K1086" s="4" t="s">
        <v>9028</v>
      </c>
      <c r="L1086" s="4" t="s">
        <v>9029</v>
      </c>
      <c r="M1086" s="4" t="s">
        <v>2064</v>
      </c>
      <c r="N1086" s="8">
        <v>45327</v>
      </c>
      <c r="O1086" s="8"/>
      <c r="P1086" s="4" t="s">
        <v>2112</v>
      </c>
      <c r="Q1086" s="4" t="s">
        <v>1939</v>
      </c>
      <c r="R1086" s="4" t="s">
        <v>9030</v>
      </c>
      <c r="S1086" s="4" t="s">
        <v>9031</v>
      </c>
      <c r="T1086" s="4" t="s">
        <v>2067</v>
      </c>
      <c r="U1086" s="4" t="s">
        <v>2119</v>
      </c>
      <c r="V1086" s="4" t="s">
        <v>2067</v>
      </c>
      <c r="W1086" s="4" t="s">
        <v>2069</v>
      </c>
    </row>
    <row r="1087" spans="1:23" ht="20.100000000000001" customHeight="1" x14ac:dyDescent="0.25">
      <c r="A1087" s="6" t="s">
        <v>220</v>
      </c>
      <c r="B1087" s="7" t="s">
        <v>2057</v>
      </c>
      <c r="C1087" s="7" t="s">
        <v>9032</v>
      </c>
      <c r="D1087" s="7" t="s">
        <v>8736</v>
      </c>
      <c r="E1087" s="7" t="s">
        <v>1947</v>
      </c>
      <c r="F1087" s="7" t="s">
        <v>1948</v>
      </c>
      <c r="G1087" s="7" t="s">
        <v>2057</v>
      </c>
      <c r="H1087" s="7" t="s">
        <v>8750</v>
      </c>
      <c r="I1087" s="7" t="s">
        <v>1939</v>
      </c>
      <c r="J1087" s="7" t="s">
        <v>9033</v>
      </c>
      <c r="K1087" s="7" t="s">
        <v>9034</v>
      </c>
      <c r="L1087" s="7" t="s">
        <v>9035</v>
      </c>
      <c r="M1087" s="7" t="s">
        <v>2078</v>
      </c>
      <c r="N1087" s="9">
        <v>46000</v>
      </c>
      <c r="O1087" s="9">
        <v>46356</v>
      </c>
      <c r="P1087" s="7" t="s">
        <v>2090</v>
      </c>
      <c r="Q1087" s="7" t="s">
        <v>1939</v>
      </c>
      <c r="R1087" s="7" t="s">
        <v>9036</v>
      </c>
      <c r="S1087" s="7" t="s">
        <v>9037</v>
      </c>
      <c r="T1087" s="7" t="s">
        <v>2067</v>
      </c>
      <c r="U1087" s="7" t="s">
        <v>8824</v>
      </c>
      <c r="V1087" s="7" t="s">
        <v>2067</v>
      </c>
      <c r="W1087" s="7" t="s">
        <v>2069</v>
      </c>
    </row>
    <row r="1088" spans="1:23" ht="20.100000000000001" customHeight="1" x14ac:dyDescent="0.25">
      <c r="A1088" s="3" t="s">
        <v>1660</v>
      </c>
      <c r="B1088" s="4" t="s">
        <v>2057</v>
      </c>
      <c r="C1088" s="4" t="s">
        <v>9038</v>
      </c>
      <c r="D1088" s="4" t="s">
        <v>8736</v>
      </c>
      <c r="E1088" s="4" t="s">
        <v>1947</v>
      </c>
      <c r="F1088" s="4" t="s">
        <v>1948</v>
      </c>
      <c r="G1088" s="4" t="s">
        <v>2057</v>
      </c>
      <c r="H1088" s="4" t="s">
        <v>8750</v>
      </c>
      <c r="I1088" s="4" t="s">
        <v>1939</v>
      </c>
      <c r="J1088" s="4" t="s">
        <v>9039</v>
      </c>
      <c r="K1088" s="4" t="s">
        <v>9040</v>
      </c>
      <c r="L1088" s="4" t="s">
        <v>9041</v>
      </c>
      <c r="M1088" s="4" t="s">
        <v>2078</v>
      </c>
      <c r="N1088" s="8">
        <v>46052</v>
      </c>
      <c r="O1088" s="8">
        <v>46356</v>
      </c>
      <c r="P1088" s="4" t="s">
        <v>2090</v>
      </c>
      <c r="Q1088" s="4" t="s">
        <v>1939</v>
      </c>
      <c r="R1088" s="4" t="s">
        <v>9042</v>
      </c>
      <c r="S1088" s="4" t="s">
        <v>9043</v>
      </c>
      <c r="T1088" s="4" t="s">
        <v>2067</v>
      </c>
      <c r="U1088" s="4" t="s">
        <v>2109</v>
      </c>
      <c r="V1088" s="4" t="s">
        <v>2067</v>
      </c>
      <c r="W1088" s="4" t="s">
        <v>2069</v>
      </c>
    </row>
    <row r="1089" spans="1:23" ht="20.100000000000001" customHeight="1" x14ac:dyDescent="0.25">
      <c r="A1089" s="6" t="s">
        <v>1542</v>
      </c>
      <c r="B1089" s="7" t="s">
        <v>2057</v>
      </c>
      <c r="C1089" s="7" t="s">
        <v>9044</v>
      </c>
      <c r="D1089" s="7" t="s">
        <v>8736</v>
      </c>
      <c r="E1089" s="7" t="s">
        <v>1947</v>
      </c>
      <c r="F1089" s="7" t="s">
        <v>1948</v>
      </c>
      <c r="G1089" s="7" t="s">
        <v>2057</v>
      </c>
      <c r="H1089" s="7" t="s">
        <v>1964</v>
      </c>
      <c r="I1089" s="7" t="s">
        <v>1939</v>
      </c>
      <c r="J1089" s="7" t="s">
        <v>9045</v>
      </c>
      <c r="K1089" s="7" t="s">
        <v>9046</v>
      </c>
      <c r="L1089" s="7" t="s">
        <v>9047</v>
      </c>
      <c r="M1089" s="7" t="s">
        <v>2078</v>
      </c>
      <c r="N1089" s="9">
        <v>46052</v>
      </c>
      <c r="O1089" s="9">
        <v>46356</v>
      </c>
      <c r="P1089" s="7" t="s">
        <v>2090</v>
      </c>
      <c r="Q1089" s="7" t="s">
        <v>1939</v>
      </c>
      <c r="R1089" s="7" t="s">
        <v>9048</v>
      </c>
      <c r="S1089" s="7" t="s">
        <v>9049</v>
      </c>
      <c r="T1089" s="7" t="s">
        <v>2067</v>
      </c>
      <c r="U1089" s="7" t="s">
        <v>2109</v>
      </c>
      <c r="V1089" s="7" t="s">
        <v>2067</v>
      </c>
      <c r="W1089" s="7" t="s">
        <v>2069</v>
      </c>
    </row>
    <row r="1090" spans="1:23" ht="20.100000000000001" customHeight="1" x14ac:dyDescent="0.25">
      <c r="A1090" s="3" t="s">
        <v>9050</v>
      </c>
      <c r="B1090" s="4" t="s">
        <v>2084</v>
      </c>
      <c r="C1090" s="4" t="s">
        <v>9051</v>
      </c>
      <c r="D1090" s="4" t="s">
        <v>8736</v>
      </c>
      <c r="E1090" s="4" t="s">
        <v>1947</v>
      </c>
      <c r="F1090" s="4" t="s">
        <v>1948</v>
      </c>
      <c r="G1090" s="4" t="s">
        <v>2084</v>
      </c>
      <c r="H1090" s="4" t="s">
        <v>1982</v>
      </c>
      <c r="I1090" s="4" t="s">
        <v>1939</v>
      </c>
      <c r="J1090" s="4" t="s">
        <v>9052</v>
      </c>
      <c r="K1090" s="4" t="s">
        <v>9053</v>
      </c>
      <c r="L1090" s="4" t="s">
        <v>9054</v>
      </c>
      <c r="M1090" s="4" t="s">
        <v>2078</v>
      </c>
      <c r="N1090" s="8">
        <v>46052</v>
      </c>
      <c r="O1090" s="8">
        <v>46356</v>
      </c>
      <c r="P1090" s="4" t="s">
        <v>2090</v>
      </c>
      <c r="Q1090" s="4" t="s">
        <v>1939</v>
      </c>
      <c r="R1090" s="4" t="s">
        <v>9055</v>
      </c>
      <c r="S1090" s="4" t="s">
        <v>9056</v>
      </c>
      <c r="T1090" s="4" t="s">
        <v>2067</v>
      </c>
      <c r="U1090" s="4" t="s">
        <v>2146</v>
      </c>
      <c r="V1090" s="4" t="s">
        <v>2067</v>
      </c>
      <c r="W1090" s="4" t="s">
        <v>2069</v>
      </c>
    </row>
    <row r="1091" spans="1:23" ht="20.100000000000001" customHeight="1" x14ac:dyDescent="0.25">
      <c r="A1091" s="6" t="s">
        <v>156</v>
      </c>
      <c r="B1091" s="7" t="s">
        <v>2057</v>
      </c>
      <c r="C1091" s="7" t="s">
        <v>9057</v>
      </c>
      <c r="D1091" s="7" t="s">
        <v>8736</v>
      </c>
      <c r="E1091" s="7" t="s">
        <v>2131</v>
      </c>
      <c r="F1091" s="7" t="s">
        <v>2132</v>
      </c>
      <c r="G1091" s="7" t="s">
        <v>2057</v>
      </c>
      <c r="H1091" s="7" t="s">
        <v>1964</v>
      </c>
      <c r="I1091" s="7" t="s">
        <v>1939</v>
      </c>
      <c r="J1091" s="7" t="s">
        <v>9058</v>
      </c>
      <c r="K1091" s="7" t="s">
        <v>9059</v>
      </c>
      <c r="L1091" s="7" t="s">
        <v>9060</v>
      </c>
      <c r="M1091" s="7" t="s">
        <v>2078</v>
      </c>
      <c r="N1091" s="9">
        <v>46052</v>
      </c>
      <c r="O1091" s="9">
        <v>46356</v>
      </c>
      <c r="P1091" s="7" t="s">
        <v>2132</v>
      </c>
      <c r="Q1091" s="7" t="s">
        <v>1939</v>
      </c>
      <c r="R1091" s="7" t="s">
        <v>9061</v>
      </c>
      <c r="S1091" s="7" t="s">
        <v>9062</v>
      </c>
      <c r="T1091" s="7" t="s">
        <v>2067</v>
      </c>
      <c r="U1091" s="7" t="s">
        <v>2138</v>
      </c>
      <c r="V1091" s="7" t="s">
        <v>2067</v>
      </c>
      <c r="W1091" s="7" t="s">
        <v>2069</v>
      </c>
    </row>
    <row r="1092" spans="1:23" ht="20.100000000000001" customHeight="1" x14ac:dyDescent="0.25">
      <c r="A1092" s="3" t="s">
        <v>854</v>
      </c>
      <c r="B1092" s="4" t="s">
        <v>2057</v>
      </c>
      <c r="C1092" s="4" t="s">
        <v>9063</v>
      </c>
      <c r="D1092" s="4" t="s">
        <v>8736</v>
      </c>
      <c r="E1092" s="4" t="s">
        <v>1947</v>
      </c>
      <c r="F1092" s="4" t="s">
        <v>1948</v>
      </c>
      <c r="G1092" s="4" t="s">
        <v>2057</v>
      </c>
      <c r="H1092" s="4" t="s">
        <v>1946</v>
      </c>
      <c r="I1092" s="4" t="s">
        <v>1939</v>
      </c>
      <c r="J1092" s="4" t="s">
        <v>9064</v>
      </c>
      <c r="K1092" s="4" t="s">
        <v>9065</v>
      </c>
      <c r="L1092" s="4" t="s">
        <v>9066</v>
      </c>
      <c r="M1092" s="4" t="s">
        <v>2064</v>
      </c>
      <c r="N1092" s="8">
        <v>44447</v>
      </c>
      <c r="O1092" s="8"/>
      <c r="P1092" s="4" t="s">
        <v>2090</v>
      </c>
      <c r="Q1092" s="4" t="s">
        <v>1939</v>
      </c>
      <c r="R1092" s="4" t="s">
        <v>5195</v>
      </c>
      <c r="S1092" s="4" t="s">
        <v>9067</v>
      </c>
      <c r="T1092" s="4" t="s">
        <v>2067</v>
      </c>
      <c r="U1092" s="4" t="s">
        <v>3153</v>
      </c>
      <c r="V1092" s="4" t="s">
        <v>2067</v>
      </c>
      <c r="W1092" s="4" t="s">
        <v>2069</v>
      </c>
    </row>
    <row r="1093" spans="1:23" ht="20.100000000000001" customHeight="1" x14ac:dyDescent="0.25">
      <c r="A1093" s="6" t="s">
        <v>9068</v>
      </c>
      <c r="B1093" s="7" t="s">
        <v>2084</v>
      </c>
      <c r="C1093" s="7" t="s">
        <v>9069</v>
      </c>
      <c r="D1093" s="7" t="s">
        <v>8736</v>
      </c>
      <c r="E1093" s="7" t="s">
        <v>1979</v>
      </c>
      <c r="F1093" s="7" t="s">
        <v>1980</v>
      </c>
      <c r="G1093" s="7" t="s">
        <v>2084</v>
      </c>
      <c r="H1093" s="7" t="s">
        <v>8763</v>
      </c>
      <c r="I1093" s="7" t="s">
        <v>1939</v>
      </c>
      <c r="J1093" s="7" t="s">
        <v>9070</v>
      </c>
      <c r="K1093" s="7" t="s">
        <v>9071</v>
      </c>
      <c r="L1093" s="7" t="s">
        <v>9072</v>
      </c>
      <c r="M1093" s="7" t="s">
        <v>2064</v>
      </c>
      <c r="N1093" s="9">
        <v>45447</v>
      </c>
      <c r="O1093" s="9"/>
      <c r="P1093" s="7" t="s">
        <v>1980</v>
      </c>
      <c r="Q1093" s="7" t="s">
        <v>1939</v>
      </c>
      <c r="R1093" s="7" t="s">
        <v>2222</v>
      </c>
      <c r="S1093" s="7" t="s">
        <v>9073</v>
      </c>
      <c r="T1093" s="7" t="s">
        <v>2067</v>
      </c>
      <c r="U1093" s="7" t="s">
        <v>2299</v>
      </c>
      <c r="V1093" s="7" t="s">
        <v>2067</v>
      </c>
      <c r="W1093" s="7" t="s">
        <v>2069</v>
      </c>
    </row>
    <row r="1094" spans="1:23" ht="20.100000000000001" customHeight="1" x14ac:dyDescent="0.25">
      <c r="A1094" s="3" t="s">
        <v>1608</v>
      </c>
      <c r="B1094" s="4" t="s">
        <v>2057</v>
      </c>
      <c r="C1094" s="4" t="s">
        <v>9074</v>
      </c>
      <c r="D1094" s="4" t="s">
        <v>8736</v>
      </c>
      <c r="E1094" s="4" t="s">
        <v>1947</v>
      </c>
      <c r="F1094" s="4" t="s">
        <v>1948</v>
      </c>
      <c r="G1094" s="4" t="s">
        <v>2057</v>
      </c>
      <c r="H1094" s="4" t="s">
        <v>8794</v>
      </c>
      <c r="I1094" s="4" t="s">
        <v>1939</v>
      </c>
      <c r="J1094" s="4" t="s">
        <v>9075</v>
      </c>
      <c r="K1094" s="4" t="s">
        <v>9076</v>
      </c>
      <c r="L1094" s="4" t="s">
        <v>9077</v>
      </c>
      <c r="M1094" s="4" t="s">
        <v>2078</v>
      </c>
      <c r="N1094" s="8">
        <v>45992</v>
      </c>
      <c r="O1094" s="8">
        <v>46356</v>
      </c>
      <c r="P1094" s="4" t="s">
        <v>2090</v>
      </c>
      <c r="Q1094" s="4" t="s">
        <v>1939</v>
      </c>
      <c r="R1094" s="4" t="s">
        <v>9078</v>
      </c>
      <c r="S1094" s="4" t="s">
        <v>9079</v>
      </c>
      <c r="T1094" s="4" t="s">
        <v>2067</v>
      </c>
      <c r="U1094" s="4" t="s">
        <v>3437</v>
      </c>
      <c r="V1094" s="4" t="s">
        <v>2067</v>
      </c>
      <c r="W1094" s="4" t="s">
        <v>2069</v>
      </c>
    </row>
    <row r="1095" spans="1:23" ht="20.100000000000001" customHeight="1" x14ac:dyDescent="0.25">
      <c r="A1095" s="6" t="s">
        <v>58</v>
      </c>
      <c r="B1095" s="7" t="s">
        <v>2084</v>
      </c>
      <c r="C1095" s="7" t="s">
        <v>9080</v>
      </c>
      <c r="D1095" s="7" t="s">
        <v>8736</v>
      </c>
      <c r="E1095" s="7" t="s">
        <v>1979</v>
      </c>
      <c r="F1095" s="7" t="s">
        <v>2728</v>
      </c>
      <c r="G1095" s="7" t="s">
        <v>2084</v>
      </c>
      <c r="H1095" s="7" t="s">
        <v>8763</v>
      </c>
      <c r="I1095" s="7" t="s">
        <v>1939</v>
      </c>
      <c r="J1095" s="7" t="s">
        <v>9081</v>
      </c>
      <c r="K1095" s="7" t="s">
        <v>9082</v>
      </c>
      <c r="L1095" s="7" t="s">
        <v>9083</v>
      </c>
      <c r="M1095" s="7" t="s">
        <v>2078</v>
      </c>
      <c r="N1095" s="9">
        <v>46234</v>
      </c>
      <c r="O1095" s="9">
        <v>46356</v>
      </c>
      <c r="P1095" s="7" t="s">
        <v>2728</v>
      </c>
      <c r="Q1095" s="7" t="s">
        <v>1939</v>
      </c>
      <c r="R1095" s="7" t="s">
        <v>9084</v>
      </c>
      <c r="S1095" s="7" t="s">
        <v>9085</v>
      </c>
      <c r="T1095" s="7" t="s">
        <v>2067</v>
      </c>
      <c r="U1095" s="7" t="s">
        <v>2728</v>
      </c>
      <c r="V1095" s="7" t="s">
        <v>2067</v>
      </c>
      <c r="W1095" s="7" t="s">
        <v>2069</v>
      </c>
    </row>
    <row r="1096" spans="1:23" ht="20.100000000000001" customHeight="1" x14ac:dyDescent="0.25">
      <c r="A1096" s="3" t="s">
        <v>520</v>
      </c>
      <c r="B1096" s="4" t="s">
        <v>2057</v>
      </c>
      <c r="C1096" s="4" t="s">
        <v>9086</v>
      </c>
      <c r="D1096" s="4" t="s">
        <v>8736</v>
      </c>
      <c r="E1096" s="4" t="s">
        <v>1940</v>
      </c>
      <c r="F1096" s="4" t="s">
        <v>1941</v>
      </c>
      <c r="G1096" s="4" t="s">
        <v>2057</v>
      </c>
      <c r="H1096" s="4" t="s">
        <v>8750</v>
      </c>
      <c r="I1096" s="4" t="s">
        <v>1939</v>
      </c>
      <c r="J1096" s="4" t="s">
        <v>9087</v>
      </c>
      <c r="K1096" s="4" t="s">
        <v>9088</v>
      </c>
      <c r="L1096" s="4" t="s">
        <v>9089</v>
      </c>
      <c r="M1096" s="4" t="s">
        <v>2078</v>
      </c>
      <c r="N1096" s="8">
        <v>46000</v>
      </c>
      <c r="O1096" s="8">
        <v>46356</v>
      </c>
      <c r="P1096" s="4" t="s">
        <v>1941</v>
      </c>
      <c r="Q1096" s="4" t="s">
        <v>1939</v>
      </c>
      <c r="R1096" s="4" t="s">
        <v>9090</v>
      </c>
      <c r="S1096" s="4" t="s">
        <v>9091</v>
      </c>
      <c r="T1096" s="4" t="s">
        <v>2067</v>
      </c>
      <c r="U1096" s="4" t="s">
        <v>2068</v>
      </c>
      <c r="V1096" s="4" t="s">
        <v>2067</v>
      </c>
      <c r="W1096" s="4" t="s">
        <v>2069</v>
      </c>
    </row>
    <row r="1097" spans="1:23" ht="20.100000000000001" customHeight="1" x14ac:dyDescent="0.25">
      <c r="A1097" s="6" t="s">
        <v>1256</v>
      </c>
      <c r="B1097" s="7" t="s">
        <v>2057</v>
      </c>
      <c r="C1097" s="7" t="s">
        <v>9092</v>
      </c>
      <c r="D1097" s="7" t="s">
        <v>8736</v>
      </c>
      <c r="E1097" s="7" t="s">
        <v>1947</v>
      </c>
      <c r="F1097" s="7" t="s">
        <v>1948</v>
      </c>
      <c r="G1097" s="7" t="s">
        <v>2057</v>
      </c>
      <c r="H1097" s="7" t="s">
        <v>8750</v>
      </c>
      <c r="I1097" s="7" t="s">
        <v>1939</v>
      </c>
      <c r="J1097" s="7" t="s">
        <v>9093</v>
      </c>
      <c r="K1097" s="7" t="s">
        <v>9094</v>
      </c>
      <c r="L1097" s="7" t="s">
        <v>9095</v>
      </c>
      <c r="M1097" s="7" t="s">
        <v>2078</v>
      </c>
      <c r="N1097" s="9">
        <v>46000</v>
      </c>
      <c r="O1097" s="9">
        <v>46356</v>
      </c>
      <c r="P1097" s="7" t="s">
        <v>2090</v>
      </c>
      <c r="Q1097" s="7" t="s">
        <v>1939</v>
      </c>
      <c r="R1097" s="7" t="s">
        <v>9096</v>
      </c>
      <c r="S1097" s="7" t="s">
        <v>9097</v>
      </c>
      <c r="T1097" s="7" t="s">
        <v>2067</v>
      </c>
      <c r="U1097" s="7" t="s">
        <v>3153</v>
      </c>
      <c r="V1097" s="7" t="s">
        <v>2067</v>
      </c>
      <c r="W1097" s="7" t="s">
        <v>2069</v>
      </c>
    </row>
    <row r="1098" spans="1:23" ht="20.100000000000001" customHeight="1" x14ac:dyDescent="0.25">
      <c r="A1098" s="3" t="s">
        <v>422</v>
      </c>
      <c r="B1098" s="4" t="s">
        <v>2084</v>
      </c>
      <c r="C1098" s="4" t="s">
        <v>9098</v>
      </c>
      <c r="D1098" s="4" t="s">
        <v>8736</v>
      </c>
      <c r="E1098" s="4" t="s">
        <v>1947</v>
      </c>
      <c r="F1098" s="4" t="s">
        <v>1948</v>
      </c>
      <c r="G1098" s="4" t="s">
        <v>2084</v>
      </c>
      <c r="H1098" s="4" t="s">
        <v>1982</v>
      </c>
      <c r="I1098" s="4" t="s">
        <v>1939</v>
      </c>
      <c r="J1098" s="4" t="s">
        <v>9099</v>
      </c>
      <c r="K1098" s="4" t="s">
        <v>9100</v>
      </c>
      <c r="L1098" s="4" t="s">
        <v>9101</v>
      </c>
      <c r="M1098" s="4" t="s">
        <v>2078</v>
      </c>
      <c r="N1098" s="8">
        <v>45992</v>
      </c>
      <c r="O1098" s="8">
        <v>46356</v>
      </c>
      <c r="P1098" s="4" t="s">
        <v>2090</v>
      </c>
      <c r="Q1098" s="4" t="s">
        <v>1939</v>
      </c>
      <c r="R1098" s="4" t="s">
        <v>9102</v>
      </c>
      <c r="S1098" s="4" t="s">
        <v>9103</v>
      </c>
      <c r="T1098" s="4" t="s">
        <v>2067</v>
      </c>
      <c r="U1098" s="4" t="s">
        <v>2146</v>
      </c>
      <c r="V1098" s="4" t="s">
        <v>2067</v>
      </c>
      <c r="W1098" s="4" t="s">
        <v>2069</v>
      </c>
    </row>
    <row r="1099" spans="1:23" ht="20.100000000000001" customHeight="1" x14ac:dyDescent="0.25">
      <c r="A1099" s="6" t="s">
        <v>9104</v>
      </c>
      <c r="B1099" s="7" t="s">
        <v>2057</v>
      </c>
      <c r="C1099" s="7" t="s">
        <v>9105</v>
      </c>
      <c r="D1099" s="7" t="s">
        <v>8736</v>
      </c>
      <c r="E1099" s="7" t="s">
        <v>1947</v>
      </c>
      <c r="F1099" s="7" t="s">
        <v>1948</v>
      </c>
      <c r="G1099" s="7" t="s">
        <v>2057</v>
      </c>
      <c r="H1099" s="7" t="s">
        <v>8750</v>
      </c>
      <c r="I1099" s="7" t="s">
        <v>1939</v>
      </c>
      <c r="J1099" s="7" t="s">
        <v>9106</v>
      </c>
      <c r="K1099" s="7" t="s">
        <v>9107</v>
      </c>
      <c r="L1099" s="7" t="s">
        <v>9108</v>
      </c>
      <c r="M1099" s="7" t="s">
        <v>2064</v>
      </c>
      <c r="N1099" s="9">
        <v>45344</v>
      </c>
      <c r="O1099" s="9"/>
      <c r="P1099" s="7" t="s">
        <v>2090</v>
      </c>
      <c r="Q1099" s="7" t="s">
        <v>1939</v>
      </c>
      <c r="R1099" s="7" t="s">
        <v>9109</v>
      </c>
      <c r="S1099" s="7" t="s">
        <v>9110</v>
      </c>
      <c r="T1099" s="7" t="s">
        <v>2067</v>
      </c>
      <c r="U1099" s="7" t="s">
        <v>8824</v>
      </c>
      <c r="V1099" s="7" t="s">
        <v>2067</v>
      </c>
      <c r="W1099" s="7" t="s">
        <v>2069</v>
      </c>
    </row>
    <row r="1100" spans="1:23" ht="20.100000000000001" customHeight="1" x14ac:dyDescent="0.25">
      <c r="A1100" s="3" t="s">
        <v>9111</v>
      </c>
      <c r="B1100" s="4" t="s">
        <v>2057</v>
      </c>
      <c r="C1100" s="4" t="s">
        <v>9112</v>
      </c>
      <c r="D1100" s="4" t="s">
        <v>8736</v>
      </c>
      <c r="E1100" s="4" t="s">
        <v>2189</v>
      </c>
      <c r="F1100" s="4" t="s">
        <v>2190</v>
      </c>
      <c r="G1100" s="4" t="s">
        <v>2057</v>
      </c>
      <c r="H1100" s="4" t="s">
        <v>8737</v>
      </c>
      <c r="I1100" s="4" t="s">
        <v>1939</v>
      </c>
      <c r="J1100" s="4" t="s">
        <v>9113</v>
      </c>
      <c r="K1100" s="4" t="s">
        <v>9114</v>
      </c>
      <c r="L1100" s="4" t="s">
        <v>9115</v>
      </c>
      <c r="M1100" s="4" t="s">
        <v>2078</v>
      </c>
      <c r="N1100" s="8">
        <v>46052</v>
      </c>
      <c r="O1100" s="8">
        <v>46356</v>
      </c>
      <c r="P1100" s="4" t="s">
        <v>2195</v>
      </c>
      <c r="Q1100" s="4" t="s">
        <v>1939</v>
      </c>
      <c r="R1100" s="4" t="s">
        <v>9116</v>
      </c>
      <c r="S1100" s="4" t="s">
        <v>9117</v>
      </c>
      <c r="T1100" s="4" t="s">
        <v>2067</v>
      </c>
      <c r="U1100" s="4" t="s">
        <v>2198</v>
      </c>
      <c r="V1100" s="4" t="s">
        <v>2067</v>
      </c>
      <c r="W1100" s="4" t="s">
        <v>2069</v>
      </c>
    </row>
    <row r="1101" spans="1:23" ht="20.100000000000001" customHeight="1" x14ac:dyDescent="0.25">
      <c r="A1101" s="6" t="s">
        <v>920</v>
      </c>
      <c r="B1101" s="7" t="s">
        <v>2057</v>
      </c>
      <c r="C1101" s="7" t="s">
        <v>9118</v>
      </c>
      <c r="D1101" s="7" t="s">
        <v>8736</v>
      </c>
      <c r="E1101" s="7" t="s">
        <v>1947</v>
      </c>
      <c r="F1101" s="7" t="s">
        <v>1948</v>
      </c>
      <c r="G1101" s="7" t="s">
        <v>2057</v>
      </c>
      <c r="H1101" s="7" t="s">
        <v>1946</v>
      </c>
      <c r="I1101" s="7" t="s">
        <v>1939</v>
      </c>
      <c r="J1101" s="7" t="s">
        <v>9119</v>
      </c>
      <c r="K1101" s="7" t="s">
        <v>9120</v>
      </c>
      <c r="L1101" s="7" t="s">
        <v>9121</v>
      </c>
      <c r="M1101" s="7" t="s">
        <v>2078</v>
      </c>
      <c r="N1101" s="9">
        <v>45992</v>
      </c>
      <c r="O1101" s="9">
        <v>46356</v>
      </c>
      <c r="P1101" s="7" t="s">
        <v>2090</v>
      </c>
      <c r="Q1101" s="7" t="s">
        <v>1939</v>
      </c>
      <c r="R1101" s="7" t="s">
        <v>9122</v>
      </c>
      <c r="S1101" s="7" t="s">
        <v>9123</v>
      </c>
      <c r="T1101" s="7" t="s">
        <v>2067</v>
      </c>
      <c r="U1101" s="7" t="s">
        <v>3437</v>
      </c>
      <c r="V1101" s="7" t="s">
        <v>2067</v>
      </c>
      <c r="W1101" s="7" t="s">
        <v>2069</v>
      </c>
    </row>
    <row r="1102" spans="1:23" ht="20.100000000000001" customHeight="1" x14ac:dyDescent="0.25">
      <c r="A1102" s="3" t="s">
        <v>202</v>
      </c>
      <c r="B1102" s="4" t="s">
        <v>2084</v>
      </c>
      <c r="C1102" s="4" t="s">
        <v>9124</v>
      </c>
      <c r="D1102" s="4" t="s">
        <v>8736</v>
      </c>
      <c r="E1102" s="4" t="s">
        <v>4160</v>
      </c>
      <c r="F1102" s="4" t="s">
        <v>4161</v>
      </c>
      <c r="G1102" s="4" t="s">
        <v>2084</v>
      </c>
      <c r="H1102" s="4" t="s">
        <v>9125</v>
      </c>
      <c r="I1102" s="4" t="s">
        <v>1939</v>
      </c>
      <c r="J1102" s="4" t="s">
        <v>9126</v>
      </c>
      <c r="K1102" s="4" t="s">
        <v>9127</v>
      </c>
      <c r="L1102" s="4" t="s">
        <v>9128</v>
      </c>
      <c r="M1102" s="4" t="s">
        <v>2078</v>
      </c>
      <c r="N1102" s="8">
        <v>46155</v>
      </c>
      <c r="O1102" s="8">
        <v>46356</v>
      </c>
      <c r="P1102" s="4" t="s">
        <v>4161</v>
      </c>
      <c r="Q1102" s="4" t="s">
        <v>1939</v>
      </c>
      <c r="R1102" s="4" t="s">
        <v>3085</v>
      </c>
      <c r="S1102" s="4" t="s">
        <v>9129</v>
      </c>
      <c r="T1102" s="4" t="s">
        <v>2067</v>
      </c>
      <c r="U1102" s="4" t="s">
        <v>4167</v>
      </c>
      <c r="V1102" s="4" t="s">
        <v>2067</v>
      </c>
      <c r="W1102" s="4" t="s">
        <v>2069</v>
      </c>
    </row>
    <row r="1103" spans="1:23" ht="20.100000000000001" customHeight="1" x14ac:dyDescent="0.25">
      <c r="A1103" s="6" t="s">
        <v>76</v>
      </c>
      <c r="B1103" s="7" t="s">
        <v>2057</v>
      </c>
      <c r="C1103" s="7" t="s">
        <v>9130</v>
      </c>
      <c r="D1103" s="7" t="s">
        <v>8736</v>
      </c>
      <c r="E1103" s="7" t="s">
        <v>1947</v>
      </c>
      <c r="F1103" s="7" t="s">
        <v>1948</v>
      </c>
      <c r="G1103" s="7" t="s">
        <v>2057</v>
      </c>
      <c r="H1103" s="7" t="s">
        <v>8750</v>
      </c>
      <c r="I1103" s="7" t="s">
        <v>1939</v>
      </c>
      <c r="J1103" s="7" t="s">
        <v>9131</v>
      </c>
      <c r="K1103" s="7" t="s">
        <v>9132</v>
      </c>
      <c r="L1103" s="7" t="s">
        <v>9133</v>
      </c>
      <c r="M1103" s="7" t="s">
        <v>2064</v>
      </c>
      <c r="N1103" s="9">
        <v>45327</v>
      </c>
      <c r="O1103" s="9"/>
      <c r="P1103" s="7" t="s">
        <v>2090</v>
      </c>
      <c r="Q1103" s="7" t="s">
        <v>1939</v>
      </c>
      <c r="R1103" s="7" t="s">
        <v>9134</v>
      </c>
      <c r="S1103" s="7" t="s">
        <v>9135</v>
      </c>
      <c r="T1103" s="7" t="s">
        <v>2067</v>
      </c>
      <c r="U1103" s="7" t="s">
        <v>2109</v>
      </c>
      <c r="V1103" s="7" t="s">
        <v>2067</v>
      </c>
      <c r="W1103" s="7" t="s">
        <v>2069</v>
      </c>
    </row>
    <row r="1104" spans="1:23" ht="20.100000000000001" customHeight="1" x14ac:dyDescent="0.25">
      <c r="A1104" s="3" t="s">
        <v>1778</v>
      </c>
      <c r="B1104" s="4" t="s">
        <v>2057</v>
      </c>
      <c r="C1104" s="4" t="s">
        <v>9136</v>
      </c>
      <c r="D1104" s="4" t="s">
        <v>8736</v>
      </c>
      <c r="E1104" s="4" t="s">
        <v>1947</v>
      </c>
      <c r="F1104" s="4" t="s">
        <v>1948</v>
      </c>
      <c r="G1104" s="4" t="s">
        <v>2057</v>
      </c>
      <c r="H1104" s="4" t="s">
        <v>8737</v>
      </c>
      <c r="I1104" s="4" t="s">
        <v>1939</v>
      </c>
      <c r="J1104" s="4" t="s">
        <v>9137</v>
      </c>
      <c r="K1104" s="4" t="s">
        <v>9138</v>
      </c>
      <c r="L1104" s="4" t="s">
        <v>9139</v>
      </c>
      <c r="M1104" s="4" t="s">
        <v>2078</v>
      </c>
      <c r="N1104" s="8">
        <v>46052</v>
      </c>
      <c r="O1104" s="8">
        <v>46356</v>
      </c>
      <c r="P1104" s="4" t="s">
        <v>2090</v>
      </c>
      <c r="Q1104" s="4" t="s">
        <v>1939</v>
      </c>
      <c r="R1104" s="4" t="s">
        <v>2593</v>
      </c>
      <c r="S1104" s="4" t="s">
        <v>9140</v>
      </c>
      <c r="T1104" s="4" t="s">
        <v>2067</v>
      </c>
      <c r="U1104" s="4" t="s">
        <v>8824</v>
      </c>
      <c r="V1104" s="4" t="s">
        <v>2067</v>
      </c>
      <c r="W1104" s="4" t="s">
        <v>2069</v>
      </c>
    </row>
    <row r="1105" spans="1:23" ht="20.100000000000001" customHeight="1" x14ac:dyDescent="0.25">
      <c r="A1105" s="6" t="s">
        <v>232</v>
      </c>
      <c r="B1105" s="7" t="s">
        <v>2057</v>
      </c>
      <c r="C1105" s="7" t="s">
        <v>9141</v>
      </c>
      <c r="D1105" s="7" t="s">
        <v>8736</v>
      </c>
      <c r="E1105" s="7" t="s">
        <v>2673</v>
      </c>
      <c r="F1105" s="7" t="s">
        <v>2674</v>
      </c>
      <c r="G1105" s="7" t="s">
        <v>2057</v>
      </c>
      <c r="H1105" s="7" t="s">
        <v>8750</v>
      </c>
      <c r="I1105" s="7" t="s">
        <v>1939</v>
      </c>
      <c r="J1105" s="7" t="s">
        <v>9142</v>
      </c>
      <c r="K1105" s="7" t="s">
        <v>9143</v>
      </c>
      <c r="L1105" s="7" t="s">
        <v>9144</v>
      </c>
      <c r="M1105" s="7" t="s">
        <v>2078</v>
      </c>
      <c r="N1105" s="9">
        <v>46052</v>
      </c>
      <c r="O1105" s="9">
        <v>46356</v>
      </c>
      <c r="P1105" s="7" t="s">
        <v>2674</v>
      </c>
      <c r="Q1105" s="7" t="s">
        <v>1939</v>
      </c>
      <c r="R1105" s="7" t="s">
        <v>5481</v>
      </c>
      <c r="S1105" s="7" t="s">
        <v>9145</v>
      </c>
      <c r="T1105" s="7" t="s">
        <v>2067</v>
      </c>
      <c r="U1105" s="7" t="s">
        <v>2680</v>
      </c>
      <c r="V1105" s="7" t="s">
        <v>2067</v>
      </c>
      <c r="W1105" s="7" t="s">
        <v>2069</v>
      </c>
    </row>
    <row r="1106" spans="1:23" ht="20.100000000000001" customHeight="1" x14ac:dyDescent="0.25">
      <c r="A1106" s="3" t="s">
        <v>9146</v>
      </c>
      <c r="B1106" s="4" t="s">
        <v>2057</v>
      </c>
      <c r="C1106" s="4" t="s">
        <v>9147</v>
      </c>
      <c r="D1106" s="4" t="s">
        <v>8736</v>
      </c>
      <c r="E1106" s="4" t="s">
        <v>1952</v>
      </c>
      <c r="F1106" s="4" t="s">
        <v>1953</v>
      </c>
      <c r="G1106" s="4" t="s">
        <v>2057</v>
      </c>
      <c r="H1106" s="4" t="s">
        <v>8771</v>
      </c>
      <c r="I1106" s="4" t="s">
        <v>1939</v>
      </c>
      <c r="J1106" s="4" t="s">
        <v>9148</v>
      </c>
      <c r="K1106" s="4" t="s">
        <v>9149</v>
      </c>
      <c r="L1106" s="4" t="s">
        <v>9150</v>
      </c>
      <c r="M1106" s="4" t="s">
        <v>2078</v>
      </c>
      <c r="N1106" s="8">
        <v>46052</v>
      </c>
      <c r="O1106" s="8">
        <v>46356</v>
      </c>
      <c r="P1106" s="4" t="s">
        <v>1953</v>
      </c>
      <c r="Q1106" s="4" t="s">
        <v>1939</v>
      </c>
      <c r="R1106" s="4" t="s">
        <v>9151</v>
      </c>
      <c r="S1106" s="4" t="s">
        <v>9152</v>
      </c>
      <c r="T1106" s="4" t="s">
        <v>2067</v>
      </c>
      <c r="U1106" s="4" t="s">
        <v>2358</v>
      </c>
      <c r="V1106" s="4" t="s">
        <v>2067</v>
      </c>
      <c r="W1106" s="4" t="s">
        <v>2069</v>
      </c>
    </row>
    <row r="1107" spans="1:23" ht="20.100000000000001" customHeight="1" x14ac:dyDescent="0.25">
      <c r="A1107" s="6" t="s">
        <v>9153</v>
      </c>
      <c r="B1107" s="7" t="s">
        <v>2057</v>
      </c>
      <c r="C1107" s="7" t="s">
        <v>9154</v>
      </c>
      <c r="D1107" s="7" t="s">
        <v>8736</v>
      </c>
      <c r="E1107" s="7" t="s">
        <v>1947</v>
      </c>
      <c r="F1107" s="7" t="s">
        <v>1948</v>
      </c>
      <c r="G1107" s="7" t="s">
        <v>2057</v>
      </c>
      <c r="H1107" s="7" t="s">
        <v>8771</v>
      </c>
      <c r="I1107" s="7" t="s">
        <v>1939</v>
      </c>
      <c r="J1107" s="7" t="s">
        <v>9155</v>
      </c>
      <c r="K1107" s="7" t="s">
        <v>9156</v>
      </c>
      <c r="L1107" s="7" t="s">
        <v>9157</v>
      </c>
      <c r="M1107" s="7" t="s">
        <v>2078</v>
      </c>
      <c r="N1107" s="9">
        <v>45992</v>
      </c>
      <c r="O1107" s="9">
        <v>46356</v>
      </c>
      <c r="P1107" s="7" t="s">
        <v>2090</v>
      </c>
      <c r="Q1107" s="7" t="s">
        <v>1939</v>
      </c>
      <c r="R1107" s="7" t="s">
        <v>9158</v>
      </c>
      <c r="S1107" s="7" t="s">
        <v>9159</v>
      </c>
      <c r="T1107" s="7" t="s">
        <v>2067</v>
      </c>
      <c r="U1107" s="7" t="s">
        <v>3437</v>
      </c>
      <c r="V1107" s="7" t="s">
        <v>2067</v>
      </c>
      <c r="W1107" s="7" t="s">
        <v>2069</v>
      </c>
    </row>
    <row r="1108" spans="1:23" ht="20.100000000000001" customHeight="1" x14ac:dyDescent="0.25">
      <c r="A1108" s="3" t="s">
        <v>850</v>
      </c>
      <c r="B1108" s="4" t="s">
        <v>2057</v>
      </c>
      <c r="C1108" s="4" t="s">
        <v>9160</v>
      </c>
      <c r="D1108" s="4" t="s">
        <v>8736</v>
      </c>
      <c r="E1108" s="4" t="s">
        <v>1947</v>
      </c>
      <c r="F1108" s="4" t="s">
        <v>1948</v>
      </c>
      <c r="G1108" s="4" t="s">
        <v>2057</v>
      </c>
      <c r="H1108" s="4" t="s">
        <v>8771</v>
      </c>
      <c r="I1108" s="4" t="s">
        <v>1939</v>
      </c>
      <c r="J1108" s="4" t="s">
        <v>9161</v>
      </c>
      <c r="K1108" s="4" t="s">
        <v>9162</v>
      </c>
      <c r="L1108" s="4" t="s">
        <v>9163</v>
      </c>
      <c r="M1108" s="4" t="s">
        <v>2064</v>
      </c>
      <c r="N1108" s="8">
        <v>45705</v>
      </c>
      <c r="O1108" s="8"/>
      <c r="P1108" s="4" t="s">
        <v>2090</v>
      </c>
      <c r="Q1108" s="4" t="s">
        <v>1939</v>
      </c>
      <c r="R1108" s="4" t="s">
        <v>7138</v>
      </c>
      <c r="S1108" s="4" t="s">
        <v>9164</v>
      </c>
      <c r="T1108" s="4" t="s">
        <v>2067</v>
      </c>
      <c r="U1108" s="4" t="s">
        <v>3437</v>
      </c>
      <c r="V1108" s="4" t="s">
        <v>2067</v>
      </c>
      <c r="W1108" s="4" t="s">
        <v>2069</v>
      </c>
    </row>
    <row r="1109" spans="1:23" ht="20.100000000000001" customHeight="1" x14ac:dyDescent="0.25">
      <c r="A1109" s="6" t="s">
        <v>1564</v>
      </c>
      <c r="B1109" s="7" t="s">
        <v>2057</v>
      </c>
      <c r="C1109" s="7" t="s">
        <v>9165</v>
      </c>
      <c r="D1109" s="7" t="s">
        <v>8736</v>
      </c>
      <c r="E1109" s="7" t="s">
        <v>1947</v>
      </c>
      <c r="F1109" s="7" t="s">
        <v>1948</v>
      </c>
      <c r="G1109" s="7" t="s">
        <v>2057</v>
      </c>
      <c r="H1109" s="7" t="s">
        <v>8771</v>
      </c>
      <c r="I1109" s="7" t="s">
        <v>1939</v>
      </c>
      <c r="J1109" s="7" t="s">
        <v>9166</v>
      </c>
      <c r="K1109" s="7" t="s">
        <v>9167</v>
      </c>
      <c r="L1109" s="7" t="s">
        <v>9168</v>
      </c>
      <c r="M1109" s="7" t="s">
        <v>2064</v>
      </c>
      <c r="N1109" s="9">
        <v>45705</v>
      </c>
      <c r="O1109" s="9"/>
      <c r="P1109" s="7" t="s">
        <v>2090</v>
      </c>
      <c r="Q1109" s="7" t="s">
        <v>1939</v>
      </c>
      <c r="R1109" s="7" t="s">
        <v>9169</v>
      </c>
      <c r="S1109" s="7" t="s">
        <v>9170</v>
      </c>
      <c r="T1109" s="7" t="s">
        <v>2067</v>
      </c>
      <c r="U1109" s="7" t="s">
        <v>3437</v>
      </c>
      <c r="V1109" s="7" t="s">
        <v>2067</v>
      </c>
      <c r="W1109" s="7" t="s">
        <v>2069</v>
      </c>
    </row>
    <row r="1110" spans="1:23" ht="20.100000000000001" customHeight="1" x14ac:dyDescent="0.25">
      <c r="A1110" s="3" t="s">
        <v>1138</v>
      </c>
      <c r="B1110" s="4" t="s">
        <v>2084</v>
      </c>
      <c r="C1110" s="4" t="s">
        <v>9171</v>
      </c>
      <c r="D1110" s="4" t="s">
        <v>8736</v>
      </c>
      <c r="E1110" s="4" t="s">
        <v>1947</v>
      </c>
      <c r="F1110" s="4" t="s">
        <v>1948</v>
      </c>
      <c r="G1110" s="4" t="s">
        <v>2084</v>
      </c>
      <c r="H1110" s="4" t="s">
        <v>1982</v>
      </c>
      <c r="I1110" s="4" t="s">
        <v>1939</v>
      </c>
      <c r="J1110" s="4" t="s">
        <v>9172</v>
      </c>
      <c r="K1110" s="4" t="s">
        <v>9173</v>
      </c>
      <c r="L1110" s="4" t="s">
        <v>9174</v>
      </c>
      <c r="M1110" s="4" t="s">
        <v>2078</v>
      </c>
      <c r="N1110" s="8">
        <v>45992</v>
      </c>
      <c r="O1110" s="8">
        <v>46356</v>
      </c>
      <c r="P1110" s="4" t="s">
        <v>2090</v>
      </c>
      <c r="Q1110" s="4" t="s">
        <v>1939</v>
      </c>
      <c r="R1110" s="4" t="s">
        <v>9175</v>
      </c>
      <c r="S1110" s="4" t="s">
        <v>9176</v>
      </c>
      <c r="T1110" s="4" t="s">
        <v>2067</v>
      </c>
      <c r="U1110" s="4" t="s">
        <v>2146</v>
      </c>
      <c r="V1110" s="4" t="s">
        <v>2067</v>
      </c>
      <c r="W1110" s="4" t="s">
        <v>2069</v>
      </c>
    </row>
    <row r="1111" spans="1:23" ht="20.100000000000001" customHeight="1" x14ac:dyDescent="0.25">
      <c r="A1111" s="6" t="s">
        <v>536</v>
      </c>
      <c r="B1111" s="7" t="s">
        <v>2084</v>
      </c>
      <c r="C1111" s="7" t="s">
        <v>9177</v>
      </c>
      <c r="D1111" s="7" t="s">
        <v>8736</v>
      </c>
      <c r="E1111" s="7" t="s">
        <v>3520</v>
      </c>
      <c r="F1111" s="7" t="s">
        <v>3521</v>
      </c>
      <c r="G1111" s="7" t="s">
        <v>2084</v>
      </c>
      <c r="H1111" s="7" t="s">
        <v>1982</v>
      </c>
      <c r="I1111" s="7" t="s">
        <v>1939</v>
      </c>
      <c r="J1111" s="7" t="s">
        <v>9178</v>
      </c>
      <c r="K1111" s="7" t="s">
        <v>9179</v>
      </c>
      <c r="L1111" s="7" t="s">
        <v>9180</v>
      </c>
      <c r="M1111" s="7" t="s">
        <v>2078</v>
      </c>
      <c r="N1111" s="9">
        <v>45992</v>
      </c>
      <c r="O1111" s="9">
        <v>46356</v>
      </c>
      <c r="P1111" s="7" t="s">
        <v>3521</v>
      </c>
      <c r="Q1111" s="7" t="s">
        <v>1939</v>
      </c>
      <c r="R1111" s="7" t="s">
        <v>9181</v>
      </c>
      <c r="S1111" s="7" t="s">
        <v>9182</v>
      </c>
      <c r="T1111" s="7" t="s">
        <v>2067</v>
      </c>
      <c r="U1111" s="7" t="s">
        <v>3527</v>
      </c>
      <c r="V1111" s="7" t="s">
        <v>2067</v>
      </c>
      <c r="W1111" s="7" t="s">
        <v>2069</v>
      </c>
    </row>
    <row r="1112" spans="1:23" ht="20.100000000000001" customHeight="1" x14ac:dyDescent="0.25">
      <c r="A1112" s="3" t="s">
        <v>224</v>
      </c>
      <c r="B1112" s="4" t="s">
        <v>2084</v>
      </c>
      <c r="C1112" s="4" t="s">
        <v>9183</v>
      </c>
      <c r="D1112" s="4" t="s">
        <v>8736</v>
      </c>
      <c r="E1112" s="4" t="s">
        <v>4160</v>
      </c>
      <c r="F1112" s="4" t="s">
        <v>4161</v>
      </c>
      <c r="G1112" s="4" t="s">
        <v>2084</v>
      </c>
      <c r="H1112" s="4" t="s">
        <v>9125</v>
      </c>
      <c r="I1112" s="4" t="s">
        <v>1939</v>
      </c>
      <c r="J1112" s="4" t="s">
        <v>9184</v>
      </c>
      <c r="K1112" s="4" t="s">
        <v>9185</v>
      </c>
      <c r="L1112" s="4" t="s">
        <v>9186</v>
      </c>
      <c r="M1112" s="4" t="s">
        <v>2078</v>
      </c>
      <c r="N1112" s="8">
        <v>45992</v>
      </c>
      <c r="O1112" s="8">
        <v>46356</v>
      </c>
      <c r="P1112" s="4" t="s">
        <v>4161</v>
      </c>
      <c r="Q1112" s="4" t="s">
        <v>1939</v>
      </c>
      <c r="R1112" s="4" t="s">
        <v>6150</v>
      </c>
      <c r="S1112" s="4" t="s">
        <v>9187</v>
      </c>
      <c r="T1112" s="4" t="s">
        <v>2067</v>
      </c>
      <c r="U1112" s="4" t="s">
        <v>4167</v>
      </c>
      <c r="V1112" s="4" t="s">
        <v>2067</v>
      </c>
      <c r="W1112" s="4" t="s">
        <v>2069</v>
      </c>
    </row>
    <row r="1113" spans="1:23" ht="20.100000000000001" customHeight="1" x14ac:dyDescent="0.25">
      <c r="A1113" s="6" t="s">
        <v>226</v>
      </c>
      <c r="B1113" s="7" t="s">
        <v>2084</v>
      </c>
      <c r="C1113" s="7" t="s">
        <v>9188</v>
      </c>
      <c r="D1113" s="7" t="s">
        <v>8736</v>
      </c>
      <c r="E1113" s="7" t="s">
        <v>4160</v>
      </c>
      <c r="F1113" s="7" t="s">
        <v>4161</v>
      </c>
      <c r="G1113" s="7" t="s">
        <v>2084</v>
      </c>
      <c r="H1113" s="7" t="s">
        <v>1982</v>
      </c>
      <c r="I1113" s="7" t="s">
        <v>1939</v>
      </c>
      <c r="J1113" s="7" t="s">
        <v>9189</v>
      </c>
      <c r="K1113" s="7" t="s">
        <v>9190</v>
      </c>
      <c r="L1113" s="7" t="s">
        <v>9191</v>
      </c>
      <c r="M1113" s="7" t="s">
        <v>2078</v>
      </c>
      <c r="N1113" s="9">
        <v>45992</v>
      </c>
      <c r="O1113" s="9">
        <v>46356</v>
      </c>
      <c r="P1113" s="7" t="s">
        <v>4161</v>
      </c>
      <c r="Q1113" s="7" t="s">
        <v>1939</v>
      </c>
      <c r="R1113" s="7" t="s">
        <v>9192</v>
      </c>
      <c r="S1113" s="7" t="s">
        <v>9193</v>
      </c>
      <c r="T1113" s="7" t="s">
        <v>2067</v>
      </c>
      <c r="U1113" s="7" t="s">
        <v>4167</v>
      </c>
      <c r="V1113" s="7" t="s">
        <v>2067</v>
      </c>
      <c r="W1113" s="7" t="s">
        <v>2069</v>
      </c>
    </row>
    <row r="1114" spans="1:23" ht="20.100000000000001" customHeight="1" x14ac:dyDescent="0.25">
      <c r="A1114" s="3" t="s">
        <v>230</v>
      </c>
      <c r="B1114" s="4" t="s">
        <v>2084</v>
      </c>
      <c r="C1114" s="4" t="s">
        <v>9194</v>
      </c>
      <c r="D1114" s="4" t="s">
        <v>8736</v>
      </c>
      <c r="E1114" s="4" t="s">
        <v>1965</v>
      </c>
      <c r="F1114" s="4" t="s">
        <v>1966</v>
      </c>
      <c r="G1114" s="4" t="s">
        <v>2084</v>
      </c>
      <c r="H1114" s="4" t="s">
        <v>1982</v>
      </c>
      <c r="I1114" s="4" t="s">
        <v>1939</v>
      </c>
      <c r="J1114" s="4" t="s">
        <v>9195</v>
      </c>
      <c r="K1114" s="4" t="s">
        <v>9196</v>
      </c>
      <c r="L1114" s="4" t="s">
        <v>9197</v>
      </c>
      <c r="M1114" s="4" t="s">
        <v>3316</v>
      </c>
      <c r="N1114" s="8">
        <v>45733</v>
      </c>
      <c r="O1114" s="8">
        <v>46273</v>
      </c>
      <c r="P1114" s="4" t="s">
        <v>1966</v>
      </c>
      <c r="Q1114" s="4" t="s">
        <v>1939</v>
      </c>
      <c r="R1114" s="4" t="s">
        <v>9198</v>
      </c>
      <c r="S1114" s="4" t="s">
        <v>9199</v>
      </c>
      <c r="T1114" s="4" t="s">
        <v>2067</v>
      </c>
      <c r="U1114" s="4" t="s">
        <v>2174</v>
      </c>
      <c r="V1114" s="4" t="s">
        <v>2067</v>
      </c>
      <c r="W1114" s="4" t="s">
        <v>2069</v>
      </c>
    </row>
    <row r="1115" spans="1:23" ht="20.100000000000001" customHeight="1" x14ac:dyDescent="0.25">
      <c r="A1115" s="6" t="s">
        <v>9200</v>
      </c>
      <c r="B1115" s="7" t="s">
        <v>2084</v>
      </c>
      <c r="C1115" s="7" t="s">
        <v>9201</v>
      </c>
      <c r="D1115" s="7" t="s">
        <v>8736</v>
      </c>
      <c r="E1115" s="7" t="s">
        <v>1979</v>
      </c>
      <c r="F1115" s="7" t="s">
        <v>2728</v>
      </c>
      <c r="G1115" s="7" t="s">
        <v>2084</v>
      </c>
      <c r="H1115" s="7" t="s">
        <v>8879</v>
      </c>
      <c r="I1115" s="7" t="s">
        <v>1939</v>
      </c>
      <c r="J1115" s="7" t="s">
        <v>9202</v>
      </c>
      <c r="K1115" s="7" t="s">
        <v>9203</v>
      </c>
      <c r="L1115" s="7" t="s">
        <v>9204</v>
      </c>
      <c r="M1115" s="7" t="s">
        <v>2064</v>
      </c>
      <c r="N1115" s="9">
        <v>45708</v>
      </c>
      <c r="O1115" s="9"/>
      <c r="P1115" s="7" t="s">
        <v>2728</v>
      </c>
      <c r="Q1115" s="7" t="s">
        <v>1939</v>
      </c>
      <c r="R1115" s="7" t="s">
        <v>2605</v>
      </c>
      <c r="S1115" s="7" t="s">
        <v>9205</v>
      </c>
      <c r="T1115" s="7" t="s">
        <v>2067</v>
      </c>
      <c r="U1115" s="7" t="s">
        <v>2728</v>
      </c>
      <c r="V1115" s="7" t="s">
        <v>2067</v>
      </c>
      <c r="W1115" s="7" t="s">
        <v>2069</v>
      </c>
    </row>
    <row r="1116" spans="1:23" ht="20.100000000000001" customHeight="1" x14ac:dyDescent="0.25">
      <c r="A1116" s="3" t="s">
        <v>40</v>
      </c>
      <c r="B1116" s="4" t="s">
        <v>2084</v>
      </c>
      <c r="C1116" s="4" t="s">
        <v>9206</v>
      </c>
      <c r="D1116" s="4" t="s">
        <v>8736</v>
      </c>
      <c r="E1116" s="4" t="s">
        <v>4160</v>
      </c>
      <c r="F1116" s="4" t="s">
        <v>4161</v>
      </c>
      <c r="G1116" s="4" t="s">
        <v>2084</v>
      </c>
      <c r="H1116" s="4" t="s">
        <v>1982</v>
      </c>
      <c r="I1116" s="4" t="s">
        <v>1939</v>
      </c>
      <c r="J1116" s="4" t="s">
        <v>9207</v>
      </c>
      <c r="K1116" s="4" t="s">
        <v>9208</v>
      </c>
      <c r="L1116" s="4" t="s">
        <v>9209</v>
      </c>
      <c r="M1116" s="4" t="s">
        <v>2078</v>
      </c>
      <c r="N1116" s="8">
        <v>45992</v>
      </c>
      <c r="O1116" s="8">
        <v>46356</v>
      </c>
      <c r="P1116" s="4" t="s">
        <v>4161</v>
      </c>
      <c r="Q1116" s="4" t="s">
        <v>1939</v>
      </c>
      <c r="R1116" s="4" t="s">
        <v>4947</v>
      </c>
      <c r="S1116" s="4" t="s">
        <v>9210</v>
      </c>
      <c r="T1116" s="4" t="s">
        <v>2067</v>
      </c>
      <c r="U1116" s="4" t="s">
        <v>4167</v>
      </c>
      <c r="V1116" s="4" t="s">
        <v>2067</v>
      </c>
      <c r="W1116" s="4" t="s">
        <v>2069</v>
      </c>
    </row>
    <row r="1117" spans="1:23" ht="20.100000000000001" customHeight="1" x14ac:dyDescent="0.25">
      <c r="A1117" s="6" t="s">
        <v>188</v>
      </c>
      <c r="B1117" s="7" t="s">
        <v>2057</v>
      </c>
      <c r="C1117" s="7" t="s">
        <v>9211</v>
      </c>
      <c r="D1117" s="7" t="s">
        <v>8736</v>
      </c>
      <c r="E1117" s="7" t="s">
        <v>2111</v>
      </c>
      <c r="F1117" s="7" t="s">
        <v>2112</v>
      </c>
      <c r="G1117" s="7" t="s">
        <v>2057</v>
      </c>
      <c r="H1117" s="7" t="s">
        <v>8771</v>
      </c>
      <c r="I1117" s="7" t="s">
        <v>1939</v>
      </c>
      <c r="J1117" s="7" t="s">
        <v>9212</v>
      </c>
      <c r="K1117" s="7" t="s">
        <v>9213</v>
      </c>
      <c r="L1117" s="7" t="s">
        <v>9214</v>
      </c>
      <c r="M1117" s="7" t="s">
        <v>2078</v>
      </c>
      <c r="N1117" s="9">
        <v>46052</v>
      </c>
      <c r="O1117" s="9">
        <v>46356</v>
      </c>
      <c r="P1117" s="7" t="s">
        <v>2112</v>
      </c>
      <c r="Q1117" s="7" t="s">
        <v>1939</v>
      </c>
      <c r="R1117" s="7" t="s">
        <v>9215</v>
      </c>
      <c r="S1117" s="7" t="s">
        <v>9216</v>
      </c>
      <c r="T1117" s="7" t="s">
        <v>2067</v>
      </c>
      <c r="U1117" s="7" t="s">
        <v>2119</v>
      </c>
      <c r="V1117" s="7" t="s">
        <v>2067</v>
      </c>
      <c r="W1117" s="7" t="s">
        <v>2069</v>
      </c>
    </row>
    <row r="1118" spans="1:23" ht="20.100000000000001" customHeight="1" x14ac:dyDescent="0.25">
      <c r="A1118" s="3" t="s">
        <v>94</v>
      </c>
      <c r="B1118" s="4" t="s">
        <v>2084</v>
      </c>
      <c r="C1118" s="4" t="s">
        <v>9217</v>
      </c>
      <c r="D1118" s="4" t="s">
        <v>8736</v>
      </c>
      <c r="E1118" s="4" t="s">
        <v>1979</v>
      </c>
      <c r="F1118" s="4" t="s">
        <v>1980</v>
      </c>
      <c r="G1118" s="4" t="s">
        <v>2084</v>
      </c>
      <c r="H1118" s="4" t="s">
        <v>1982</v>
      </c>
      <c r="I1118" s="4" t="s">
        <v>1939</v>
      </c>
      <c r="J1118" s="4" t="s">
        <v>9218</v>
      </c>
      <c r="K1118" s="4" t="s">
        <v>9219</v>
      </c>
      <c r="L1118" s="4" t="s">
        <v>9220</v>
      </c>
      <c r="M1118" s="4" t="s">
        <v>2078</v>
      </c>
      <c r="N1118" s="8">
        <v>46000</v>
      </c>
      <c r="O1118" s="8">
        <v>46356</v>
      </c>
      <c r="P1118" s="4" t="s">
        <v>1980</v>
      </c>
      <c r="Q1118" s="4" t="s">
        <v>1939</v>
      </c>
      <c r="R1118" s="4" t="s">
        <v>2605</v>
      </c>
      <c r="S1118" s="4" t="s">
        <v>9221</v>
      </c>
      <c r="T1118" s="4" t="s">
        <v>2067</v>
      </c>
      <c r="U1118" s="4" t="s">
        <v>2299</v>
      </c>
      <c r="V1118" s="4" t="s">
        <v>2067</v>
      </c>
      <c r="W1118" s="4" t="s">
        <v>2069</v>
      </c>
    </row>
    <row r="1119" spans="1:23" ht="20.100000000000001" customHeight="1" x14ac:dyDescent="0.25">
      <c r="A1119" s="6" t="s">
        <v>52</v>
      </c>
      <c r="B1119" s="7" t="s">
        <v>2084</v>
      </c>
      <c r="C1119" s="7" t="s">
        <v>1981</v>
      </c>
      <c r="D1119" s="7" t="s">
        <v>8736</v>
      </c>
      <c r="E1119" s="7" t="s">
        <v>1983</v>
      </c>
      <c r="F1119" s="7" t="s">
        <v>1984</v>
      </c>
      <c r="G1119" s="7" t="s">
        <v>2084</v>
      </c>
      <c r="H1119" s="7" t="s">
        <v>1982</v>
      </c>
      <c r="I1119" s="7" t="s">
        <v>1939</v>
      </c>
      <c r="J1119" s="7" t="s">
        <v>9222</v>
      </c>
      <c r="K1119" s="7" t="s">
        <v>9223</v>
      </c>
      <c r="L1119" s="7" t="s">
        <v>9224</v>
      </c>
      <c r="M1119" s="7" t="s">
        <v>2078</v>
      </c>
      <c r="N1119" s="9">
        <v>45992</v>
      </c>
      <c r="O1119" s="9">
        <v>46356</v>
      </c>
      <c r="P1119" s="7" t="s">
        <v>2493</v>
      </c>
      <c r="Q1119" s="7" t="s">
        <v>1939</v>
      </c>
      <c r="R1119" s="7" t="s">
        <v>6516</v>
      </c>
      <c r="S1119" s="7" t="s">
        <v>9225</v>
      </c>
      <c r="T1119" s="7" t="s">
        <v>2067</v>
      </c>
      <c r="U1119" s="7" t="s">
        <v>2496</v>
      </c>
      <c r="V1119" s="7" t="s">
        <v>2067</v>
      </c>
      <c r="W1119" s="7" t="s">
        <v>2069</v>
      </c>
    </row>
    <row r="1120" spans="1:23" ht="20.100000000000001" customHeight="1" x14ac:dyDescent="0.25">
      <c r="A1120" s="3" t="s">
        <v>9226</v>
      </c>
      <c r="B1120" s="4" t="s">
        <v>2057</v>
      </c>
      <c r="C1120" s="4" t="s">
        <v>9227</v>
      </c>
      <c r="D1120" s="4" t="s">
        <v>8736</v>
      </c>
      <c r="E1120" s="4" t="s">
        <v>1947</v>
      </c>
      <c r="F1120" s="4" t="s">
        <v>1948</v>
      </c>
      <c r="G1120" s="4" t="s">
        <v>2057</v>
      </c>
      <c r="H1120" s="4" t="s">
        <v>9228</v>
      </c>
      <c r="I1120" s="4" t="s">
        <v>1939</v>
      </c>
      <c r="J1120" s="4" t="s">
        <v>9229</v>
      </c>
      <c r="K1120" s="4" t="s">
        <v>9230</v>
      </c>
      <c r="L1120" s="4" t="s">
        <v>9231</v>
      </c>
      <c r="M1120" s="4" t="s">
        <v>2064</v>
      </c>
      <c r="N1120" s="8">
        <v>45748</v>
      </c>
      <c r="O1120" s="8"/>
      <c r="P1120" s="4" t="s">
        <v>2090</v>
      </c>
      <c r="Q1120" s="4" t="s">
        <v>1939</v>
      </c>
      <c r="R1120" s="4" t="s">
        <v>3724</v>
      </c>
      <c r="S1120" s="4" t="s">
        <v>9232</v>
      </c>
      <c r="T1120" s="4" t="s">
        <v>2067</v>
      </c>
      <c r="U1120" s="4" t="s">
        <v>3153</v>
      </c>
      <c r="V1120" s="4" t="s">
        <v>2067</v>
      </c>
      <c r="W1120" s="4" t="s">
        <v>2069</v>
      </c>
    </row>
    <row r="1121" spans="1:23" ht="20.100000000000001" customHeight="1" x14ac:dyDescent="0.25">
      <c r="A1121" s="6" t="s">
        <v>1442</v>
      </c>
      <c r="B1121" s="7" t="s">
        <v>2084</v>
      </c>
      <c r="C1121" s="7" t="s">
        <v>9233</v>
      </c>
      <c r="D1121" s="7" t="s">
        <v>8736</v>
      </c>
      <c r="E1121" s="7" t="s">
        <v>1983</v>
      </c>
      <c r="F1121" s="7" t="s">
        <v>1984</v>
      </c>
      <c r="G1121" s="7" t="s">
        <v>2084</v>
      </c>
      <c r="H1121" s="7" t="s">
        <v>1982</v>
      </c>
      <c r="I1121" s="7" t="s">
        <v>1939</v>
      </c>
      <c r="J1121" s="7" t="s">
        <v>9234</v>
      </c>
      <c r="K1121" s="7" t="s">
        <v>9235</v>
      </c>
      <c r="L1121" s="7" t="s">
        <v>9236</v>
      </c>
      <c r="M1121" s="7" t="s">
        <v>2078</v>
      </c>
      <c r="N1121" s="9">
        <v>46052</v>
      </c>
      <c r="O1121" s="9">
        <v>46356</v>
      </c>
      <c r="P1121" s="7" t="s">
        <v>2493</v>
      </c>
      <c r="Q1121" s="7" t="s">
        <v>1939</v>
      </c>
      <c r="R1121" s="7" t="s">
        <v>9237</v>
      </c>
      <c r="S1121" s="7" t="s">
        <v>9238</v>
      </c>
      <c r="T1121" s="7" t="s">
        <v>2067</v>
      </c>
      <c r="U1121" s="7" t="s">
        <v>2496</v>
      </c>
      <c r="V1121" s="7" t="s">
        <v>2067</v>
      </c>
      <c r="W1121" s="7" t="s">
        <v>2069</v>
      </c>
    </row>
    <row r="1122" spans="1:23" ht="20.100000000000001" customHeight="1" x14ac:dyDescent="0.25">
      <c r="A1122" s="3" t="s">
        <v>1804</v>
      </c>
      <c r="B1122" s="4" t="s">
        <v>2057</v>
      </c>
      <c r="C1122" s="4" t="s">
        <v>9239</v>
      </c>
      <c r="D1122" s="4" t="s">
        <v>8736</v>
      </c>
      <c r="E1122" s="4" t="s">
        <v>1947</v>
      </c>
      <c r="F1122" s="4" t="s">
        <v>1948</v>
      </c>
      <c r="G1122" s="4" t="s">
        <v>2057</v>
      </c>
      <c r="H1122" s="4" t="s">
        <v>8794</v>
      </c>
      <c r="I1122" s="4" t="s">
        <v>1939</v>
      </c>
      <c r="J1122" s="4" t="s">
        <v>9240</v>
      </c>
      <c r="K1122" s="4" t="s">
        <v>9241</v>
      </c>
      <c r="L1122" s="4" t="s">
        <v>9242</v>
      </c>
      <c r="M1122" s="4" t="s">
        <v>2078</v>
      </c>
      <c r="N1122" s="8">
        <v>45992</v>
      </c>
      <c r="O1122" s="8">
        <v>46356</v>
      </c>
      <c r="P1122" s="4" t="s">
        <v>2090</v>
      </c>
      <c r="Q1122" s="4" t="s">
        <v>1939</v>
      </c>
      <c r="R1122" s="4" t="s">
        <v>9243</v>
      </c>
      <c r="S1122" s="4" t="s">
        <v>9244</v>
      </c>
      <c r="T1122" s="4" t="s">
        <v>2067</v>
      </c>
      <c r="U1122" s="4" t="s">
        <v>3153</v>
      </c>
      <c r="V1122" s="4" t="s">
        <v>2067</v>
      </c>
      <c r="W1122" s="4" t="s">
        <v>2069</v>
      </c>
    </row>
    <row r="1123" spans="1:23" ht="20.100000000000001" customHeight="1" x14ac:dyDescent="0.25">
      <c r="A1123" s="6" t="s">
        <v>940</v>
      </c>
      <c r="B1123" s="7" t="s">
        <v>2084</v>
      </c>
      <c r="C1123" s="7" t="s">
        <v>9245</v>
      </c>
      <c r="D1123" s="7" t="s">
        <v>8736</v>
      </c>
      <c r="E1123" s="7" t="s">
        <v>1947</v>
      </c>
      <c r="F1123" s="7" t="s">
        <v>1948</v>
      </c>
      <c r="G1123" s="7" t="s">
        <v>2084</v>
      </c>
      <c r="H1123" s="7" t="s">
        <v>2040</v>
      </c>
      <c r="I1123" s="7" t="s">
        <v>1939</v>
      </c>
      <c r="J1123" s="7" t="s">
        <v>9246</v>
      </c>
      <c r="K1123" s="7" t="s">
        <v>9247</v>
      </c>
      <c r="L1123" s="7" t="s">
        <v>9248</v>
      </c>
      <c r="M1123" s="7" t="s">
        <v>2078</v>
      </c>
      <c r="N1123" s="9">
        <v>46052</v>
      </c>
      <c r="O1123" s="9">
        <v>46356</v>
      </c>
      <c r="P1123" s="7" t="s">
        <v>2090</v>
      </c>
      <c r="Q1123" s="7" t="s">
        <v>1939</v>
      </c>
      <c r="R1123" s="7" t="s">
        <v>9249</v>
      </c>
      <c r="S1123" s="7" t="s">
        <v>9250</v>
      </c>
      <c r="T1123" s="7" t="s">
        <v>2067</v>
      </c>
      <c r="U1123" s="7" t="s">
        <v>2146</v>
      </c>
      <c r="V1123" s="7" t="s">
        <v>2067</v>
      </c>
      <c r="W1123" s="7" t="s">
        <v>2069</v>
      </c>
    </row>
    <row r="1124" spans="1:23" ht="20.100000000000001" customHeight="1" x14ac:dyDescent="0.25">
      <c r="A1124" s="3" t="s">
        <v>606</v>
      </c>
      <c r="B1124" s="4" t="s">
        <v>2084</v>
      </c>
      <c r="C1124" s="4" t="s">
        <v>9251</v>
      </c>
      <c r="D1124" s="4" t="s">
        <v>8736</v>
      </c>
      <c r="E1124" s="4" t="s">
        <v>1979</v>
      </c>
      <c r="F1124" s="4" t="s">
        <v>1980</v>
      </c>
      <c r="G1124" s="4" t="s">
        <v>2084</v>
      </c>
      <c r="H1124" s="4" t="s">
        <v>8879</v>
      </c>
      <c r="I1124" s="4" t="s">
        <v>1939</v>
      </c>
      <c r="J1124" s="4" t="s">
        <v>9252</v>
      </c>
      <c r="K1124" s="4" t="s">
        <v>9253</v>
      </c>
      <c r="L1124" s="4" t="s">
        <v>9254</v>
      </c>
      <c r="M1124" s="4" t="s">
        <v>2078</v>
      </c>
      <c r="N1124" s="8">
        <v>46052</v>
      </c>
      <c r="O1124" s="8">
        <v>46356</v>
      </c>
      <c r="P1124" s="4" t="s">
        <v>1980</v>
      </c>
      <c r="Q1124" s="4" t="s">
        <v>1939</v>
      </c>
      <c r="R1124" s="4" t="s">
        <v>9255</v>
      </c>
      <c r="S1124" s="4" t="s">
        <v>9256</v>
      </c>
      <c r="T1124" s="4" t="s">
        <v>2067</v>
      </c>
      <c r="U1124" s="4" t="s">
        <v>2299</v>
      </c>
      <c r="V1124" s="4" t="s">
        <v>2067</v>
      </c>
      <c r="W1124" s="4" t="s">
        <v>2069</v>
      </c>
    </row>
    <row r="1125" spans="1:23" ht="20.100000000000001" customHeight="1" x14ac:dyDescent="0.25">
      <c r="A1125" s="6" t="s">
        <v>1754</v>
      </c>
      <c r="B1125" s="7" t="s">
        <v>2057</v>
      </c>
      <c r="C1125" s="7" t="s">
        <v>9257</v>
      </c>
      <c r="D1125" s="7" t="s">
        <v>8736</v>
      </c>
      <c r="E1125" s="7" t="s">
        <v>1947</v>
      </c>
      <c r="F1125" s="7" t="s">
        <v>1948</v>
      </c>
      <c r="G1125" s="7" t="s">
        <v>2057</v>
      </c>
      <c r="H1125" s="7" t="s">
        <v>8794</v>
      </c>
      <c r="I1125" s="7" t="s">
        <v>1939</v>
      </c>
      <c r="J1125" s="7" t="s">
        <v>9258</v>
      </c>
      <c r="K1125" s="7" t="s">
        <v>9259</v>
      </c>
      <c r="L1125" s="7" t="s">
        <v>9260</v>
      </c>
      <c r="M1125" s="7" t="s">
        <v>2078</v>
      </c>
      <c r="N1125" s="9">
        <v>46001</v>
      </c>
      <c r="O1125" s="9">
        <v>46356</v>
      </c>
      <c r="P1125" s="7" t="s">
        <v>2090</v>
      </c>
      <c r="Q1125" s="7" t="s">
        <v>1939</v>
      </c>
      <c r="R1125" s="7" t="s">
        <v>8331</v>
      </c>
      <c r="S1125" s="7" t="s">
        <v>9261</v>
      </c>
      <c r="T1125" s="7" t="s">
        <v>2067</v>
      </c>
      <c r="U1125" s="7" t="s">
        <v>3153</v>
      </c>
      <c r="V1125" s="7" t="s">
        <v>2067</v>
      </c>
      <c r="W1125" s="7" t="s">
        <v>2069</v>
      </c>
    </row>
    <row r="1126" spans="1:23" ht="20.100000000000001" customHeight="1" x14ac:dyDescent="0.25">
      <c r="A1126" s="3" t="s">
        <v>958</v>
      </c>
      <c r="B1126" s="4" t="s">
        <v>2057</v>
      </c>
      <c r="C1126" s="4" t="s">
        <v>9262</v>
      </c>
      <c r="D1126" s="4" t="s">
        <v>8736</v>
      </c>
      <c r="E1126" s="4" t="s">
        <v>1947</v>
      </c>
      <c r="F1126" s="4" t="s">
        <v>2329</v>
      </c>
      <c r="G1126" s="4" t="s">
        <v>2057</v>
      </c>
      <c r="H1126" s="4" t="s">
        <v>8794</v>
      </c>
      <c r="I1126" s="4" t="s">
        <v>1939</v>
      </c>
      <c r="J1126" s="4" t="s">
        <v>9263</v>
      </c>
      <c r="K1126" s="4" t="s">
        <v>9264</v>
      </c>
      <c r="L1126" s="4" t="s">
        <v>9265</v>
      </c>
      <c r="M1126" s="4" t="s">
        <v>2078</v>
      </c>
      <c r="N1126" s="8">
        <v>45992</v>
      </c>
      <c r="O1126" s="8">
        <v>46356</v>
      </c>
      <c r="P1126" s="4" t="s">
        <v>2090</v>
      </c>
      <c r="Q1126" s="4" t="s">
        <v>1939</v>
      </c>
      <c r="R1126" s="4" t="s">
        <v>9266</v>
      </c>
      <c r="S1126" s="4" t="s">
        <v>9267</v>
      </c>
      <c r="T1126" s="4" t="s">
        <v>2067</v>
      </c>
      <c r="U1126" s="4" t="s">
        <v>2336</v>
      </c>
      <c r="V1126" s="4" t="s">
        <v>2067</v>
      </c>
      <c r="W1126" s="4" t="s">
        <v>2069</v>
      </c>
    </row>
    <row r="1127" spans="1:23" ht="20.100000000000001" customHeight="1" x14ac:dyDescent="0.25">
      <c r="A1127" s="6" t="s">
        <v>1456</v>
      </c>
      <c r="B1127" s="7" t="s">
        <v>2057</v>
      </c>
      <c r="C1127" s="7" t="s">
        <v>9268</v>
      </c>
      <c r="D1127" s="7" t="s">
        <v>8736</v>
      </c>
      <c r="E1127" s="7" t="s">
        <v>1947</v>
      </c>
      <c r="F1127" s="7" t="s">
        <v>2238</v>
      </c>
      <c r="G1127" s="7" t="s">
        <v>2057</v>
      </c>
      <c r="H1127" s="7" t="s">
        <v>1946</v>
      </c>
      <c r="I1127" s="7" t="s">
        <v>1939</v>
      </c>
      <c r="J1127" s="7" t="s">
        <v>9269</v>
      </c>
      <c r="K1127" s="7" t="s">
        <v>9270</v>
      </c>
      <c r="L1127" s="7" t="s">
        <v>9271</v>
      </c>
      <c r="M1127" s="7" t="s">
        <v>2078</v>
      </c>
      <c r="N1127" s="9">
        <v>46234</v>
      </c>
      <c r="O1127" s="9">
        <v>46356</v>
      </c>
      <c r="P1127" s="7" t="s">
        <v>2090</v>
      </c>
      <c r="Q1127" s="7" t="s">
        <v>1939</v>
      </c>
      <c r="R1127" s="7" t="s">
        <v>9272</v>
      </c>
      <c r="S1127" s="7" t="s">
        <v>9273</v>
      </c>
      <c r="T1127" s="7" t="s">
        <v>2067</v>
      </c>
      <c r="U1127" s="7" t="s">
        <v>2244</v>
      </c>
      <c r="V1127" s="7" t="s">
        <v>2067</v>
      </c>
      <c r="W1127" s="7" t="s">
        <v>2069</v>
      </c>
    </row>
    <row r="1128" spans="1:23" ht="20.100000000000001" customHeight="1" x14ac:dyDescent="0.25">
      <c r="A1128" s="3" t="s">
        <v>9274</v>
      </c>
      <c r="B1128" s="4" t="s">
        <v>2084</v>
      </c>
      <c r="C1128" s="4" t="s">
        <v>9275</v>
      </c>
      <c r="D1128" s="4" t="s">
        <v>8736</v>
      </c>
      <c r="E1128" s="4" t="s">
        <v>1965</v>
      </c>
      <c r="F1128" s="4" t="s">
        <v>1966</v>
      </c>
      <c r="G1128" s="4" t="s">
        <v>2084</v>
      </c>
      <c r="H1128" s="4" t="s">
        <v>9125</v>
      </c>
      <c r="I1128" s="4" t="s">
        <v>1939</v>
      </c>
      <c r="J1128" s="4" t="s">
        <v>9276</v>
      </c>
      <c r="K1128" s="4" t="s">
        <v>9277</v>
      </c>
      <c r="L1128" s="4" t="s">
        <v>9278</v>
      </c>
      <c r="M1128" s="4" t="s">
        <v>2078</v>
      </c>
      <c r="N1128" s="8">
        <v>45992</v>
      </c>
      <c r="O1128" s="8">
        <v>46356</v>
      </c>
      <c r="P1128" s="4" t="s">
        <v>1966</v>
      </c>
      <c r="Q1128" s="4" t="s">
        <v>1939</v>
      </c>
      <c r="R1128" s="4" t="s">
        <v>9279</v>
      </c>
      <c r="S1128" s="4" t="s">
        <v>9280</v>
      </c>
      <c r="T1128" s="4" t="s">
        <v>2067</v>
      </c>
      <c r="U1128" s="4" t="s">
        <v>2174</v>
      </c>
      <c r="V1128" s="4" t="s">
        <v>2067</v>
      </c>
      <c r="W1128" s="4" t="s">
        <v>2069</v>
      </c>
    </row>
    <row r="1129" spans="1:23" ht="20.100000000000001" customHeight="1" x14ac:dyDescent="0.25">
      <c r="A1129" s="6" t="s">
        <v>722</v>
      </c>
      <c r="B1129" s="7" t="s">
        <v>2084</v>
      </c>
      <c r="C1129" s="7" t="s">
        <v>9281</v>
      </c>
      <c r="D1129" s="7" t="s">
        <v>8736</v>
      </c>
      <c r="E1129" s="7" t="s">
        <v>1947</v>
      </c>
      <c r="F1129" s="7" t="s">
        <v>1948</v>
      </c>
      <c r="G1129" s="7" t="s">
        <v>2084</v>
      </c>
      <c r="H1129" s="7" t="s">
        <v>1982</v>
      </c>
      <c r="I1129" s="7" t="s">
        <v>1939</v>
      </c>
      <c r="J1129" s="7" t="s">
        <v>9282</v>
      </c>
      <c r="K1129" s="7" t="s">
        <v>9283</v>
      </c>
      <c r="L1129" s="7" t="s">
        <v>9284</v>
      </c>
      <c r="M1129" s="7" t="s">
        <v>2078</v>
      </c>
      <c r="N1129" s="9">
        <v>46052</v>
      </c>
      <c r="O1129" s="9">
        <v>46356</v>
      </c>
      <c r="P1129" s="7" t="s">
        <v>2090</v>
      </c>
      <c r="Q1129" s="7" t="s">
        <v>1939</v>
      </c>
      <c r="R1129" s="7" t="s">
        <v>4658</v>
      </c>
      <c r="S1129" s="7" t="s">
        <v>9285</v>
      </c>
      <c r="T1129" s="7" t="s">
        <v>2067</v>
      </c>
      <c r="U1129" s="7" t="s">
        <v>2146</v>
      </c>
      <c r="V1129" s="7" t="s">
        <v>2067</v>
      </c>
      <c r="W1129" s="7" t="s">
        <v>2069</v>
      </c>
    </row>
    <row r="1130" spans="1:23" ht="20.100000000000001" customHeight="1" x14ac:dyDescent="0.25">
      <c r="A1130" s="3" t="s">
        <v>1312</v>
      </c>
      <c r="B1130" s="4" t="s">
        <v>2084</v>
      </c>
      <c r="C1130" s="4" t="s">
        <v>9286</v>
      </c>
      <c r="D1130" s="4" t="s">
        <v>8736</v>
      </c>
      <c r="E1130" s="4" t="s">
        <v>1947</v>
      </c>
      <c r="F1130" s="4" t="s">
        <v>1948</v>
      </c>
      <c r="G1130" s="4" t="s">
        <v>2084</v>
      </c>
      <c r="H1130" s="4" t="s">
        <v>1982</v>
      </c>
      <c r="I1130" s="4" t="s">
        <v>1939</v>
      </c>
      <c r="J1130" s="4" t="s">
        <v>9287</v>
      </c>
      <c r="K1130" s="4" t="s">
        <v>9288</v>
      </c>
      <c r="L1130" s="4" t="s">
        <v>9289</v>
      </c>
      <c r="M1130" s="4" t="s">
        <v>2078</v>
      </c>
      <c r="N1130" s="8">
        <v>46052</v>
      </c>
      <c r="O1130" s="8">
        <v>46356</v>
      </c>
      <c r="P1130" s="4" t="s">
        <v>2090</v>
      </c>
      <c r="Q1130" s="4" t="s">
        <v>1939</v>
      </c>
      <c r="R1130" s="4" t="s">
        <v>2455</v>
      </c>
      <c r="S1130" s="4" t="s">
        <v>9290</v>
      </c>
      <c r="T1130" s="4" t="s">
        <v>2067</v>
      </c>
      <c r="U1130" s="4" t="s">
        <v>2146</v>
      </c>
      <c r="V1130" s="4" t="s">
        <v>2067</v>
      </c>
      <c r="W1130" s="4" t="s">
        <v>2069</v>
      </c>
    </row>
    <row r="1131" spans="1:23" ht="20.100000000000001" customHeight="1" x14ac:dyDescent="0.25">
      <c r="A1131" s="6" t="s">
        <v>214</v>
      </c>
      <c r="B1131" s="7" t="s">
        <v>2057</v>
      </c>
      <c r="C1131" s="7" t="s">
        <v>9291</v>
      </c>
      <c r="D1131" s="7" t="s">
        <v>8736</v>
      </c>
      <c r="E1131" s="7" t="s">
        <v>1947</v>
      </c>
      <c r="F1131" s="7" t="s">
        <v>1948</v>
      </c>
      <c r="G1131" s="7" t="s">
        <v>2057</v>
      </c>
      <c r="H1131" s="7" t="s">
        <v>8737</v>
      </c>
      <c r="I1131" s="7" t="s">
        <v>1939</v>
      </c>
      <c r="J1131" s="7" t="s">
        <v>9292</v>
      </c>
      <c r="K1131" s="7" t="s">
        <v>9293</v>
      </c>
      <c r="L1131" s="7" t="s">
        <v>9294</v>
      </c>
      <c r="M1131" s="7" t="s">
        <v>2078</v>
      </c>
      <c r="N1131" s="9">
        <v>46048</v>
      </c>
      <c r="O1131" s="9">
        <v>46356</v>
      </c>
      <c r="P1131" s="7" t="s">
        <v>2090</v>
      </c>
      <c r="Q1131" s="7" t="s">
        <v>1939</v>
      </c>
      <c r="R1131" s="7" t="s">
        <v>9295</v>
      </c>
      <c r="S1131" s="7" t="s">
        <v>9296</v>
      </c>
      <c r="T1131" s="7" t="s">
        <v>2067</v>
      </c>
      <c r="U1131" s="7" t="s">
        <v>3153</v>
      </c>
      <c r="V1131" s="7" t="s">
        <v>2067</v>
      </c>
      <c r="W1131" s="7" t="s">
        <v>2069</v>
      </c>
    </row>
    <row r="1132" spans="1:23" ht="20.100000000000001" customHeight="1" x14ac:dyDescent="0.25">
      <c r="A1132" s="3" t="s">
        <v>408</v>
      </c>
      <c r="B1132" s="4" t="s">
        <v>2084</v>
      </c>
      <c r="C1132" s="4" t="s">
        <v>9297</v>
      </c>
      <c r="D1132" s="4" t="s">
        <v>8736</v>
      </c>
      <c r="E1132" s="4" t="s">
        <v>1947</v>
      </c>
      <c r="F1132" s="4" t="s">
        <v>1948</v>
      </c>
      <c r="G1132" s="4" t="s">
        <v>2084</v>
      </c>
      <c r="H1132" s="4" t="s">
        <v>8879</v>
      </c>
      <c r="I1132" s="4" t="s">
        <v>1939</v>
      </c>
      <c r="J1132" s="4" t="s">
        <v>9298</v>
      </c>
      <c r="K1132" s="4" t="s">
        <v>9299</v>
      </c>
      <c r="L1132" s="4" t="s">
        <v>9300</v>
      </c>
      <c r="M1132" s="4" t="s">
        <v>2078</v>
      </c>
      <c r="N1132" s="8">
        <v>46052</v>
      </c>
      <c r="O1132" s="8">
        <v>46356</v>
      </c>
      <c r="P1132" s="4" t="s">
        <v>2090</v>
      </c>
      <c r="Q1132" s="4" t="s">
        <v>1939</v>
      </c>
      <c r="R1132" s="4" t="s">
        <v>9301</v>
      </c>
      <c r="S1132" s="4" t="s">
        <v>9302</v>
      </c>
      <c r="T1132" s="4" t="s">
        <v>2067</v>
      </c>
      <c r="U1132" s="4" t="s">
        <v>2146</v>
      </c>
      <c r="V1132" s="4" t="s">
        <v>2067</v>
      </c>
      <c r="W1132" s="4" t="s">
        <v>2069</v>
      </c>
    </row>
    <row r="1133" spans="1:23" ht="20.100000000000001" customHeight="1" x14ac:dyDescent="0.25">
      <c r="A1133" s="6" t="s">
        <v>884</v>
      </c>
      <c r="B1133" s="7" t="s">
        <v>2084</v>
      </c>
      <c r="C1133" s="7" t="s">
        <v>9303</v>
      </c>
      <c r="D1133" s="7" t="s">
        <v>8736</v>
      </c>
      <c r="E1133" s="7" t="s">
        <v>1947</v>
      </c>
      <c r="F1133" s="7" t="s">
        <v>1948</v>
      </c>
      <c r="G1133" s="7" t="s">
        <v>2084</v>
      </c>
      <c r="H1133" s="7" t="s">
        <v>1982</v>
      </c>
      <c r="I1133" s="7" t="s">
        <v>1939</v>
      </c>
      <c r="J1133" s="7" t="s">
        <v>9304</v>
      </c>
      <c r="K1133" s="7" t="s">
        <v>9305</v>
      </c>
      <c r="L1133" s="7" t="s">
        <v>9306</v>
      </c>
      <c r="M1133" s="7" t="s">
        <v>2078</v>
      </c>
      <c r="N1133" s="9">
        <v>46052</v>
      </c>
      <c r="O1133" s="9">
        <v>46356</v>
      </c>
      <c r="P1133" s="7" t="s">
        <v>2090</v>
      </c>
      <c r="Q1133" s="7" t="s">
        <v>1939</v>
      </c>
      <c r="R1133" s="7" t="s">
        <v>9307</v>
      </c>
      <c r="S1133" s="7" t="s">
        <v>9308</v>
      </c>
      <c r="T1133" s="7" t="s">
        <v>2067</v>
      </c>
      <c r="U1133" s="7" t="s">
        <v>2146</v>
      </c>
      <c r="V1133" s="7" t="s">
        <v>2067</v>
      </c>
      <c r="W1133" s="7" t="s">
        <v>2069</v>
      </c>
    </row>
    <row r="1134" spans="1:23" ht="20.100000000000001" customHeight="1" x14ac:dyDescent="0.25">
      <c r="A1134" s="3" t="s">
        <v>1794</v>
      </c>
      <c r="B1134" s="4" t="s">
        <v>2084</v>
      </c>
      <c r="C1134" s="4" t="s">
        <v>9309</v>
      </c>
      <c r="D1134" s="4" t="s">
        <v>8736</v>
      </c>
      <c r="E1134" s="4" t="s">
        <v>1947</v>
      </c>
      <c r="F1134" s="4" t="s">
        <v>1948</v>
      </c>
      <c r="G1134" s="4" t="s">
        <v>2084</v>
      </c>
      <c r="H1134" s="4" t="s">
        <v>2040</v>
      </c>
      <c r="I1134" s="4" t="s">
        <v>1939</v>
      </c>
      <c r="J1134" s="4" t="s">
        <v>9310</v>
      </c>
      <c r="K1134" s="4" t="s">
        <v>9311</v>
      </c>
      <c r="L1134" s="4" t="s">
        <v>9312</v>
      </c>
      <c r="M1134" s="4" t="s">
        <v>2078</v>
      </c>
      <c r="N1134" s="8">
        <v>46052</v>
      </c>
      <c r="O1134" s="8">
        <v>46356</v>
      </c>
      <c r="P1134" s="4" t="s">
        <v>2090</v>
      </c>
      <c r="Q1134" s="4" t="s">
        <v>1939</v>
      </c>
      <c r="R1134" s="4" t="s">
        <v>9313</v>
      </c>
      <c r="S1134" s="4" t="s">
        <v>9314</v>
      </c>
      <c r="T1134" s="4" t="s">
        <v>2067</v>
      </c>
      <c r="U1134" s="4" t="s">
        <v>2146</v>
      </c>
      <c r="V1134" s="4" t="s">
        <v>2067</v>
      </c>
      <c r="W1134" s="4" t="s">
        <v>2069</v>
      </c>
    </row>
    <row r="1135" spans="1:23" ht="20.100000000000001" customHeight="1" x14ac:dyDescent="0.25">
      <c r="A1135" s="6" t="s">
        <v>1720</v>
      </c>
      <c r="B1135" s="7" t="s">
        <v>2084</v>
      </c>
      <c r="C1135" s="7" t="s">
        <v>9315</v>
      </c>
      <c r="D1135" s="7" t="s">
        <v>8736</v>
      </c>
      <c r="E1135" s="7" t="s">
        <v>1947</v>
      </c>
      <c r="F1135" s="7" t="s">
        <v>1948</v>
      </c>
      <c r="G1135" s="7" t="s">
        <v>2084</v>
      </c>
      <c r="H1135" s="7" t="s">
        <v>1982</v>
      </c>
      <c r="I1135" s="7" t="s">
        <v>1939</v>
      </c>
      <c r="J1135" s="7" t="s">
        <v>9316</v>
      </c>
      <c r="K1135" s="7" t="s">
        <v>9317</v>
      </c>
      <c r="L1135" s="7" t="s">
        <v>9318</v>
      </c>
      <c r="M1135" s="7" t="s">
        <v>2078</v>
      </c>
      <c r="N1135" s="9">
        <v>45995</v>
      </c>
      <c r="O1135" s="9">
        <v>46356</v>
      </c>
      <c r="P1135" s="7" t="s">
        <v>2090</v>
      </c>
      <c r="Q1135" s="7" t="s">
        <v>1939</v>
      </c>
      <c r="R1135" s="7" t="s">
        <v>9319</v>
      </c>
      <c r="S1135" s="7" t="s">
        <v>9320</v>
      </c>
      <c r="T1135" s="7" t="s">
        <v>2067</v>
      </c>
      <c r="U1135" s="7" t="s">
        <v>2146</v>
      </c>
      <c r="V1135" s="7" t="s">
        <v>2067</v>
      </c>
      <c r="W1135" s="7" t="s">
        <v>2069</v>
      </c>
    </row>
    <row r="1136" spans="1:23" ht="20.100000000000001" customHeight="1" x14ac:dyDescent="0.25">
      <c r="A1136" s="3" t="s">
        <v>192</v>
      </c>
      <c r="B1136" s="4" t="s">
        <v>2084</v>
      </c>
      <c r="C1136" s="4" t="s">
        <v>9321</v>
      </c>
      <c r="D1136" s="4" t="s">
        <v>8736</v>
      </c>
      <c r="E1136" s="4" t="s">
        <v>2111</v>
      </c>
      <c r="F1136" s="4" t="s">
        <v>2112</v>
      </c>
      <c r="G1136" s="4" t="s">
        <v>2084</v>
      </c>
      <c r="H1136" s="4" t="s">
        <v>1982</v>
      </c>
      <c r="I1136" s="4" t="s">
        <v>1939</v>
      </c>
      <c r="J1136" s="4" t="s">
        <v>9322</v>
      </c>
      <c r="K1136" s="4" t="s">
        <v>9323</v>
      </c>
      <c r="L1136" s="4" t="s">
        <v>9324</v>
      </c>
      <c r="M1136" s="4" t="s">
        <v>2078</v>
      </c>
      <c r="N1136" s="8">
        <v>46052</v>
      </c>
      <c r="O1136" s="8">
        <v>46356</v>
      </c>
      <c r="P1136" s="4" t="s">
        <v>2112</v>
      </c>
      <c r="Q1136" s="4" t="s">
        <v>1939</v>
      </c>
      <c r="R1136" s="4" t="s">
        <v>9325</v>
      </c>
      <c r="S1136" s="4" t="s">
        <v>9326</v>
      </c>
      <c r="T1136" s="4" t="s">
        <v>2067</v>
      </c>
      <c r="U1136" s="4" t="s">
        <v>2119</v>
      </c>
      <c r="V1136" s="4" t="s">
        <v>2067</v>
      </c>
      <c r="W1136" s="4" t="s">
        <v>2069</v>
      </c>
    </row>
    <row r="1137" spans="1:23" ht="20.100000000000001" customHeight="1" x14ac:dyDescent="0.25">
      <c r="A1137" s="6" t="s">
        <v>86</v>
      </c>
      <c r="B1137" s="7" t="s">
        <v>2084</v>
      </c>
      <c r="C1137" s="7" t="s">
        <v>9327</v>
      </c>
      <c r="D1137" s="7" t="s">
        <v>8736</v>
      </c>
      <c r="E1137" s="7" t="s">
        <v>2131</v>
      </c>
      <c r="F1137" s="7" t="s">
        <v>2132</v>
      </c>
      <c r="G1137" s="7" t="s">
        <v>2084</v>
      </c>
      <c r="H1137" s="7" t="s">
        <v>2040</v>
      </c>
      <c r="I1137" s="7" t="s">
        <v>1939</v>
      </c>
      <c r="J1137" s="7" t="s">
        <v>9328</v>
      </c>
      <c r="K1137" s="7" t="s">
        <v>9329</v>
      </c>
      <c r="L1137" s="7" t="s">
        <v>9330</v>
      </c>
      <c r="M1137" s="7" t="s">
        <v>2078</v>
      </c>
      <c r="N1137" s="9">
        <v>46052</v>
      </c>
      <c r="O1137" s="9">
        <v>46356</v>
      </c>
      <c r="P1137" s="7" t="s">
        <v>2132</v>
      </c>
      <c r="Q1137" s="7" t="s">
        <v>1939</v>
      </c>
      <c r="R1137" s="7" t="s">
        <v>6558</v>
      </c>
      <c r="S1137" s="7" t="s">
        <v>9331</v>
      </c>
      <c r="T1137" s="7" t="s">
        <v>2067</v>
      </c>
      <c r="U1137" s="7" t="s">
        <v>2138</v>
      </c>
      <c r="V1137" s="7" t="s">
        <v>2067</v>
      </c>
      <c r="W1137" s="7" t="s">
        <v>2069</v>
      </c>
    </row>
    <row r="1138" spans="1:23" ht="20.100000000000001" customHeight="1" x14ac:dyDescent="0.25">
      <c r="A1138" s="3" t="s">
        <v>1124</v>
      </c>
      <c r="B1138" s="4" t="s">
        <v>2057</v>
      </c>
      <c r="C1138" s="4" t="s">
        <v>9332</v>
      </c>
      <c r="D1138" s="4" t="s">
        <v>8736</v>
      </c>
      <c r="E1138" s="4" t="s">
        <v>1947</v>
      </c>
      <c r="F1138" s="4" t="s">
        <v>2329</v>
      </c>
      <c r="G1138" s="4" t="s">
        <v>2057</v>
      </c>
      <c r="H1138" s="4" t="s">
        <v>8750</v>
      </c>
      <c r="I1138" s="4" t="s">
        <v>1939</v>
      </c>
      <c r="J1138" s="4" t="s">
        <v>9333</v>
      </c>
      <c r="K1138" s="4" t="s">
        <v>9334</v>
      </c>
      <c r="L1138" s="4" t="s">
        <v>9335</v>
      </c>
      <c r="M1138" s="4" t="s">
        <v>2064</v>
      </c>
      <c r="N1138" s="8">
        <v>46052</v>
      </c>
      <c r="O1138" s="8"/>
      <c r="P1138" s="4" t="s">
        <v>2090</v>
      </c>
      <c r="Q1138" s="4" t="s">
        <v>1939</v>
      </c>
      <c r="R1138" s="4" t="s">
        <v>3383</v>
      </c>
      <c r="S1138" s="4" t="s">
        <v>9336</v>
      </c>
      <c r="T1138" s="4" t="s">
        <v>2067</v>
      </c>
      <c r="U1138" s="4" t="s">
        <v>2336</v>
      </c>
      <c r="V1138" s="4" t="s">
        <v>2067</v>
      </c>
      <c r="W1138" s="4" t="s">
        <v>2069</v>
      </c>
    </row>
    <row r="1139" spans="1:23" ht="20.100000000000001" customHeight="1" x14ac:dyDescent="0.25">
      <c r="A1139" s="6" t="s">
        <v>9337</v>
      </c>
      <c r="B1139" s="7" t="s">
        <v>2084</v>
      </c>
      <c r="C1139" s="7" t="s">
        <v>9338</v>
      </c>
      <c r="D1139" s="7" t="s">
        <v>8736</v>
      </c>
      <c r="E1139" s="7" t="s">
        <v>1965</v>
      </c>
      <c r="F1139" s="7" t="s">
        <v>1966</v>
      </c>
      <c r="G1139" s="7" t="s">
        <v>2084</v>
      </c>
      <c r="H1139" s="7" t="s">
        <v>1982</v>
      </c>
      <c r="I1139" s="7" t="s">
        <v>1939</v>
      </c>
      <c r="J1139" s="7" t="s">
        <v>9339</v>
      </c>
      <c r="K1139" s="7" t="s">
        <v>9340</v>
      </c>
      <c r="L1139" s="7" t="s">
        <v>9341</v>
      </c>
      <c r="M1139" s="7" t="s">
        <v>2078</v>
      </c>
      <c r="N1139" s="9">
        <v>46052</v>
      </c>
      <c r="O1139" s="9">
        <v>46356</v>
      </c>
      <c r="P1139" s="7" t="s">
        <v>1966</v>
      </c>
      <c r="Q1139" s="7" t="s">
        <v>1939</v>
      </c>
      <c r="R1139" s="7" t="s">
        <v>9342</v>
      </c>
      <c r="S1139" s="7" t="s">
        <v>9343</v>
      </c>
      <c r="T1139" s="7" t="s">
        <v>2067</v>
      </c>
      <c r="U1139" s="7" t="s">
        <v>2174</v>
      </c>
      <c r="V1139" s="7" t="s">
        <v>2067</v>
      </c>
      <c r="W1139" s="7" t="s">
        <v>2069</v>
      </c>
    </row>
    <row r="1140" spans="1:23" ht="20.100000000000001" customHeight="1" x14ac:dyDescent="0.25">
      <c r="A1140" s="3" t="s">
        <v>286</v>
      </c>
      <c r="B1140" s="4" t="s">
        <v>2084</v>
      </c>
      <c r="C1140" s="4" t="s">
        <v>9344</v>
      </c>
      <c r="D1140" s="4" t="s">
        <v>8736</v>
      </c>
      <c r="E1140" s="4" t="s">
        <v>1983</v>
      </c>
      <c r="F1140" s="4" t="s">
        <v>6022</v>
      </c>
      <c r="G1140" s="4" t="s">
        <v>2084</v>
      </c>
      <c r="H1140" s="4" t="s">
        <v>1982</v>
      </c>
      <c r="I1140" s="4" t="s">
        <v>1939</v>
      </c>
      <c r="J1140" s="4" t="s">
        <v>9345</v>
      </c>
      <c r="K1140" s="4" t="s">
        <v>9346</v>
      </c>
      <c r="L1140" s="4" t="s">
        <v>9347</v>
      </c>
      <c r="M1140" s="4" t="s">
        <v>2078</v>
      </c>
      <c r="N1140" s="8">
        <v>46052</v>
      </c>
      <c r="O1140" s="8">
        <v>46356</v>
      </c>
      <c r="P1140" s="4" t="s">
        <v>6022</v>
      </c>
      <c r="Q1140" s="4" t="s">
        <v>1939</v>
      </c>
      <c r="R1140" s="4" t="s">
        <v>4682</v>
      </c>
      <c r="S1140" s="4" t="s">
        <v>9348</v>
      </c>
      <c r="T1140" s="4" t="s">
        <v>2067</v>
      </c>
      <c r="U1140" s="4" t="s">
        <v>6027</v>
      </c>
      <c r="V1140" s="4" t="s">
        <v>2067</v>
      </c>
      <c r="W1140" s="4" t="s">
        <v>2069</v>
      </c>
    </row>
    <row r="1141" spans="1:23" ht="20.100000000000001" customHeight="1" x14ac:dyDescent="0.25">
      <c r="A1141" s="6" t="s">
        <v>858</v>
      </c>
      <c r="B1141" s="7" t="s">
        <v>2084</v>
      </c>
      <c r="C1141" s="7" t="s">
        <v>9349</v>
      </c>
      <c r="D1141" s="7" t="s">
        <v>8736</v>
      </c>
      <c r="E1141" s="7" t="s">
        <v>1947</v>
      </c>
      <c r="F1141" s="7" t="s">
        <v>1948</v>
      </c>
      <c r="G1141" s="7" t="s">
        <v>2084</v>
      </c>
      <c r="H1141" s="7" t="s">
        <v>8879</v>
      </c>
      <c r="I1141" s="7" t="s">
        <v>1939</v>
      </c>
      <c r="J1141" s="7" t="s">
        <v>9350</v>
      </c>
      <c r="K1141" s="7" t="s">
        <v>9351</v>
      </c>
      <c r="L1141" s="7" t="s">
        <v>9352</v>
      </c>
      <c r="M1141" s="7" t="s">
        <v>2078</v>
      </c>
      <c r="N1141" s="9">
        <v>46052</v>
      </c>
      <c r="O1141" s="9">
        <v>46356</v>
      </c>
      <c r="P1141" s="7" t="s">
        <v>2090</v>
      </c>
      <c r="Q1141" s="7" t="s">
        <v>1939</v>
      </c>
      <c r="R1141" s="7" t="s">
        <v>9353</v>
      </c>
      <c r="S1141" s="7" t="s">
        <v>9354</v>
      </c>
      <c r="T1141" s="7" t="s">
        <v>2067</v>
      </c>
      <c r="U1141" s="7" t="s">
        <v>2146</v>
      </c>
      <c r="V1141" s="7" t="s">
        <v>2067</v>
      </c>
      <c r="W1141" s="7" t="s">
        <v>2069</v>
      </c>
    </row>
    <row r="1142" spans="1:23" ht="20.100000000000001" customHeight="1" x14ac:dyDescent="0.25">
      <c r="A1142" s="3" t="s">
        <v>178</v>
      </c>
      <c r="B1142" s="4" t="s">
        <v>2084</v>
      </c>
      <c r="C1142" s="4" t="s">
        <v>9355</v>
      </c>
      <c r="D1142" s="4" t="s">
        <v>8736</v>
      </c>
      <c r="E1142" s="4" t="s">
        <v>6128</v>
      </c>
      <c r="F1142" s="4" t="s">
        <v>6129</v>
      </c>
      <c r="G1142" s="4" t="s">
        <v>2084</v>
      </c>
      <c r="H1142" s="4" t="s">
        <v>2040</v>
      </c>
      <c r="I1142" s="4" t="s">
        <v>1939</v>
      </c>
      <c r="J1142" s="4" t="s">
        <v>9356</v>
      </c>
      <c r="K1142" s="4" t="s">
        <v>9357</v>
      </c>
      <c r="L1142" s="4" t="s">
        <v>9358</v>
      </c>
      <c r="M1142" s="4" t="s">
        <v>2078</v>
      </c>
      <c r="N1142" s="8">
        <v>46052</v>
      </c>
      <c r="O1142" s="8">
        <v>46356</v>
      </c>
      <c r="P1142" s="4" t="s">
        <v>6129</v>
      </c>
      <c r="Q1142" s="4" t="s">
        <v>1939</v>
      </c>
      <c r="R1142" s="4" t="s">
        <v>8790</v>
      </c>
      <c r="S1142" s="4" t="s">
        <v>9359</v>
      </c>
      <c r="T1142" s="4" t="s">
        <v>2067</v>
      </c>
      <c r="U1142" s="4" t="s">
        <v>6135</v>
      </c>
      <c r="V1142" s="4" t="s">
        <v>2067</v>
      </c>
      <c r="W1142" s="4" t="s">
        <v>2069</v>
      </c>
    </row>
    <row r="1143" spans="1:23" ht="20.100000000000001" customHeight="1" x14ac:dyDescent="0.25">
      <c r="A1143" s="6" t="s">
        <v>412</v>
      </c>
      <c r="B1143" s="7" t="s">
        <v>2084</v>
      </c>
      <c r="C1143" s="7" t="s">
        <v>9360</v>
      </c>
      <c r="D1143" s="7" t="s">
        <v>8736</v>
      </c>
      <c r="E1143" s="7" t="s">
        <v>1947</v>
      </c>
      <c r="F1143" s="7" t="s">
        <v>1948</v>
      </c>
      <c r="G1143" s="7" t="s">
        <v>2084</v>
      </c>
      <c r="H1143" s="7" t="s">
        <v>8879</v>
      </c>
      <c r="I1143" s="7" t="s">
        <v>1939</v>
      </c>
      <c r="J1143" s="7" t="s">
        <v>9361</v>
      </c>
      <c r="K1143" s="7" t="s">
        <v>9362</v>
      </c>
      <c r="L1143" s="7" t="s">
        <v>9363</v>
      </c>
      <c r="M1143" s="7" t="s">
        <v>2078</v>
      </c>
      <c r="N1143" s="9">
        <v>46052</v>
      </c>
      <c r="O1143" s="9">
        <v>46356</v>
      </c>
      <c r="P1143" s="7" t="s">
        <v>2090</v>
      </c>
      <c r="Q1143" s="7" t="s">
        <v>1939</v>
      </c>
      <c r="R1143" s="7" t="s">
        <v>9364</v>
      </c>
      <c r="S1143" s="7" t="s">
        <v>9365</v>
      </c>
      <c r="T1143" s="7" t="s">
        <v>2067</v>
      </c>
      <c r="U1143" s="7" t="s">
        <v>2146</v>
      </c>
      <c r="V1143" s="7" t="s">
        <v>2067</v>
      </c>
      <c r="W1143" s="7" t="s">
        <v>2069</v>
      </c>
    </row>
    <row r="1144" spans="1:23" ht="20.100000000000001" customHeight="1" x14ac:dyDescent="0.25">
      <c r="A1144" s="3" t="s">
        <v>212</v>
      </c>
      <c r="B1144" s="4" t="s">
        <v>2057</v>
      </c>
      <c r="C1144" s="4" t="s">
        <v>9366</v>
      </c>
      <c r="D1144" s="4" t="s">
        <v>8736</v>
      </c>
      <c r="E1144" s="4" t="s">
        <v>1947</v>
      </c>
      <c r="F1144" s="4" t="s">
        <v>1948</v>
      </c>
      <c r="G1144" s="4" t="s">
        <v>2057</v>
      </c>
      <c r="H1144" s="4" t="s">
        <v>8771</v>
      </c>
      <c r="I1144" s="4" t="s">
        <v>1939</v>
      </c>
      <c r="J1144" s="4" t="s">
        <v>9367</v>
      </c>
      <c r="K1144" s="4" t="s">
        <v>9368</v>
      </c>
      <c r="L1144" s="4" t="s">
        <v>9369</v>
      </c>
      <c r="M1144" s="4" t="s">
        <v>2078</v>
      </c>
      <c r="N1144" s="8">
        <v>46174</v>
      </c>
      <c r="O1144" s="8">
        <v>46356</v>
      </c>
      <c r="P1144" s="4" t="s">
        <v>2090</v>
      </c>
      <c r="Q1144" s="4" t="s">
        <v>1939</v>
      </c>
      <c r="R1144" s="4" t="s">
        <v>5878</v>
      </c>
      <c r="S1144" s="4" t="s">
        <v>9370</v>
      </c>
      <c r="T1144" s="4" t="s">
        <v>2067</v>
      </c>
      <c r="U1144" s="4" t="s">
        <v>2146</v>
      </c>
      <c r="V1144" s="4" t="s">
        <v>2067</v>
      </c>
      <c r="W1144" s="4" t="s">
        <v>2069</v>
      </c>
    </row>
    <row r="1145" spans="1:23" ht="20.100000000000001" customHeight="1" x14ac:dyDescent="0.25">
      <c r="A1145" s="6" t="s">
        <v>186</v>
      </c>
      <c r="B1145" s="7" t="s">
        <v>2084</v>
      </c>
      <c r="C1145" s="7" t="s">
        <v>9371</v>
      </c>
      <c r="D1145" s="7" t="s">
        <v>8736</v>
      </c>
      <c r="E1145" s="7" t="s">
        <v>1965</v>
      </c>
      <c r="F1145" s="7" t="s">
        <v>1966</v>
      </c>
      <c r="G1145" s="7" t="s">
        <v>2084</v>
      </c>
      <c r="H1145" s="7" t="s">
        <v>8879</v>
      </c>
      <c r="I1145" s="7" t="s">
        <v>1939</v>
      </c>
      <c r="J1145" s="7" t="s">
        <v>9372</v>
      </c>
      <c r="K1145" s="7" t="s">
        <v>9373</v>
      </c>
      <c r="L1145" s="7" t="s">
        <v>9374</v>
      </c>
      <c r="M1145" s="7" t="s">
        <v>2078</v>
      </c>
      <c r="N1145" s="9">
        <v>45992</v>
      </c>
      <c r="O1145" s="9">
        <v>46356</v>
      </c>
      <c r="P1145" s="7" t="s">
        <v>1966</v>
      </c>
      <c r="Q1145" s="7" t="s">
        <v>1939</v>
      </c>
      <c r="R1145" s="7" t="s">
        <v>9375</v>
      </c>
      <c r="S1145" s="7" t="s">
        <v>9376</v>
      </c>
      <c r="T1145" s="7" t="s">
        <v>2067</v>
      </c>
      <c r="U1145" s="7" t="s">
        <v>2174</v>
      </c>
      <c r="V1145" s="7" t="s">
        <v>2067</v>
      </c>
      <c r="W1145" s="7" t="s">
        <v>2069</v>
      </c>
    </row>
    <row r="1146" spans="1:23" ht="20.100000000000001" customHeight="1" x14ac:dyDescent="0.25">
      <c r="A1146" s="3" t="s">
        <v>368</v>
      </c>
      <c r="B1146" s="4" t="s">
        <v>2084</v>
      </c>
      <c r="C1146" s="4" t="s">
        <v>9377</v>
      </c>
      <c r="D1146" s="4" t="s">
        <v>8736</v>
      </c>
      <c r="E1146" s="4" t="s">
        <v>1947</v>
      </c>
      <c r="F1146" s="4" t="s">
        <v>1948</v>
      </c>
      <c r="G1146" s="4" t="s">
        <v>2084</v>
      </c>
      <c r="H1146" s="4" t="s">
        <v>9020</v>
      </c>
      <c r="I1146" s="4" t="s">
        <v>1939</v>
      </c>
      <c r="J1146" s="4" t="s">
        <v>9378</v>
      </c>
      <c r="K1146" s="4" t="s">
        <v>9379</v>
      </c>
      <c r="L1146" s="4" t="s">
        <v>9380</v>
      </c>
      <c r="M1146" s="4" t="s">
        <v>2078</v>
      </c>
      <c r="N1146" s="8">
        <v>46052</v>
      </c>
      <c r="O1146" s="8">
        <v>46356</v>
      </c>
      <c r="P1146" s="4" t="s">
        <v>2090</v>
      </c>
      <c r="Q1146" s="4" t="s">
        <v>1939</v>
      </c>
      <c r="R1146" s="4" t="s">
        <v>9381</v>
      </c>
      <c r="S1146" s="4" t="s">
        <v>9382</v>
      </c>
      <c r="T1146" s="4" t="s">
        <v>2067</v>
      </c>
      <c r="U1146" s="4" t="s">
        <v>2146</v>
      </c>
      <c r="V1146" s="4" t="s">
        <v>2067</v>
      </c>
      <c r="W1146" s="4" t="s">
        <v>2069</v>
      </c>
    </row>
    <row r="1147" spans="1:23" ht="20.100000000000001" customHeight="1" x14ac:dyDescent="0.25">
      <c r="A1147" s="6" t="s">
        <v>9383</v>
      </c>
      <c r="B1147" s="7" t="s">
        <v>2084</v>
      </c>
      <c r="C1147" s="7" t="s">
        <v>9384</v>
      </c>
      <c r="D1147" s="7" t="s">
        <v>8736</v>
      </c>
      <c r="E1147" s="7" t="s">
        <v>1947</v>
      </c>
      <c r="F1147" s="7" t="s">
        <v>1948</v>
      </c>
      <c r="G1147" s="7" t="s">
        <v>2084</v>
      </c>
      <c r="H1147" s="7" t="s">
        <v>2040</v>
      </c>
      <c r="I1147" s="7" t="s">
        <v>1939</v>
      </c>
      <c r="J1147" s="7" t="s">
        <v>9385</v>
      </c>
      <c r="K1147" s="7" t="s">
        <v>9386</v>
      </c>
      <c r="L1147" s="7" t="s">
        <v>9387</v>
      </c>
      <c r="M1147" s="7" t="s">
        <v>2078</v>
      </c>
      <c r="N1147" s="9">
        <v>46052</v>
      </c>
      <c r="O1147" s="9">
        <v>46356</v>
      </c>
      <c r="P1147" s="7" t="s">
        <v>2090</v>
      </c>
      <c r="Q1147" s="7" t="s">
        <v>1939</v>
      </c>
      <c r="R1147" s="7" t="s">
        <v>9388</v>
      </c>
      <c r="S1147" s="7" t="s">
        <v>9389</v>
      </c>
      <c r="T1147" s="7" t="s">
        <v>2067</v>
      </c>
      <c r="U1147" s="7" t="s">
        <v>2146</v>
      </c>
      <c r="V1147" s="7" t="s">
        <v>2067</v>
      </c>
      <c r="W1147" s="7" t="s">
        <v>2069</v>
      </c>
    </row>
    <row r="1148" spans="1:23" ht="20.100000000000001" customHeight="1" x14ac:dyDescent="0.25">
      <c r="A1148" s="3" t="s">
        <v>656</v>
      </c>
      <c r="B1148" s="4" t="s">
        <v>2057</v>
      </c>
      <c r="C1148" s="4" t="s">
        <v>9390</v>
      </c>
      <c r="D1148" s="4" t="s">
        <v>8736</v>
      </c>
      <c r="E1148" s="4" t="s">
        <v>2111</v>
      </c>
      <c r="F1148" s="4" t="s">
        <v>2112</v>
      </c>
      <c r="G1148" s="4" t="s">
        <v>2057</v>
      </c>
      <c r="H1148" s="4" t="s">
        <v>9391</v>
      </c>
      <c r="I1148" s="4" t="s">
        <v>1939</v>
      </c>
      <c r="J1148" s="4" t="s">
        <v>9392</v>
      </c>
      <c r="K1148" s="4" t="s">
        <v>9393</v>
      </c>
      <c r="L1148" s="4" t="s">
        <v>9394</v>
      </c>
      <c r="M1148" s="4" t="s">
        <v>2078</v>
      </c>
      <c r="N1148" s="8">
        <v>46099</v>
      </c>
      <c r="O1148" s="8">
        <v>46356</v>
      </c>
      <c r="P1148" s="4" t="s">
        <v>2112</v>
      </c>
      <c r="Q1148" s="4" t="s">
        <v>1939</v>
      </c>
      <c r="R1148" s="4" t="s">
        <v>2663</v>
      </c>
      <c r="S1148" s="4" t="s">
        <v>9395</v>
      </c>
      <c r="T1148" s="4" t="s">
        <v>2067</v>
      </c>
      <c r="U1148" s="4" t="s">
        <v>2119</v>
      </c>
      <c r="V1148" s="4" t="s">
        <v>2067</v>
      </c>
      <c r="W1148" s="4" t="s">
        <v>2069</v>
      </c>
    </row>
    <row r="1149" spans="1:23" ht="20.100000000000001" customHeight="1" x14ac:dyDescent="0.25">
      <c r="A1149" s="6" t="s">
        <v>9396</v>
      </c>
      <c r="B1149" s="7" t="s">
        <v>2084</v>
      </c>
      <c r="C1149" s="7" t="s">
        <v>9397</v>
      </c>
      <c r="D1149" s="7" t="s">
        <v>8736</v>
      </c>
      <c r="E1149" s="7" t="s">
        <v>1940</v>
      </c>
      <c r="F1149" s="7" t="s">
        <v>1941</v>
      </c>
      <c r="G1149" s="7" t="s">
        <v>2084</v>
      </c>
      <c r="H1149" s="7" t="s">
        <v>1938</v>
      </c>
      <c r="I1149" s="7" t="s">
        <v>1939</v>
      </c>
      <c r="J1149" s="7" t="s">
        <v>9398</v>
      </c>
      <c r="K1149" s="7" t="s">
        <v>9399</v>
      </c>
      <c r="L1149" s="7" t="s">
        <v>9400</v>
      </c>
      <c r="M1149" s="7" t="s">
        <v>2078</v>
      </c>
      <c r="N1149" s="9">
        <v>46105</v>
      </c>
      <c r="O1149" s="9">
        <v>46356</v>
      </c>
      <c r="P1149" s="7" t="s">
        <v>1941</v>
      </c>
      <c r="Q1149" s="7" t="s">
        <v>1939</v>
      </c>
      <c r="R1149" s="7" t="s">
        <v>9401</v>
      </c>
      <c r="S1149" s="7" t="s">
        <v>9402</v>
      </c>
      <c r="T1149" s="7" t="s">
        <v>2067</v>
      </c>
      <c r="U1149" s="7" t="s">
        <v>2068</v>
      </c>
      <c r="V1149" s="7" t="s">
        <v>2067</v>
      </c>
      <c r="W1149" s="7" t="s">
        <v>2069</v>
      </c>
    </row>
    <row r="1150" spans="1:23" ht="20.100000000000001" customHeight="1" x14ac:dyDescent="0.25">
      <c r="A1150" s="3" t="s">
        <v>1674</v>
      </c>
      <c r="B1150" s="4" t="s">
        <v>2057</v>
      </c>
      <c r="C1150" s="4" t="s">
        <v>9403</v>
      </c>
      <c r="D1150" s="4" t="s">
        <v>8736</v>
      </c>
      <c r="E1150" s="4" t="s">
        <v>1947</v>
      </c>
      <c r="F1150" s="4" t="s">
        <v>1948</v>
      </c>
      <c r="G1150" s="4" t="s">
        <v>2057</v>
      </c>
      <c r="H1150" s="4" t="s">
        <v>1946</v>
      </c>
      <c r="I1150" s="4" t="s">
        <v>1939</v>
      </c>
      <c r="J1150" s="4" t="s">
        <v>9404</v>
      </c>
      <c r="K1150" s="4" t="s">
        <v>9405</v>
      </c>
      <c r="L1150" s="4" t="s">
        <v>9406</v>
      </c>
      <c r="M1150" s="4" t="s">
        <v>2078</v>
      </c>
      <c r="N1150" s="8">
        <v>46105</v>
      </c>
      <c r="O1150" s="8">
        <v>46356</v>
      </c>
      <c r="P1150" s="4" t="s">
        <v>2090</v>
      </c>
      <c r="Q1150" s="4" t="s">
        <v>1939</v>
      </c>
      <c r="R1150" s="4" t="s">
        <v>3711</v>
      </c>
      <c r="S1150" s="4" t="s">
        <v>9407</v>
      </c>
      <c r="T1150" s="4" t="s">
        <v>2067</v>
      </c>
      <c r="U1150" s="4" t="s">
        <v>8824</v>
      </c>
      <c r="V1150" s="4" t="s">
        <v>2067</v>
      </c>
      <c r="W1150" s="4" t="s">
        <v>2069</v>
      </c>
    </row>
    <row r="1151" spans="1:23" ht="20.100000000000001" customHeight="1" x14ac:dyDescent="0.25">
      <c r="A1151" s="6" t="s">
        <v>1656</v>
      </c>
      <c r="B1151" s="7" t="s">
        <v>2057</v>
      </c>
      <c r="C1151" s="7" t="s">
        <v>9408</v>
      </c>
      <c r="D1151" s="7" t="s">
        <v>8736</v>
      </c>
      <c r="E1151" s="7" t="s">
        <v>1947</v>
      </c>
      <c r="F1151" s="7" t="s">
        <v>2238</v>
      </c>
      <c r="G1151" s="7" t="s">
        <v>2057</v>
      </c>
      <c r="H1151" s="7" t="s">
        <v>1946</v>
      </c>
      <c r="I1151" s="7" t="s">
        <v>1939</v>
      </c>
      <c r="J1151" s="7" t="s">
        <v>9409</v>
      </c>
      <c r="K1151" s="7" t="s">
        <v>9410</v>
      </c>
      <c r="L1151" s="7" t="s">
        <v>9411</v>
      </c>
      <c r="M1151" s="7" t="s">
        <v>2078</v>
      </c>
      <c r="N1151" s="9">
        <v>46234</v>
      </c>
      <c r="O1151" s="9">
        <v>46356</v>
      </c>
      <c r="P1151" s="7" t="s">
        <v>2090</v>
      </c>
      <c r="Q1151" s="7" t="s">
        <v>1939</v>
      </c>
      <c r="R1151" s="7" t="s">
        <v>9412</v>
      </c>
      <c r="S1151" s="7" t="s">
        <v>9413</v>
      </c>
      <c r="T1151" s="7" t="s">
        <v>2067</v>
      </c>
      <c r="U1151" s="7" t="s">
        <v>2244</v>
      </c>
      <c r="V1151" s="7" t="s">
        <v>2067</v>
      </c>
      <c r="W1151" s="7" t="s">
        <v>2069</v>
      </c>
    </row>
    <row r="1152" spans="1:23" ht="20.100000000000001" customHeight="1" x14ac:dyDescent="0.25">
      <c r="A1152" s="3" t="s">
        <v>766</v>
      </c>
      <c r="B1152" s="4" t="s">
        <v>2084</v>
      </c>
      <c r="C1152" s="4" t="s">
        <v>9414</v>
      </c>
      <c r="D1152" s="4" t="s">
        <v>8736</v>
      </c>
      <c r="E1152" s="4" t="s">
        <v>1947</v>
      </c>
      <c r="F1152" s="4" t="s">
        <v>1948</v>
      </c>
      <c r="G1152" s="4" t="s">
        <v>2084</v>
      </c>
      <c r="H1152" s="4" t="s">
        <v>1982</v>
      </c>
      <c r="I1152" s="4" t="s">
        <v>1939</v>
      </c>
      <c r="J1152" s="4" t="s">
        <v>9415</v>
      </c>
      <c r="K1152" s="4" t="s">
        <v>9416</v>
      </c>
      <c r="L1152" s="4" t="s">
        <v>9417</v>
      </c>
      <c r="M1152" s="4" t="s">
        <v>2078</v>
      </c>
      <c r="N1152" s="8">
        <v>46052</v>
      </c>
      <c r="O1152" s="8">
        <v>46356</v>
      </c>
      <c r="P1152" s="4" t="s">
        <v>2090</v>
      </c>
      <c r="Q1152" s="4" t="s">
        <v>1939</v>
      </c>
      <c r="R1152" s="4" t="s">
        <v>4265</v>
      </c>
      <c r="S1152" s="4" t="s">
        <v>9418</v>
      </c>
      <c r="T1152" s="4" t="s">
        <v>2067</v>
      </c>
      <c r="U1152" s="4" t="s">
        <v>2146</v>
      </c>
      <c r="V1152" s="4" t="s">
        <v>2067</v>
      </c>
      <c r="W1152" s="4" t="s">
        <v>2069</v>
      </c>
    </row>
    <row r="1153" spans="1:23" ht="20.100000000000001" customHeight="1" x14ac:dyDescent="0.25">
      <c r="A1153" s="6" t="s">
        <v>266</v>
      </c>
      <c r="B1153" s="7" t="s">
        <v>2084</v>
      </c>
      <c r="C1153" s="7" t="s">
        <v>9419</v>
      </c>
      <c r="D1153" s="7" t="s">
        <v>8736</v>
      </c>
      <c r="E1153" s="7" t="s">
        <v>4160</v>
      </c>
      <c r="F1153" s="7" t="s">
        <v>4161</v>
      </c>
      <c r="G1153" s="7" t="s">
        <v>2084</v>
      </c>
      <c r="H1153" s="7" t="s">
        <v>1982</v>
      </c>
      <c r="I1153" s="7" t="s">
        <v>1939</v>
      </c>
      <c r="J1153" s="7" t="s">
        <v>9420</v>
      </c>
      <c r="K1153" s="7" t="s">
        <v>9421</v>
      </c>
      <c r="L1153" s="7" t="s">
        <v>9422</v>
      </c>
      <c r="M1153" s="7" t="s">
        <v>2078</v>
      </c>
      <c r="N1153" s="9">
        <v>46069</v>
      </c>
      <c r="O1153" s="9">
        <v>46356</v>
      </c>
      <c r="P1153" s="7" t="s">
        <v>4161</v>
      </c>
      <c r="Q1153" s="7" t="s">
        <v>1939</v>
      </c>
      <c r="R1153" s="7" t="s">
        <v>5129</v>
      </c>
      <c r="S1153" s="7" t="s">
        <v>9423</v>
      </c>
      <c r="T1153" s="7" t="s">
        <v>2067</v>
      </c>
      <c r="U1153" s="7" t="s">
        <v>4167</v>
      </c>
      <c r="V1153" s="7" t="s">
        <v>2067</v>
      </c>
      <c r="W1153" s="7" t="s">
        <v>2069</v>
      </c>
    </row>
    <row r="1154" spans="1:23" ht="20.100000000000001" customHeight="1" x14ac:dyDescent="0.25">
      <c r="A1154" s="3" t="s">
        <v>456</v>
      </c>
      <c r="B1154" s="4" t="s">
        <v>2084</v>
      </c>
      <c r="C1154" s="4" t="s">
        <v>9424</v>
      </c>
      <c r="D1154" s="4" t="s">
        <v>8736</v>
      </c>
      <c r="E1154" s="4" t="s">
        <v>1947</v>
      </c>
      <c r="F1154" s="4" t="s">
        <v>1948</v>
      </c>
      <c r="G1154" s="4" t="s">
        <v>2084</v>
      </c>
      <c r="H1154" s="4" t="s">
        <v>8879</v>
      </c>
      <c r="I1154" s="4" t="s">
        <v>1939</v>
      </c>
      <c r="J1154" s="4" t="s">
        <v>9425</v>
      </c>
      <c r="K1154" s="4" t="s">
        <v>9426</v>
      </c>
      <c r="L1154" s="4" t="s">
        <v>9427</v>
      </c>
      <c r="M1154" s="4" t="s">
        <v>2078</v>
      </c>
      <c r="N1154" s="8">
        <v>46066</v>
      </c>
      <c r="O1154" s="8">
        <v>46356</v>
      </c>
      <c r="P1154" s="4" t="s">
        <v>2090</v>
      </c>
      <c r="Q1154" s="4" t="s">
        <v>1939</v>
      </c>
      <c r="R1154" s="4" t="s">
        <v>9428</v>
      </c>
      <c r="S1154" s="4" t="s">
        <v>9429</v>
      </c>
      <c r="T1154" s="4" t="s">
        <v>2067</v>
      </c>
      <c r="U1154" s="4" t="s">
        <v>2146</v>
      </c>
      <c r="V1154" s="4" t="s">
        <v>2067</v>
      </c>
      <c r="W1154" s="4" t="s">
        <v>2069</v>
      </c>
    </row>
    <row r="1155" spans="1:23" ht="20.100000000000001" customHeight="1" x14ac:dyDescent="0.25">
      <c r="A1155" s="6" t="s">
        <v>1126</v>
      </c>
      <c r="B1155" s="7" t="s">
        <v>2057</v>
      </c>
      <c r="C1155" s="7" t="s">
        <v>9430</v>
      </c>
      <c r="D1155" s="7" t="s">
        <v>8736</v>
      </c>
      <c r="E1155" s="7" t="s">
        <v>1947</v>
      </c>
      <c r="F1155" s="7" t="s">
        <v>1948</v>
      </c>
      <c r="G1155" s="7" t="s">
        <v>2057</v>
      </c>
      <c r="H1155" s="7" t="s">
        <v>8794</v>
      </c>
      <c r="I1155" s="7" t="s">
        <v>1939</v>
      </c>
      <c r="J1155" s="7" t="s">
        <v>9431</v>
      </c>
      <c r="K1155" s="7" t="s">
        <v>9432</v>
      </c>
      <c r="L1155" s="7" t="s">
        <v>9433</v>
      </c>
      <c r="M1155" s="7" t="s">
        <v>2078</v>
      </c>
      <c r="N1155" s="9">
        <v>46079</v>
      </c>
      <c r="O1155" s="9">
        <v>46356</v>
      </c>
      <c r="P1155" s="7" t="s">
        <v>2090</v>
      </c>
      <c r="Q1155" s="7" t="s">
        <v>1939</v>
      </c>
      <c r="R1155" s="7" t="s">
        <v>9434</v>
      </c>
      <c r="S1155" s="7" t="s">
        <v>9435</v>
      </c>
      <c r="T1155" s="7" t="s">
        <v>2067</v>
      </c>
      <c r="U1155" s="7" t="s">
        <v>2109</v>
      </c>
      <c r="V1155" s="7" t="s">
        <v>2067</v>
      </c>
      <c r="W1155" s="7" t="s">
        <v>2069</v>
      </c>
    </row>
    <row r="1156" spans="1:23" ht="20.100000000000001" customHeight="1" x14ac:dyDescent="0.25">
      <c r="A1156" s="3" t="s">
        <v>1166</v>
      </c>
      <c r="B1156" s="4" t="s">
        <v>2057</v>
      </c>
      <c r="C1156" s="4" t="s">
        <v>9436</v>
      </c>
      <c r="D1156" s="4" t="s">
        <v>8736</v>
      </c>
      <c r="E1156" s="4" t="s">
        <v>1947</v>
      </c>
      <c r="F1156" s="4" t="s">
        <v>2238</v>
      </c>
      <c r="G1156" s="4" t="s">
        <v>2057</v>
      </c>
      <c r="H1156" s="4" t="s">
        <v>8794</v>
      </c>
      <c r="I1156" s="4" t="s">
        <v>1939</v>
      </c>
      <c r="J1156" s="4" t="s">
        <v>9437</v>
      </c>
      <c r="K1156" s="4" t="s">
        <v>9438</v>
      </c>
      <c r="L1156" s="4" t="s">
        <v>9439</v>
      </c>
      <c r="M1156" s="4" t="s">
        <v>2078</v>
      </c>
      <c r="N1156" s="8">
        <v>46234</v>
      </c>
      <c r="O1156" s="8">
        <v>46356</v>
      </c>
      <c r="P1156" s="4" t="s">
        <v>2090</v>
      </c>
      <c r="Q1156" s="4" t="s">
        <v>1939</v>
      </c>
      <c r="R1156" s="4" t="s">
        <v>9440</v>
      </c>
      <c r="S1156" s="4" t="s">
        <v>9441</v>
      </c>
      <c r="T1156" s="4" t="s">
        <v>2067</v>
      </c>
      <c r="U1156" s="4" t="s">
        <v>2244</v>
      </c>
      <c r="V1156" s="4" t="s">
        <v>2067</v>
      </c>
      <c r="W1156" s="4" t="s">
        <v>2069</v>
      </c>
    </row>
    <row r="1157" spans="1:23" ht="20.100000000000001" customHeight="1" x14ac:dyDescent="0.25">
      <c r="A1157" s="6" t="s">
        <v>1776</v>
      </c>
      <c r="B1157" s="7" t="s">
        <v>2057</v>
      </c>
      <c r="C1157" s="7" t="s">
        <v>9442</v>
      </c>
      <c r="D1157" s="7" t="s">
        <v>8736</v>
      </c>
      <c r="E1157" s="7" t="s">
        <v>1947</v>
      </c>
      <c r="F1157" s="7" t="s">
        <v>2238</v>
      </c>
      <c r="G1157" s="7" t="s">
        <v>2057</v>
      </c>
      <c r="H1157" s="7" t="s">
        <v>1964</v>
      </c>
      <c r="I1157" s="7" t="s">
        <v>1939</v>
      </c>
      <c r="J1157" s="7" t="s">
        <v>9443</v>
      </c>
      <c r="K1157" s="7" t="s">
        <v>9444</v>
      </c>
      <c r="L1157" s="7" t="s">
        <v>9445</v>
      </c>
      <c r="M1157" s="7" t="s">
        <v>2078</v>
      </c>
      <c r="N1157" s="9">
        <v>46234</v>
      </c>
      <c r="O1157" s="9">
        <v>46356</v>
      </c>
      <c r="P1157" s="7" t="s">
        <v>2090</v>
      </c>
      <c r="Q1157" s="7" t="s">
        <v>1939</v>
      </c>
      <c r="R1157" s="7" t="s">
        <v>9446</v>
      </c>
      <c r="S1157" s="7" t="s">
        <v>9447</v>
      </c>
      <c r="T1157" s="7" t="s">
        <v>2067</v>
      </c>
      <c r="U1157" s="7" t="s">
        <v>2244</v>
      </c>
      <c r="V1157" s="7" t="s">
        <v>2067</v>
      </c>
      <c r="W1157" s="7" t="s">
        <v>2069</v>
      </c>
    </row>
    <row r="1158" spans="1:23" ht="20.100000000000001" customHeight="1" x14ac:dyDescent="0.25">
      <c r="A1158" s="3" t="s">
        <v>80</v>
      </c>
      <c r="B1158" s="4" t="s">
        <v>2084</v>
      </c>
      <c r="C1158" s="4" t="s">
        <v>9448</v>
      </c>
      <c r="D1158" s="4" t="s">
        <v>8736</v>
      </c>
      <c r="E1158" s="4" t="s">
        <v>2072</v>
      </c>
      <c r="F1158" s="4" t="s">
        <v>2338</v>
      </c>
      <c r="G1158" s="4" t="s">
        <v>2084</v>
      </c>
      <c r="H1158" s="4" t="s">
        <v>9020</v>
      </c>
      <c r="I1158" s="4" t="s">
        <v>1939</v>
      </c>
      <c r="J1158" s="4" t="s">
        <v>9449</v>
      </c>
      <c r="K1158" s="4" t="s">
        <v>9450</v>
      </c>
      <c r="L1158" s="4" t="s">
        <v>9451</v>
      </c>
      <c r="M1158" s="4" t="s">
        <v>2078</v>
      </c>
      <c r="N1158" s="8">
        <v>46234</v>
      </c>
      <c r="O1158" s="8">
        <v>46356</v>
      </c>
      <c r="P1158" s="4" t="s">
        <v>2338</v>
      </c>
      <c r="Q1158" s="4" t="s">
        <v>1939</v>
      </c>
      <c r="R1158" s="4" t="s">
        <v>4867</v>
      </c>
      <c r="S1158" s="4" t="s">
        <v>9452</v>
      </c>
      <c r="T1158" s="4" t="s">
        <v>2067</v>
      </c>
      <c r="U1158" s="4" t="s">
        <v>2344</v>
      </c>
      <c r="V1158" s="4" t="s">
        <v>2067</v>
      </c>
      <c r="W1158" s="4" t="s">
        <v>2069</v>
      </c>
    </row>
    <row r="1159" spans="1:23" ht="20.100000000000001" customHeight="1" x14ac:dyDescent="0.25">
      <c r="A1159" s="6" t="s">
        <v>9453</v>
      </c>
      <c r="B1159" s="7" t="s">
        <v>2057</v>
      </c>
      <c r="C1159" s="7" t="s">
        <v>9454</v>
      </c>
      <c r="D1159" s="7" t="s">
        <v>8736</v>
      </c>
      <c r="E1159" s="7" t="s">
        <v>1947</v>
      </c>
      <c r="F1159" s="7" t="s">
        <v>1948</v>
      </c>
      <c r="G1159" s="7" t="s">
        <v>2057</v>
      </c>
      <c r="H1159" s="7" t="s">
        <v>8794</v>
      </c>
      <c r="I1159" s="7" t="s">
        <v>1939</v>
      </c>
      <c r="J1159" s="7" t="s">
        <v>9455</v>
      </c>
      <c r="K1159" s="7" t="s">
        <v>9456</v>
      </c>
      <c r="L1159" s="7" t="s">
        <v>9457</v>
      </c>
      <c r="M1159" s="7" t="s">
        <v>2078</v>
      </c>
      <c r="N1159" s="9">
        <v>46234</v>
      </c>
      <c r="O1159" s="9">
        <v>46356</v>
      </c>
      <c r="P1159" s="7" t="s">
        <v>2090</v>
      </c>
      <c r="Q1159" s="7" t="s">
        <v>1939</v>
      </c>
      <c r="R1159" s="7" t="s">
        <v>9458</v>
      </c>
      <c r="S1159" s="7" t="s">
        <v>9459</v>
      </c>
      <c r="T1159" s="7" t="s">
        <v>2067</v>
      </c>
      <c r="U1159" s="7" t="s">
        <v>2146</v>
      </c>
      <c r="V1159" s="7" t="s">
        <v>2067</v>
      </c>
      <c r="W1159" s="7" t="s">
        <v>2069</v>
      </c>
    </row>
    <row r="1160" spans="1:23" ht="20.100000000000001" customHeight="1" x14ac:dyDescent="0.25">
      <c r="A1160" s="3" t="s">
        <v>406</v>
      </c>
      <c r="B1160" s="4" t="s">
        <v>2084</v>
      </c>
      <c r="C1160" s="4" t="s">
        <v>9460</v>
      </c>
      <c r="D1160" s="4" t="s">
        <v>8736</v>
      </c>
      <c r="E1160" s="4" t="s">
        <v>1979</v>
      </c>
      <c r="F1160" s="4" t="s">
        <v>2728</v>
      </c>
      <c r="G1160" s="4" t="s">
        <v>2084</v>
      </c>
      <c r="H1160" s="4" t="s">
        <v>9461</v>
      </c>
      <c r="I1160" s="4" t="s">
        <v>1939</v>
      </c>
      <c r="J1160" s="4" t="s">
        <v>9462</v>
      </c>
      <c r="K1160" s="4" t="s">
        <v>9463</v>
      </c>
      <c r="L1160" s="4" t="s">
        <v>9464</v>
      </c>
      <c r="M1160" s="4" t="s">
        <v>2078</v>
      </c>
      <c r="N1160" s="8">
        <v>46234</v>
      </c>
      <c r="O1160" s="8">
        <v>46356</v>
      </c>
      <c r="P1160" s="4" t="s">
        <v>2728</v>
      </c>
      <c r="Q1160" s="4" t="s">
        <v>1939</v>
      </c>
      <c r="R1160" s="4" t="s">
        <v>3454</v>
      </c>
      <c r="S1160" s="4" t="s">
        <v>9465</v>
      </c>
      <c r="T1160" s="4" t="s">
        <v>2067</v>
      </c>
      <c r="U1160" s="4" t="s">
        <v>2728</v>
      </c>
      <c r="V1160" s="4" t="s">
        <v>2067</v>
      </c>
      <c r="W1160" s="4" t="s">
        <v>2069</v>
      </c>
    </row>
    <row r="1161" spans="1:23" ht="20.100000000000001" customHeight="1" x14ac:dyDescent="0.25">
      <c r="A1161" s="6" t="s">
        <v>9466</v>
      </c>
      <c r="B1161" s="7" t="s">
        <v>2084</v>
      </c>
      <c r="C1161" s="7" t="s">
        <v>9467</v>
      </c>
      <c r="D1161" s="7" t="s">
        <v>8736</v>
      </c>
      <c r="E1161" s="7" t="s">
        <v>5762</v>
      </c>
      <c r="F1161" s="7" t="s">
        <v>5763</v>
      </c>
      <c r="G1161" s="7" t="s">
        <v>2084</v>
      </c>
      <c r="H1161" s="7" t="s">
        <v>8879</v>
      </c>
      <c r="I1161" s="7" t="s">
        <v>1939</v>
      </c>
      <c r="J1161" s="7" t="s">
        <v>9468</v>
      </c>
      <c r="K1161" s="7" t="s">
        <v>9469</v>
      </c>
      <c r="L1161" s="7" t="s">
        <v>9470</v>
      </c>
      <c r="M1161" s="7" t="s">
        <v>2078</v>
      </c>
      <c r="N1161" s="9">
        <v>46164</v>
      </c>
      <c r="O1161" s="9">
        <v>46356</v>
      </c>
      <c r="P1161" s="7" t="s">
        <v>5763</v>
      </c>
      <c r="Q1161" s="7" t="s">
        <v>1939</v>
      </c>
      <c r="R1161" s="7" t="s">
        <v>2711</v>
      </c>
      <c r="S1161" s="7" t="s">
        <v>9471</v>
      </c>
      <c r="T1161" s="7" t="s">
        <v>2067</v>
      </c>
      <c r="U1161" s="7" t="s">
        <v>5769</v>
      </c>
      <c r="V1161" s="7" t="s">
        <v>2067</v>
      </c>
      <c r="W1161" s="7" t="s">
        <v>2069</v>
      </c>
    </row>
    <row r="1162" spans="1:23" ht="20.100000000000001" customHeight="1" x14ac:dyDescent="0.25">
      <c r="A1162" s="3" t="s">
        <v>694</v>
      </c>
      <c r="B1162" s="4" t="s">
        <v>2084</v>
      </c>
      <c r="C1162" s="4" t="s">
        <v>9472</v>
      </c>
      <c r="D1162" s="4" t="s">
        <v>8736</v>
      </c>
      <c r="E1162" s="4" t="s">
        <v>2111</v>
      </c>
      <c r="F1162" s="4" t="s">
        <v>2112</v>
      </c>
      <c r="G1162" s="4" t="s">
        <v>2084</v>
      </c>
      <c r="H1162" s="4" t="s">
        <v>8879</v>
      </c>
      <c r="I1162" s="4" t="s">
        <v>1939</v>
      </c>
      <c r="J1162" s="4" t="s">
        <v>9473</v>
      </c>
      <c r="K1162" s="4" t="s">
        <v>9474</v>
      </c>
      <c r="L1162" s="4" t="s">
        <v>9475</v>
      </c>
      <c r="M1162" s="4" t="s">
        <v>2078</v>
      </c>
      <c r="N1162" s="8">
        <v>46234</v>
      </c>
      <c r="O1162" s="8">
        <v>46356</v>
      </c>
      <c r="P1162" s="4" t="s">
        <v>2112</v>
      </c>
      <c r="Q1162" s="4" t="s">
        <v>1939</v>
      </c>
      <c r="R1162" s="4" t="s">
        <v>9476</v>
      </c>
      <c r="S1162" s="4" t="s">
        <v>9477</v>
      </c>
      <c r="T1162" s="4" t="s">
        <v>2067</v>
      </c>
      <c r="U1162" s="4" t="s">
        <v>2119</v>
      </c>
      <c r="V1162" s="4" t="s">
        <v>2067</v>
      </c>
      <c r="W1162" s="4" t="s">
        <v>2069</v>
      </c>
    </row>
    <row r="1163" spans="1:23" ht="20.100000000000001" customHeight="1" x14ac:dyDescent="0.25">
      <c r="A1163" s="6" t="s">
        <v>744</v>
      </c>
      <c r="B1163" s="7" t="s">
        <v>2057</v>
      </c>
      <c r="C1163" s="7" t="s">
        <v>9478</v>
      </c>
      <c r="D1163" s="7" t="s">
        <v>8736</v>
      </c>
      <c r="E1163" s="7" t="s">
        <v>1947</v>
      </c>
      <c r="F1163" s="7" t="s">
        <v>1948</v>
      </c>
      <c r="G1163" s="7" t="s">
        <v>2057</v>
      </c>
      <c r="H1163" s="7" t="s">
        <v>8794</v>
      </c>
      <c r="I1163" s="7" t="s">
        <v>1939</v>
      </c>
      <c r="J1163" s="7" t="s">
        <v>9479</v>
      </c>
      <c r="K1163" s="7" t="s">
        <v>9480</v>
      </c>
      <c r="L1163" s="7" t="s">
        <v>9481</v>
      </c>
      <c r="M1163" s="7" t="s">
        <v>2078</v>
      </c>
      <c r="N1163" s="9">
        <v>46105</v>
      </c>
      <c r="O1163" s="9">
        <v>46356</v>
      </c>
      <c r="P1163" s="7" t="s">
        <v>2090</v>
      </c>
      <c r="Q1163" s="7" t="s">
        <v>1939</v>
      </c>
      <c r="R1163" s="7" t="s">
        <v>5775</v>
      </c>
      <c r="S1163" s="7" t="s">
        <v>9482</v>
      </c>
      <c r="T1163" s="7" t="s">
        <v>2067</v>
      </c>
      <c r="U1163" s="7" t="s">
        <v>8824</v>
      </c>
      <c r="V1163" s="7" t="s">
        <v>2067</v>
      </c>
      <c r="W1163" s="7" t="s">
        <v>2069</v>
      </c>
    </row>
    <row r="1164" spans="1:23" ht="20.100000000000001" customHeight="1" x14ac:dyDescent="0.25">
      <c r="A1164" s="3" t="s">
        <v>512</v>
      </c>
      <c r="B1164" s="4" t="s">
        <v>2057</v>
      </c>
      <c r="C1164" s="4" t="s">
        <v>9483</v>
      </c>
      <c r="D1164" s="4" t="s">
        <v>8736</v>
      </c>
      <c r="E1164" s="4" t="s">
        <v>2189</v>
      </c>
      <c r="F1164" s="4" t="s">
        <v>2190</v>
      </c>
      <c r="G1164" s="4" t="s">
        <v>2057</v>
      </c>
      <c r="H1164" s="4" t="s">
        <v>1946</v>
      </c>
      <c r="I1164" s="4" t="s">
        <v>1939</v>
      </c>
      <c r="J1164" s="4" t="s">
        <v>9484</v>
      </c>
      <c r="K1164" s="4" t="s">
        <v>9485</v>
      </c>
      <c r="L1164" s="4" t="s">
        <v>9486</v>
      </c>
      <c r="M1164" s="4" t="s">
        <v>2078</v>
      </c>
      <c r="N1164" s="8">
        <v>46147</v>
      </c>
      <c r="O1164" s="8">
        <v>46356</v>
      </c>
      <c r="P1164" s="4" t="s">
        <v>2195</v>
      </c>
      <c r="Q1164" s="4" t="s">
        <v>1939</v>
      </c>
      <c r="R1164" s="4" t="s">
        <v>9487</v>
      </c>
      <c r="S1164" s="4" t="s">
        <v>9488</v>
      </c>
      <c r="T1164" s="4" t="s">
        <v>2067</v>
      </c>
      <c r="U1164" s="4" t="s">
        <v>2198</v>
      </c>
      <c r="V1164" s="4" t="s">
        <v>2067</v>
      </c>
      <c r="W1164" s="4" t="s">
        <v>2069</v>
      </c>
    </row>
    <row r="1165" spans="1:23" ht="20.100000000000001" customHeight="1" x14ac:dyDescent="0.25">
      <c r="A1165" s="6" t="s">
        <v>588</v>
      </c>
      <c r="B1165" s="7" t="s">
        <v>2057</v>
      </c>
      <c r="C1165" s="7" t="s">
        <v>9489</v>
      </c>
      <c r="D1165" s="7" t="s">
        <v>8736</v>
      </c>
      <c r="E1165" s="7" t="s">
        <v>1947</v>
      </c>
      <c r="F1165" s="7" t="s">
        <v>1948</v>
      </c>
      <c r="G1165" s="7" t="s">
        <v>2057</v>
      </c>
      <c r="H1165" s="7" t="s">
        <v>1946</v>
      </c>
      <c r="I1165" s="7" t="s">
        <v>1939</v>
      </c>
      <c r="J1165" s="7" t="s">
        <v>9490</v>
      </c>
      <c r="K1165" s="7" t="s">
        <v>9491</v>
      </c>
      <c r="L1165" s="7" t="s">
        <v>9492</v>
      </c>
      <c r="M1165" s="7" t="s">
        <v>2078</v>
      </c>
      <c r="N1165" s="9">
        <v>46056</v>
      </c>
      <c r="O1165" s="9">
        <v>46356</v>
      </c>
      <c r="P1165" s="7" t="s">
        <v>2090</v>
      </c>
      <c r="Q1165" s="7" t="s">
        <v>1939</v>
      </c>
      <c r="R1165" s="7" t="s">
        <v>9493</v>
      </c>
      <c r="S1165" s="7" t="s">
        <v>8653</v>
      </c>
      <c r="T1165" s="7" t="s">
        <v>2067</v>
      </c>
      <c r="U1165" s="7" t="s">
        <v>8824</v>
      </c>
      <c r="V1165" s="7" t="s">
        <v>2067</v>
      </c>
      <c r="W1165" s="7" t="s">
        <v>2069</v>
      </c>
    </row>
    <row r="1166" spans="1:23" ht="20.100000000000001" customHeight="1" x14ac:dyDescent="0.25">
      <c r="A1166" s="3" t="s">
        <v>272</v>
      </c>
      <c r="B1166" s="4" t="s">
        <v>2084</v>
      </c>
      <c r="C1166" s="4" t="s">
        <v>9494</v>
      </c>
      <c r="D1166" s="4" t="s">
        <v>8736</v>
      </c>
      <c r="E1166" s="4" t="s">
        <v>7018</v>
      </c>
      <c r="F1166" s="4" t="s">
        <v>7019</v>
      </c>
      <c r="G1166" s="4" t="s">
        <v>2084</v>
      </c>
      <c r="H1166" s="4" t="s">
        <v>9495</v>
      </c>
      <c r="I1166" s="4" t="s">
        <v>1939</v>
      </c>
      <c r="J1166" s="4" t="s">
        <v>9496</v>
      </c>
      <c r="K1166" s="4" t="s">
        <v>9497</v>
      </c>
      <c r="L1166" s="4" t="s">
        <v>9498</v>
      </c>
      <c r="M1166" s="4" t="s">
        <v>2078</v>
      </c>
      <c r="N1166" s="8">
        <v>46118</v>
      </c>
      <c r="O1166" s="8">
        <v>46356</v>
      </c>
      <c r="P1166" s="4" t="s">
        <v>7024</v>
      </c>
      <c r="Q1166" s="4" t="s">
        <v>1939</v>
      </c>
      <c r="R1166" s="4" t="s">
        <v>9499</v>
      </c>
      <c r="S1166" s="4" t="s">
        <v>9500</v>
      </c>
      <c r="T1166" s="4" t="s">
        <v>2067</v>
      </c>
      <c r="U1166" s="4" t="s">
        <v>7027</v>
      </c>
      <c r="V1166" s="4" t="s">
        <v>2067</v>
      </c>
      <c r="W1166" s="4" t="s">
        <v>2069</v>
      </c>
    </row>
    <row r="1167" spans="1:23" ht="20.100000000000001" customHeight="1" x14ac:dyDescent="0.25">
      <c r="A1167" s="6" t="s">
        <v>198</v>
      </c>
      <c r="B1167" s="7" t="s">
        <v>2084</v>
      </c>
      <c r="C1167" s="7" t="s">
        <v>9501</v>
      </c>
      <c r="D1167" s="7" t="s">
        <v>8736</v>
      </c>
      <c r="E1167" s="7" t="s">
        <v>1947</v>
      </c>
      <c r="F1167" s="7" t="s">
        <v>1948</v>
      </c>
      <c r="G1167" s="7" t="s">
        <v>2084</v>
      </c>
      <c r="H1167" s="7" t="s">
        <v>1982</v>
      </c>
      <c r="I1167" s="7" t="s">
        <v>1939</v>
      </c>
      <c r="J1167" s="7" t="s">
        <v>9502</v>
      </c>
      <c r="K1167" s="7" t="s">
        <v>9503</v>
      </c>
      <c r="L1167" s="7" t="s">
        <v>9504</v>
      </c>
      <c r="M1167" s="7" t="s">
        <v>2064</v>
      </c>
      <c r="N1167" s="9">
        <v>46052</v>
      </c>
      <c r="O1167" s="9"/>
      <c r="P1167" s="7" t="s">
        <v>2090</v>
      </c>
      <c r="Q1167" s="7" t="s">
        <v>1939</v>
      </c>
      <c r="R1167" s="7" t="s">
        <v>9505</v>
      </c>
      <c r="S1167" s="7" t="s">
        <v>9506</v>
      </c>
      <c r="T1167" s="7" t="s">
        <v>2067</v>
      </c>
      <c r="U1167" s="7" t="s">
        <v>2146</v>
      </c>
      <c r="V1167" s="7" t="s">
        <v>2067</v>
      </c>
      <c r="W1167" s="7" t="s">
        <v>2069</v>
      </c>
    </row>
    <row r="1168" spans="1:23" ht="20.100000000000001" customHeight="1" x14ac:dyDescent="0.25">
      <c r="A1168" s="3" t="s">
        <v>1008</v>
      </c>
      <c r="B1168" s="4" t="s">
        <v>2057</v>
      </c>
      <c r="C1168" s="4" t="s">
        <v>9507</v>
      </c>
      <c r="D1168" s="4" t="s">
        <v>8736</v>
      </c>
      <c r="E1168" s="4" t="s">
        <v>1947</v>
      </c>
      <c r="F1168" s="4" t="s">
        <v>1948</v>
      </c>
      <c r="G1168" s="4" t="s">
        <v>2057</v>
      </c>
      <c r="H1168" s="4" t="s">
        <v>1946</v>
      </c>
      <c r="I1168" s="4" t="s">
        <v>1939</v>
      </c>
      <c r="J1168" s="4" t="s">
        <v>9508</v>
      </c>
      <c r="K1168" s="4" t="s">
        <v>9509</v>
      </c>
      <c r="L1168" s="4" t="s">
        <v>9510</v>
      </c>
      <c r="M1168" s="4" t="s">
        <v>2064</v>
      </c>
      <c r="N1168" s="8">
        <v>46076</v>
      </c>
      <c r="O1168" s="8"/>
      <c r="P1168" s="4" t="s">
        <v>2090</v>
      </c>
      <c r="Q1168" s="4" t="s">
        <v>1939</v>
      </c>
      <c r="R1168" s="4" t="s">
        <v>9511</v>
      </c>
      <c r="S1168" s="4" t="s">
        <v>9512</v>
      </c>
      <c r="T1168" s="4" t="s">
        <v>2067</v>
      </c>
      <c r="U1168" s="4" t="s">
        <v>3437</v>
      </c>
      <c r="V1168" s="4" t="s">
        <v>2067</v>
      </c>
      <c r="W1168" s="4" t="s">
        <v>2069</v>
      </c>
    </row>
    <row r="1169" spans="1:23" ht="20.100000000000001" customHeight="1" x14ac:dyDescent="0.25">
      <c r="A1169" s="6" t="s">
        <v>9513</v>
      </c>
      <c r="B1169" s="7" t="s">
        <v>2084</v>
      </c>
      <c r="C1169" s="7" t="s">
        <v>9514</v>
      </c>
      <c r="D1169" s="7" t="s">
        <v>8736</v>
      </c>
      <c r="E1169" s="7" t="s">
        <v>1965</v>
      </c>
      <c r="F1169" s="7" t="s">
        <v>1966</v>
      </c>
      <c r="G1169" s="7" t="s">
        <v>2084</v>
      </c>
      <c r="H1169" s="7" t="s">
        <v>1938</v>
      </c>
      <c r="I1169" s="7" t="s">
        <v>1939</v>
      </c>
      <c r="J1169" s="7" t="s">
        <v>9515</v>
      </c>
      <c r="K1169" s="7" t="s">
        <v>9516</v>
      </c>
      <c r="L1169" s="7" t="s">
        <v>9517</v>
      </c>
      <c r="M1169" s="7" t="s">
        <v>2078</v>
      </c>
      <c r="N1169" s="9">
        <v>46224</v>
      </c>
      <c r="O1169" s="9">
        <v>46356</v>
      </c>
      <c r="P1169" s="7" t="s">
        <v>1966</v>
      </c>
      <c r="Q1169" s="7" t="s">
        <v>1939</v>
      </c>
      <c r="R1169" s="7" t="s">
        <v>9518</v>
      </c>
      <c r="S1169" s="7" t="s">
        <v>9519</v>
      </c>
      <c r="T1169" s="7" t="s">
        <v>2067</v>
      </c>
      <c r="U1169" s="7" t="s">
        <v>2174</v>
      </c>
      <c r="V1169" s="7" t="s">
        <v>2067</v>
      </c>
      <c r="W1169" s="7" t="s">
        <v>2069</v>
      </c>
    </row>
    <row r="1170" spans="1:23" ht="20.100000000000001" customHeight="1" x14ac:dyDescent="0.25">
      <c r="A1170" s="3" t="s">
        <v>986</v>
      </c>
      <c r="B1170" s="4" t="s">
        <v>2057</v>
      </c>
      <c r="C1170" s="4" t="s">
        <v>9520</v>
      </c>
      <c r="D1170" s="4" t="s">
        <v>8736</v>
      </c>
      <c r="E1170" s="4" t="s">
        <v>1947</v>
      </c>
      <c r="F1170" s="4" t="s">
        <v>2238</v>
      </c>
      <c r="G1170" s="4" t="s">
        <v>2057</v>
      </c>
      <c r="H1170" s="4" t="s">
        <v>8794</v>
      </c>
      <c r="I1170" s="4" t="s">
        <v>1939</v>
      </c>
      <c r="J1170" s="4" t="s">
        <v>9521</v>
      </c>
      <c r="K1170" s="4" t="s">
        <v>9522</v>
      </c>
      <c r="L1170" s="4" t="s">
        <v>9523</v>
      </c>
      <c r="M1170" s="4" t="s">
        <v>2078</v>
      </c>
      <c r="N1170" s="8">
        <v>46234</v>
      </c>
      <c r="O1170" s="8">
        <v>46356</v>
      </c>
      <c r="P1170" s="4" t="s">
        <v>2090</v>
      </c>
      <c r="Q1170" s="4" t="s">
        <v>1939</v>
      </c>
      <c r="R1170" s="4" t="s">
        <v>3605</v>
      </c>
      <c r="S1170" s="4" t="s">
        <v>9524</v>
      </c>
      <c r="T1170" s="4" t="s">
        <v>2067</v>
      </c>
      <c r="U1170" s="4" t="s">
        <v>2244</v>
      </c>
      <c r="V1170" s="4" t="s">
        <v>2067</v>
      </c>
      <c r="W1170" s="4" t="s">
        <v>2069</v>
      </c>
    </row>
    <row r="1171" spans="1:23" ht="20.100000000000001" customHeight="1" x14ac:dyDescent="0.25">
      <c r="A1171" s="6" t="s">
        <v>624</v>
      </c>
      <c r="B1171" s="7" t="s">
        <v>2057</v>
      </c>
      <c r="C1171" s="7" t="s">
        <v>9525</v>
      </c>
      <c r="D1171" s="7" t="s">
        <v>8736</v>
      </c>
      <c r="E1171" s="7" t="s">
        <v>1940</v>
      </c>
      <c r="F1171" s="7" t="s">
        <v>1941</v>
      </c>
      <c r="G1171" s="7" t="s">
        <v>2057</v>
      </c>
      <c r="H1171" s="7" t="s">
        <v>1946</v>
      </c>
      <c r="I1171" s="7" t="s">
        <v>1939</v>
      </c>
      <c r="J1171" s="7" t="s">
        <v>9526</v>
      </c>
      <c r="K1171" s="7" t="s">
        <v>9527</v>
      </c>
      <c r="L1171" s="7" t="s">
        <v>9528</v>
      </c>
      <c r="M1171" s="7" t="s">
        <v>2078</v>
      </c>
      <c r="N1171" s="9">
        <v>46055</v>
      </c>
      <c r="O1171" s="9">
        <v>46356</v>
      </c>
      <c r="P1171" s="7" t="s">
        <v>1941</v>
      </c>
      <c r="Q1171" s="7" t="s">
        <v>1939</v>
      </c>
      <c r="R1171" s="7" t="s">
        <v>9529</v>
      </c>
      <c r="S1171" s="7" t="s">
        <v>9530</v>
      </c>
      <c r="T1171" s="7" t="s">
        <v>2067</v>
      </c>
      <c r="U1171" s="7" t="s">
        <v>2068</v>
      </c>
      <c r="V1171" s="7" t="s">
        <v>2067</v>
      </c>
      <c r="W1171" s="7" t="s">
        <v>2069</v>
      </c>
    </row>
    <row r="1172" spans="1:23" ht="20.100000000000001" customHeight="1" x14ac:dyDescent="0.25">
      <c r="A1172" s="3" t="s">
        <v>486</v>
      </c>
      <c r="B1172" s="4" t="s">
        <v>2084</v>
      </c>
      <c r="C1172" s="4" t="s">
        <v>9531</v>
      </c>
      <c r="D1172" s="4" t="s">
        <v>8736</v>
      </c>
      <c r="E1172" s="4" t="s">
        <v>1947</v>
      </c>
      <c r="F1172" s="4" t="s">
        <v>1948</v>
      </c>
      <c r="G1172" s="4" t="s">
        <v>2084</v>
      </c>
      <c r="H1172" s="4" t="s">
        <v>8763</v>
      </c>
      <c r="I1172" s="4" t="s">
        <v>1939</v>
      </c>
      <c r="J1172" s="4" t="s">
        <v>9532</v>
      </c>
      <c r="K1172" s="4" t="s">
        <v>9533</v>
      </c>
      <c r="L1172" s="4" t="s">
        <v>9534</v>
      </c>
      <c r="M1172" s="4" t="s">
        <v>2078</v>
      </c>
      <c r="N1172" s="8">
        <v>46056</v>
      </c>
      <c r="O1172" s="8">
        <v>46356</v>
      </c>
      <c r="P1172" s="4" t="s">
        <v>2090</v>
      </c>
      <c r="Q1172" s="4" t="s">
        <v>1939</v>
      </c>
      <c r="R1172" s="4" t="s">
        <v>9535</v>
      </c>
      <c r="S1172" s="4" t="s">
        <v>9536</v>
      </c>
      <c r="T1172" s="4" t="s">
        <v>2067</v>
      </c>
      <c r="U1172" s="4" t="s">
        <v>2146</v>
      </c>
      <c r="V1172" s="4" t="s">
        <v>2067</v>
      </c>
      <c r="W1172" s="4" t="s">
        <v>2069</v>
      </c>
    </row>
    <row r="1173" spans="1:23" ht="20.100000000000001" customHeight="1" x14ac:dyDescent="0.25">
      <c r="A1173" s="6" t="s">
        <v>1282</v>
      </c>
      <c r="B1173" s="7" t="s">
        <v>2057</v>
      </c>
      <c r="C1173" s="7" t="s">
        <v>9537</v>
      </c>
      <c r="D1173" s="7" t="s">
        <v>8736</v>
      </c>
      <c r="E1173" s="7" t="s">
        <v>1947</v>
      </c>
      <c r="F1173" s="7" t="s">
        <v>1948</v>
      </c>
      <c r="G1173" s="7" t="s">
        <v>2057</v>
      </c>
      <c r="H1173" s="7" t="s">
        <v>8794</v>
      </c>
      <c r="I1173" s="7" t="s">
        <v>1939</v>
      </c>
      <c r="J1173" s="7" t="s">
        <v>9538</v>
      </c>
      <c r="K1173" s="7" t="s">
        <v>9539</v>
      </c>
      <c r="L1173" s="7" t="s">
        <v>9540</v>
      </c>
      <c r="M1173" s="7" t="s">
        <v>2078</v>
      </c>
      <c r="N1173" s="9">
        <v>46058</v>
      </c>
      <c r="O1173" s="9">
        <v>46356</v>
      </c>
      <c r="P1173" s="7" t="s">
        <v>2090</v>
      </c>
      <c r="Q1173" s="7" t="s">
        <v>1939</v>
      </c>
      <c r="R1173" s="7" t="s">
        <v>9541</v>
      </c>
      <c r="S1173" s="7" t="s">
        <v>9542</v>
      </c>
      <c r="T1173" s="7" t="s">
        <v>2067</v>
      </c>
      <c r="U1173" s="7" t="s">
        <v>3153</v>
      </c>
      <c r="V1173" s="7" t="s">
        <v>2067</v>
      </c>
      <c r="W1173" s="7" t="s">
        <v>2069</v>
      </c>
    </row>
    <row r="1174" spans="1:23" ht="20.100000000000001" customHeight="1" x14ac:dyDescent="0.25">
      <c r="A1174" s="3" t="s">
        <v>1942</v>
      </c>
      <c r="B1174" s="4" t="s">
        <v>2057</v>
      </c>
      <c r="C1174" s="4" t="s">
        <v>1943</v>
      </c>
      <c r="D1174" s="4" t="s">
        <v>8736</v>
      </c>
      <c r="E1174" s="4" t="s">
        <v>1947</v>
      </c>
      <c r="F1174" s="4" t="s">
        <v>1948</v>
      </c>
      <c r="G1174" s="4" t="s">
        <v>2057</v>
      </c>
      <c r="H1174" s="4" t="s">
        <v>1946</v>
      </c>
      <c r="I1174" s="4" t="s">
        <v>1939</v>
      </c>
      <c r="J1174" s="4" t="s">
        <v>9543</v>
      </c>
      <c r="K1174" s="4" t="s">
        <v>9544</v>
      </c>
      <c r="L1174" s="4" t="s">
        <v>9545</v>
      </c>
      <c r="M1174" s="4" t="s">
        <v>2078</v>
      </c>
      <c r="N1174" s="8">
        <v>46106</v>
      </c>
      <c r="O1174" s="8">
        <v>46356</v>
      </c>
      <c r="P1174" s="4" t="s">
        <v>2090</v>
      </c>
      <c r="Q1174" s="4" t="s">
        <v>1939</v>
      </c>
      <c r="R1174" s="4" t="s">
        <v>9546</v>
      </c>
      <c r="S1174" s="4" t="s">
        <v>9547</v>
      </c>
      <c r="T1174" s="4" t="s">
        <v>2067</v>
      </c>
      <c r="U1174" s="4" t="s">
        <v>8824</v>
      </c>
      <c r="V1174" s="4" t="s">
        <v>2067</v>
      </c>
      <c r="W1174" s="4" t="s">
        <v>2069</v>
      </c>
    </row>
    <row r="1175" spans="1:23" ht="20.100000000000001" customHeight="1" x14ac:dyDescent="0.25">
      <c r="A1175" s="6" t="s">
        <v>636</v>
      </c>
      <c r="B1175" s="7" t="s">
        <v>2084</v>
      </c>
      <c r="C1175" s="7" t="s">
        <v>9548</v>
      </c>
      <c r="D1175" s="7" t="s">
        <v>8736</v>
      </c>
      <c r="E1175" s="7" t="s">
        <v>7018</v>
      </c>
      <c r="F1175" s="7" t="s">
        <v>7019</v>
      </c>
      <c r="G1175" s="7" t="s">
        <v>2084</v>
      </c>
      <c r="H1175" s="7" t="s">
        <v>2040</v>
      </c>
      <c r="I1175" s="7" t="s">
        <v>1939</v>
      </c>
      <c r="J1175" s="7" t="s">
        <v>9549</v>
      </c>
      <c r="K1175" s="7" t="s">
        <v>9550</v>
      </c>
      <c r="L1175" s="7" t="s">
        <v>9551</v>
      </c>
      <c r="M1175" s="7" t="s">
        <v>2078</v>
      </c>
      <c r="N1175" s="9">
        <v>46106</v>
      </c>
      <c r="O1175" s="9">
        <v>46356</v>
      </c>
      <c r="P1175" s="7" t="s">
        <v>7024</v>
      </c>
      <c r="Q1175" s="7" t="s">
        <v>1939</v>
      </c>
      <c r="R1175" s="7" t="s">
        <v>9552</v>
      </c>
      <c r="S1175" s="7" t="s">
        <v>9553</v>
      </c>
      <c r="T1175" s="7" t="s">
        <v>2067</v>
      </c>
      <c r="U1175" s="7" t="s">
        <v>7027</v>
      </c>
      <c r="V1175" s="7" t="s">
        <v>2067</v>
      </c>
      <c r="W1175" s="7" t="s">
        <v>2069</v>
      </c>
    </row>
    <row r="1176" spans="1:23" ht="20.100000000000001" customHeight="1" x14ac:dyDescent="0.25">
      <c r="A1176" s="3" t="s">
        <v>426</v>
      </c>
      <c r="B1176" s="4" t="s">
        <v>2084</v>
      </c>
      <c r="C1176" s="4" t="s">
        <v>9554</v>
      </c>
      <c r="D1176" s="4" t="s">
        <v>8736</v>
      </c>
      <c r="E1176" s="4" t="s">
        <v>7018</v>
      </c>
      <c r="F1176" s="4" t="s">
        <v>7019</v>
      </c>
      <c r="G1176" s="4" t="s">
        <v>2084</v>
      </c>
      <c r="H1176" s="4" t="s">
        <v>1938</v>
      </c>
      <c r="I1176" s="4" t="s">
        <v>1939</v>
      </c>
      <c r="J1176" s="4" t="s">
        <v>9555</v>
      </c>
      <c r="K1176" s="4" t="s">
        <v>9556</v>
      </c>
      <c r="L1176" s="4" t="s">
        <v>9557</v>
      </c>
      <c r="M1176" s="4" t="s">
        <v>2078</v>
      </c>
      <c r="N1176" s="8">
        <v>46175</v>
      </c>
      <c r="O1176" s="8">
        <v>46356</v>
      </c>
      <c r="P1176" s="4" t="s">
        <v>7024</v>
      </c>
      <c r="Q1176" s="4" t="s">
        <v>1939</v>
      </c>
      <c r="R1176" s="4" t="s">
        <v>9558</v>
      </c>
      <c r="S1176" s="4" t="s">
        <v>9559</v>
      </c>
      <c r="T1176" s="4" t="s">
        <v>2067</v>
      </c>
      <c r="U1176" s="4" t="s">
        <v>7027</v>
      </c>
      <c r="V1176" s="4" t="s">
        <v>2067</v>
      </c>
      <c r="W1176" s="4" t="s">
        <v>2069</v>
      </c>
    </row>
    <row r="1177" spans="1:23" ht="20.100000000000001" customHeight="1" x14ac:dyDescent="0.25">
      <c r="A1177" s="6" t="s">
        <v>498</v>
      </c>
      <c r="B1177" s="7" t="s">
        <v>2084</v>
      </c>
      <c r="C1177" s="7" t="s">
        <v>9560</v>
      </c>
      <c r="D1177" s="7" t="s">
        <v>8736</v>
      </c>
      <c r="E1177" s="7" t="s">
        <v>4160</v>
      </c>
      <c r="F1177" s="7" t="s">
        <v>4161</v>
      </c>
      <c r="G1177" s="7" t="s">
        <v>2084</v>
      </c>
      <c r="H1177" s="7" t="s">
        <v>8879</v>
      </c>
      <c r="I1177" s="7" t="s">
        <v>1939</v>
      </c>
      <c r="J1177" s="7" t="s">
        <v>9561</v>
      </c>
      <c r="K1177" s="7" t="s">
        <v>9562</v>
      </c>
      <c r="L1177" s="7" t="s">
        <v>9563</v>
      </c>
      <c r="M1177" s="7" t="s">
        <v>2078</v>
      </c>
      <c r="N1177" s="9">
        <v>46108</v>
      </c>
      <c r="O1177" s="9">
        <v>46356</v>
      </c>
      <c r="P1177" s="7" t="s">
        <v>4161</v>
      </c>
      <c r="Q1177" s="7" t="s">
        <v>1939</v>
      </c>
      <c r="R1177" s="7" t="s">
        <v>9564</v>
      </c>
      <c r="S1177" s="7" t="s">
        <v>9565</v>
      </c>
      <c r="T1177" s="7" t="s">
        <v>2067</v>
      </c>
      <c r="U1177" s="7" t="s">
        <v>4167</v>
      </c>
      <c r="V1177" s="7" t="s">
        <v>2067</v>
      </c>
      <c r="W1177" s="7" t="s">
        <v>2069</v>
      </c>
    </row>
    <row r="1178" spans="1:23" ht="20.100000000000001" customHeight="1" x14ac:dyDescent="0.25">
      <c r="A1178" s="3" t="s">
        <v>54</v>
      </c>
      <c r="B1178" s="4" t="s">
        <v>2057</v>
      </c>
      <c r="C1178" s="4" t="s">
        <v>9566</v>
      </c>
      <c r="D1178" s="4" t="s">
        <v>8736</v>
      </c>
      <c r="E1178" s="4" t="s">
        <v>2189</v>
      </c>
      <c r="F1178" s="4" t="s">
        <v>2190</v>
      </c>
      <c r="G1178" s="4" t="s">
        <v>2057</v>
      </c>
      <c r="H1178" s="4" t="s">
        <v>9391</v>
      </c>
      <c r="I1178" s="4" t="s">
        <v>1939</v>
      </c>
      <c r="J1178" s="4" t="s">
        <v>9567</v>
      </c>
      <c r="K1178" s="4" t="s">
        <v>9568</v>
      </c>
      <c r="L1178" s="4" t="s">
        <v>9569</v>
      </c>
      <c r="M1178" s="4" t="s">
        <v>2078</v>
      </c>
      <c r="N1178" s="8">
        <v>46108</v>
      </c>
      <c r="O1178" s="8">
        <v>46356</v>
      </c>
      <c r="P1178" s="4" t="s">
        <v>2195</v>
      </c>
      <c r="Q1178" s="4" t="s">
        <v>1939</v>
      </c>
      <c r="R1178" s="4" t="s">
        <v>9570</v>
      </c>
      <c r="S1178" s="4" t="s">
        <v>9571</v>
      </c>
      <c r="T1178" s="4" t="s">
        <v>2067</v>
      </c>
      <c r="U1178" s="4" t="s">
        <v>2198</v>
      </c>
      <c r="V1178" s="4" t="s">
        <v>2067</v>
      </c>
      <c r="W1178" s="4" t="s">
        <v>2069</v>
      </c>
    </row>
    <row r="1179" spans="1:23" ht="20.100000000000001" customHeight="1" x14ac:dyDescent="0.25">
      <c r="A1179" s="6" t="s">
        <v>200</v>
      </c>
      <c r="B1179" s="7" t="s">
        <v>2084</v>
      </c>
      <c r="C1179" s="7" t="s">
        <v>9572</v>
      </c>
      <c r="D1179" s="7" t="s">
        <v>8736</v>
      </c>
      <c r="E1179" s="7" t="s">
        <v>1947</v>
      </c>
      <c r="F1179" s="7" t="s">
        <v>1948</v>
      </c>
      <c r="G1179" s="7" t="s">
        <v>2084</v>
      </c>
      <c r="H1179" s="7" t="s">
        <v>1938</v>
      </c>
      <c r="I1179" s="7" t="s">
        <v>1939</v>
      </c>
      <c r="J1179" s="7" t="s">
        <v>9573</v>
      </c>
      <c r="K1179" s="7" t="s">
        <v>9574</v>
      </c>
      <c r="L1179" s="7" t="s">
        <v>9575</v>
      </c>
      <c r="M1179" s="7" t="s">
        <v>2078</v>
      </c>
      <c r="N1179" s="9">
        <v>46108</v>
      </c>
      <c r="O1179" s="9">
        <v>46356</v>
      </c>
      <c r="P1179" s="7" t="s">
        <v>2090</v>
      </c>
      <c r="Q1179" s="7" t="s">
        <v>1939</v>
      </c>
      <c r="R1179" s="7" t="s">
        <v>2126</v>
      </c>
      <c r="S1179" s="7" t="s">
        <v>9576</v>
      </c>
      <c r="T1179" s="7" t="s">
        <v>2067</v>
      </c>
      <c r="U1179" s="7" t="s">
        <v>2146</v>
      </c>
      <c r="V1179" s="7" t="s">
        <v>2067</v>
      </c>
      <c r="W1179" s="7" t="s">
        <v>2069</v>
      </c>
    </row>
    <row r="1180" spans="1:23" ht="20.100000000000001" customHeight="1" x14ac:dyDescent="0.25">
      <c r="A1180" s="3" t="s">
        <v>150</v>
      </c>
      <c r="B1180" s="4" t="s">
        <v>2084</v>
      </c>
      <c r="C1180" s="4" t="s">
        <v>9577</v>
      </c>
      <c r="D1180" s="4" t="s">
        <v>8736</v>
      </c>
      <c r="E1180" s="4" t="s">
        <v>1947</v>
      </c>
      <c r="F1180" s="4" t="s">
        <v>1948</v>
      </c>
      <c r="G1180" s="4" t="s">
        <v>2084</v>
      </c>
      <c r="H1180" s="4" t="s">
        <v>1982</v>
      </c>
      <c r="I1180" s="4" t="s">
        <v>1939</v>
      </c>
      <c r="J1180" s="4" t="s">
        <v>9578</v>
      </c>
      <c r="K1180" s="4" t="s">
        <v>9579</v>
      </c>
      <c r="L1180" s="4" t="s">
        <v>9580</v>
      </c>
      <c r="M1180" s="4" t="s">
        <v>2078</v>
      </c>
      <c r="N1180" s="8">
        <v>46052</v>
      </c>
      <c r="O1180" s="8">
        <v>46356</v>
      </c>
      <c r="P1180" s="4" t="s">
        <v>2090</v>
      </c>
      <c r="Q1180" s="4" t="s">
        <v>1939</v>
      </c>
      <c r="R1180" s="4" t="s">
        <v>8060</v>
      </c>
      <c r="S1180" s="4" t="s">
        <v>9581</v>
      </c>
      <c r="T1180" s="4" t="s">
        <v>2067</v>
      </c>
      <c r="U1180" s="4" t="s">
        <v>2146</v>
      </c>
      <c r="V1180" s="4" t="s">
        <v>2067</v>
      </c>
      <c r="W1180" s="4" t="s">
        <v>2069</v>
      </c>
    </row>
    <row r="1181" spans="1:23" ht="20.100000000000001" customHeight="1" x14ac:dyDescent="0.25">
      <c r="A1181" s="6" t="s">
        <v>310</v>
      </c>
      <c r="B1181" s="7" t="s">
        <v>2084</v>
      </c>
      <c r="C1181" s="7" t="s">
        <v>9582</v>
      </c>
      <c r="D1181" s="7" t="s">
        <v>8736</v>
      </c>
      <c r="E1181" s="7" t="s">
        <v>3520</v>
      </c>
      <c r="F1181" s="7" t="s">
        <v>3521</v>
      </c>
      <c r="G1181" s="7" t="s">
        <v>2084</v>
      </c>
      <c r="H1181" s="7" t="s">
        <v>8763</v>
      </c>
      <c r="I1181" s="7" t="s">
        <v>1939</v>
      </c>
      <c r="J1181" s="7" t="s">
        <v>9583</v>
      </c>
      <c r="K1181" s="7" t="s">
        <v>9584</v>
      </c>
      <c r="L1181" s="7" t="s">
        <v>9585</v>
      </c>
      <c r="M1181" s="7" t="s">
        <v>2078</v>
      </c>
      <c r="N1181" s="9">
        <v>46204</v>
      </c>
      <c r="O1181" s="9">
        <v>46356</v>
      </c>
      <c r="P1181" s="7" t="s">
        <v>3521</v>
      </c>
      <c r="Q1181" s="7" t="s">
        <v>1939</v>
      </c>
      <c r="R1181" s="7" t="s">
        <v>9586</v>
      </c>
      <c r="S1181" s="7" t="s">
        <v>9587</v>
      </c>
      <c r="T1181" s="7" t="s">
        <v>2067</v>
      </c>
      <c r="U1181" s="7" t="s">
        <v>3527</v>
      </c>
      <c r="V1181" s="7" t="s">
        <v>2067</v>
      </c>
      <c r="W1181" s="7" t="s">
        <v>2069</v>
      </c>
    </row>
    <row r="1182" spans="1:23" ht="20.100000000000001" customHeight="1" x14ac:dyDescent="0.25">
      <c r="A1182" s="3" t="s">
        <v>1342</v>
      </c>
      <c r="B1182" s="4" t="s">
        <v>2057</v>
      </c>
      <c r="C1182" s="4" t="s">
        <v>9588</v>
      </c>
      <c r="D1182" s="4" t="s">
        <v>8736</v>
      </c>
      <c r="E1182" s="4" t="s">
        <v>1947</v>
      </c>
      <c r="F1182" s="4" t="s">
        <v>1948</v>
      </c>
      <c r="G1182" s="4" t="s">
        <v>2057</v>
      </c>
      <c r="H1182" s="4" t="s">
        <v>9391</v>
      </c>
      <c r="I1182" s="4" t="s">
        <v>1939</v>
      </c>
      <c r="J1182" s="4" t="s">
        <v>9589</v>
      </c>
      <c r="K1182" s="4" t="s">
        <v>9590</v>
      </c>
      <c r="L1182" s="4" t="s">
        <v>9591</v>
      </c>
      <c r="M1182" s="4" t="s">
        <v>2078</v>
      </c>
      <c r="N1182" s="8">
        <v>46057</v>
      </c>
      <c r="O1182" s="8">
        <v>46356</v>
      </c>
      <c r="P1182" s="4" t="s">
        <v>2090</v>
      </c>
      <c r="Q1182" s="4" t="s">
        <v>1939</v>
      </c>
      <c r="R1182" s="4" t="s">
        <v>9592</v>
      </c>
      <c r="S1182" s="4" t="s">
        <v>9593</v>
      </c>
      <c r="T1182" s="4" t="s">
        <v>2067</v>
      </c>
      <c r="U1182" s="4" t="s">
        <v>3437</v>
      </c>
      <c r="V1182" s="4" t="s">
        <v>2067</v>
      </c>
      <c r="W1182" s="4" t="s">
        <v>2069</v>
      </c>
    </row>
    <row r="1183" spans="1:23" ht="20.100000000000001" customHeight="1" x14ac:dyDescent="0.25">
      <c r="A1183" s="6" t="s">
        <v>44</v>
      </c>
      <c r="B1183" s="7" t="s">
        <v>2084</v>
      </c>
      <c r="C1183" s="7" t="s">
        <v>1935</v>
      </c>
      <c r="D1183" s="7" t="s">
        <v>8736</v>
      </c>
      <c r="E1183" s="7" t="s">
        <v>1940</v>
      </c>
      <c r="F1183" s="7" t="s">
        <v>1941</v>
      </c>
      <c r="G1183" s="7" t="s">
        <v>2084</v>
      </c>
      <c r="H1183" s="7" t="s">
        <v>1938</v>
      </c>
      <c r="I1183" s="7" t="s">
        <v>1939</v>
      </c>
      <c r="J1183" s="7" t="s">
        <v>9594</v>
      </c>
      <c r="K1183" s="7" t="s">
        <v>9595</v>
      </c>
      <c r="L1183" s="7" t="s">
        <v>9596</v>
      </c>
      <c r="M1183" s="7" t="s">
        <v>2078</v>
      </c>
      <c r="N1183" s="9">
        <v>46234</v>
      </c>
      <c r="O1183" s="9">
        <v>46356</v>
      </c>
      <c r="P1183" s="7" t="s">
        <v>7024</v>
      </c>
      <c r="Q1183" s="7" t="s">
        <v>1939</v>
      </c>
      <c r="R1183" s="7" t="s">
        <v>9597</v>
      </c>
      <c r="S1183" s="7" t="s">
        <v>9500</v>
      </c>
      <c r="T1183" s="7" t="s">
        <v>2067</v>
      </c>
      <c r="U1183" s="7" t="s">
        <v>7027</v>
      </c>
      <c r="V1183" s="7" t="s">
        <v>2067</v>
      </c>
      <c r="W1183" s="7" t="s">
        <v>2069</v>
      </c>
    </row>
    <row r="1184" spans="1:23" ht="20.100000000000001" customHeight="1" x14ac:dyDescent="0.25">
      <c r="A1184" s="3" t="s">
        <v>12</v>
      </c>
      <c r="B1184" s="4" t="s">
        <v>2084</v>
      </c>
      <c r="C1184" s="4" t="s">
        <v>9598</v>
      </c>
      <c r="D1184" s="4" t="s">
        <v>8736</v>
      </c>
      <c r="E1184" s="4" t="s">
        <v>1965</v>
      </c>
      <c r="F1184" s="4" t="s">
        <v>1966</v>
      </c>
      <c r="G1184" s="4" t="s">
        <v>2084</v>
      </c>
      <c r="H1184" s="4" t="s">
        <v>1982</v>
      </c>
      <c r="I1184" s="4" t="s">
        <v>1939</v>
      </c>
      <c r="J1184" s="4" t="s">
        <v>9599</v>
      </c>
      <c r="K1184" s="4" t="s">
        <v>9600</v>
      </c>
      <c r="L1184" s="4" t="s">
        <v>9601</v>
      </c>
      <c r="M1184" s="4" t="s">
        <v>2078</v>
      </c>
      <c r="N1184" s="8">
        <v>46055</v>
      </c>
      <c r="O1184" s="8">
        <v>46356</v>
      </c>
      <c r="P1184" s="4" t="s">
        <v>1966</v>
      </c>
      <c r="Q1184" s="4" t="s">
        <v>1939</v>
      </c>
      <c r="R1184" s="4" t="s">
        <v>9602</v>
      </c>
      <c r="S1184" s="4" t="s">
        <v>9603</v>
      </c>
      <c r="T1184" s="4" t="s">
        <v>2067</v>
      </c>
      <c r="U1184" s="4" t="s">
        <v>2174</v>
      </c>
      <c r="V1184" s="4" t="s">
        <v>2067</v>
      </c>
      <c r="W1184" s="4" t="s">
        <v>2069</v>
      </c>
    </row>
    <row r="1185" spans="1:23" ht="20.100000000000001" customHeight="1" x14ac:dyDescent="0.25">
      <c r="A1185" s="6" t="s">
        <v>846</v>
      </c>
      <c r="B1185" s="7" t="s">
        <v>2057</v>
      </c>
      <c r="C1185" s="7" t="s">
        <v>9604</v>
      </c>
      <c r="D1185" s="7" t="s">
        <v>8736</v>
      </c>
      <c r="E1185" s="7" t="s">
        <v>1947</v>
      </c>
      <c r="F1185" s="7" t="s">
        <v>1948</v>
      </c>
      <c r="G1185" s="7" t="s">
        <v>2057</v>
      </c>
      <c r="H1185" s="7" t="s">
        <v>8794</v>
      </c>
      <c r="I1185" s="7" t="s">
        <v>1939</v>
      </c>
      <c r="J1185" s="7" t="s">
        <v>9605</v>
      </c>
      <c r="K1185" s="7" t="s">
        <v>9606</v>
      </c>
      <c r="L1185" s="7" t="s">
        <v>9607</v>
      </c>
      <c r="M1185" s="7" t="s">
        <v>2078</v>
      </c>
      <c r="N1185" s="9">
        <v>46056</v>
      </c>
      <c r="O1185" s="9">
        <v>46356</v>
      </c>
      <c r="P1185" s="7" t="s">
        <v>2090</v>
      </c>
      <c r="Q1185" s="7" t="s">
        <v>1939</v>
      </c>
      <c r="R1185" s="7" t="s">
        <v>3666</v>
      </c>
      <c r="S1185" s="7" t="s">
        <v>9608</v>
      </c>
      <c r="T1185" s="7" t="s">
        <v>2067</v>
      </c>
      <c r="U1185" s="7" t="s">
        <v>3437</v>
      </c>
      <c r="V1185" s="7" t="s">
        <v>2067</v>
      </c>
      <c r="W1185" s="7" t="s">
        <v>2069</v>
      </c>
    </row>
    <row r="1186" spans="1:23" ht="20.100000000000001" customHeight="1" x14ac:dyDescent="0.25">
      <c r="A1186" s="3" t="s">
        <v>938</v>
      </c>
      <c r="B1186" s="4" t="s">
        <v>2057</v>
      </c>
      <c r="C1186" s="4" t="s">
        <v>9609</v>
      </c>
      <c r="D1186" s="4" t="s">
        <v>8736</v>
      </c>
      <c r="E1186" s="4" t="s">
        <v>1947</v>
      </c>
      <c r="F1186" s="4" t="s">
        <v>1948</v>
      </c>
      <c r="G1186" s="4" t="s">
        <v>2057</v>
      </c>
      <c r="H1186" s="4" t="s">
        <v>8794</v>
      </c>
      <c r="I1186" s="4" t="s">
        <v>1939</v>
      </c>
      <c r="J1186" s="4" t="s">
        <v>9610</v>
      </c>
      <c r="K1186" s="4" t="s">
        <v>9611</v>
      </c>
      <c r="L1186" s="4" t="s">
        <v>9612</v>
      </c>
      <c r="M1186" s="4" t="s">
        <v>2078</v>
      </c>
      <c r="N1186" s="8">
        <v>46164</v>
      </c>
      <c r="O1186" s="8">
        <v>46356</v>
      </c>
      <c r="P1186" s="4" t="s">
        <v>2090</v>
      </c>
      <c r="Q1186" s="4" t="s">
        <v>1939</v>
      </c>
      <c r="R1186" s="4" t="s">
        <v>9613</v>
      </c>
      <c r="S1186" s="4" t="s">
        <v>9614</v>
      </c>
      <c r="T1186" s="4" t="s">
        <v>2067</v>
      </c>
      <c r="U1186" s="4" t="s">
        <v>2146</v>
      </c>
      <c r="V1186" s="4" t="s">
        <v>2067</v>
      </c>
      <c r="W1186" s="4" t="s">
        <v>2069</v>
      </c>
    </row>
    <row r="1187" spans="1:23" ht="20.100000000000001" customHeight="1" x14ac:dyDescent="0.25">
      <c r="A1187" s="6" t="s">
        <v>978</v>
      </c>
      <c r="B1187" s="7" t="s">
        <v>2057</v>
      </c>
      <c r="C1187" s="7" t="s">
        <v>9615</v>
      </c>
      <c r="D1187" s="7" t="s">
        <v>8736</v>
      </c>
      <c r="E1187" s="7" t="s">
        <v>1947</v>
      </c>
      <c r="F1187" s="7" t="s">
        <v>1948</v>
      </c>
      <c r="G1187" s="7" t="s">
        <v>2057</v>
      </c>
      <c r="H1187" s="7" t="s">
        <v>9391</v>
      </c>
      <c r="I1187" s="7" t="s">
        <v>1939</v>
      </c>
      <c r="J1187" s="7" t="s">
        <v>9616</v>
      </c>
      <c r="K1187" s="7" t="s">
        <v>9617</v>
      </c>
      <c r="L1187" s="7" t="s">
        <v>9618</v>
      </c>
      <c r="M1187" s="7" t="s">
        <v>2078</v>
      </c>
      <c r="N1187" s="9">
        <v>46107</v>
      </c>
      <c r="O1187" s="9">
        <v>46356</v>
      </c>
      <c r="P1187" s="7" t="s">
        <v>2090</v>
      </c>
      <c r="Q1187" s="7" t="s">
        <v>1939</v>
      </c>
      <c r="R1187" s="7" t="s">
        <v>2663</v>
      </c>
      <c r="S1187" s="7" t="s">
        <v>9619</v>
      </c>
      <c r="T1187" s="7" t="s">
        <v>2067</v>
      </c>
      <c r="U1187" s="7" t="s">
        <v>8824</v>
      </c>
      <c r="V1187" s="7" t="s">
        <v>2067</v>
      </c>
      <c r="W1187" s="7" t="s">
        <v>2069</v>
      </c>
    </row>
    <row r="1188" spans="1:23" ht="20.100000000000001" customHeight="1" x14ac:dyDescent="0.25">
      <c r="A1188" s="3" t="s">
        <v>1504</v>
      </c>
      <c r="B1188" s="4" t="s">
        <v>2057</v>
      </c>
      <c r="C1188" s="4" t="s">
        <v>9620</v>
      </c>
      <c r="D1188" s="4" t="s">
        <v>8736</v>
      </c>
      <c r="E1188" s="4" t="s">
        <v>1947</v>
      </c>
      <c r="F1188" s="4" t="s">
        <v>2238</v>
      </c>
      <c r="G1188" s="4" t="s">
        <v>2057</v>
      </c>
      <c r="H1188" s="4" t="s">
        <v>8794</v>
      </c>
      <c r="I1188" s="4" t="s">
        <v>1939</v>
      </c>
      <c r="J1188" s="4" t="s">
        <v>9621</v>
      </c>
      <c r="K1188" s="4" t="s">
        <v>9622</v>
      </c>
      <c r="L1188" s="4" t="s">
        <v>9623</v>
      </c>
      <c r="M1188" s="4" t="s">
        <v>2078</v>
      </c>
      <c r="N1188" s="8">
        <v>46234</v>
      </c>
      <c r="O1188" s="8">
        <v>46356</v>
      </c>
      <c r="P1188" s="4" t="s">
        <v>2090</v>
      </c>
      <c r="Q1188" s="4" t="s">
        <v>1939</v>
      </c>
      <c r="R1188" s="4" t="s">
        <v>9624</v>
      </c>
      <c r="S1188" s="4" t="s">
        <v>9625</v>
      </c>
      <c r="T1188" s="4" t="s">
        <v>2067</v>
      </c>
      <c r="U1188" s="4" t="s">
        <v>2244</v>
      </c>
      <c r="V1188" s="4" t="s">
        <v>2067</v>
      </c>
      <c r="W1188" s="4" t="s">
        <v>2069</v>
      </c>
    </row>
    <row r="1189" spans="1:23" ht="20.100000000000001" customHeight="1" x14ac:dyDescent="0.25">
      <c r="A1189" s="6" t="s">
        <v>9626</v>
      </c>
      <c r="B1189" s="7" t="s">
        <v>2057</v>
      </c>
      <c r="C1189" s="7" t="s">
        <v>9627</v>
      </c>
      <c r="D1189" s="7" t="s">
        <v>8736</v>
      </c>
      <c r="E1189" s="7" t="s">
        <v>1947</v>
      </c>
      <c r="F1189" s="7" t="s">
        <v>1948</v>
      </c>
      <c r="G1189" s="7" t="s">
        <v>2057</v>
      </c>
      <c r="H1189" s="7" t="s">
        <v>8794</v>
      </c>
      <c r="I1189" s="7" t="s">
        <v>1939</v>
      </c>
      <c r="J1189" s="7" t="s">
        <v>9628</v>
      </c>
      <c r="K1189" s="7" t="s">
        <v>9629</v>
      </c>
      <c r="L1189" s="7" t="s">
        <v>9630</v>
      </c>
      <c r="M1189" s="7" t="s">
        <v>2078</v>
      </c>
      <c r="N1189" s="9">
        <v>46052</v>
      </c>
      <c r="O1189" s="9">
        <v>46356</v>
      </c>
      <c r="P1189" s="7" t="s">
        <v>2090</v>
      </c>
      <c r="Q1189" s="7" t="s">
        <v>1939</v>
      </c>
      <c r="R1189" s="7" t="s">
        <v>9631</v>
      </c>
      <c r="S1189" s="7" t="s">
        <v>9632</v>
      </c>
      <c r="T1189" s="7" t="s">
        <v>2067</v>
      </c>
      <c r="U1189" s="7" t="s">
        <v>3153</v>
      </c>
      <c r="V1189" s="7" t="s">
        <v>2067</v>
      </c>
      <c r="W1189" s="7" t="s">
        <v>2069</v>
      </c>
    </row>
    <row r="1190" spans="1:23" ht="20.100000000000001" customHeight="1" x14ac:dyDescent="0.25">
      <c r="A1190" s="3" t="s">
        <v>392</v>
      </c>
      <c r="B1190" s="4" t="s">
        <v>2084</v>
      </c>
      <c r="C1190" s="4" t="s">
        <v>9633</v>
      </c>
      <c r="D1190" s="4" t="s">
        <v>8736</v>
      </c>
      <c r="E1190" s="4" t="s">
        <v>1947</v>
      </c>
      <c r="F1190" s="4" t="s">
        <v>1948</v>
      </c>
      <c r="G1190" s="4" t="s">
        <v>2084</v>
      </c>
      <c r="H1190" s="4" t="s">
        <v>1938</v>
      </c>
      <c r="I1190" s="4" t="s">
        <v>1939</v>
      </c>
      <c r="J1190" s="4" t="s">
        <v>9634</v>
      </c>
      <c r="K1190" s="4" t="s">
        <v>9635</v>
      </c>
      <c r="L1190" s="4" t="s">
        <v>9636</v>
      </c>
      <c r="M1190" s="4" t="s">
        <v>2078</v>
      </c>
      <c r="N1190" s="8">
        <v>46070</v>
      </c>
      <c r="O1190" s="8">
        <v>46356</v>
      </c>
      <c r="P1190" s="4" t="s">
        <v>2090</v>
      </c>
      <c r="Q1190" s="4" t="s">
        <v>1939</v>
      </c>
      <c r="R1190" s="4" t="s">
        <v>9637</v>
      </c>
      <c r="S1190" s="4" t="s">
        <v>9638</v>
      </c>
      <c r="T1190" s="4" t="s">
        <v>2067</v>
      </c>
      <c r="U1190" s="4" t="s">
        <v>2146</v>
      </c>
      <c r="V1190" s="4" t="s">
        <v>2067</v>
      </c>
      <c r="W1190" s="4" t="s">
        <v>2069</v>
      </c>
    </row>
    <row r="1191" spans="1:23" ht="20.100000000000001" customHeight="1" x14ac:dyDescent="0.25">
      <c r="A1191" s="6" t="s">
        <v>9639</v>
      </c>
      <c r="B1191" s="7" t="s">
        <v>2084</v>
      </c>
      <c r="C1191" s="7" t="s">
        <v>9640</v>
      </c>
      <c r="D1191" s="7" t="s">
        <v>8736</v>
      </c>
      <c r="E1191" s="7" t="s">
        <v>1947</v>
      </c>
      <c r="F1191" s="7" t="s">
        <v>1948</v>
      </c>
      <c r="G1191" s="7" t="s">
        <v>2084</v>
      </c>
      <c r="H1191" s="7" t="s">
        <v>8879</v>
      </c>
      <c r="I1191" s="7" t="s">
        <v>1939</v>
      </c>
      <c r="J1191" s="7" t="s">
        <v>9641</v>
      </c>
      <c r="K1191" s="7" t="s">
        <v>9642</v>
      </c>
      <c r="L1191" s="7" t="s">
        <v>9643</v>
      </c>
      <c r="M1191" s="7" t="s">
        <v>2078</v>
      </c>
      <c r="N1191" s="9">
        <v>46066</v>
      </c>
      <c r="O1191" s="9">
        <v>46356</v>
      </c>
      <c r="P1191" s="7" t="s">
        <v>2090</v>
      </c>
      <c r="Q1191" s="7" t="s">
        <v>1939</v>
      </c>
      <c r="R1191" s="7" t="s">
        <v>9644</v>
      </c>
      <c r="S1191" s="7" t="s">
        <v>9645</v>
      </c>
      <c r="T1191" s="7" t="s">
        <v>2067</v>
      </c>
      <c r="U1191" s="7" t="s">
        <v>2146</v>
      </c>
      <c r="V1191" s="7" t="s">
        <v>2067</v>
      </c>
      <c r="W1191" s="7" t="s">
        <v>2069</v>
      </c>
    </row>
    <row r="1192" spans="1:23" ht="20.100000000000001" customHeight="1" x14ac:dyDescent="0.25">
      <c r="A1192" s="3" t="s">
        <v>616</v>
      </c>
      <c r="B1192" s="4" t="s">
        <v>2084</v>
      </c>
      <c r="C1192" s="4" t="s">
        <v>9646</v>
      </c>
      <c r="D1192" s="4" t="s">
        <v>8736</v>
      </c>
      <c r="E1192" s="4" t="s">
        <v>1965</v>
      </c>
      <c r="F1192" s="4" t="s">
        <v>1966</v>
      </c>
      <c r="G1192" s="4" t="s">
        <v>2084</v>
      </c>
      <c r="H1192" s="4" t="s">
        <v>2040</v>
      </c>
      <c r="I1192" s="4" t="s">
        <v>1939</v>
      </c>
      <c r="J1192" s="4" t="s">
        <v>9647</v>
      </c>
      <c r="K1192" s="4" t="s">
        <v>9648</v>
      </c>
      <c r="L1192" s="4" t="s">
        <v>9649</v>
      </c>
      <c r="M1192" s="4" t="s">
        <v>2078</v>
      </c>
      <c r="N1192" s="8">
        <v>46069</v>
      </c>
      <c r="O1192" s="8">
        <v>46356</v>
      </c>
      <c r="P1192" s="4" t="s">
        <v>1966</v>
      </c>
      <c r="Q1192" s="4" t="s">
        <v>1939</v>
      </c>
      <c r="R1192" s="4" t="s">
        <v>7165</v>
      </c>
      <c r="S1192" s="4" t="s">
        <v>9650</v>
      </c>
      <c r="T1192" s="4" t="s">
        <v>2067</v>
      </c>
      <c r="U1192" s="4" t="s">
        <v>2174</v>
      </c>
      <c r="V1192" s="4" t="s">
        <v>2067</v>
      </c>
      <c r="W1192" s="4" t="s">
        <v>2069</v>
      </c>
    </row>
    <row r="1193" spans="1:23" ht="20.100000000000001" customHeight="1" x14ac:dyDescent="0.25">
      <c r="A1193" s="6" t="s">
        <v>646</v>
      </c>
      <c r="B1193" s="7" t="s">
        <v>2084</v>
      </c>
      <c r="C1193" s="7" t="s">
        <v>2039</v>
      </c>
      <c r="D1193" s="7" t="s">
        <v>8736</v>
      </c>
      <c r="E1193" s="7" t="s">
        <v>1952</v>
      </c>
      <c r="F1193" s="7" t="s">
        <v>1953</v>
      </c>
      <c r="G1193" s="7" t="s">
        <v>2084</v>
      </c>
      <c r="H1193" s="7" t="s">
        <v>2040</v>
      </c>
      <c r="I1193" s="7" t="s">
        <v>1939</v>
      </c>
      <c r="J1193" s="7" t="s">
        <v>9651</v>
      </c>
      <c r="K1193" s="7" t="s">
        <v>9652</v>
      </c>
      <c r="L1193" s="7" t="s">
        <v>9653</v>
      </c>
      <c r="M1193" s="7" t="s">
        <v>2078</v>
      </c>
      <c r="N1193" s="9">
        <v>46072</v>
      </c>
      <c r="O1193" s="9">
        <v>46356</v>
      </c>
      <c r="P1193" s="7" t="s">
        <v>1953</v>
      </c>
      <c r="Q1193" s="7" t="s">
        <v>1939</v>
      </c>
      <c r="R1193" s="7" t="s">
        <v>9654</v>
      </c>
      <c r="S1193" s="7" t="s">
        <v>9655</v>
      </c>
      <c r="T1193" s="7" t="s">
        <v>2067</v>
      </c>
      <c r="U1193" s="7" t="s">
        <v>2358</v>
      </c>
      <c r="V1193" s="7" t="s">
        <v>2067</v>
      </c>
      <c r="W1193" s="7" t="s">
        <v>2069</v>
      </c>
    </row>
    <row r="1194" spans="1:23" ht="20.100000000000001" customHeight="1" x14ac:dyDescent="0.25">
      <c r="A1194" s="3" t="s">
        <v>190</v>
      </c>
      <c r="B1194" s="4" t="s">
        <v>2084</v>
      </c>
      <c r="C1194" s="4" t="s">
        <v>9656</v>
      </c>
      <c r="D1194" s="4" t="s">
        <v>8736</v>
      </c>
      <c r="E1194" s="4" t="s">
        <v>2111</v>
      </c>
      <c r="F1194" s="4" t="s">
        <v>2112</v>
      </c>
      <c r="G1194" s="4" t="s">
        <v>2084</v>
      </c>
      <c r="H1194" s="4" t="s">
        <v>8879</v>
      </c>
      <c r="I1194" s="4" t="s">
        <v>1939</v>
      </c>
      <c r="J1194" s="4" t="s">
        <v>9657</v>
      </c>
      <c r="K1194" s="4" t="s">
        <v>9658</v>
      </c>
      <c r="L1194" s="4" t="s">
        <v>9659</v>
      </c>
      <c r="M1194" s="4" t="s">
        <v>2078</v>
      </c>
      <c r="N1194" s="8">
        <v>46112</v>
      </c>
      <c r="O1194" s="8">
        <v>46356</v>
      </c>
      <c r="P1194" s="4" t="s">
        <v>2112</v>
      </c>
      <c r="Q1194" s="4" t="s">
        <v>1939</v>
      </c>
      <c r="R1194" s="4" t="s">
        <v>9660</v>
      </c>
      <c r="S1194" s="4" t="s">
        <v>9661</v>
      </c>
      <c r="T1194" s="4" t="s">
        <v>2067</v>
      </c>
      <c r="U1194" s="4" t="s">
        <v>2119</v>
      </c>
      <c r="V1194" s="4" t="s">
        <v>2067</v>
      </c>
      <c r="W1194" s="4" t="s">
        <v>2069</v>
      </c>
    </row>
    <row r="1195" spans="1:23" ht="20.100000000000001" customHeight="1" x14ac:dyDescent="0.25">
      <c r="A1195" s="6" t="s">
        <v>60</v>
      </c>
      <c r="B1195" s="7" t="s">
        <v>2084</v>
      </c>
      <c r="C1195" s="7" t="s">
        <v>9662</v>
      </c>
      <c r="D1195" s="7" t="s">
        <v>8736</v>
      </c>
      <c r="E1195" s="7" t="s">
        <v>1979</v>
      </c>
      <c r="F1195" s="7" t="s">
        <v>2728</v>
      </c>
      <c r="G1195" s="7" t="s">
        <v>2084</v>
      </c>
      <c r="H1195" s="7" t="s">
        <v>1938</v>
      </c>
      <c r="I1195" s="7" t="s">
        <v>1939</v>
      </c>
      <c r="J1195" s="7" t="s">
        <v>9663</v>
      </c>
      <c r="K1195" s="7" t="s">
        <v>9664</v>
      </c>
      <c r="L1195" s="7" t="s">
        <v>9665</v>
      </c>
      <c r="M1195" s="7" t="s">
        <v>2078</v>
      </c>
      <c r="N1195" s="9">
        <v>46066</v>
      </c>
      <c r="O1195" s="9">
        <v>46356</v>
      </c>
      <c r="P1195" s="7" t="s">
        <v>2728</v>
      </c>
      <c r="Q1195" s="7" t="s">
        <v>1939</v>
      </c>
      <c r="R1195" s="7" t="s">
        <v>9666</v>
      </c>
      <c r="S1195" s="7" t="s">
        <v>9667</v>
      </c>
      <c r="T1195" s="7" t="s">
        <v>2067</v>
      </c>
      <c r="U1195" s="7" t="s">
        <v>2728</v>
      </c>
      <c r="V1195" s="7" t="s">
        <v>2067</v>
      </c>
      <c r="W1195" s="7" t="s">
        <v>2069</v>
      </c>
    </row>
    <row r="1196" spans="1:23" ht="20.100000000000001" customHeight="1" x14ac:dyDescent="0.25">
      <c r="A1196" s="3" t="s">
        <v>282</v>
      </c>
      <c r="B1196" s="4" t="s">
        <v>2084</v>
      </c>
      <c r="C1196" s="4" t="s">
        <v>9668</v>
      </c>
      <c r="D1196" s="4" t="s">
        <v>8736</v>
      </c>
      <c r="E1196" s="4" t="s">
        <v>1947</v>
      </c>
      <c r="F1196" s="4" t="s">
        <v>1948</v>
      </c>
      <c r="G1196" s="4" t="s">
        <v>2084</v>
      </c>
      <c r="H1196" s="4" t="s">
        <v>1982</v>
      </c>
      <c r="I1196" s="4" t="s">
        <v>1939</v>
      </c>
      <c r="J1196" s="4" t="s">
        <v>9669</v>
      </c>
      <c r="K1196" s="4" t="s">
        <v>9670</v>
      </c>
      <c r="L1196" s="4" t="s">
        <v>9671</v>
      </c>
      <c r="M1196" s="4" t="s">
        <v>2064</v>
      </c>
      <c r="N1196" s="8">
        <v>46072</v>
      </c>
      <c r="O1196" s="8"/>
      <c r="P1196" s="4" t="s">
        <v>2090</v>
      </c>
      <c r="Q1196" s="4" t="s">
        <v>1939</v>
      </c>
      <c r="R1196" s="4" t="s">
        <v>9672</v>
      </c>
      <c r="S1196" s="4" t="s">
        <v>9673</v>
      </c>
      <c r="T1196" s="4" t="s">
        <v>2067</v>
      </c>
      <c r="U1196" s="4" t="s">
        <v>2146</v>
      </c>
      <c r="V1196" s="4" t="s">
        <v>2067</v>
      </c>
      <c r="W1196" s="4" t="s">
        <v>2069</v>
      </c>
    </row>
    <row r="1197" spans="1:23" ht="20.100000000000001" customHeight="1" x14ac:dyDescent="0.25">
      <c r="A1197" s="6" t="s">
        <v>688</v>
      </c>
      <c r="B1197" s="7" t="s">
        <v>2084</v>
      </c>
      <c r="C1197" s="7" t="s">
        <v>9674</v>
      </c>
      <c r="D1197" s="7" t="s">
        <v>8736</v>
      </c>
      <c r="E1197" s="7" t="s">
        <v>5762</v>
      </c>
      <c r="F1197" s="7" t="s">
        <v>5763</v>
      </c>
      <c r="G1197" s="7" t="s">
        <v>2084</v>
      </c>
      <c r="H1197" s="7" t="s">
        <v>8879</v>
      </c>
      <c r="I1197" s="7" t="s">
        <v>1939</v>
      </c>
      <c r="J1197" s="7" t="s">
        <v>9675</v>
      </c>
      <c r="K1197" s="7" t="s">
        <v>9676</v>
      </c>
      <c r="L1197" s="7" t="s">
        <v>9677</v>
      </c>
      <c r="M1197" s="7" t="s">
        <v>2078</v>
      </c>
      <c r="N1197" s="9">
        <v>46234</v>
      </c>
      <c r="O1197" s="9">
        <v>46356</v>
      </c>
      <c r="P1197" s="7" t="s">
        <v>5763</v>
      </c>
      <c r="Q1197" s="7" t="s">
        <v>1939</v>
      </c>
      <c r="R1197" s="7" t="s">
        <v>7524</v>
      </c>
      <c r="S1197" s="7" t="s">
        <v>9678</v>
      </c>
      <c r="T1197" s="7" t="s">
        <v>2067</v>
      </c>
      <c r="U1197" s="7" t="s">
        <v>5769</v>
      </c>
      <c r="V1197" s="7" t="s">
        <v>2067</v>
      </c>
      <c r="W1197" s="7" t="s">
        <v>2069</v>
      </c>
    </row>
    <row r="1198" spans="1:23" ht="20.100000000000001" customHeight="1" x14ac:dyDescent="0.25">
      <c r="A1198" s="3" t="s">
        <v>1074</v>
      </c>
      <c r="B1198" s="4" t="s">
        <v>2057</v>
      </c>
      <c r="C1198" s="4" t="s">
        <v>9679</v>
      </c>
      <c r="D1198" s="4" t="s">
        <v>8736</v>
      </c>
      <c r="E1198" s="4" t="s">
        <v>1947</v>
      </c>
      <c r="F1198" s="4" t="s">
        <v>2238</v>
      </c>
      <c r="G1198" s="4" t="s">
        <v>2057</v>
      </c>
      <c r="H1198" s="4" t="s">
        <v>8794</v>
      </c>
      <c r="I1198" s="4" t="s">
        <v>1939</v>
      </c>
      <c r="J1198" s="4" t="s">
        <v>9680</v>
      </c>
      <c r="K1198" s="4" t="s">
        <v>9681</v>
      </c>
      <c r="L1198" s="4" t="s">
        <v>9682</v>
      </c>
      <c r="M1198" s="4" t="s">
        <v>2078</v>
      </c>
      <c r="N1198" s="8">
        <v>46234</v>
      </c>
      <c r="O1198" s="8">
        <v>46356</v>
      </c>
      <c r="P1198" s="4" t="s">
        <v>2090</v>
      </c>
      <c r="Q1198" s="4" t="s">
        <v>1939</v>
      </c>
      <c r="R1198" s="4" t="s">
        <v>9683</v>
      </c>
      <c r="S1198" s="4" t="s">
        <v>9684</v>
      </c>
      <c r="T1198" s="4" t="s">
        <v>2067</v>
      </c>
      <c r="U1198" s="4" t="s">
        <v>2244</v>
      </c>
      <c r="V1198" s="4" t="s">
        <v>2067</v>
      </c>
      <c r="W1198" s="4" t="s">
        <v>2069</v>
      </c>
    </row>
    <row r="1199" spans="1:23" ht="20.100000000000001" customHeight="1" x14ac:dyDescent="0.25">
      <c r="A1199" s="6" t="s">
        <v>144</v>
      </c>
      <c r="B1199" s="7" t="s">
        <v>2084</v>
      </c>
      <c r="C1199" s="7" t="s">
        <v>9685</v>
      </c>
      <c r="D1199" s="7" t="s">
        <v>8736</v>
      </c>
      <c r="E1199" s="7" t="s">
        <v>3520</v>
      </c>
      <c r="F1199" s="7" t="s">
        <v>3521</v>
      </c>
      <c r="G1199" s="7" t="s">
        <v>2084</v>
      </c>
      <c r="H1199" s="7" t="s">
        <v>1938</v>
      </c>
      <c r="I1199" s="7" t="s">
        <v>1939</v>
      </c>
      <c r="J1199" s="7" t="s">
        <v>9686</v>
      </c>
      <c r="K1199" s="7" t="s">
        <v>9687</v>
      </c>
      <c r="L1199" s="7" t="s">
        <v>9688</v>
      </c>
      <c r="M1199" s="7" t="s">
        <v>2078</v>
      </c>
      <c r="N1199" s="9">
        <v>46105</v>
      </c>
      <c r="O1199" s="9">
        <v>46356</v>
      </c>
      <c r="P1199" s="7" t="s">
        <v>3521</v>
      </c>
      <c r="Q1199" s="7" t="s">
        <v>1939</v>
      </c>
      <c r="R1199" s="7" t="s">
        <v>5775</v>
      </c>
      <c r="S1199" s="7" t="s">
        <v>9689</v>
      </c>
      <c r="T1199" s="7" t="s">
        <v>2067</v>
      </c>
      <c r="U1199" s="7" t="s">
        <v>3527</v>
      </c>
      <c r="V1199" s="7" t="s">
        <v>2067</v>
      </c>
      <c r="W1199" s="7" t="s">
        <v>2069</v>
      </c>
    </row>
    <row r="1200" spans="1:23" ht="20.100000000000001" customHeight="1" x14ac:dyDescent="0.25">
      <c r="A1200" s="3" t="s">
        <v>1584</v>
      </c>
      <c r="B1200" s="4" t="s">
        <v>2057</v>
      </c>
      <c r="C1200" s="4" t="s">
        <v>9690</v>
      </c>
      <c r="D1200" s="4" t="s">
        <v>8736</v>
      </c>
      <c r="E1200" s="4" t="s">
        <v>1947</v>
      </c>
      <c r="F1200" s="4" t="s">
        <v>1948</v>
      </c>
      <c r="G1200" s="4" t="s">
        <v>2057</v>
      </c>
      <c r="H1200" s="4" t="s">
        <v>8750</v>
      </c>
      <c r="I1200" s="4" t="s">
        <v>1939</v>
      </c>
      <c r="J1200" s="4" t="s">
        <v>9691</v>
      </c>
      <c r="K1200" s="4" t="s">
        <v>9692</v>
      </c>
      <c r="L1200" s="4" t="s">
        <v>9693</v>
      </c>
      <c r="M1200" s="4" t="s">
        <v>2078</v>
      </c>
      <c r="N1200" s="8">
        <v>46105</v>
      </c>
      <c r="O1200" s="8">
        <v>46356</v>
      </c>
      <c r="P1200" s="4" t="s">
        <v>2090</v>
      </c>
      <c r="Q1200" s="4" t="s">
        <v>1939</v>
      </c>
      <c r="R1200" s="4" t="s">
        <v>9694</v>
      </c>
      <c r="S1200" s="4" t="s">
        <v>9695</v>
      </c>
      <c r="T1200" s="4" t="s">
        <v>2067</v>
      </c>
      <c r="U1200" s="4" t="s">
        <v>8824</v>
      </c>
      <c r="V1200" s="4" t="s">
        <v>2067</v>
      </c>
      <c r="W1200" s="4" t="s">
        <v>2069</v>
      </c>
    </row>
    <row r="1201" spans="1:23" ht="20.100000000000001" customHeight="1" x14ac:dyDescent="0.25">
      <c r="A1201" s="6" t="s">
        <v>1020</v>
      </c>
      <c r="B1201" s="7" t="s">
        <v>2057</v>
      </c>
      <c r="C1201" s="7" t="s">
        <v>9696</v>
      </c>
      <c r="D1201" s="7" t="s">
        <v>8736</v>
      </c>
      <c r="E1201" s="7" t="s">
        <v>1947</v>
      </c>
      <c r="F1201" s="7" t="s">
        <v>1948</v>
      </c>
      <c r="G1201" s="7" t="s">
        <v>2057</v>
      </c>
      <c r="H1201" s="7" t="s">
        <v>8794</v>
      </c>
      <c r="I1201" s="7" t="s">
        <v>1939</v>
      </c>
      <c r="J1201" s="7" t="s">
        <v>9697</v>
      </c>
      <c r="K1201" s="7" t="s">
        <v>9698</v>
      </c>
      <c r="L1201" s="7" t="s">
        <v>9699</v>
      </c>
      <c r="M1201" s="7" t="s">
        <v>2078</v>
      </c>
      <c r="N1201" s="9">
        <v>46105</v>
      </c>
      <c r="O1201" s="9">
        <v>46356</v>
      </c>
      <c r="P1201" s="7" t="s">
        <v>2090</v>
      </c>
      <c r="Q1201" s="7" t="s">
        <v>1939</v>
      </c>
      <c r="R1201" s="7" t="s">
        <v>4208</v>
      </c>
      <c r="S1201" s="7" t="s">
        <v>9700</v>
      </c>
      <c r="T1201" s="7" t="s">
        <v>2067</v>
      </c>
      <c r="U1201" s="7" t="s">
        <v>8824</v>
      </c>
      <c r="V1201" s="7" t="s">
        <v>2067</v>
      </c>
      <c r="W1201" s="7" t="s">
        <v>2069</v>
      </c>
    </row>
    <row r="1202" spans="1:23" ht="20.100000000000001" customHeight="1" x14ac:dyDescent="0.25">
      <c r="A1202" s="3" t="s">
        <v>88</v>
      </c>
      <c r="B1202" s="4" t="s">
        <v>2057</v>
      </c>
      <c r="C1202" s="4" t="s">
        <v>9701</v>
      </c>
      <c r="D1202" s="4" t="s">
        <v>8736</v>
      </c>
      <c r="E1202" s="4" t="s">
        <v>1947</v>
      </c>
      <c r="F1202" s="4" t="s">
        <v>1948</v>
      </c>
      <c r="G1202" s="4" t="s">
        <v>2057</v>
      </c>
      <c r="H1202" s="4" t="s">
        <v>8794</v>
      </c>
      <c r="I1202" s="4" t="s">
        <v>1939</v>
      </c>
      <c r="J1202" s="4" t="s">
        <v>9702</v>
      </c>
      <c r="K1202" s="4" t="s">
        <v>9703</v>
      </c>
      <c r="L1202" s="4" t="s">
        <v>9704</v>
      </c>
      <c r="M1202" s="4" t="s">
        <v>2078</v>
      </c>
      <c r="N1202" s="8">
        <v>46105</v>
      </c>
      <c r="O1202" s="8">
        <v>46356</v>
      </c>
      <c r="P1202" s="4" t="s">
        <v>2090</v>
      </c>
      <c r="Q1202" s="4" t="s">
        <v>1939</v>
      </c>
      <c r="R1202" s="4" t="s">
        <v>7159</v>
      </c>
      <c r="S1202" s="4" t="s">
        <v>9705</v>
      </c>
      <c r="T1202" s="4" t="s">
        <v>2067</v>
      </c>
      <c r="U1202" s="4" t="s">
        <v>8824</v>
      </c>
      <c r="V1202" s="4" t="s">
        <v>2067</v>
      </c>
      <c r="W1202" s="4" t="s">
        <v>2069</v>
      </c>
    </row>
    <row r="1203" spans="1:23" ht="20.100000000000001" customHeight="1" x14ac:dyDescent="0.25">
      <c r="A1203" s="6" t="s">
        <v>1390</v>
      </c>
      <c r="B1203" s="7" t="s">
        <v>2057</v>
      </c>
      <c r="C1203" s="7" t="s">
        <v>9706</v>
      </c>
      <c r="D1203" s="7" t="s">
        <v>8736</v>
      </c>
      <c r="E1203" s="7" t="s">
        <v>1947</v>
      </c>
      <c r="F1203" s="7" t="s">
        <v>1948</v>
      </c>
      <c r="G1203" s="7" t="s">
        <v>2057</v>
      </c>
      <c r="H1203" s="7" t="s">
        <v>1964</v>
      </c>
      <c r="I1203" s="7" t="s">
        <v>1939</v>
      </c>
      <c r="J1203" s="7" t="s">
        <v>9707</v>
      </c>
      <c r="K1203" s="7" t="s">
        <v>9708</v>
      </c>
      <c r="L1203" s="7" t="s">
        <v>9709</v>
      </c>
      <c r="M1203" s="7" t="s">
        <v>2078</v>
      </c>
      <c r="N1203" s="9">
        <v>46105</v>
      </c>
      <c r="O1203" s="9">
        <v>46356</v>
      </c>
      <c r="P1203" s="7" t="s">
        <v>2090</v>
      </c>
      <c r="Q1203" s="7" t="s">
        <v>1939</v>
      </c>
      <c r="R1203" s="7" t="s">
        <v>9710</v>
      </c>
      <c r="S1203" s="7" t="s">
        <v>9711</v>
      </c>
      <c r="T1203" s="7" t="s">
        <v>2067</v>
      </c>
      <c r="U1203" s="7" t="s">
        <v>8824</v>
      </c>
      <c r="V1203" s="7" t="s">
        <v>2067</v>
      </c>
      <c r="W1203" s="7" t="s">
        <v>2069</v>
      </c>
    </row>
    <row r="1204" spans="1:23" ht="20.100000000000001" customHeight="1" x14ac:dyDescent="0.25">
      <c r="A1204" s="3" t="s">
        <v>662</v>
      </c>
      <c r="B1204" s="4" t="s">
        <v>2057</v>
      </c>
      <c r="C1204" s="4" t="s">
        <v>9712</v>
      </c>
      <c r="D1204" s="4" t="s">
        <v>8736</v>
      </c>
      <c r="E1204" s="4" t="s">
        <v>1947</v>
      </c>
      <c r="F1204" s="4" t="s">
        <v>2238</v>
      </c>
      <c r="G1204" s="4" t="s">
        <v>2057</v>
      </c>
      <c r="H1204" s="4" t="s">
        <v>8794</v>
      </c>
      <c r="I1204" s="4" t="s">
        <v>1939</v>
      </c>
      <c r="J1204" s="4" t="s">
        <v>9713</v>
      </c>
      <c r="K1204" s="4" t="s">
        <v>9714</v>
      </c>
      <c r="L1204" s="4" t="s">
        <v>9715</v>
      </c>
      <c r="M1204" s="4" t="s">
        <v>2078</v>
      </c>
      <c r="N1204" s="8">
        <v>46234</v>
      </c>
      <c r="O1204" s="8">
        <v>46356</v>
      </c>
      <c r="P1204" s="4" t="s">
        <v>2090</v>
      </c>
      <c r="Q1204" s="4" t="s">
        <v>1939</v>
      </c>
      <c r="R1204" s="4" t="s">
        <v>9716</v>
      </c>
      <c r="S1204" s="4" t="s">
        <v>9717</v>
      </c>
      <c r="T1204" s="4" t="s">
        <v>2067</v>
      </c>
      <c r="U1204" s="4" t="s">
        <v>2244</v>
      </c>
      <c r="V1204" s="4" t="s">
        <v>2067</v>
      </c>
      <c r="W1204" s="4" t="s">
        <v>2069</v>
      </c>
    </row>
    <row r="1205" spans="1:23" ht="20.100000000000001" customHeight="1" x14ac:dyDescent="0.25">
      <c r="A1205" s="6" t="s">
        <v>1034</v>
      </c>
      <c r="B1205" s="7" t="s">
        <v>2057</v>
      </c>
      <c r="C1205" s="7" t="s">
        <v>9718</v>
      </c>
      <c r="D1205" s="7" t="s">
        <v>8736</v>
      </c>
      <c r="E1205" s="7" t="s">
        <v>1947</v>
      </c>
      <c r="F1205" s="7" t="s">
        <v>1948</v>
      </c>
      <c r="G1205" s="7" t="s">
        <v>2057</v>
      </c>
      <c r="H1205" s="7" t="s">
        <v>8794</v>
      </c>
      <c r="I1205" s="7" t="s">
        <v>1939</v>
      </c>
      <c r="J1205" s="7" t="s">
        <v>9719</v>
      </c>
      <c r="K1205" s="7" t="s">
        <v>9720</v>
      </c>
      <c r="L1205" s="7" t="s">
        <v>9721</v>
      </c>
      <c r="M1205" s="7" t="s">
        <v>2078</v>
      </c>
      <c r="N1205" s="9">
        <v>46052</v>
      </c>
      <c r="O1205" s="9">
        <v>46356</v>
      </c>
      <c r="P1205" s="7" t="s">
        <v>2090</v>
      </c>
      <c r="Q1205" s="7" t="s">
        <v>1939</v>
      </c>
      <c r="R1205" s="7" t="s">
        <v>9722</v>
      </c>
      <c r="S1205" s="7" t="s">
        <v>9723</v>
      </c>
      <c r="T1205" s="7" t="s">
        <v>2067</v>
      </c>
      <c r="U1205" s="7" t="s">
        <v>3153</v>
      </c>
      <c r="V1205" s="7" t="s">
        <v>2067</v>
      </c>
      <c r="W1205" s="7" t="s">
        <v>2069</v>
      </c>
    </row>
    <row r="1206" spans="1:23" ht="20.100000000000001" customHeight="1" x14ac:dyDescent="0.25">
      <c r="A1206" s="3" t="s">
        <v>1788</v>
      </c>
      <c r="B1206" s="4" t="s">
        <v>2057</v>
      </c>
      <c r="C1206" s="4" t="s">
        <v>9724</v>
      </c>
      <c r="D1206" s="4" t="s">
        <v>8736</v>
      </c>
      <c r="E1206" s="4" t="s">
        <v>1947</v>
      </c>
      <c r="F1206" s="4" t="s">
        <v>1948</v>
      </c>
      <c r="G1206" s="4" t="s">
        <v>2057</v>
      </c>
      <c r="H1206" s="4" t="s">
        <v>1946</v>
      </c>
      <c r="I1206" s="4" t="s">
        <v>1939</v>
      </c>
      <c r="J1206" s="4" t="s">
        <v>9725</v>
      </c>
      <c r="K1206" s="4" t="s">
        <v>9726</v>
      </c>
      <c r="L1206" s="4" t="s">
        <v>9727</v>
      </c>
      <c r="M1206" s="4" t="s">
        <v>2078</v>
      </c>
      <c r="N1206" s="8">
        <v>46234</v>
      </c>
      <c r="O1206" s="8">
        <v>46356</v>
      </c>
      <c r="P1206" s="4" t="s">
        <v>2090</v>
      </c>
      <c r="Q1206" s="4" t="s">
        <v>1939</v>
      </c>
      <c r="R1206" s="4" t="s">
        <v>9728</v>
      </c>
      <c r="S1206" s="4" t="s">
        <v>9729</v>
      </c>
      <c r="T1206" s="4" t="s">
        <v>2067</v>
      </c>
      <c r="U1206" s="4" t="s">
        <v>2146</v>
      </c>
      <c r="V1206" s="4" t="s">
        <v>2067</v>
      </c>
      <c r="W1206" s="4" t="s">
        <v>2069</v>
      </c>
    </row>
    <row r="1207" spans="1:23" ht="20.100000000000001" customHeight="1" x14ac:dyDescent="0.25">
      <c r="A1207" s="6" t="s">
        <v>1140</v>
      </c>
      <c r="B1207" s="7" t="s">
        <v>2057</v>
      </c>
      <c r="C1207" s="7" t="s">
        <v>9730</v>
      </c>
      <c r="D1207" s="7" t="s">
        <v>8736</v>
      </c>
      <c r="E1207" s="7" t="s">
        <v>1947</v>
      </c>
      <c r="F1207" s="7" t="s">
        <v>1948</v>
      </c>
      <c r="G1207" s="7" t="s">
        <v>2057</v>
      </c>
      <c r="H1207" s="7" t="s">
        <v>8750</v>
      </c>
      <c r="I1207" s="7" t="s">
        <v>1939</v>
      </c>
      <c r="J1207" s="7" t="s">
        <v>9731</v>
      </c>
      <c r="K1207" s="7" t="s">
        <v>9732</v>
      </c>
      <c r="L1207" s="7" t="s">
        <v>9733</v>
      </c>
      <c r="M1207" s="7" t="s">
        <v>2078</v>
      </c>
      <c r="N1207" s="9">
        <v>46106</v>
      </c>
      <c r="O1207" s="9">
        <v>46356</v>
      </c>
      <c r="P1207" s="7" t="s">
        <v>2090</v>
      </c>
      <c r="Q1207" s="7" t="s">
        <v>1939</v>
      </c>
      <c r="R1207" s="7" t="s">
        <v>4609</v>
      </c>
      <c r="S1207" s="7" t="s">
        <v>9734</v>
      </c>
      <c r="T1207" s="7" t="s">
        <v>2067</v>
      </c>
      <c r="U1207" s="7" t="s">
        <v>8824</v>
      </c>
      <c r="V1207" s="7" t="s">
        <v>2067</v>
      </c>
      <c r="W1207" s="7" t="s">
        <v>2069</v>
      </c>
    </row>
    <row r="1208" spans="1:23" ht="20.100000000000001" customHeight="1" x14ac:dyDescent="0.25">
      <c r="A1208" s="3" t="s">
        <v>968</v>
      </c>
      <c r="B1208" s="4" t="s">
        <v>2057</v>
      </c>
      <c r="C1208" s="4" t="s">
        <v>9735</v>
      </c>
      <c r="D1208" s="4" t="s">
        <v>8736</v>
      </c>
      <c r="E1208" s="4" t="s">
        <v>1947</v>
      </c>
      <c r="F1208" s="4" t="s">
        <v>1948</v>
      </c>
      <c r="G1208" s="4" t="s">
        <v>2057</v>
      </c>
      <c r="H1208" s="4" t="s">
        <v>1964</v>
      </c>
      <c r="I1208" s="4" t="s">
        <v>1939</v>
      </c>
      <c r="J1208" s="4" t="s">
        <v>9736</v>
      </c>
      <c r="K1208" s="4" t="s">
        <v>9737</v>
      </c>
      <c r="L1208" s="4" t="s">
        <v>9738</v>
      </c>
      <c r="M1208" s="4" t="s">
        <v>2078</v>
      </c>
      <c r="N1208" s="8">
        <v>46105</v>
      </c>
      <c r="O1208" s="8">
        <v>46356</v>
      </c>
      <c r="P1208" s="4" t="s">
        <v>2090</v>
      </c>
      <c r="Q1208" s="4" t="s">
        <v>1939</v>
      </c>
      <c r="R1208" s="4" t="s">
        <v>3605</v>
      </c>
      <c r="S1208" s="4" t="s">
        <v>9739</v>
      </c>
      <c r="T1208" s="4" t="s">
        <v>2067</v>
      </c>
      <c r="U1208" s="4" t="s">
        <v>8824</v>
      </c>
      <c r="V1208" s="4" t="s">
        <v>2067</v>
      </c>
      <c r="W1208" s="4" t="s">
        <v>2069</v>
      </c>
    </row>
    <row r="1209" spans="1:23" ht="20.100000000000001" customHeight="1" x14ac:dyDescent="0.25">
      <c r="A1209" s="6" t="s">
        <v>9740</v>
      </c>
      <c r="B1209" s="7" t="s">
        <v>2057</v>
      </c>
      <c r="C1209" s="7" t="s">
        <v>9741</v>
      </c>
      <c r="D1209" s="7" t="s">
        <v>8736</v>
      </c>
      <c r="E1209" s="7" t="s">
        <v>1947</v>
      </c>
      <c r="F1209" s="7" t="s">
        <v>1948</v>
      </c>
      <c r="G1209" s="7" t="s">
        <v>2057</v>
      </c>
      <c r="H1209" s="7" t="s">
        <v>8750</v>
      </c>
      <c r="I1209" s="7" t="s">
        <v>1939</v>
      </c>
      <c r="J1209" s="7" t="s">
        <v>9742</v>
      </c>
      <c r="K1209" s="7" t="s">
        <v>9743</v>
      </c>
      <c r="L1209" s="7" t="s">
        <v>9744</v>
      </c>
      <c r="M1209" s="7" t="s">
        <v>2078</v>
      </c>
      <c r="N1209" s="9">
        <v>46105</v>
      </c>
      <c r="O1209" s="9">
        <v>46356</v>
      </c>
      <c r="P1209" s="7" t="s">
        <v>2090</v>
      </c>
      <c r="Q1209" s="7" t="s">
        <v>1939</v>
      </c>
      <c r="R1209" s="7" t="s">
        <v>9745</v>
      </c>
      <c r="S1209" s="7" t="s">
        <v>9746</v>
      </c>
      <c r="T1209" s="7" t="s">
        <v>2067</v>
      </c>
      <c r="U1209" s="7" t="s">
        <v>8824</v>
      </c>
      <c r="V1209" s="7" t="s">
        <v>2067</v>
      </c>
      <c r="W1209" s="7" t="s">
        <v>2069</v>
      </c>
    </row>
    <row r="1210" spans="1:23" ht="20.100000000000001" customHeight="1" x14ac:dyDescent="0.25">
      <c r="A1210" s="3" t="s">
        <v>1192</v>
      </c>
      <c r="B1210" s="4" t="s">
        <v>2057</v>
      </c>
      <c r="C1210" s="4" t="s">
        <v>9747</v>
      </c>
      <c r="D1210" s="4" t="s">
        <v>8736</v>
      </c>
      <c r="E1210" s="4" t="s">
        <v>1947</v>
      </c>
      <c r="F1210" s="4" t="s">
        <v>1948</v>
      </c>
      <c r="G1210" s="4" t="s">
        <v>2057</v>
      </c>
      <c r="H1210" s="4" t="s">
        <v>8737</v>
      </c>
      <c r="I1210" s="4" t="s">
        <v>1939</v>
      </c>
      <c r="J1210" s="4" t="s">
        <v>9748</v>
      </c>
      <c r="K1210" s="4" t="s">
        <v>9749</v>
      </c>
      <c r="L1210" s="4" t="s">
        <v>9750</v>
      </c>
      <c r="M1210" s="4" t="s">
        <v>2078</v>
      </c>
      <c r="N1210" s="8">
        <v>46106</v>
      </c>
      <c r="O1210" s="8">
        <v>46356</v>
      </c>
      <c r="P1210" s="4" t="s">
        <v>2090</v>
      </c>
      <c r="Q1210" s="4" t="s">
        <v>1939</v>
      </c>
      <c r="R1210" s="4" t="s">
        <v>3605</v>
      </c>
      <c r="S1210" s="4" t="s">
        <v>9751</v>
      </c>
      <c r="T1210" s="4" t="s">
        <v>2067</v>
      </c>
      <c r="U1210" s="4" t="s">
        <v>8824</v>
      </c>
      <c r="V1210" s="4" t="s">
        <v>2067</v>
      </c>
      <c r="W1210" s="4" t="s">
        <v>2069</v>
      </c>
    </row>
    <row r="1211" spans="1:23" ht="20.100000000000001" customHeight="1" x14ac:dyDescent="0.25">
      <c r="A1211" s="6" t="s">
        <v>204</v>
      </c>
      <c r="B1211" s="7" t="s">
        <v>2084</v>
      </c>
      <c r="C1211" s="7" t="s">
        <v>9752</v>
      </c>
      <c r="D1211" s="7" t="s">
        <v>8736</v>
      </c>
      <c r="E1211" s="7" t="s">
        <v>3064</v>
      </c>
      <c r="F1211" s="7" t="s">
        <v>3065</v>
      </c>
      <c r="G1211" s="7" t="s">
        <v>2084</v>
      </c>
      <c r="H1211" s="7" t="s">
        <v>8879</v>
      </c>
      <c r="I1211" s="7" t="s">
        <v>1939</v>
      </c>
      <c r="J1211" s="7" t="s">
        <v>9753</v>
      </c>
      <c r="K1211" s="7" t="s">
        <v>9754</v>
      </c>
      <c r="L1211" s="7" t="s">
        <v>9755</v>
      </c>
      <c r="M1211" s="7" t="s">
        <v>2078</v>
      </c>
      <c r="N1211" s="9">
        <v>46106</v>
      </c>
      <c r="O1211" s="9">
        <v>46356</v>
      </c>
      <c r="P1211" s="7" t="s">
        <v>3065</v>
      </c>
      <c r="Q1211" s="7" t="s">
        <v>1939</v>
      </c>
      <c r="R1211" s="7" t="s">
        <v>9756</v>
      </c>
      <c r="S1211" s="7" t="s">
        <v>9757</v>
      </c>
      <c r="T1211" s="7" t="s">
        <v>2067</v>
      </c>
      <c r="U1211" s="7" t="s">
        <v>3073</v>
      </c>
      <c r="V1211" s="7" t="s">
        <v>2067</v>
      </c>
      <c r="W1211" s="7" t="s">
        <v>2069</v>
      </c>
    </row>
    <row r="1212" spans="1:23" ht="20.100000000000001" customHeight="1" x14ac:dyDescent="0.25">
      <c r="A1212" s="3" t="s">
        <v>1006</v>
      </c>
      <c r="B1212" s="4" t="s">
        <v>2057</v>
      </c>
      <c r="C1212" s="4" t="s">
        <v>9758</v>
      </c>
      <c r="D1212" s="4" t="s">
        <v>8736</v>
      </c>
      <c r="E1212" s="4" t="s">
        <v>1947</v>
      </c>
      <c r="F1212" s="4" t="s">
        <v>1948</v>
      </c>
      <c r="G1212" s="4" t="s">
        <v>2057</v>
      </c>
      <c r="H1212" s="4" t="s">
        <v>1964</v>
      </c>
      <c r="I1212" s="4" t="s">
        <v>1939</v>
      </c>
      <c r="J1212" s="4" t="s">
        <v>9759</v>
      </c>
      <c r="K1212" s="4" t="s">
        <v>9760</v>
      </c>
      <c r="L1212" s="4" t="s">
        <v>9761</v>
      </c>
      <c r="M1212" s="4" t="s">
        <v>2078</v>
      </c>
      <c r="N1212" s="8">
        <v>46106</v>
      </c>
      <c r="O1212" s="8">
        <v>46356</v>
      </c>
      <c r="P1212" s="4" t="s">
        <v>2090</v>
      </c>
      <c r="Q1212" s="4" t="s">
        <v>1939</v>
      </c>
      <c r="R1212" s="4" t="s">
        <v>3085</v>
      </c>
      <c r="S1212" s="4" t="s">
        <v>9762</v>
      </c>
      <c r="T1212" s="4" t="s">
        <v>2067</v>
      </c>
      <c r="U1212" s="4" t="s">
        <v>8824</v>
      </c>
      <c r="V1212" s="4" t="s">
        <v>2067</v>
      </c>
      <c r="W1212" s="4" t="s">
        <v>2069</v>
      </c>
    </row>
    <row r="1213" spans="1:23" ht="20.100000000000001" customHeight="1" x14ac:dyDescent="0.25">
      <c r="A1213" s="6" t="s">
        <v>206</v>
      </c>
      <c r="B1213" s="7" t="s">
        <v>2057</v>
      </c>
      <c r="C1213" s="7" t="s">
        <v>9763</v>
      </c>
      <c r="D1213" s="7" t="s">
        <v>8736</v>
      </c>
      <c r="E1213" s="7" t="s">
        <v>1952</v>
      </c>
      <c r="F1213" s="7" t="s">
        <v>1953</v>
      </c>
      <c r="G1213" s="7" t="s">
        <v>2057</v>
      </c>
      <c r="H1213" s="7" t="s">
        <v>9391</v>
      </c>
      <c r="I1213" s="7" t="s">
        <v>1939</v>
      </c>
      <c r="J1213" s="7" t="s">
        <v>9764</v>
      </c>
      <c r="K1213" s="7" t="s">
        <v>9765</v>
      </c>
      <c r="L1213" s="7" t="s">
        <v>9766</v>
      </c>
      <c r="M1213" s="7" t="s">
        <v>2078</v>
      </c>
      <c r="N1213" s="9">
        <v>46055</v>
      </c>
      <c r="O1213" s="9">
        <v>46356</v>
      </c>
      <c r="P1213" s="7" t="s">
        <v>1953</v>
      </c>
      <c r="Q1213" s="7" t="s">
        <v>1939</v>
      </c>
      <c r="R1213" s="7" t="s">
        <v>9767</v>
      </c>
      <c r="S1213" s="7" t="s">
        <v>9768</v>
      </c>
      <c r="T1213" s="7" t="s">
        <v>2067</v>
      </c>
      <c r="U1213" s="7" t="s">
        <v>2358</v>
      </c>
      <c r="V1213" s="7" t="s">
        <v>2067</v>
      </c>
      <c r="W1213" s="7" t="s">
        <v>2069</v>
      </c>
    </row>
    <row r="1214" spans="1:23" ht="20.100000000000001" customHeight="1" x14ac:dyDescent="0.25">
      <c r="A1214" s="3" t="s">
        <v>90</v>
      </c>
      <c r="B1214" s="4" t="s">
        <v>2084</v>
      </c>
      <c r="C1214" s="4" t="s">
        <v>9769</v>
      </c>
      <c r="D1214" s="4" t="s">
        <v>8736</v>
      </c>
      <c r="E1214" s="4" t="s">
        <v>1947</v>
      </c>
      <c r="F1214" s="4" t="s">
        <v>1948</v>
      </c>
      <c r="G1214" s="4" t="s">
        <v>2084</v>
      </c>
      <c r="H1214" s="4" t="s">
        <v>1982</v>
      </c>
      <c r="I1214" s="4" t="s">
        <v>1939</v>
      </c>
      <c r="J1214" s="4" t="s">
        <v>9770</v>
      </c>
      <c r="K1214" s="4" t="s">
        <v>9771</v>
      </c>
      <c r="L1214" s="4" t="s">
        <v>9772</v>
      </c>
      <c r="M1214" s="4" t="s">
        <v>2078</v>
      </c>
      <c r="N1214" s="8">
        <v>45992</v>
      </c>
      <c r="O1214" s="8">
        <v>46356</v>
      </c>
      <c r="P1214" s="4" t="s">
        <v>2090</v>
      </c>
      <c r="Q1214" s="4" t="s">
        <v>1939</v>
      </c>
      <c r="R1214" s="4" t="s">
        <v>9773</v>
      </c>
      <c r="S1214" s="4" t="s">
        <v>9774</v>
      </c>
      <c r="T1214" s="4" t="s">
        <v>2067</v>
      </c>
      <c r="U1214" s="4" t="s">
        <v>2146</v>
      </c>
      <c r="V1214" s="4" t="s">
        <v>2067</v>
      </c>
      <c r="W1214" s="4" t="s">
        <v>2069</v>
      </c>
    </row>
    <row r="1215" spans="1:23" ht="20.100000000000001" customHeight="1" x14ac:dyDescent="0.25">
      <c r="A1215" s="6" t="s">
        <v>194</v>
      </c>
      <c r="B1215" s="7" t="s">
        <v>2084</v>
      </c>
      <c r="C1215" s="7" t="s">
        <v>9775</v>
      </c>
      <c r="D1215" s="7" t="s">
        <v>8736</v>
      </c>
      <c r="E1215" s="7" t="s">
        <v>1940</v>
      </c>
      <c r="F1215" s="7" t="s">
        <v>1941</v>
      </c>
      <c r="G1215" s="7" t="s">
        <v>2084</v>
      </c>
      <c r="H1215" s="7" t="s">
        <v>8879</v>
      </c>
      <c r="I1215" s="7" t="s">
        <v>1939</v>
      </c>
      <c r="J1215" s="7" t="s">
        <v>9776</v>
      </c>
      <c r="K1215" s="7" t="s">
        <v>9777</v>
      </c>
      <c r="L1215" s="7" t="s">
        <v>9778</v>
      </c>
      <c r="M1215" s="7" t="s">
        <v>2078</v>
      </c>
      <c r="N1215" s="9">
        <v>46065</v>
      </c>
      <c r="O1215" s="9">
        <v>46356</v>
      </c>
      <c r="P1215" s="7" t="s">
        <v>1941</v>
      </c>
      <c r="Q1215" s="7" t="s">
        <v>1939</v>
      </c>
      <c r="R1215" s="7" t="s">
        <v>9779</v>
      </c>
      <c r="S1215" s="7" t="s">
        <v>9780</v>
      </c>
      <c r="T1215" s="7" t="s">
        <v>2067</v>
      </c>
      <c r="U1215" s="7" t="s">
        <v>2068</v>
      </c>
      <c r="V1215" s="7" t="s">
        <v>2067</v>
      </c>
      <c r="W1215" s="7" t="s">
        <v>2069</v>
      </c>
    </row>
    <row r="1216" spans="1:23" ht="20.100000000000001" customHeight="1" x14ac:dyDescent="0.25">
      <c r="A1216" s="3" t="s">
        <v>1446</v>
      </c>
      <c r="B1216" s="4" t="s">
        <v>2057</v>
      </c>
      <c r="C1216" s="4" t="s">
        <v>9781</v>
      </c>
      <c r="D1216" s="4" t="s">
        <v>8736</v>
      </c>
      <c r="E1216" s="4" t="s">
        <v>1947</v>
      </c>
      <c r="F1216" s="4" t="s">
        <v>1948</v>
      </c>
      <c r="G1216" s="4" t="s">
        <v>2057</v>
      </c>
      <c r="H1216" s="4" t="s">
        <v>1946</v>
      </c>
      <c r="I1216" s="4" t="s">
        <v>1939</v>
      </c>
      <c r="J1216" s="4" t="s">
        <v>9782</v>
      </c>
      <c r="K1216" s="4" t="s">
        <v>9783</v>
      </c>
      <c r="L1216" s="4" t="s">
        <v>9784</v>
      </c>
      <c r="M1216" s="4" t="s">
        <v>2078</v>
      </c>
      <c r="N1216" s="8">
        <v>46164</v>
      </c>
      <c r="O1216" s="8">
        <v>46356</v>
      </c>
      <c r="P1216" s="4" t="s">
        <v>2090</v>
      </c>
      <c r="Q1216" s="4" t="s">
        <v>1939</v>
      </c>
      <c r="R1216" s="4" t="s">
        <v>9785</v>
      </c>
      <c r="S1216" s="4" t="s">
        <v>9786</v>
      </c>
      <c r="T1216" s="4" t="s">
        <v>2067</v>
      </c>
      <c r="U1216" s="4" t="s">
        <v>2146</v>
      </c>
      <c r="V1216" s="4" t="s">
        <v>2067</v>
      </c>
      <c r="W1216" s="4" t="s">
        <v>2069</v>
      </c>
    </row>
    <row r="1217" spans="1:23" ht="20.100000000000001" customHeight="1" x14ac:dyDescent="0.25">
      <c r="A1217" s="6" t="s">
        <v>936</v>
      </c>
      <c r="B1217" s="7" t="s">
        <v>2057</v>
      </c>
      <c r="C1217" s="7" t="s">
        <v>9787</v>
      </c>
      <c r="D1217" s="7" t="s">
        <v>8736</v>
      </c>
      <c r="E1217" s="7" t="s">
        <v>1947</v>
      </c>
      <c r="F1217" s="7" t="s">
        <v>1948</v>
      </c>
      <c r="G1217" s="7" t="s">
        <v>2057</v>
      </c>
      <c r="H1217" s="7" t="s">
        <v>8794</v>
      </c>
      <c r="I1217" s="7" t="s">
        <v>1939</v>
      </c>
      <c r="J1217" s="7" t="s">
        <v>9788</v>
      </c>
      <c r="K1217" s="7" t="s">
        <v>9789</v>
      </c>
      <c r="L1217" s="7" t="s">
        <v>9790</v>
      </c>
      <c r="M1217" s="7" t="s">
        <v>2078</v>
      </c>
      <c r="N1217" s="9">
        <v>46168</v>
      </c>
      <c r="O1217" s="9">
        <v>46356</v>
      </c>
      <c r="P1217" s="7" t="s">
        <v>2090</v>
      </c>
      <c r="Q1217" s="7" t="s">
        <v>1939</v>
      </c>
      <c r="R1217" s="7" t="s">
        <v>9791</v>
      </c>
      <c r="S1217" s="7" t="s">
        <v>9792</v>
      </c>
      <c r="T1217" s="7" t="s">
        <v>2067</v>
      </c>
      <c r="U1217" s="7" t="s">
        <v>2146</v>
      </c>
      <c r="V1217" s="7" t="s">
        <v>2067</v>
      </c>
      <c r="W1217" s="7" t="s">
        <v>2069</v>
      </c>
    </row>
    <row r="1218" spans="1:23" ht="20.100000000000001" customHeight="1" x14ac:dyDescent="0.25">
      <c r="A1218" s="3" t="s">
        <v>9793</v>
      </c>
      <c r="B1218" s="4" t="s">
        <v>2084</v>
      </c>
      <c r="C1218" s="4" t="s">
        <v>9794</v>
      </c>
      <c r="D1218" s="4" t="s">
        <v>8736</v>
      </c>
      <c r="E1218" s="4" t="s">
        <v>1947</v>
      </c>
      <c r="F1218" s="4" t="s">
        <v>1948</v>
      </c>
      <c r="G1218" s="4" t="s">
        <v>2084</v>
      </c>
      <c r="H1218" s="4" t="s">
        <v>8879</v>
      </c>
      <c r="I1218" s="4" t="s">
        <v>1939</v>
      </c>
      <c r="J1218" s="4" t="s">
        <v>4649</v>
      </c>
      <c r="K1218" s="4" t="s">
        <v>9795</v>
      </c>
      <c r="L1218" s="4" t="s">
        <v>9796</v>
      </c>
      <c r="M1218" s="4" t="s">
        <v>2078</v>
      </c>
      <c r="N1218" s="8">
        <v>46237</v>
      </c>
      <c r="O1218" s="8">
        <v>46356</v>
      </c>
      <c r="P1218" s="4" t="s">
        <v>2090</v>
      </c>
      <c r="Q1218" s="4" t="s">
        <v>1939</v>
      </c>
      <c r="R1218" s="4" t="s">
        <v>3151</v>
      </c>
      <c r="S1218" s="4" t="s">
        <v>9797</v>
      </c>
      <c r="T1218" s="4" t="s">
        <v>2067</v>
      </c>
      <c r="U1218" s="4" t="s">
        <v>2146</v>
      </c>
      <c r="V1218" s="4" t="s">
        <v>2067</v>
      </c>
      <c r="W1218" s="4" t="s">
        <v>2069</v>
      </c>
    </row>
    <row r="1219" spans="1:23" ht="20.100000000000001" customHeight="1" x14ac:dyDescent="0.25">
      <c r="A1219" s="6" t="s">
        <v>9798</v>
      </c>
      <c r="B1219" s="7" t="s">
        <v>2057</v>
      </c>
      <c r="C1219" s="7" t="s">
        <v>9799</v>
      </c>
      <c r="D1219" s="7" t="s">
        <v>8736</v>
      </c>
      <c r="E1219" s="7" t="s">
        <v>1947</v>
      </c>
      <c r="F1219" s="7" t="s">
        <v>2238</v>
      </c>
      <c r="G1219" s="7" t="s">
        <v>2057</v>
      </c>
      <c r="H1219" s="7" t="s">
        <v>1964</v>
      </c>
      <c r="I1219" s="7" t="s">
        <v>1939</v>
      </c>
      <c r="J1219" s="7" t="s">
        <v>4649</v>
      </c>
      <c r="K1219" s="7" t="s">
        <v>9800</v>
      </c>
      <c r="L1219" s="7" t="s">
        <v>9801</v>
      </c>
      <c r="M1219" s="7" t="s">
        <v>2078</v>
      </c>
      <c r="N1219" s="9">
        <v>46237</v>
      </c>
      <c r="O1219" s="9">
        <v>46356</v>
      </c>
      <c r="P1219" s="7" t="s">
        <v>2090</v>
      </c>
      <c r="Q1219" s="7" t="s">
        <v>1939</v>
      </c>
      <c r="R1219" s="7" t="s">
        <v>9802</v>
      </c>
      <c r="S1219" s="7" t="s">
        <v>9803</v>
      </c>
      <c r="T1219" s="7" t="s">
        <v>2067</v>
      </c>
      <c r="U1219" s="7" t="s">
        <v>2244</v>
      </c>
      <c r="V1219" s="7" t="s">
        <v>2067</v>
      </c>
      <c r="W1219" s="7" t="s">
        <v>2069</v>
      </c>
    </row>
    <row r="1220" spans="1:23" ht="20.100000000000001" customHeight="1" x14ac:dyDescent="0.25">
      <c r="A1220" s="3" t="s">
        <v>9804</v>
      </c>
      <c r="B1220" s="4" t="s">
        <v>2057</v>
      </c>
      <c r="C1220" s="4" t="s">
        <v>9805</v>
      </c>
      <c r="D1220" s="4" t="s">
        <v>8736</v>
      </c>
      <c r="E1220" s="4" t="s">
        <v>1947</v>
      </c>
      <c r="F1220" s="4" t="s">
        <v>1948</v>
      </c>
      <c r="G1220" s="4" t="s">
        <v>2057</v>
      </c>
      <c r="H1220" s="4" t="s">
        <v>8794</v>
      </c>
      <c r="I1220" s="4" t="s">
        <v>1939</v>
      </c>
      <c r="J1220" s="4" t="s">
        <v>4649</v>
      </c>
      <c r="K1220" s="4" t="s">
        <v>9806</v>
      </c>
      <c r="L1220" s="4" t="s">
        <v>9807</v>
      </c>
      <c r="M1220" s="4" t="s">
        <v>2078</v>
      </c>
      <c r="N1220" s="8">
        <v>46237</v>
      </c>
      <c r="O1220" s="8">
        <v>46356</v>
      </c>
      <c r="P1220" s="4" t="s">
        <v>2090</v>
      </c>
      <c r="Q1220" s="4" t="s">
        <v>1939</v>
      </c>
      <c r="R1220" s="4" t="s">
        <v>9808</v>
      </c>
      <c r="S1220" s="4" t="s">
        <v>9809</v>
      </c>
      <c r="T1220" s="4" t="s">
        <v>2067</v>
      </c>
      <c r="U1220" s="4" t="s">
        <v>2244</v>
      </c>
      <c r="V1220" s="4" t="s">
        <v>2067</v>
      </c>
      <c r="W1220" s="4" t="s">
        <v>2069</v>
      </c>
    </row>
    <row r="1221" spans="1:23" ht="20.100000000000001" customHeight="1" x14ac:dyDescent="0.25">
      <c r="A1221" s="6" t="s">
        <v>9810</v>
      </c>
      <c r="B1221" s="7" t="s">
        <v>2057</v>
      </c>
      <c r="C1221" s="7" t="s">
        <v>9811</v>
      </c>
      <c r="D1221" s="7" t="s">
        <v>8736</v>
      </c>
      <c r="E1221" s="7" t="s">
        <v>1947</v>
      </c>
      <c r="F1221" s="7" t="s">
        <v>2238</v>
      </c>
      <c r="G1221" s="7" t="s">
        <v>2057</v>
      </c>
      <c r="H1221" s="7" t="s">
        <v>9391</v>
      </c>
      <c r="I1221" s="7" t="s">
        <v>1939</v>
      </c>
      <c r="J1221" s="7" t="s">
        <v>4649</v>
      </c>
      <c r="K1221" s="7" t="s">
        <v>9812</v>
      </c>
      <c r="L1221" s="7" t="s">
        <v>9813</v>
      </c>
      <c r="M1221" s="7" t="s">
        <v>2078</v>
      </c>
      <c r="N1221" s="9">
        <v>46237</v>
      </c>
      <c r="O1221" s="9">
        <v>46356</v>
      </c>
      <c r="P1221" s="7" t="s">
        <v>2090</v>
      </c>
      <c r="Q1221" s="7" t="s">
        <v>1939</v>
      </c>
      <c r="R1221" s="7" t="s">
        <v>9814</v>
      </c>
      <c r="S1221" s="7" t="s">
        <v>9815</v>
      </c>
      <c r="T1221" s="7" t="s">
        <v>2067</v>
      </c>
      <c r="U1221" s="7" t="s">
        <v>2244</v>
      </c>
      <c r="V1221" s="7" t="s">
        <v>2067</v>
      </c>
      <c r="W1221" s="7" t="s">
        <v>2069</v>
      </c>
    </row>
    <row r="1222" spans="1:23" ht="20.100000000000001" customHeight="1" x14ac:dyDescent="0.25">
      <c r="A1222" s="3" t="s">
        <v>906</v>
      </c>
      <c r="B1222" s="4" t="s">
        <v>2057</v>
      </c>
      <c r="C1222" s="4" t="s">
        <v>9816</v>
      </c>
      <c r="D1222" s="4" t="s">
        <v>8736</v>
      </c>
      <c r="E1222" s="4" t="s">
        <v>1947</v>
      </c>
      <c r="F1222" s="4" t="s">
        <v>1948</v>
      </c>
      <c r="G1222" s="4" t="s">
        <v>2057</v>
      </c>
      <c r="H1222" s="4" t="s">
        <v>8794</v>
      </c>
      <c r="I1222" s="4" t="s">
        <v>1939</v>
      </c>
      <c r="J1222" s="4" t="s">
        <v>9817</v>
      </c>
      <c r="K1222" s="4" t="s">
        <v>9818</v>
      </c>
      <c r="L1222" s="4" t="s">
        <v>9819</v>
      </c>
      <c r="M1222" s="4" t="s">
        <v>2078</v>
      </c>
      <c r="N1222" s="8">
        <v>46107</v>
      </c>
      <c r="O1222" s="8">
        <v>46356</v>
      </c>
      <c r="P1222" s="4" t="s">
        <v>2090</v>
      </c>
      <c r="Q1222" s="4" t="s">
        <v>1939</v>
      </c>
      <c r="R1222" s="4" t="s">
        <v>9820</v>
      </c>
      <c r="S1222" s="4" t="s">
        <v>9821</v>
      </c>
      <c r="T1222" s="4" t="s">
        <v>2067</v>
      </c>
      <c r="U1222" s="4" t="s">
        <v>8824</v>
      </c>
      <c r="V1222" s="4" t="s">
        <v>2067</v>
      </c>
      <c r="W1222" s="4" t="s">
        <v>2069</v>
      </c>
    </row>
    <row r="1223" spans="1:23" ht="20.100000000000001" customHeight="1" x14ac:dyDescent="0.25">
      <c r="A1223" s="6" t="s">
        <v>1580</v>
      </c>
      <c r="B1223" s="7" t="s">
        <v>2057</v>
      </c>
      <c r="C1223" s="7" t="s">
        <v>9822</v>
      </c>
      <c r="D1223" s="7" t="s">
        <v>8736</v>
      </c>
      <c r="E1223" s="7" t="s">
        <v>1947</v>
      </c>
      <c r="F1223" s="7" t="s">
        <v>1948</v>
      </c>
      <c r="G1223" s="7" t="s">
        <v>2057</v>
      </c>
      <c r="H1223" s="7" t="s">
        <v>1964</v>
      </c>
      <c r="I1223" s="7" t="s">
        <v>1939</v>
      </c>
      <c r="J1223" s="7" t="s">
        <v>9823</v>
      </c>
      <c r="K1223" s="7" t="s">
        <v>9824</v>
      </c>
      <c r="L1223" s="7" t="s">
        <v>9825</v>
      </c>
      <c r="M1223" s="7" t="s">
        <v>2078</v>
      </c>
      <c r="N1223" s="9">
        <v>46105</v>
      </c>
      <c r="O1223" s="9">
        <v>46356</v>
      </c>
      <c r="P1223" s="7" t="s">
        <v>2090</v>
      </c>
      <c r="Q1223" s="7" t="s">
        <v>1939</v>
      </c>
      <c r="R1223" s="7" t="s">
        <v>9826</v>
      </c>
      <c r="S1223" s="7" t="s">
        <v>9827</v>
      </c>
      <c r="T1223" s="7" t="s">
        <v>2067</v>
      </c>
      <c r="U1223" s="7" t="s">
        <v>8824</v>
      </c>
      <c r="V1223" s="7" t="s">
        <v>2067</v>
      </c>
      <c r="W1223" s="7" t="s">
        <v>2069</v>
      </c>
    </row>
    <row r="1224" spans="1:23" ht="20.100000000000001" customHeight="1" x14ac:dyDescent="0.25">
      <c r="A1224" s="3" t="s">
        <v>860</v>
      </c>
      <c r="B1224" s="4" t="s">
        <v>2057</v>
      </c>
      <c r="C1224" s="4" t="s">
        <v>9828</v>
      </c>
      <c r="D1224" s="4" t="s">
        <v>8736</v>
      </c>
      <c r="E1224" s="4" t="s">
        <v>1947</v>
      </c>
      <c r="F1224" s="4" t="s">
        <v>1948</v>
      </c>
      <c r="G1224" s="4" t="s">
        <v>2057</v>
      </c>
      <c r="H1224" s="4" t="s">
        <v>8771</v>
      </c>
      <c r="I1224" s="4" t="s">
        <v>1939</v>
      </c>
      <c r="J1224" s="4" t="s">
        <v>9829</v>
      </c>
      <c r="K1224" s="4" t="s">
        <v>9830</v>
      </c>
      <c r="L1224" s="4" t="s">
        <v>9831</v>
      </c>
      <c r="M1224" s="4" t="s">
        <v>2078</v>
      </c>
      <c r="N1224" s="8">
        <v>46052</v>
      </c>
      <c r="O1224" s="8">
        <v>46356</v>
      </c>
      <c r="P1224" s="4" t="s">
        <v>2090</v>
      </c>
      <c r="Q1224" s="4" t="s">
        <v>1939</v>
      </c>
      <c r="R1224" s="4" t="s">
        <v>5388</v>
      </c>
      <c r="S1224" s="4" t="s">
        <v>9832</v>
      </c>
      <c r="T1224" s="4" t="s">
        <v>2067</v>
      </c>
      <c r="U1224" s="4" t="s">
        <v>3437</v>
      </c>
      <c r="V1224" s="4" t="s">
        <v>2067</v>
      </c>
      <c r="W1224" s="4" t="s">
        <v>2069</v>
      </c>
    </row>
    <row r="1225" spans="1:23" ht="20.100000000000001" customHeight="1" x14ac:dyDescent="0.25">
      <c r="A1225" s="6" t="s">
        <v>218</v>
      </c>
      <c r="B1225" s="7" t="s">
        <v>2057</v>
      </c>
      <c r="C1225" s="7" t="s">
        <v>9833</v>
      </c>
      <c r="D1225" s="7" t="s">
        <v>8736</v>
      </c>
      <c r="E1225" s="7" t="s">
        <v>1947</v>
      </c>
      <c r="F1225" s="7" t="s">
        <v>1948</v>
      </c>
      <c r="G1225" s="7" t="s">
        <v>2057</v>
      </c>
      <c r="H1225" s="7" t="s">
        <v>1946</v>
      </c>
      <c r="I1225" s="7" t="s">
        <v>1939</v>
      </c>
      <c r="J1225" s="7" t="s">
        <v>9834</v>
      </c>
      <c r="K1225" s="7" t="s">
        <v>9835</v>
      </c>
      <c r="L1225" s="7" t="s">
        <v>9836</v>
      </c>
      <c r="M1225" s="7" t="s">
        <v>2078</v>
      </c>
      <c r="N1225" s="9">
        <v>46052</v>
      </c>
      <c r="O1225" s="9">
        <v>46356</v>
      </c>
      <c r="P1225" s="7" t="s">
        <v>2090</v>
      </c>
      <c r="Q1225" s="7" t="s">
        <v>1939</v>
      </c>
      <c r="R1225" s="7" t="s">
        <v>9837</v>
      </c>
      <c r="S1225" s="7" t="s">
        <v>9838</v>
      </c>
      <c r="T1225" s="7" t="s">
        <v>2067</v>
      </c>
      <c r="U1225" s="7" t="s">
        <v>3153</v>
      </c>
      <c r="V1225" s="7" t="s">
        <v>2067</v>
      </c>
      <c r="W1225" s="7" t="s">
        <v>2069</v>
      </c>
    </row>
    <row r="1226" spans="1:23" ht="20.100000000000001" customHeight="1" x14ac:dyDescent="0.25">
      <c r="A1226" s="3" t="s">
        <v>9839</v>
      </c>
      <c r="B1226" s="4" t="s">
        <v>2084</v>
      </c>
      <c r="C1226" s="4" t="s">
        <v>9840</v>
      </c>
      <c r="D1226" s="4" t="s">
        <v>8736</v>
      </c>
      <c r="E1226" s="4" t="s">
        <v>1947</v>
      </c>
      <c r="F1226" s="4" t="s">
        <v>1948</v>
      </c>
      <c r="G1226" s="4" t="s">
        <v>2084</v>
      </c>
      <c r="H1226" s="4" t="s">
        <v>8879</v>
      </c>
      <c r="I1226" s="4" t="s">
        <v>1939</v>
      </c>
      <c r="J1226" s="4" t="s">
        <v>9841</v>
      </c>
      <c r="K1226" s="4" t="s">
        <v>9842</v>
      </c>
      <c r="L1226" s="4" t="s">
        <v>9843</v>
      </c>
      <c r="M1226" s="4" t="s">
        <v>2078</v>
      </c>
      <c r="N1226" s="8">
        <v>46052</v>
      </c>
      <c r="O1226" s="8">
        <v>46356</v>
      </c>
      <c r="P1226" s="4" t="s">
        <v>2090</v>
      </c>
      <c r="Q1226" s="4" t="s">
        <v>1939</v>
      </c>
      <c r="R1226" s="4" t="s">
        <v>9844</v>
      </c>
      <c r="S1226" s="4" t="s">
        <v>9845</v>
      </c>
      <c r="T1226" s="4" t="s">
        <v>2067</v>
      </c>
      <c r="U1226" s="4" t="s">
        <v>2146</v>
      </c>
      <c r="V1226" s="4" t="s">
        <v>2067</v>
      </c>
      <c r="W1226" s="4" t="s">
        <v>2069</v>
      </c>
    </row>
    <row r="1227" spans="1:23" ht="20.100000000000001" customHeight="1" x14ac:dyDescent="0.25">
      <c r="A1227" s="6" t="s">
        <v>9846</v>
      </c>
      <c r="B1227" s="7" t="s">
        <v>2057</v>
      </c>
      <c r="C1227" s="7" t="s">
        <v>9847</v>
      </c>
      <c r="D1227" s="7" t="s">
        <v>8736</v>
      </c>
      <c r="E1227" s="7" t="s">
        <v>1947</v>
      </c>
      <c r="F1227" s="7" t="s">
        <v>1948</v>
      </c>
      <c r="G1227" s="7" t="s">
        <v>2057</v>
      </c>
      <c r="H1227" s="7" t="s">
        <v>8794</v>
      </c>
      <c r="I1227" s="7" t="s">
        <v>1939</v>
      </c>
      <c r="J1227" s="7" t="s">
        <v>9848</v>
      </c>
      <c r="K1227" s="7" t="s">
        <v>9849</v>
      </c>
      <c r="L1227" s="7" t="s">
        <v>9850</v>
      </c>
      <c r="M1227" s="7" t="s">
        <v>2078</v>
      </c>
      <c r="N1227" s="9">
        <v>46139</v>
      </c>
      <c r="O1227" s="9">
        <v>46356</v>
      </c>
      <c r="P1227" s="7" t="s">
        <v>2090</v>
      </c>
      <c r="Q1227" s="7" t="s">
        <v>1939</v>
      </c>
      <c r="R1227" s="7" t="s">
        <v>3383</v>
      </c>
      <c r="S1227" s="7" t="s">
        <v>9851</v>
      </c>
      <c r="T1227" s="7" t="s">
        <v>2067</v>
      </c>
      <c r="U1227" s="7" t="s">
        <v>2146</v>
      </c>
      <c r="V1227" s="7" t="s">
        <v>2067</v>
      </c>
      <c r="W1227" s="7" t="s">
        <v>2069</v>
      </c>
    </row>
    <row r="1228" spans="1:23" ht="20.100000000000001" customHeight="1" x14ac:dyDescent="0.25">
      <c r="A1228" s="3" t="s">
        <v>1012</v>
      </c>
      <c r="B1228" s="4" t="s">
        <v>2057</v>
      </c>
      <c r="C1228" s="4" t="s">
        <v>9852</v>
      </c>
      <c r="D1228" s="4" t="s">
        <v>8736</v>
      </c>
      <c r="E1228" s="4" t="s">
        <v>1947</v>
      </c>
      <c r="F1228" s="4" t="s">
        <v>1948</v>
      </c>
      <c r="G1228" s="4" t="s">
        <v>2057</v>
      </c>
      <c r="H1228" s="4" t="s">
        <v>8794</v>
      </c>
      <c r="I1228" s="4" t="s">
        <v>1939</v>
      </c>
      <c r="J1228" s="4" t="s">
        <v>9853</v>
      </c>
      <c r="K1228" s="4" t="s">
        <v>9854</v>
      </c>
      <c r="L1228" s="4" t="s">
        <v>9855</v>
      </c>
      <c r="M1228" s="4" t="s">
        <v>2078</v>
      </c>
      <c r="N1228" s="8">
        <v>46106</v>
      </c>
      <c r="O1228" s="8">
        <v>46356</v>
      </c>
      <c r="P1228" s="4" t="s">
        <v>2090</v>
      </c>
      <c r="Q1228" s="4" t="s">
        <v>1939</v>
      </c>
      <c r="R1228" s="4" t="s">
        <v>9856</v>
      </c>
      <c r="S1228" s="4" t="s">
        <v>9857</v>
      </c>
      <c r="T1228" s="4" t="s">
        <v>2067</v>
      </c>
      <c r="U1228" s="4" t="s">
        <v>8824</v>
      </c>
      <c r="V1228" s="4" t="s">
        <v>2067</v>
      </c>
      <c r="W1228" s="4" t="s">
        <v>2069</v>
      </c>
    </row>
    <row r="1229" spans="1:23" ht="20.100000000000001" customHeight="1" x14ac:dyDescent="0.25">
      <c r="A1229" s="6" t="s">
        <v>848</v>
      </c>
      <c r="B1229" s="7" t="s">
        <v>2057</v>
      </c>
      <c r="C1229" s="7" t="s">
        <v>9858</v>
      </c>
      <c r="D1229" s="7" t="s">
        <v>8736</v>
      </c>
      <c r="E1229" s="7" t="s">
        <v>1947</v>
      </c>
      <c r="F1229" s="7" t="s">
        <v>1948</v>
      </c>
      <c r="G1229" s="7" t="s">
        <v>2057</v>
      </c>
      <c r="H1229" s="7" t="s">
        <v>8750</v>
      </c>
      <c r="I1229" s="7" t="s">
        <v>1939</v>
      </c>
      <c r="J1229" s="7" t="s">
        <v>9859</v>
      </c>
      <c r="K1229" s="7" t="s">
        <v>9860</v>
      </c>
      <c r="L1229" s="7" t="s">
        <v>9861</v>
      </c>
      <c r="M1229" s="7" t="s">
        <v>2078</v>
      </c>
      <c r="N1229" s="9">
        <v>46105</v>
      </c>
      <c r="O1229" s="9">
        <v>46356</v>
      </c>
      <c r="P1229" s="7" t="s">
        <v>2090</v>
      </c>
      <c r="Q1229" s="7" t="s">
        <v>1939</v>
      </c>
      <c r="R1229" s="7" t="s">
        <v>9862</v>
      </c>
      <c r="S1229" s="7" t="s">
        <v>9863</v>
      </c>
      <c r="T1229" s="7" t="s">
        <v>2067</v>
      </c>
      <c r="U1229" s="7" t="s">
        <v>8824</v>
      </c>
      <c r="V1229" s="7" t="s">
        <v>2067</v>
      </c>
      <c r="W1229" s="7" t="s">
        <v>2069</v>
      </c>
    </row>
    <row r="1230" spans="1:23" ht="20.100000000000001" customHeight="1" x14ac:dyDescent="0.25">
      <c r="A1230" s="3" t="s">
        <v>1194</v>
      </c>
      <c r="B1230" s="4" t="s">
        <v>2057</v>
      </c>
      <c r="C1230" s="4" t="s">
        <v>9864</v>
      </c>
      <c r="D1230" s="4" t="s">
        <v>8736</v>
      </c>
      <c r="E1230" s="4" t="s">
        <v>1947</v>
      </c>
      <c r="F1230" s="4" t="s">
        <v>1948</v>
      </c>
      <c r="G1230" s="4" t="s">
        <v>2057</v>
      </c>
      <c r="H1230" s="4" t="s">
        <v>8794</v>
      </c>
      <c r="I1230" s="4" t="s">
        <v>1939</v>
      </c>
      <c r="J1230" s="4" t="s">
        <v>9865</v>
      </c>
      <c r="K1230" s="4" t="s">
        <v>9866</v>
      </c>
      <c r="L1230" s="4" t="s">
        <v>9867</v>
      </c>
      <c r="M1230" s="4" t="s">
        <v>2078</v>
      </c>
      <c r="N1230" s="8">
        <v>46224</v>
      </c>
      <c r="O1230" s="8">
        <v>46356</v>
      </c>
      <c r="P1230" s="4" t="s">
        <v>2090</v>
      </c>
      <c r="Q1230" s="4" t="s">
        <v>1939</v>
      </c>
      <c r="R1230" s="4" t="s">
        <v>9868</v>
      </c>
      <c r="S1230" s="4" t="s">
        <v>9869</v>
      </c>
      <c r="T1230" s="4" t="s">
        <v>2067</v>
      </c>
      <c r="U1230" s="4" t="s">
        <v>2146</v>
      </c>
      <c r="V1230" s="4" t="s">
        <v>2067</v>
      </c>
      <c r="W1230" s="4" t="s">
        <v>2069</v>
      </c>
    </row>
    <row r="1231" spans="1:23" ht="20.100000000000001" customHeight="1" x14ac:dyDescent="0.25">
      <c r="A1231" s="6" t="s">
        <v>1586</v>
      </c>
      <c r="B1231" s="7" t="s">
        <v>2057</v>
      </c>
      <c r="C1231" s="7" t="s">
        <v>9870</v>
      </c>
      <c r="D1231" s="7" t="s">
        <v>8736</v>
      </c>
      <c r="E1231" s="7" t="s">
        <v>1947</v>
      </c>
      <c r="F1231" s="7" t="s">
        <v>2238</v>
      </c>
      <c r="G1231" s="7" t="s">
        <v>2057</v>
      </c>
      <c r="H1231" s="7" t="s">
        <v>1946</v>
      </c>
      <c r="I1231" s="7" t="s">
        <v>1939</v>
      </c>
      <c r="J1231" s="7" t="s">
        <v>9871</v>
      </c>
      <c r="K1231" s="7" t="s">
        <v>9872</v>
      </c>
      <c r="L1231" s="7" t="s">
        <v>9873</v>
      </c>
      <c r="M1231" s="7" t="s">
        <v>2078</v>
      </c>
      <c r="N1231" s="9">
        <v>46234</v>
      </c>
      <c r="O1231" s="9">
        <v>46356</v>
      </c>
      <c r="P1231" s="7" t="s">
        <v>2090</v>
      </c>
      <c r="Q1231" s="7" t="s">
        <v>1939</v>
      </c>
      <c r="R1231" s="7" t="s">
        <v>3873</v>
      </c>
      <c r="S1231" s="7" t="s">
        <v>9874</v>
      </c>
      <c r="T1231" s="7" t="s">
        <v>2067</v>
      </c>
      <c r="U1231" s="7" t="s">
        <v>2244</v>
      </c>
      <c r="V1231" s="7" t="s">
        <v>2067</v>
      </c>
      <c r="W1231" s="7" t="s">
        <v>2069</v>
      </c>
    </row>
    <row r="1232" spans="1:23" ht="20.100000000000001" customHeight="1" x14ac:dyDescent="0.25">
      <c r="A1232" s="3" t="s">
        <v>9875</v>
      </c>
      <c r="B1232" s="4" t="s">
        <v>2084</v>
      </c>
      <c r="C1232" s="4" t="s">
        <v>9876</v>
      </c>
      <c r="D1232" s="4" t="s">
        <v>8736</v>
      </c>
      <c r="E1232" s="4" t="s">
        <v>1947</v>
      </c>
      <c r="F1232" s="4" t="s">
        <v>1948</v>
      </c>
      <c r="G1232" s="4" t="s">
        <v>2084</v>
      </c>
      <c r="H1232" s="4" t="s">
        <v>8879</v>
      </c>
      <c r="I1232" s="4" t="s">
        <v>1939</v>
      </c>
      <c r="J1232" s="4" t="s">
        <v>9877</v>
      </c>
      <c r="K1232" s="4" t="s">
        <v>9878</v>
      </c>
      <c r="L1232" s="4" t="s">
        <v>9879</v>
      </c>
      <c r="M1232" s="4" t="s">
        <v>2078</v>
      </c>
      <c r="N1232" s="8">
        <v>46234</v>
      </c>
      <c r="O1232" s="8">
        <v>46356</v>
      </c>
      <c r="P1232" s="4" t="s">
        <v>2090</v>
      </c>
      <c r="Q1232" s="4" t="s">
        <v>1939</v>
      </c>
      <c r="R1232" s="4" t="s">
        <v>9880</v>
      </c>
      <c r="S1232" s="4" t="s">
        <v>9881</v>
      </c>
      <c r="T1232" s="4" t="s">
        <v>2067</v>
      </c>
      <c r="U1232" s="4" t="s">
        <v>2146</v>
      </c>
      <c r="V1232" s="4" t="s">
        <v>2067</v>
      </c>
      <c r="W1232" s="4" t="s">
        <v>2069</v>
      </c>
    </row>
    <row r="1233" spans="1:23" ht="20.100000000000001" customHeight="1" x14ac:dyDescent="0.25">
      <c r="A1233" s="6" t="s">
        <v>354</v>
      </c>
      <c r="B1233" s="7" t="s">
        <v>2057</v>
      </c>
      <c r="C1233" s="7" t="s">
        <v>9882</v>
      </c>
      <c r="D1233" s="7" t="s">
        <v>8736</v>
      </c>
      <c r="E1233" s="7" t="s">
        <v>1947</v>
      </c>
      <c r="F1233" s="7" t="s">
        <v>1948</v>
      </c>
      <c r="G1233" s="7" t="s">
        <v>2057</v>
      </c>
      <c r="H1233" s="7" t="s">
        <v>8750</v>
      </c>
      <c r="I1233" s="7" t="s">
        <v>1939</v>
      </c>
      <c r="J1233" s="7" t="s">
        <v>9883</v>
      </c>
      <c r="K1233" s="7" t="s">
        <v>9884</v>
      </c>
      <c r="L1233" s="7" t="s">
        <v>9885</v>
      </c>
      <c r="M1233" s="7" t="s">
        <v>2078</v>
      </c>
      <c r="N1233" s="9">
        <v>46099</v>
      </c>
      <c r="O1233" s="9">
        <v>46356</v>
      </c>
      <c r="P1233" s="7" t="s">
        <v>2090</v>
      </c>
      <c r="Q1233" s="7" t="s">
        <v>1939</v>
      </c>
      <c r="R1233" s="7" t="s">
        <v>9886</v>
      </c>
      <c r="S1233" s="7" t="s">
        <v>9887</v>
      </c>
      <c r="T1233" s="7" t="s">
        <v>2067</v>
      </c>
      <c r="U1233" s="7" t="s">
        <v>8824</v>
      </c>
      <c r="V1233" s="7" t="s">
        <v>2067</v>
      </c>
      <c r="W1233" s="7" t="s">
        <v>2069</v>
      </c>
    </row>
    <row r="1234" spans="1:23" ht="20.100000000000001" customHeight="1" x14ac:dyDescent="0.25">
      <c r="A1234" s="3" t="s">
        <v>1602</v>
      </c>
      <c r="B1234" s="4" t="s">
        <v>2057</v>
      </c>
      <c r="C1234" s="4" t="s">
        <v>9888</v>
      </c>
      <c r="D1234" s="4" t="s">
        <v>8736</v>
      </c>
      <c r="E1234" s="4" t="s">
        <v>1947</v>
      </c>
      <c r="F1234" s="4" t="s">
        <v>2238</v>
      </c>
      <c r="G1234" s="4" t="s">
        <v>2057</v>
      </c>
      <c r="H1234" s="4" t="s">
        <v>1946</v>
      </c>
      <c r="I1234" s="4" t="s">
        <v>1939</v>
      </c>
      <c r="J1234" s="4" t="s">
        <v>9889</v>
      </c>
      <c r="K1234" s="4" t="s">
        <v>9890</v>
      </c>
      <c r="L1234" s="4" t="s">
        <v>9891</v>
      </c>
      <c r="M1234" s="4" t="s">
        <v>2078</v>
      </c>
      <c r="N1234" s="8">
        <v>46234</v>
      </c>
      <c r="O1234" s="8">
        <v>46356</v>
      </c>
      <c r="P1234" s="4" t="s">
        <v>2090</v>
      </c>
      <c r="Q1234" s="4" t="s">
        <v>1939</v>
      </c>
      <c r="R1234" s="4" t="s">
        <v>9892</v>
      </c>
      <c r="S1234" s="4" t="s">
        <v>9893</v>
      </c>
      <c r="T1234" s="4" t="s">
        <v>2067</v>
      </c>
      <c r="U1234" s="4" t="s">
        <v>2244</v>
      </c>
      <c r="V1234" s="4" t="s">
        <v>2067</v>
      </c>
      <c r="W1234" s="4" t="s">
        <v>2069</v>
      </c>
    </row>
    <row r="1235" spans="1:23" ht="20.100000000000001" customHeight="1" x14ac:dyDescent="0.25">
      <c r="A1235" s="6" t="s">
        <v>1796</v>
      </c>
      <c r="B1235" s="7" t="s">
        <v>2057</v>
      </c>
      <c r="C1235" s="7" t="s">
        <v>9894</v>
      </c>
      <c r="D1235" s="7" t="s">
        <v>8736</v>
      </c>
      <c r="E1235" s="7" t="s">
        <v>1947</v>
      </c>
      <c r="F1235" s="7" t="s">
        <v>1948</v>
      </c>
      <c r="G1235" s="7" t="s">
        <v>2057</v>
      </c>
      <c r="H1235" s="7" t="s">
        <v>1946</v>
      </c>
      <c r="I1235" s="7" t="s">
        <v>1939</v>
      </c>
      <c r="J1235" s="7" t="s">
        <v>9895</v>
      </c>
      <c r="K1235" s="7" t="s">
        <v>9896</v>
      </c>
      <c r="L1235" s="7" t="s">
        <v>9897</v>
      </c>
      <c r="M1235" s="7" t="s">
        <v>2078</v>
      </c>
      <c r="N1235" s="9">
        <v>46073</v>
      </c>
      <c r="O1235" s="9">
        <v>46356</v>
      </c>
      <c r="P1235" s="7" t="s">
        <v>2090</v>
      </c>
      <c r="Q1235" s="7" t="s">
        <v>1939</v>
      </c>
      <c r="R1235" s="7" t="s">
        <v>9898</v>
      </c>
      <c r="S1235" s="7" t="s">
        <v>9899</v>
      </c>
      <c r="T1235" s="7" t="s">
        <v>2067</v>
      </c>
      <c r="U1235" s="7" t="s">
        <v>8824</v>
      </c>
      <c r="V1235" s="7" t="s">
        <v>2067</v>
      </c>
      <c r="W1235" s="7" t="s">
        <v>2069</v>
      </c>
    </row>
    <row r="1236" spans="1:23" ht="20.100000000000001" customHeight="1" x14ac:dyDescent="0.25">
      <c r="A1236" s="3" t="s">
        <v>344</v>
      </c>
      <c r="B1236" s="4" t="s">
        <v>2084</v>
      </c>
      <c r="C1236" s="4" t="s">
        <v>9900</v>
      </c>
      <c r="D1236" s="4" t="s">
        <v>8736</v>
      </c>
      <c r="E1236" s="4" t="s">
        <v>1947</v>
      </c>
      <c r="F1236" s="4" t="s">
        <v>1948</v>
      </c>
      <c r="G1236" s="4" t="s">
        <v>2084</v>
      </c>
      <c r="H1236" s="4" t="s">
        <v>1982</v>
      </c>
      <c r="I1236" s="4" t="s">
        <v>1939</v>
      </c>
      <c r="J1236" s="4" t="s">
        <v>9901</v>
      </c>
      <c r="K1236" s="4" t="s">
        <v>9902</v>
      </c>
      <c r="L1236" s="4" t="s">
        <v>9903</v>
      </c>
      <c r="M1236" s="4" t="s">
        <v>2078</v>
      </c>
      <c r="N1236" s="8">
        <v>46090</v>
      </c>
      <c r="O1236" s="8">
        <v>46356</v>
      </c>
      <c r="P1236" s="4" t="s">
        <v>2090</v>
      </c>
      <c r="Q1236" s="4" t="s">
        <v>1939</v>
      </c>
      <c r="R1236" s="4" t="s">
        <v>9904</v>
      </c>
      <c r="S1236" s="4" t="s">
        <v>9905</v>
      </c>
      <c r="T1236" s="4" t="s">
        <v>2067</v>
      </c>
      <c r="U1236" s="4" t="s">
        <v>2146</v>
      </c>
      <c r="V1236" s="4" t="s">
        <v>2067</v>
      </c>
      <c r="W1236" s="4" t="s">
        <v>2069</v>
      </c>
    </row>
    <row r="1237" spans="1:23" ht="20.100000000000001" customHeight="1" x14ac:dyDescent="0.25">
      <c r="A1237" s="6" t="s">
        <v>9906</v>
      </c>
      <c r="B1237" s="7" t="s">
        <v>2057</v>
      </c>
      <c r="C1237" s="7" t="s">
        <v>9907</v>
      </c>
      <c r="D1237" s="7" t="s">
        <v>8736</v>
      </c>
      <c r="E1237" s="7" t="s">
        <v>1940</v>
      </c>
      <c r="F1237" s="7" t="s">
        <v>1941</v>
      </c>
      <c r="G1237" s="7" t="s">
        <v>2057</v>
      </c>
      <c r="H1237" s="7" t="s">
        <v>8750</v>
      </c>
      <c r="I1237" s="7" t="s">
        <v>1939</v>
      </c>
      <c r="J1237" s="7" t="s">
        <v>9908</v>
      </c>
      <c r="K1237" s="7" t="s">
        <v>9909</v>
      </c>
      <c r="L1237" s="7" t="s">
        <v>9910</v>
      </c>
      <c r="M1237" s="7" t="s">
        <v>2078</v>
      </c>
      <c r="N1237" s="9">
        <v>46052</v>
      </c>
      <c r="O1237" s="9">
        <v>46356</v>
      </c>
      <c r="P1237" s="7" t="s">
        <v>1941</v>
      </c>
      <c r="Q1237" s="7" t="s">
        <v>1939</v>
      </c>
      <c r="R1237" s="7" t="s">
        <v>9911</v>
      </c>
      <c r="S1237" s="7" t="s">
        <v>9912</v>
      </c>
      <c r="T1237" s="7" t="s">
        <v>2067</v>
      </c>
      <c r="U1237" s="7" t="s">
        <v>2068</v>
      </c>
      <c r="V1237" s="7" t="s">
        <v>2067</v>
      </c>
      <c r="W1237" s="7" t="s">
        <v>2069</v>
      </c>
    </row>
    <row r="1238" spans="1:23" ht="20.100000000000001" customHeight="1" x14ac:dyDescent="0.25">
      <c r="A1238" s="3" t="s">
        <v>792</v>
      </c>
      <c r="B1238" s="4" t="s">
        <v>2057</v>
      </c>
      <c r="C1238" s="4" t="s">
        <v>9913</v>
      </c>
      <c r="D1238" s="4" t="s">
        <v>8736</v>
      </c>
      <c r="E1238" s="4" t="s">
        <v>1947</v>
      </c>
      <c r="F1238" s="4" t="s">
        <v>1948</v>
      </c>
      <c r="G1238" s="4" t="s">
        <v>2057</v>
      </c>
      <c r="H1238" s="4" t="s">
        <v>8794</v>
      </c>
      <c r="I1238" s="4" t="s">
        <v>1939</v>
      </c>
      <c r="J1238" s="4" t="s">
        <v>9914</v>
      </c>
      <c r="K1238" s="4" t="s">
        <v>9915</v>
      </c>
      <c r="L1238" s="4" t="s">
        <v>9916</v>
      </c>
      <c r="M1238" s="4" t="s">
        <v>2078</v>
      </c>
      <c r="N1238" s="8">
        <v>46107</v>
      </c>
      <c r="O1238" s="8">
        <v>46356</v>
      </c>
      <c r="P1238" s="4" t="s">
        <v>2090</v>
      </c>
      <c r="Q1238" s="4" t="s">
        <v>1939</v>
      </c>
      <c r="R1238" s="4" t="s">
        <v>7710</v>
      </c>
      <c r="S1238" s="4" t="s">
        <v>9917</v>
      </c>
      <c r="T1238" s="4" t="s">
        <v>2067</v>
      </c>
      <c r="U1238" s="4" t="s">
        <v>8824</v>
      </c>
      <c r="V1238" s="4" t="s">
        <v>2067</v>
      </c>
      <c r="W1238" s="4" t="s">
        <v>2069</v>
      </c>
    </row>
    <row r="1239" spans="1:23" ht="20.100000000000001" customHeight="1" x14ac:dyDescent="0.25">
      <c r="A1239" s="6" t="s">
        <v>274</v>
      </c>
      <c r="B1239" s="7" t="s">
        <v>2084</v>
      </c>
      <c r="C1239" s="7" t="s">
        <v>9918</v>
      </c>
      <c r="D1239" s="7" t="s">
        <v>8736</v>
      </c>
      <c r="E1239" s="7" t="s">
        <v>3520</v>
      </c>
      <c r="F1239" s="7" t="s">
        <v>3521</v>
      </c>
      <c r="G1239" s="7" t="s">
        <v>2084</v>
      </c>
      <c r="H1239" s="7" t="s">
        <v>1982</v>
      </c>
      <c r="I1239" s="7" t="s">
        <v>1939</v>
      </c>
      <c r="J1239" s="7" t="s">
        <v>9919</v>
      </c>
      <c r="K1239" s="7" t="s">
        <v>9920</v>
      </c>
      <c r="L1239" s="7" t="s">
        <v>9921</v>
      </c>
      <c r="M1239" s="7" t="s">
        <v>2078</v>
      </c>
      <c r="N1239" s="9">
        <v>46118</v>
      </c>
      <c r="O1239" s="9">
        <v>46356</v>
      </c>
      <c r="P1239" s="7" t="s">
        <v>3521</v>
      </c>
      <c r="Q1239" s="7" t="s">
        <v>1939</v>
      </c>
      <c r="R1239" s="7" t="s">
        <v>4890</v>
      </c>
      <c r="S1239" s="7" t="s">
        <v>9922</v>
      </c>
      <c r="T1239" s="7" t="s">
        <v>2067</v>
      </c>
      <c r="U1239" s="7" t="s">
        <v>3527</v>
      </c>
      <c r="V1239" s="7" t="s">
        <v>2067</v>
      </c>
      <c r="W1239" s="7" t="s">
        <v>2069</v>
      </c>
    </row>
    <row r="1240" spans="1:23" ht="20.100000000000001" customHeight="1" x14ac:dyDescent="0.25">
      <c r="A1240" s="3" t="s">
        <v>714</v>
      </c>
      <c r="B1240" s="4" t="s">
        <v>2057</v>
      </c>
      <c r="C1240" s="4" t="s">
        <v>9923</v>
      </c>
      <c r="D1240" s="4" t="s">
        <v>8736</v>
      </c>
      <c r="E1240" s="4" t="s">
        <v>1947</v>
      </c>
      <c r="F1240" s="4" t="s">
        <v>2238</v>
      </c>
      <c r="G1240" s="4" t="s">
        <v>2057</v>
      </c>
      <c r="H1240" s="4" t="s">
        <v>9391</v>
      </c>
      <c r="I1240" s="4" t="s">
        <v>1939</v>
      </c>
      <c r="J1240" s="4" t="s">
        <v>9924</v>
      </c>
      <c r="K1240" s="4" t="s">
        <v>9925</v>
      </c>
      <c r="L1240" s="4" t="s">
        <v>9926</v>
      </c>
      <c r="M1240" s="4" t="s">
        <v>2078</v>
      </c>
      <c r="N1240" s="8">
        <v>46105</v>
      </c>
      <c r="O1240" s="8">
        <v>46356</v>
      </c>
      <c r="P1240" s="4" t="s">
        <v>2090</v>
      </c>
      <c r="Q1240" s="4" t="s">
        <v>1939</v>
      </c>
      <c r="R1240" s="4" t="s">
        <v>9927</v>
      </c>
      <c r="S1240" s="4" t="s">
        <v>9928</v>
      </c>
      <c r="T1240" s="4" t="s">
        <v>2067</v>
      </c>
      <c r="U1240" s="4" t="s">
        <v>8824</v>
      </c>
      <c r="V1240" s="4" t="s">
        <v>2067</v>
      </c>
      <c r="W1240" s="4" t="s">
        <v>2069</v>
      </c>
    </row>
    <row r="1241" spans="1:23" ht="20.100000000000001" customHeight="1" x14ac:dyDescent="0.25">
      <c r="A1241" s="6" t="s">
        <v>1432</v>
      </c>
      <c r="B1241" s="7" t="s">
        <v>2084</v>
      </c>
      <c r="C1241" s="7" t="s">
        <v>9929</v>
      </c>
      <c r="D1241" s="7" t="s">
        <v>8736</v>
      </c>
      <c r="E1241" s="7" t="s">
        <v>1947</v>
      </c>
      <c r="F1241" s="7" t="s">
        <v>1948</v>
      </c>
      <c r="G1241" s="7" t="s">
        <v>2084</v>
      </c>
      <c r="H1241" s="7" t="s">
        <v>8879</v>
      </c>
      <c r="I1241" s="7" t="s">
        <v>1939</v>
      </c>
      <c r="J1241" s="7" t="s">
        <v>9930</v>
      </c>
      <c r="K1241" s="7" t="s">
        <v>9931</v>
      </c>
      <c r="L1241" s="7" t="s">
        <v>9932</v>
      </c>
      <c r="M1241" s="7" t="s">
        <v>2078</v>
      </c>
      <c r="N1241" s="9">
        <v>46066</v>
      </c>
      <c r="O1241" s="9">
        <v>46356</v>
      </c>
      <c r="P1241" s="7" t="s">
        <v>2090</v>
      </c>
      <c r="Q1241" s="7" t="s">
        <v>1939</v>
      </c>
      <c r="R1241" s="7" t="s">
        <v>9933</v>
      </c>
      <c r="S1241" s="7" t="s">
        <v>9934</v>
      </c>
      <c r="T1241" s="7" t="s">
        <v>2067</v>
      </c>
      <c r="U1241" s="7" t="s">
        <v>2146</v>
      </c>
      <c r="V1241" s="7" t="s">
        <v>2067</v>
      </c>
      <c r="W1241" s="7" t="s">
        <v>2069</v>
      </c>
    </row>
    <row r="1242" spans="1:23" ht="20.100000000000001" customHeight="1" x14ac:dyDescent="0.25">
      <c r="A1242" s="3" t="s">
        <v>1520</v>
      </c>
      <c r="B1242" s="4" t="s">
        <v>2057</v>
      </c>
      <c r="C1242" s="4" t="s">
        <v>9935</v>
      </c>
      <c r="D1242" s="4" t="s">
        <v>8736</v>
      </c>
      <c r="E1242" s="4" t="s">
        <v>1947</v>
      </c>
      <c r="F1242" s="4" t="s">
        <v>1948</v>
      </c>
      <c r="G1242" s="4" t="s">
        <v>2057</v>
      </c>
      <c r="H1242" s="4" t="s">
        <v>1964</v>
      </c>
      <c r="I1242" s="4" t="s">
        <v>1939</v>
      </c>
      <c r="J1242" s="4" t="s">
        <v>9936</v>
      </c>
      <c r="K1242" s="4" t="s">
        <v>9937</v>
      </c>
      <c r="L1242" s="4" t="s">
        <v>9938</v>
      </c>
      <c r="M1242" s="4" t="s">
        <v>2078</v>
      </c>
      <c r="N1242" s="8">
        <v>46234</v>
      </c>
      <c r="O1242" s="8">
        <v>46356</v>
      </c>
      <c r="P1242" s="4" t="s">
        <v>2090</v>
      </c>
      <c r="Q1242" s="4" t="s">
        <v>1939</v>
      </c>
      <c r="R1242" s="4" t="s">
        <v>9401</v>
      </c>
      <c r="S1242" s="4" t="s">
        <v>9939</v>
      </c>
      <c r="T1242" s="4" t="s">
        <v>2067</v>
      </c>
      <c r="U1242" s="4" t="s">
        <v>2146</v>
      </c>
      <c r="V1242" s="4" t="s">
        <v>2067</v>
      </c>
      <c r="W1242" s="4" t="s">
        <v>2069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340"/>
  <sheetViews>
    <sheetView workbookViewId="0"/>
  </sheetViews>
  <sheetFormatPr baseColWidth="10" defaultColWidth="9.140625" defaultRowHeight="15" x14ac:dyDescent="0.25"/>
  <cols>
    <col min="1" max="23" width="18" customWidth="1"/>
  </cols>
  <sheetData>
    <row r="1" spans="1:23" ht="27.95" customHeight="1" x14ac:dyDescent="0.25">
      <c r="A1" s="1" t="s">
        <v>1</v>
      </c>
      <c r="B1" s="1" t="s">
        <v>0</v>
      </c>
      <c r="C1" s="1" t="s">
        <v>2041</v>
      </c>
      <c r="D1" s="1" t="s">
        <v>2042</v>
      </c>
      <c r="E1" s="1" t="s">
        <v>3</v>
      </c>
      <c r="F1" s="1" t="s">
        <v>4</v>
      </c>
      <c r="G1" s="1" t="s">
        <v>2043</v>
      </c>
      <c r="H1" s="1" t="s">
        <v>5</v>
      </c>
      <c r="I1" s="1" t="s">
        <v>6</v>
      </c>
      <c r="J1" s="1" t="s">
        <v>2044</v>
      </c>
      <c r="K1" s="1" t="s">
        <v>2045</v>
      </c>
      <c r="L1" s="1" t="s">
        <v>2046</v>
      </c>
      <c r="M1" s="1" t="s">
        <v>2047</v>
      </c>
      <c r="N1" s="1" t="s">
        <v>2048</v>
      </c>
      <c r="O1" s="1" t="s">
        <v>2049</v>
      </c>
      <c r="P1" s="1" t="s">
        <v>2050</v>
      </c>
      <c r="Q1" s="1" t="s">
        <v>7</v>
      </c>
      <c r="R1" s="1" t="s">
        <v>2051</v>
      </c>
      <c r="S1" s="1" t="s">
        <v>2052</v>
      </c>
      <c r="T1" s="1" t="s">
        <v>2053</v>
      </c>
      <c r="U1" s="1" t="s">
        <v>2054</v>
      </c>
      <c r="V1" s="1" t="s">
        <v>2055</v>
      </c>
      <c r="W1" s="1" t="s">
        <v>2056</v>
      </c>
    </row>
    <row r="2" spans="1:23" ht="20.100000000000001" customHeight="1" x14ac:dyDescent="0.25">
      <c r="A2" s="3" t="s">
        <v>2070</v>
      </c>
      <c r="B2" s="4" t="s">
        <v>2057</v>
      </c>
      <c r="C2" s="4" t="s">
        <v>2071</v>
      </c>
      <c r="D2" s="4" t="s">
        <v>2059</v>
      </c>
      <c r="E2" s="4" t="s">
        <v>2072</v>
      </c>
      <c r="F2" s="4" t="s">
        <v>2073</v>
      </c>
      <c r="G2" s="4" t="s">
        <v>2057</v>
      </c>
      <c r="H2" s="4" t="s">
        <v>2074</v>
      </c>
      <c r="I2" s="4" t="s">
        <v>2012</v>
      </c>
      <c r="J2" s="4" t="s">
        <v>2075</v>
      </c>
      <c r="K2" s="4" t="s">
        <v>2076</v>
      </c>
      <c r="L2" s="4" t="s">
        <v>2077</v>
      </c>
      <c r="M2" s="4" t="s">
        <v>2078</v>
      </c>
      <c r="N2" s="8">
        <v>46234</v>
      </c>
      <c r="O2" s="8">
        <v>46356</v>
      </c>
      <c r="P2" s="4" t="s">
        <v>2073</v>
      </c>
      <c r="Q2" s="4" t="s">
        <v>2012</v>
      </c>
      <c r="R2" s="4" t="s">
        <v>2079</v>
      </c>
      <c r="S2" s="4" t="s">
        <v>2080</v>
      </c>
      <c r="T2" s="4" t="s">
        <v>2067</v>
      </c>
      <c r="U2" s="4" t="s">
        <v>2081</v>
      </c>
      <c r="V2" s="4" t="s">
        <v>2067</v>
      </c>
      <c r="W2" s="4" t="s">
        <v>2082</v>
      </c>
    </row>
    <row r="3" spans="1:23" ht="20.100000000000001" customHeight="1" x14ac:dyDescent="0.25">
      <c r="A3" s="6" t="s">
        <v>2083</v>
      </c>
      <c r="B3" s="7" t="s">
        <v>2084</v>
      </c>
      <c r="C3" s="7" t="s">
        <v>2085</v>
      </c>
      <c r="D3" s="7" t="s">
        <v>2059</v>
      </c>
      <c r="E3" s="7" t="s">
        <v>1947</v>
      </c>
      <c r="F3" s="7" t="s">
        <v>1948</v>
      </c>
      <c r="G3" s="7" t="s">
        <v>2084</v>
      </c>
      <c r="H3" s="7" t="s">
        <v>2086</v>
      </c>
      <c r="I3" s="7" t="s">
        <v>2012</v>
      </c>
      <c r="J3" s="7" t="s">
        <v>2087</v>
      </c>
      <c r="K3" s="7" t="s">
        <v>2088</v>
      </c>
      <c r="L3" s="7" t="s">
        <v>2089</v>
      </c>
      <c r="M3" s="7" t="s">
        <v>2078</v>
      </c>
      <c r="N3" s="9">
        <v>46234</v>
      </c>
      <c r="O3" s="9">
        <v>46356</v>
      </c>
      <c r="P3" s="7" t="s">
        <v>2090</v>
      </c>
      <c r="Q3" s="7" t="s">
        <v>2012</v>
      </c>
      <c r="R3" s="7" t="s">
        <v>2091</v>
      </c>
      <c r="S3" s="7" t="s">
        <v>2092</v>
      </c>
      <c r="T3" s="7" t="s">
        <v>2067</v>
      </c>
      <c r="U3" s="7" t="s">
        <v>2093</v>
      </c>
      <c r="V3" s="7" t="s">
        <v>2067</v>
      </c>
      <c r="W3" s="7" t="s">
        <v>2069</v>
      </c>
    </row>
    <row r="4" spans="1:23" ht="20.100000000000001" customHeight="1" x14ac:dyDescent="0.25">
      <c r="A4" s="3" t="s">
        <v>2094</v>
      </c>
      <c r="B4" s="4" t="s">
        <v>2057</v>
      </c>
      <c r="C4" s="4" t="s">
        <v>2095</v>
      </c>
      <c r="D4" s="4" t="s">
        <v>2059</v>
      </c>
      <c r="E4" s="4" t="s">
        <v>1940</v>
      </c>
      <c r="F4" s="4" t="s">
        <v>1941</v>
      </c>
      <c r="G4" s="4" t="s">
        <v>2057</v>
      </c>
      <c r="H4" s="4" t="s">
        <v>2011</v>
      </c>
      <c r="I4" s="4" t="s">
        <v>2012</v>
      </c>
      <c r="J4" s="4" t="s">
        <v>2096</v>
      </c>
      <c r="K4" s="4" t="s">
        <v>2097</v>
      </c>
      <c r="L4" s="4" t="s">
        <v>2098</v>
      </c>
      <c r="M4" s="4" t="s">
        <v>2078</v>
      </c>
      <c r="N4" s="8">
        <v>46234</v>
      </c>
      <c r="O4" s="8">
        <v>46356</v>
      </c>
      <c r="P4" s="4" t="s">
        <v>1941</v>
      </c>
      <c r="Q4" s="4" t="s">
        <v>2012</v>
      </c>
      <c r="R4" s="4" t="s">
        <v>2099</v>
      </c>
      <c r="S4" s="4" t="s">
        <v>2100</v>
      </c>
      <c r="T4" s="4" t="s">
        <v>2067</v>
      </c>
      <c r="U4" s="4" t="s">
        <v>2068</v>
      </c>
      <c r="V4" s="4" t="s">
        <v>2067</v>
      </c>
      <c r="W4" s="4" t="s">
        <v>2069</v>
      </c>
    </row>
    <row r="5" spans="1:23" ht="20.100000000000001" customHeight="1" x14ac:dyDescent="0.25">
      <c r="A5" s="6" t="s">
        <v>2101</v>
      </c>
      <c r="B5" s="7" t="s">
        <v>2057</v>
      </c>
      <c r="C5" s="7" t="s">
        <v>2102</v>
      </c>
      <c r="D5" s="7" t="s">
        <v>2059</v>
      </c>
      <c r="E5" s="7" t="s">
        <v>1947</v>
      </c>
      <c r="F5" s="7" t="s">
        <v>1948</v>
      </c>
      <c r="G5" s="7" t="s">
        <v>2057</v>
      </c>
      <c r="H5" s="7" t="s">
        <v>2103</v>
      </c>
      <c r="I5" s="7" t="s">
        <v>2012</v>
      </c>
      <c r="J5" s="7" t="s">
        <v>2104</v>
      </c>
      <c r="K5" s="7" t="s">
        <v>2105</v>
      </c>
      <c r="L5" s="7" t="s">
        <v>2106</v>
      </c>
      <c r="M5" s="7" t="s">
        <v>2064</v>
      </c>
      <c r="N5" s="9">
        <v>42387</v>
      </c>
      <c r="O5" s="9"/>
      <c r="P5" s="7" t="s">
        <v>2090</v>
      </c>
      <c r="Q5" s="7" t="s">
        <v>2012</v>
      </c>
      <c r="R5" s="7" t="s">
        <v>2107</v>
      </c>
      <c r="S5" s="7" t="s">
        <v>2108</v>
      </c>
      <c r="T5" s="7" t="s">
        <v>2067</v>
      </c>
      <c r="U5" s="7" t="s">
        <v>2109</v>
      </c>
      <c r="V5" s="7" t="s">
        <v>2067</v>
      </c>
      <c r="W5" s="7" t="s">
        <v>2069</v>
      </c>
    </row>
    <row r="6" spans="1:23" ht="20.100000000000001" customHeight="1" x14ac:dyDescent="0.25">
      <c r="A6" s="3" t="s">
        <v>2129</v>
      </c>
      <c r="B6" s="4" t="s">
        <v>2057</v>
      </c>
      <c r="C6" s="4" t="s">
        <v>2130</v>
      </c>
      <c r="D6" s="4" t="s">
        <v>2059</v>
      </c>
      <c r="E6" s="4" t="s">
        <v>2131</v>
      </c>
      <c r="F6" s="4" t="s">
        <v>2132</v>
      </c>
      <c r="G6" s="4" t="s">
        <v>2057</v>
      </c>
      <c r="H6" s="4" t="s">
        <v>2122</v>
      </c>
      <c r="I6" s="4" t="s">
        <v>2012</v>
      </c>
      <c r="J6" s="4" t="s">
        <v>2133</v>
      </c>
      <c r="K6" s="4" t="s">
        <v>2134</v>
      </c>
      <c r="L6" s="4" t="s">
        <v>2135</v>
      </c>
      <c r="M6" s="4" t="s">
        <v>2078</v>
      </c>
      <c r="N6" s="8">
        <v>46052</v>
      </c>
      <c r="O6" s="8">
        <v>46355</v>
      </c>
      <c r="P6" s="4" t="s">
        <v>2132</v>
      </c>
      <c r="Q6" s="4" t="s">
        <v>2012</v>
      </c>
      <c r="R6" s="4" t="s">
        <v>2136</v>
      </c>
      <c r="S6" s="4" t="s">
        <v>2137</v>
      </c>
      <c r="T6" s="4" t="s">
        <v>2067</v>
      </c>
      <c r="U6" s="4" t="s">
        <v>2138</v>
      </c>
      <c r="V6" s="4" t="s">
        <v>2067</v>
      </c>
      <c r="W6" s="4" t="s">
        <v>2069</v>
      </c>
    </row>
    <row r="7" spans="1:23" ht="20.100000000000001" customHeight="1" x14ac:dyDescent="0.25">
      <c r="A7" s="6" t="s">
        <v>2159</v>
      </c>
      <c r="B7" s="7" t="s">
        <v>2057</v>
      </c>
      <c r="C7" s="7" t="s">
        <v>2160</v>
      </c>
      <c r="D7" s="7" t="s">
        <v>2059</v>
      </c>
      <c r="E7" s="7" t="s">
        <v>1947</v>
      </c>
      <c r="F7" s="7" t="s">
        <v>1948</v>
      </c>
      <c r="G7" s="7" t="s">
        <v>2057</v>
      </c>
      <c r="H7" s="7" t="s">
        <v>2161</v>
      </c>
      <c r="I7" s="7" t="s">
        <v>2012</v>
      </c>
      <c r="J7" s="7" t="s">
        <v>2162</v>
      </c>
      <c r="K7" s="7" t="s">
        <v>2163</v>
      </c>
      <c r="L7" s="7" t="s">
        <v>2164</v>
      </c>
      <c r="M7" s="7" t="s">
        <v>2078</v>
      </c>
      <c r="N7" s="9">
        <v>46234</v>
      </c>
      <c r="O7" s="9">
        <v>46356</v>
      </c>
      <c r="P7" s="7" t="s">
        <v>2090</v>
      </c>
      <c r="Q7" s="7" t="s">
        <v>2012</v>
      </c>
      <c r="R7" s="7" t="s">
        <v>2165</v>
      </c>
      <c r="S7" s="7" t="s">
        <v>2166</v>
      </c>
      <c r="T7" s="7" t="s">
        <v>2067</v>
      </c>
      <c r="U7" s="7" t="s">
        <v>2109</v>
      </c>
      <c r="V7" s="7" t="s">
        <v>2067</v>
      </c>
      <c r="W7" s="7" t="s">
        <v>2069</v>
      </c>
    </row>
    <row r="8" spans="1:23" ht="20.100000000000001" customHeight="1" x14ac:dyDescent="0.25">
      <c r="A8" s="3" t="s">
        <v>2167</v>
      </c>
      <c r="B8" s="4" t="s">
        <v>2057</v>
      </c>
      <c r="C8" s="4" t="s">
        <v>2168</v>
      </c>
      <c r="D8" s="4" t="s">
        <v>2059</v>
      </c>
      <c r="E8" s="4" t="s">
        <v>1965</v>
      </c>
      <c r="F8" s="4" t="s">
        <v>1966</v>
      </c>
      <c r="G8" s="4" t="s">
        <v>2057</v>
      </c>
      <c r="H8" s="4" t="s">
        <v>2011</v>
      </c>
      <c r="I8" s="4" t="s">
        <v>2012</v>
      </c>
      <c r="J8" s="4" t="s">
        <v>2169</v>
      </c>
      <c r="K8" s="4" t="s">
        <v>2170</v>
      </c>
      <c r="L8" s="4" t="s">
        <v>2171</v>
      </c>
      <c r="M8" s="4" t="s">
        <v>2078</v>
      </c>
      <c r="N8" s="8">
        <v>46234</v>
      </c>
      <c r="O8" s="8">
        <v>46356</v>
      </c>
      <c r="P8" s="4" t="s">
        <v>1966</v>
      </c>
      <c r="Q8" s="4" t="s">
        <v>2012</v>
      </c>
      <c r="R8" s="4" t="s">
        <v>2172</v>
      </c>
      <c r="S8" s="4" t="s">
        <v>2173</v>
      </c>
      <c r="T8" s="4" t="s">
        <v>2067</v>
      </c>
      <c r="U8" s="4" t="s">
        <v>2174</v>
      </c>
      <c r="V8" s="4" t="s">
        <v>2067</v>
      </c>
      <c r="W8" s="4" t="s">
        <v>2069</v>
      </c>
    </row>
    <row r="9" spans="1:23" ht="20.100000000000001" customHeight="1" x14ac:dyDescent="0.25">
      <c r="A9" s="6" t="s">
        <v>2175</v>
      </c>
      <c r="B9" s="7" t="s">
        <v>2057</v>
      </c>
      <c r="C9" s="7" t="s">
        <v>2176</v>
      </c>
      <c r="D9" s="7" t="s">
        <v>2059</v>
      </c>
      <c r="E9" s="7" t="s">
        <v>2111</v>
      </c>
      <c r="F9" s="7" t="s">
        <v>2112</v>
      </c>
      <c r="G9" s="7" t="s">
        <v>2057</v>
      </c>
      <c r="H9" s="7" t="s">
        <v>2161</v>
      </c>
      <c r="I9" s="7" t="s">
        <v>2012</v>
      </c>
      <c r="J9" s="7" t="s">
        <v>2177</v>
      </c>
      <c r="K9" s="7" t="s">
        <v>2178</v>
      </c>
      <c r="L9" s="7" t="s">
        <v>2179</v>
      </c>
      <c r="M9" s="7" t="s">
        <v>2078</v>
      </c>
      <c r="N9" s="9">
        <v>46052</v>
      </c>
      <c r="O9" s="9">
        <v>46356</v>
      </c>
      <c r="P9" s="7" t="s">
        <v>2112</v>
      </c>
      <c r="Q9" s="7" t="s">
        <v>2012</v>
      </c>
      <c r="R9" s="7" t="s">
        <v>2180</v>
      </c>
      <c r="S9" s="7" t="s">
        <v>2181</v>
      </c>
      <c r="T9" s="7" t="s">
        <v>2067</v>
      </c>
      <c r="U9" s="7" t="s">
        <v>2119</v>
      </c>
      <c r="V9" s="7" t="s">
        <v>2067</v>
      </c>
      <c r="W9" s="7" t="s">
        <v>2069</v>
      </c>
    </row>
    <row r="10" spans="1:23" ht="20.100000000000001" customHeight="1" x14ac:dyDescent="0.25">
      <c r="A10" s="3" t="s">
        <v>2217</v>
      </c>
      <c r="B10" s="4" t="s">
        <v>2057</v>
      </c>
      <c r="C10" s="4" t="s">
        <v>2218</v>
      </c>
      <c r="D10" s="4" t="s">
        <v>2059</v>
      </c>
      <c r="E10" s="4" t="s">
        <v>2189</v>
      </c>
      <c r="F10" s="4" t="s">
        <v>2190</v>
      </c>
      <c r="G10" s="4" t="s">
        <v>2057</v>
      </c>
      <c r="H10" s="4" t="s">
        <v>2161</v>
      </c>
      <c r="I10" s="4" t="s">
        <v>2012</v>
      </c>
      <c r="J10" s="4" t="s">
        <v>2219</v>
      </c>
      <c r="K10" s="4" t="s">
        <v>2220</v>
      </c>
      <c r="L10" s="4" t="s">
        <v>2221</v>
      </c>
      <c r="M10" s="4" t="s">
        <v>2078</v>
      </c>
      <c r="N10" s="8">
        <v>46052</v>
      </c>
      <c r="O10" s="8">
        <v>46355</v>
      </c>
      <c r="P10" s="4" t="s">
        <v>2195</v>
      </c>
      <c r="Q10" s="4" t="s">
        <v>2012</v>
      </c>
      <c r="R10" s="4" t="s">
        <v>2222</v>
      </c>
      <c r="S10" s="4" t="s">
        <v>2223</v>
      </c>
      <c r="T10" s="4" t="s">
        <v>2067</v>
      </c>
      <c r="U10" s="4" t="s">
        <v>2198</v>
      </c>
      <c r="V10" s="4" t="s">
        <v>2067</v>
      </c>
      <c r="W10" s="4" t="s">
        <v>2069</v>
      </c>
    </row>
    <row r="11" spans="1:23" ht="20.100000000000001" customHeight="1" x14ac:dyDescent="0.25">
      <c r="A11" s="6" t="s">
        <v>2230</v>
      </c>
      <c r="B11" s="7" t="s">
        <v>2057</v>
      </c>
      <c r="C11" s="7" t="s">
        <v>2231</v>
      </c>
      <c r="D11" s="7" t="s">
        <v>2059</v>
      </c>
      <c r="E11" s="7" t="s">
        <v>1947</v>
      </c>
      <c r="F11" s="7" t="s">
        <v>1948</v>
      </c>
      <c r="G11" s="7" t="s">
        <v>2057</v>
      </c>
      <c r="H11" s="7" t="s">
        <v>2011</v>
      </c>
      <c r="I11" s="7" t="s">
        <v>2012</v>
      </c>
      <c r="J11" s="7" t="s">
        <v>2232</v>
      </c>
      <c r="K11" s="7" t="s">
        <v>2233</v>
      </c>
      <c r="L11" s="7" t="s">
        <v>2234</v>
      </c>
      <c r="M11" s="7" t="s">
        <v>2078</v>
      </c>
      <c r="N11" s="9">
        <v>46234</v>
      </c>
      <c r="O11" s="9">
        <v>46356</v>
      </c>
      <c r="P11" s="7" t="s">
        <v>2090</v>
      </c>
      <c r="Q11" s="7" t="s">
        <v>2012</v>
      </c>
      <c r="R11" s="7" t="s">
        <v>2235</v>
      </c>
      <c r="S11" s="7" t="s">
        <v>2236</v>
      </c>
      <c r="T11" s="7" t="s">
        <v>2067</v>
      </c>
      <c r="U11" s="7" t="s">
        <v>2146</v>
      </c>
      <c r="V11" s="7" t="s">
        <v>2067</v>
      </c>
      <c r="W11" s="7" t="s">
        <v>2069</v>
      </c>
    </row>
    <row r="12" spans="1:23" ht="20.100000000000001" customHeight="1" x14ac:dyDescent="0.25">
      <c r="A12" s="3" t="s">
        <v>2313</v>
      </c>
      <c r="B12" s="4" t="s">
        <v>2084</v>
      </c>
      <c r="C12" s="4" t="s">
        <v>2314</v>
      </c>
      <c r="D12" s="4" t="s">
        <v>2059</v>
      </c>
      <c r="E12" s="4" t="s">
        <v>2189</v>
      </c>
      <c r="F12" s="4" t="s">
        <v>2190</v>
      </c>
      <c r="G12" s="4" t="s">
        <v>2084</v>
      </c>
      <c r="H12" s="4" t="s">
        <v>2315</v>
      </c>
      <c r="I12" s="4" t="s">
        <v>2012</v>
      </c>
      <c r="J12" s="4" t="s">
        <v>2316</v>
      </c>
      <c r="K12" s="4" t="s">
        <v>2317</v>
      </c>
      <c r="L12" s="4" t="s">
        <v>2318</v>
      </c>
      <c r="M12" s="4" t="s">
        <v>2078</v>
      </c>
      <c r="N12" s="8">
        <v>46234</v>
      </c>
      <c r="O12" s="8">
        <v>46356</v>
      </c>
      <c r="P12" s="4" t="s">
        <v>2195</v>
      </c>
      <c r="Q12" s="4" t="s">
        <v>2012</v>
      </c>
      <c r="R12" s="4" t="s">
        <v>2319</v>
      </c>
      <c r="S12" s="4" t="s">
        <v>2320</v>
      </c>
      <c r="T12" s="4" t="s">
        <v>2067</v>
      </c>
      <c r="U12" s="4" t="s">
        <v>2198</v>
      </c>
      <c r="V12" s="4" t="s">
        <v>2067</v>
      </c>
      <c r="W12" s="4" t="s">
        <v>2082</v>
      </c>
    </row>
    <row r="13" spans="1:23" ht="20.100000000000001" customHeight="1" x14ac:dyDescent="0.25">
      <c r="A13" s="6" t="s">
        <v>2321</v>
      </c>
      <c r="B13" s="7" t="s">
        <v>2057</v>
      </c>
      <c r="C13" s="7" t="s">
        <v>2322</v>
      </c>
      <c r="D13" s="7" t="s">
        <v>2059</v>
      </c>
      <c r="E13" s="7" t="s">
        <v>2131</v>
      </c>
      <c r="F13" s="7" t="s">
        <v>2132</v>
      </c>
      <c r="G13" s="7" t="s">
        <v>2057</v>
      </c>
      <c r="H13" s="7" t="s">
        <v>2286</v>
      </c>
      <c r="I13" s="7" t="s">
        <v>2012</v>
      </c>
      <c r="J13" s="7" t="s">
        <v>2323</v>
      </c>
      <c r="K13" s="7" t="s">
        <v>2324</v>
      </c>
      <c r="L13" s="7" t="s">
        <v>2325</v>
      </c>
      <c r="M13" s="7" t="s">
        <v>2078</v>
      </c>
      <c r="N13" s="9">
        <v>46234</v>
      </c>
      <c r="O13" s="9">
        <v>46356</v>
      </c>
      <c r="P13" s="7" t="s">
        <v>2132</v>
      </c>
      <c r="Q13" s="7" t="s">
        <v>2012</v>
      </c>
      <c r="R13" s="7" t="s">
        <v>2326</v>
      </c>
      <c r="S13" s="7" t="s">
        <v>2327</v>
      </c>
      <c r="T13" s="7" t="s">
        <v>2067</v>
      </c>
      <c r="U13" s="7" t="s">
        <v>2138</v>
      </c>
      <c r="V13" s="7" t="s">
        <v>2067</v>
      </c>
      <c r="W13" s="7" t="s">
        <v>2069</v>
      </c>
    </row>
    <row r="14" spans="1:23" ht="20.100000000000001" customHeight="1" x14ac:dyDescent="0.25">
      <c r="A14" s="3" t="s">
        <v>2345</v>
      </c>
      <c r="B14" s="4" t="s">
        <v>2057</v>
      </c>
      <c r="C14" s="4" t="s">
        <v>2346</v>
      </c>
      <c r="D14" s="4" t="s">
        <v>2059</v>
      </c>
      <c r="E14" s="4" t="s">
        <v>1965</v>
      </c>
      <c r="F14" s="4" t="s">
        <v>1966</v>
      </c>
      <c r="G14" s="4" t="s">
        <v>2057</v>
      </c>
      <c r="H14" s="4" t="s">
        <v>2011</v>
      </c>
      <c r="I14" s="4" t="s">
        <v>2012</v>
      </c>
      <c r="J14" s="4" t="s">
        <v>2347</v>
      </c>
      <c r="K14" s="4" t="s">
        <v>2348</v>
      </c>
      <c r="L14" s="4" t="s">
        <v>2349</v>
      </c>
      <c r="M14" s="4" t="s">
        <v>2078</v>
      </c>
      <c r="N14" s="8">
        <v>46234</v>
      </c>
      <c r="O14" s="8">
        <v>46356</v>
      </c>
      <c r="P14" s="4" t="s">
        <v>1966</v>
      </c>
      <c r="Q14" s="4" t="s">
        <v>2012</v>
      </c>
      <c r="R14" s="4" t="s">
        <v>2126</v>
      </c>
      <c r="S14" s="4" t="s">
        <v>2350</v>
      </c>
      <c r="T14" s="4" t="s">
        <v>2351</v>
      </c>
      <c r="U14" s="4" t="s">
        <v>2174</v>
      </c>
      <c r="V14" s="4" t="s">
        <v>2351</v>
      </c>
      <c r="W14" s="4" t="s">
        <v>2069</v>
      </c>
    </row>
    <row r="15" spans="1:23" ht="20.100000000000001" customHeight="1" x14ac:dyDescent="0.25">
      <c r="A15" s="6" t="s">
        <v>2412</v>
      </c>
      <c r="B15" s="7" t="s">
        <v>2084</v>
      </c>
      <c r="C15" s="7" t="s">
        <v>2413</v>
      </c>
      <c r="D15" s="7" t="s">
        <v>2059</v>
      </c>
      <c r="E15" s="7" t="s">
        <v>1947</v>
      </c>
      <c r="F15" s="7" t="s">
        <v>1948</v>
      </c>
      <c r="G15" s="7" t="s">
        <v>2084</v>
      </c>
      <c r="H15" s="7" t="s">
        <v>2086</v>
      </c>
      <c r="I15" s="7" t="s">
        <v>2012</v>
      </c>
      <c r="J15" s="7" t="s">
        <v>2414</v>
      </c>
      <c r="K15" s="7" t="s">
        <v>2415</v>
      </c>
      <c r="L15" s="7" t="s">
        <v>2416</v>
      </c>
      <c r="M15" s="7" t="s">
        <v>2078</v>
      </c>
      <c r="N15" s="9">
        <v>46234</v>
      </c>
      <c r="O15" s="9">
        <v>46356</v>
      </c>
      <c r="P15" s="7" t="s">
        <v>2090</v>
      </c>
      <c r="Q15" s="7" t="s">
        <v>2012</v>
      </c>
      <c r="R15" s="7" t="s">
        <v>2417</v>
      </c>
      <c r="S15" s="7" t="s">
        <v>2418</v>
      </c>
      <c r="T15" s="7" t="s">
        <v>2067</v>
      </c>
      <c r="U15" s="7" t="s">
        <v>2146</v>
      </c>
      <c r="V15" s="7" t="s">
        <v>2067</v>
      </c>
      <c r="W15" s="7" t="s">
        <v>2069</v>
      </c>
    </row>
    <row r="16" spans="1:23" ht="20.100000000000001" customHeight="1" x14ac:dyDescent="0.25">
      <c r="A16" s="3" t="s">
        <v>2425</v>
      </c>
      <c r="B16" s="4" t="s">
        <v>2057</v>
      </c>
      <c r="C16" s="4" t="s">
        <v>2426</v>
      </c>
      <c r="D16" s="4" t="s">
        <v>2059</v>
      </c>
      <c r="E16" s="4" t="s">
        <v>1947</v>
      </c>
      <c r="F16" s="4" t="s">
        <v>2427</v>
      </c>
      <c r="G16" s="4" t="s">
        <v>2057</v>
      </c>
      <c r="H16" s="4" t="s">
        <v>2161</v>
      </c>
      <c r="I16" s="4" t="s">
        <v>2012</v>
      </c>
      <c r="J16" s="4" t="s">
        <v>2428</v>
      </c>
      <c r="K16" s="4" t="s">
        <v>2429</v>
      </c>
      <c r="L16" s="4" t="s">
        <v>2430</v>
      </c>
      <c r="M16" s="4" t="s">
        <v>2078</v>
      </c>
      <c r="N16" s="8">
        <v>46234</v>
      </c>
      <c r="O16" s="8">
        <v>46356</v>
      </c>
      <c r="P16" s="4" t="s">
        <v>2427</v>
      </c>
      <c r="Q16" s="4" t="s">
        <v>2012</v>
      </c>
      <c r="R16" s="4" t="s">
        <v>2431</v>
      </c>
      <c r="S16" s="4" t="s">
        <v>2432</v>
      </c>
      <c r="T16" s="4" t="s">
        <v>2067</v>
      </c>
      <c r="U16" s="4" t="s">
        <v>2244</v>
      </c>
      <c r="V16" s="4" t="s">
        <v>2067</v>
      </c>
      <c r="W16" s="4" t="s">
        <v>2069</v>
      </c>
    </row>
    <row r="17" spans="1:23" ht="20.100000000000001" customHeight="1" x14ac:dyDescent="0.25">
      <c r="A17" s="6" t="s">
        <v>2457</v>
      </c>
      <c r="B17" s="7" t="s">
        <v>2057</v>
      </c>
      <c r="C17" s="7" t="s">
        <v>2458</v>
      </c>
      <c r="D17" s="7" t="s">
        <v>2059</v>
      </c>
      <c r="E17" s="7" t="s">
        <v>1965</v>
      </c>
      <c r="F17" s="7" t="s">
        <v>1966</v>
      </c>
      <c r="G17" s="7" t="s">
        <v>2057</v>
      </c>
      <c r="H17" s="7" t="s">
        <v>2161</v>
      </c>
      <c r="I17" s="7" t="s">
        <v>2012</v>
      </c>
      <c r="J17" s="7" t="s">
        <v>2459</v>
      </c>
      <c r="K17" s="7" t="s">
        <v>2460</v>
      </c>
      <c r="L17" s="7" t="s">
        <v>2461</v>
      </c>
      <c r="M17" s="7" t="s">
        <v>2078</v>
      </c>
      <c r="N17" s="9">
        <v>46234</v>
      </c>
      <c r="O17" s="9">
        <v>46356</v>
      </c>
      <c r="P17" s="7" t="s">
        <v>1966</v>
      </c>
      <c r="Q17" s="7" t="s">
        <v>2012</v>
      </c>
      <c r="R17" s="7" t="s">
        <v>2462</v>
      </c>
      <c r="S17" s="7" t="s">
        <v>2463</v>
      </c>
      <c r="T17" s="7" t="s">
        <v>2067</v>
      </c>
      <c r="U17" s="7" t="s">
        <v>2174</v>
      </c>
      <c r="V17" s="7" t="s">
        <v>2067</v>
      </c>
      <c r="W17" s="7" t="s">
        <v>2069</v>
      </c>
    </row>
    <row r="18" spans="1:23" ht="20.100000000000001" customHeight="1" x14ac:dyDescent="0.25">
      <c r="A18" s="3" t="s">
        <v>2476</v>
      </c>
      <c r="B18" s="4" t="s">
        <v>2057</v>
      </c>
      <c r="C18" s="4" t="s">
        <v>2477</v>
      </c>
      <c r="D18" s="4" t="s">
        <v>2059</v>
      </c>
      <c r="E18" s="4" t="s">
        <v>2189</v>
      </c>
      <c r="F18" s="4" t="s">
        <v>2190</v>
      </c>
      <c r="G18" s="4" t="s">
        <v>2057</v>
      </c>
      <c r="H18" s="4" t="s">
        <v>2191</v>
      </c>
      <c r="I18" s="4" t="s">
        <v>2012</v>
      </c>
      <c r="J18" s="4" t="s">
        <v>2478</v>
      </c>
      <c r="K18" s="4" t="s">
        <v>2479</v>
      </c>
      <c r="L18" s="4" t="s">
        <v>2480</v>
      </c>
      <c r="M18" s="4" t="s">
        <v>2078</v>
      </c>
      <c r="N18" s="8">
        <v>46234</v>
      </c>
      <c r="O18" s="8">
        <v>46356</v>
      </c>
      <c r="P18" s="4" t="s">
        <v>2195</v>
      </c>
      <c r="Q18" s="4" t="s">
        <v>2012</v>
      </c>
      <c r="R18" s="4" t="s">
        <v>2481</v>
      </c>
      <c r="S18" s="4" t="s">
        <v>2482</v>
      </c>
      <c r="T18" s="4" t="s">
        <v>2067</v>
      </c>
      <c r="U18" s="4" t="s">
        <v>2198</v>
      </c>
      <c r="V18" s="4" t="s">
        <v>2067</v>
      </c>
      <c r="W18" s="4" t="s">
        <v>2069</v>
      </c>
    </row>
    <row r="19" spans="1:23" ht="20.100000000000001" customHeight="1" x14ac:dyDescent="0.25">
      <c r="A19" s="6" t="s">
        <v>2538</v>
      </c>
      <c r="B19" s="7" t="s">
        <v>2084</v>
      </c>
      <c r="C19" s="7" t="s">
        <v>2539</v>
      </c>
      <c r="D19" s="7" t="s">
        <v>2059</v>
      </c>
      <c r="E19" s="7" t="s">
        <v>1947</v>
      </c>
      <c r="F19" s="7" t="s">
        <v>1948</v>
      </c>
      <c r="G19" s="7" t="s">
        <v>2084</v>
      </c>
      <c r="H19" s="7" t="s">
        <v>2293</v>
      </c>
      <c r="I19" s="7" t="s">
        <v>2012</v>
      </c>
      <c r="J19" s="7" t="s">
        <v>2540</v>
      </c>
      <c r="K19" s="7" t="s">
        <v>2541</v>
      </c>
      <c r="L19" s="7" t="s">
        <v>2542</v>
      </c>
      <c r="M19" s="7" t="s">
        <v>2078</v>
      </c>
      <c r="N19" s="9">
        <v>46234</v>
      </c>
      <c r="O19" s="9">
        <v>46356</v>
      </c>
      <c r="P19" s="7" t="s">
        <v>2090</v>
      </c>
      <c r="Q19" s="7" t="s">
        <v>2012</v>
      </c>
      <c r="R19" s="7" t="s">
        <v>2543</v>
      </c>
      <c r="S19" s="7" t="s">
        <v>2544</v>
      </c>
      <c r="T19" s="7" t="s">
        <v>2067</v>
      </c>
      <c r="U19" s="7" t="s">
        <v>2146</v>
      </c>
      <c r="V19" s="7" t="s">
        <v>2067</v>
      </c>
      <c r="W19" s="7" t="s">
        <v>2082</v>
      </c>
    </row>
    <row r="20" spans="1:23" ht="20.100000000000001" customHeight="1" x14ac:dyDescent="0.25">
      <c r="A20" s="3" t="s">
        <v>2563</v>
      </c>
      <c r="B20" s="4" t="s">
        <v>2057</v>
      </c>
      <c r="C20" s="4" t="s">
        <v>2564</v>
      </c>
      <c r="D20" s="4" t="s">
        <v>2059</v>
      </c>
      <c r="E20" s="4" t="s">
        <v>1947</v>
      </c>
      <c r="F20" s="4" t="s">
        <v>1948</v>
      </c>
      <c r="G20" s="4" t="s">
        <v>2057</v>
      </c>
      <c r="H20" s="4" t="s">
        <v>2161</v>
      </c>
      <c r="I20" s="4" t="s">
        <v>2012</v>
      </c>
      <c r="J20" s="4" t="s">
        <v>2565</v>
      </c>
      <c r="K20" s="4" t="s">
        <v>2566</v>
      </c>
      <c r="L20" s="4" t="s">
        <v>2567</v>
      </c>
      <c r="M20" s="4" t="s">
        <v>2064</v>
      </c>
      <c r="N20" s="8">
        <v>45870</v>
      </c>
      <c r="O20" s="8"/>
      <c r="P20" s="4" t="s">
        <v>2090</v>
      </c>
      <c r="Q20" s="4" t="s">
        <v>2012</v>
      </c>
      <c r="R20" s="4" t="s">
        <v>2568</v>
      </c>
      <c r="S20" s="4" t="s">
        <v>2569</v>
      </c>
      <c r="T20" s="4" t="s">
        <v>2067</v>
      </c>
      <c r="U20" s="4" t="s">
        <v>2336</v>
      </c>
      <c r="V20" s="4" t="s">
        <v>2067</v>
      </c>
      <c r="W20" s="4" t="s">
        <v>2069</v>
      </c>
    </row>
    <row r="21" spans="1:23" ht="20.100000000000001" customHeight="1" x14ac:dyDescent="0.25">
      <c r="A21" s="6" t="s">
        <v>2643</v>
      </c>
      <c r="B21" s="7" t="s">
        <v>2057</v>
      </c>
      <c r="C21" s="7" t="s">
        <v>2644</v>
      </c>
      <c r="D21" s="7" t="s">
        <v>2059</v>
      </c>
      <c r="E21" s="7" t="s">
        <v>1947</v>
      </c>
      <c r="F21" s="7" t="s">
        <v>1948</v>
      </c>
      <c r="G21" s="7" t="s">
        <v>2057</v>
      </c>
      <c r="H21" s="7" t="s">
        <v>2161</v>
      </c>
      <c r="I21" s="7" t="s">
        <v>2012</v>
      </c>
      <c r="J21" s="7" t="s">
        <v>2645</v>
      </c>
      <c r="K21" s="7" t="s">
        <v>2646</v>
      </c>
      <c r="L21" s="7" t="s">
        <v>2647</v>
      </c>
      <c r="M21" s="7" t="s">
        <v>2078</v>
      </c>
      <c r="N21" s="9">
        <v>46234</v>
      </c>
      <c r="O21" s="9">
        <v>46356</v>
      </c>
      <c r="P21" s="7" t="s">
        <v>2090</v>
      </c>
      <c r="Q21" s="7" t="s">
        <v>2012</v>
      </c>
      <c r="R21" s="7" t="s">
        <v>2648</v>
      </c>
      <c r="S21" s="7" t="s">
        <v>2649</v>
      </c>
      <c r="T21" s="7" t="s">
        <v>2067</v>
      </c>
      <c r="U21" s="7" t="s">
        <v>2146</v>
      </c>
      <c r="V21" s="7" t="s">
        <v>2067</v>
      </c>
      <c r="W21" s="7" t="s">
        <v>2069</v>
      </c>
    </row>
    <row r="22" spans="1:23" ht="20.100000000000001" customHeight="1" x14ac:dyDescent="0.25">
      <c r="A22" s="3" t="s">
        <v>2650</v>
      </c>
      <c r="B22" s="4" t="s">
        <v>2084</v>
      </c>
      <c r="C22" s="4" t="s">
        <v>2651</v>
      </c>
      <c r="D22" s="4" t="s">
        <v>2059</v>
      </c>
      <c r="E22" s="4" t="s">
        <v>1947</v>
      </c>
      <c r="F22" s="4" t="s">
        <v>1948</v>
      </c>
      <c r="G22" s="4" t="s">
        <v>2084</v>
      </c>
      <c r="H22" s="4" t="s">
        <v>2652</v>
      </c>
      <c r="I22" s="4" t="s">
        <v>2012</v>
      </c>
      <c r="J22" s="4" t="s">
        <v>2653</v>
      </c>
      <c r="K22" s="4" t="s">
        <v>2654</v>
      </c>
      <c r="L22" s="4" t="s">
        <v>2655</v>
      </c>
      <c r="M22" s="4" t="s">
        <v>2078</v>
      </c>
      <c r="N22" s="8">
        <v>46112</v>
      </c>
      <c r="O22" s="8">
        <v>46356</v>
      </c>
      <c r="P22" s="4" t="s">
        <v>2090</v>
      </c>
      <c r="Q22" s="4" t="s">
        <v>2012</v>
      </c>
      <c r="R22" s="4" t="s">
        <v>2656</v>
      </c>
      <c r="S22" s="4" t="s">
        <v>2657</v>
      </c>
      <c r="T22" s="4" t="s">
        <v>2067</v>
      </c>
      <c r="U22" s="4" t="s">
        <v>2146</v>
      </c>
      <c r="V22" s="4" t="s">
        <v>2067</v>
      </c>
      <c r="W22" s="4" t="s">
        <v>2069</v>
      </c>
    </row>
    <row r="23" spans="1:23" ht="20.100000000000001" customHeight="1" x14ac:dyDescent="0.25">
      <c r="A23" s="6" t="s">
        <v>2658</v>
      </c>
      <c r="B23" s="7" t="s">
        <v>2057</v>
      </c>
      <c r="C23" s="7" t="s">
        <v>2659</v>
      </c>
      <c r="D23" s="7" t="s">
        <v>2059</v>
      </c>
      <c r="E23" s="7" t="s">
        <v>1947</v>
      </c>
      <c r="F23" s="7" t="s">
        <v>1948</v>
      </c>
      <c r="G23" s="7" t="s">
        <v>2057</v>
      </c>
      <c r="H23" s="7" t="s">
        <v>2161</v>
      </c>
      <c r="I23" s="7" t="s">
        <v>2012</v>
      </c>
      <c r="J23" s="7" t="s">
        <v>2660</v>
      </c>
      <c r="K23" s="7" t="s">
        <v>2661</v>
      </c>
      <c r="L23" s="7" t="s">
        <v>2662</v>
      </c>
      <c r="M23" s="7" t="s">
        <v>2078</v>
      </c>
      <c r="N23" s="9">
        <v>46234</v>
      </c>
      <c r="O23" s="9">
        <v>46356</v>
      </c>
      <c r="P23" s="7" t="s">
        <v>2090</v>
      </c>
      <c r="Q23" s="7" t="s">
        <v>2012</v>
      </c>
      <c r="R23" s="7" t="s">
        <v>2663</v>
      </c>
      <c r="S23" s="7" t="s">
        <v>2664</v>
      </c>
      <c r="T23" s="7" t="s">
        <v>2067</v>
      </c>
      <c r="U23" s="7" t="s">
        <v>2146</v>
      </c>
      <c r="V23" s="7" t="s">
        <v>2067</v>
      </c>
      <c r="W23" s="7" t="s">
        <v>2069</v>
      </c>
    </row>
    <row r="24" spans="1:23" ht="20.100000000000001" customHeight="1" x14ac:dyDescent="0.25">
      <c r="A24" s="3" t="s">
        <v>2671</v>
      </c>
      <c r="B24" s="4" t="s">
        <v>2057</v>
      </c>
      <c r="C24" s="4" t="s">
        <v>2672</v>
      </c>
      <c r="D24" s="4" t="s">
        <v>2059</v>
      </c>
      <c r="E24" s="4" t="s">
        <v>2673</v>
      </c>
      <c r="F24" s="4" t="s">
        <v>2674</v>
      </c>
      <c r="G24" s="4" t="s">
        <v>2057</v>
      </c>
      <c r="H24" s="4" t="s">
        <v>2191</v>
      </c>
      <c r="I24" s="4" t="s">
        <v>2012</v>
      </c>
      <c r="J24" s="4" t="s">
        <v>2675</v>
      </c>
      <c r="K24" s="4" t="s">
        <v>2676</v>
      </c>
      <c r="L24" s="4" t="s">
        <v>2677</v>
      </c>
      <c r="M24" s="4" t="s">
        <v>2078</v>
      </c>
      <c r="N24" s="8">
        <v>46234</v>
      </c>
      <c r="O24" s="8">
        <v>46356</v>
      </c>
      <c r="P24" s="4" t="s">
        <v>2674</v>
      </c>
      <c r="Q24" s="4" t="s">
        <v>2012</v>
      </c>
      <c r="R24" s="4" t="s">
        <v>2678</v>
      </c>
      <c r="S24" s="4" t="s">
        <v>2679</v>
      </c>
      <c r="T24" s="4" t="s">
        <v>2067</v>
      </c>
      <c r="U24" s="4" t="s">
        <v>2680</v>
      </c>
      <c r="V24" s="4" t="s">
        <v>2067</v>
      </c>
      <c r="W24" s="4" t="s">
        <v>2069</v>
      </c>
    </row>
    <row r="25" spans="1:23" ht="20.100000000000001" customHeight="1" x14ac:dyDescent="0.25">
      <c r="A25" s="6" t="s">
        <v>2681</v>
      </c>
      <c r="B25" s="7" t="s">
        <v>2057</v>
      </c>
      <c r="C25" s="7" t="s">
        <v>2682</v>
      </c>
      <c r="D25" s="7" t="s">
        <v>2059</v>
      </c>
      <c r="E25" s="7" t="s">
        <v>1947</v>
      </c>
      <c r="F25" s="7" t="s">
        <v>2277</v>
      </c>
      <c r="G25" s="7" t="s">
        <v>2057</v>
      </c>
      <c r="H25" s="7" t="s">
        <v>2360</v>
      </c>
      <c r="I25" s="7" t="s">
        <v>2012</v>
      </c>
      <c r="J25" s="7" t="s">
        <v>2683</v>
      </c>
      <c r="K25" s="7" t="s">
        <v>2684</v>
      </c>
      <c r="L25" s="7" t="s">
        <v>2685</v>
      </c>
      <c r="M25" s="7" t="s">
        <v>2078</v>
      </c>
      <c r="N25" s="9">
        <v>46234</v>
      </c>
      <c r="O25" s="9">
        <v>46356</v>
      </c>
      <c r="P25" s="7" t="s">
        <v>2090</v>
      </c>
      <c r="Q25" s="7" t="s">
        <v>2012</v>
      </c>
      <c r="R25" s="7" t="s">
        <v>2686</v>
      </c>
      <c r="S25" s="7" t="s">
        <v>2687</v>
      </c>
      <c r="T25" s="7" t="s">
        <v>2067</v>
      </c>
      <c r="U25" s="7" t="s">
        <v>2109</v>
      </c>
      <c r="V25" s="7" t="s">
        <v>2067</v>
      </c>
      <c r="W25" s="7" t="s">
        <v>2082</v>
      </c>
    </row>
    <row r="26" spans="1:23" ht="20.100000000000001" customHeight="1" x14ac:dyDescent="0.25">
      <c r="A26" s="3" t="s">
        <v>2706</v>
      </c>
      <c r="B26" s="4" t="s">
        <v>2084</v>
      </c>
      <c r="C26" s="4" t="s">
        <v>2707</v>
      </c>
      <c r="D26" s="4" t="s">
        <v>2059</v>
      </c>
      <c r="E26" s="4" t="s">
        <v>1947</v>
      </c>
      <c r="F26" s="4" t="s">
        <v>1948</v>
      </c>
      <c r="G26" s="4" t="s">
        <v>2084</v>
      </c>
      <c r="H26" s="4" t="s">
        <v>2086</v>
      </c>
      <c r="I26" s="4" t="s">
        <v>2012</v>
      </c>
      <c r="J26" s="4" t="s">
        <v>2708</v>
      </c>
      <c r="K26" s="4" t="s">
        <v>2709</v>
      </c>
      <c r="L26" s="4" t="s">
        <v>2710</v>
      </c>
      <c r="M26" s="4" t="s">
        <v>2078</v>
      </c>
      <c r="N26" s="8">
        <v>46234</v>
      </c>
      <c r="O26" s="8">
        <v>46356</v>
      </c>
      <c r="P26" s="4" t="s">
        <v>2090</v>
      </c>
      <c r="Q26" s="4" t="s">
        <v>2012</v>
      </c>
      <c r="R26" s="4" t="s">
        <v>2711</v>
      </c>
      <c r="S26" s="4" t="s">
        <v>2712</v>
      </c>
      <c r="T26" s="4" t="s">
        <v>2067</v>
      </c>
      <c r="U26" s="4" t="s">
        <v>2146</v>
      </c>
      <c r="V26" s="4" t="s">
        <v>2067</v>
      </c>
      <c r="W26" s="4" t="s">
        <v>2069</v>
      </c>
    </row>
    <row r="27" spans="1:23" ht="20.100000000000001" customHeight="1" x14ac:dyDescent="0.25">
      <c r="A27" s="6" t="s">
        <v>2713</v>
      </c>
      <c r="B27" s="7" t="s">
        <v>2057</v>
      </c>
      <c r="C27" s="7" t="s">
        <v>2714</v>
      </c>
      <c r="D27" s="7" t="s">
        <v>2059</v>
      </c>
      <c r="E27" s="7" t="s">
        <v>2673</v>
      </c>
      <c r="F27" s="7" t="s">
        <v>2674</v>
      </c>
      <c r="G27" s="7" t="s">
        <v>2057</v>
      </c>
      <c r="H27" s="7" t="s">
        <v>2191</v>
      </c>
      <c r="I27" s="7" t="s">
        <v>2012</v>
      </c>
      <c r="J27" s="7" t="s">
        <v>2715</v>
      </c>
      <c r="K27" s="7" t="s">
        <v>2716</v>
      </c>
      <c r="L27" s="7" t="s">
        <v>2717</v>
      </c>
      <c r="M27" s="7" t="s">
        <v>2078</v>
      </c>
      <c r="N27" s="9">
        <v>46234</v>
      </c>
      <c r="O27" s="9">
        <v>46356</v>
      </c>
      <c r="P27" s="7" t="s">
        <v>2674</v>
      </c>
      <c r="Q27" s="7" t="s">
        <v>2012</v>
      </c>
      <c r="R27" s="7" t="s">
        <v>2718</v>
      </c>
      <c r="S27" s="7" t="s">
        <v>2719</v>
      </c>
      <c r="T27" s="7" t="s">
        <v>2067</v>
      </c>
      <c r="U27" s="7" t="s">
        <v>2680</v>
      </c>
      <c r="V27" s="7" t="s">
        <v>2067</v>
      </c>
      <c r="W27" s="7" t="s">
        <v>2069</v>
      </c>
    </row>
    <row r="28" spans="1:23" ht="20.100000000000001" customHeight="1" x14ac:dyDescent="0.25">
      <c r="A28" s="3" t="s">
        <v>2720</v>
      </c>
      <c r="B28" s="4" t="s">
        <v>2057</v>
      </c>
      <c r="C28" s="4" t="s">
        <v>2721</v>
      </c>
      <c r="D28" s="4" t="s">
        <v>2059</v>
      </c>
      <c r="E28" s="4" t="s">
        <v>2131</v>
      </c>
      <c r="F28" s="4" t="s">
        <v>2132</v>
      </c>
      <c r="G28" s="4" t="s">
        <v>2057</v>
      </c>
      <c r="H28" s="4" t="s">
        <v>2011</v>
      </c>
      <c r="I28" s="4" t="s">
        <v>2012</v>
      </c>
      <c r="J28" s="4" t="s">
        <v>2722</v>
      </c>
      <c r="K28" s="4" t="s">
        <v>2723</v>
      </c>
      <c r="L28" s="4" t="s">
        <v>2724</v>
      </c>
      <c r="M28" s="4" t="s">
        <v>2078</v>
      </c>
      <c r="N28" s="8">
        <v>46234</v>
      </c>
      <c r="O28" s="8">
        <v>46356</v>
      </c>
      <c r="P28" s="4" t="s">
        <v>2132</v>
      </c>
      <c r="Q28" s="4" t="s">
        <v>2012</v>
      </c>
      <c r="R28" s="4" t="s">
        <v>2725</v>
      </c>
      <c r="S28" s="4" t="s">
        <v>2726</v>
      </c>
      <c r="T28" s="4" t="s">
        <v>2067</v>
      </c>
      <c r="U28" s="4" t="s">
        <v>2138</v>
      </c>
      <c r="V28" s="4" t="s">
        <v>2067</v>
      </c>
      <c r="W28" s="4" t="s">
        <v>2069</v>
      </c>
    </row>
    <row r="29" spans="1:23" ht="20.100000000000001" customHeight="1" x14ac:dyDescent="0.25">
      <c r="A29" s="6" t="s">
        <v>2790</v>
      </c>
      <c r="B29" s="7" t="s">
        <v>2084</v>
      </c>
      <c r="C29" s="7" t="s">
        <v>2791</v>
      </c>
      <c r="D29" s="7" t="s">
        <v>2059</v>
      </c>
      <c r="E29" s="7" t="s">
        <v>1947</v>
      </c>
      <c r="F29" s="7" t="s">
        <v>1948</v>
      </c>
      <c r="G29" s="7" t="s">
        <v>2084</v>
      </c>
      <c r="H29" s="7" t="s">
        <v>2784</v>
      </c>
      <c r="I29" s="7" t="s">
        <v>2755</v>
      </c>
      <c r="J29" s="7" t="s">
        <v>2792</v>
      </c>
      <c r="K29" s="7" t="s">
        <v>2793</v>
      </c>
      <c r="L29" s="7" t="s">
        <v>2794</v>
      </c>
      <c r="M29" s="7" t="s">
        <v>2078</v>
      </c>
      <c r="N29" s="9">
        <v>45992</v>
      </c>
      <c r="O29" s="9">
        <v>46356</v>
      </c>
      <c r="P29" s="7" t="s">
        <v>2090</v>
      </c>
      <c r="Q29" s="7" t="s">
        <v>2755</v>
      </c>
      <c r="R29" s="7" t="s">
        <v>2795</v>
      </c>
      <c r="S29" s="7" t="s">
        <v>2796</v>
      </c>
      <c r="T29" s="7" t="s">
        <v>2067</v>
      </c>
      <c r="U29" s="7" t="s">
        <v>2146</v>
      </c>
      <c r="V29" s="7" t="s">
        <v>2067</v>
      </c>
      <c r="W29" s="7" t="s">
        <v>2069</v>
      </c>
    </row>
    <row r="30" spans="1:23" ht="20.100000000000001" customHeight="1" x14ac:dyDescent="0.25">
      <c r="A30" s="3" t="s">
        <v>2797</v>
      </c>
      <c r="B30" s="4" t="s">
        <v>2084</v>
      </c>
      <c r="C30" s="4" t="s">
        <v>2798</v>
      </c>
      <c r="D30" s="4" t="s">
        <v>2059</v>
      </c>
      <c r="E30" s="4" t="s">
        <v>1947</v>
      </c>
      <c r="F30" s="4" t="s">
        <v>1948</v>
      </c>
      <c r="G30" s="4" t="s">
        <v>2084</v>
      </c>
      <c r="H30" s="4" t="s">
        <v>2799</v>
      </c>
      <c r="I30" s="4" t="s">
        <v>2755</v>
      </c>
      <c r="J30" s="4" t="s">
        <v>2800</v>
      </c>
      <c r="K30" s="4" t="s">
        <v>2801</v>
      </c>
      <c r="L30" s="4" t="s">
        <v>2802</v>
      </c>
      <c r="M30" s="4" t="s">
        <v>2078</v>
      </c>
      <c r="N30" s="8">
        <v>45992</v>
      </c>
      <c r="O30" s="8">
        <v>46356</v>
      </c>
      <c r="P30" s="4" t="s">
        <v>2090</v>
      </c>
      <c r="Q30" s="4" t="s">
        <v>2755</v>
      </c>
      <c r="R30" s="4" t="s">
        <v>2803</v>
      </c>
      <c r="S30" s="4" t="s">
        <v>2804</v>
      </c>
      <c r="T30" s="4" t="s">
        <v>2067</v>
      </c>
      <c r="U30" s="4" t="s">
        <v>2146</v>
      </c>
      <c r="V30" s="4" t="s">
        <v>2067</v>
      </c>
      <c r="W30" s="4" t="s">
        <v>2082</v>
      </c>
    </row>
    <row r="31" spans="1:23" ht="20.100000000000001" customHeight="1" x14ac:dyDescent="0.25">
      <c r="A31" s="6" t="s">
        <v>2805</v>
      </c>
      <c r="B31" s="7" t="s">
        <v>2057</v>
      </c>
      <c r="C31" s="7" t="s">
        <v>2806</v>
      </c>
      <c r="D31" s="7" t="s">
        <v>2059</v>
      </c>
      <c r="E31" s="7" t="s">
        <v>1965</v>
      </c>
      <c r="F31" s="7" t="s">
        <v>1966</v>
      </c>
      <c r="G31" s="7" t="s">
        <v>2057</v>
      </c>
      <c r="H31" s="7" t="s">
        <v>2807</v>
      </c>
      <c r="I31" s="7" t="s">
        <v>1974</v>
      </c>
      <c r="J31" s="7" t="s">
        <v>2808</v>
      </c>
      <c r="K31" s="7" t="s">
        <v>2809</v>
      </c>
      <c r="L31" s="7" t="s">
        <v>2810</v>
      </c>
      <c r="M31" s="7" t="s">
        <v>2078</v>
      </c>
      <c r="N31" s="9">
        <v>46052</v>
      </c>
      <c r="O31" s="9">
        <v>46355</v>
      </c>
      <c r="P31" s="7" t="s">
        <v>1966</v>
      </c>
      <c r="Q31" s="7" t="s">
        <v>1974</v>
      </c>
      <c r="R31" s="7" t="s">
        <v>2811</v>
      </c>
      <c r="S31" s="7" t="s">
        <v>2812</v>
      </c>
      <c r="T31" s="7" t="s">
        <v>2351</v>
      </c>
      <c r="U31" s="7" t="s">
        <v>2174</v>
      </c>
      <c r="V31" s="7" t="s">
        <v>2351</v>
      </c>
      <c r="W31" s="7" t="s">
        <v>2082</v>
      </c>
    </row>
    <row r="32" spans="1:23" ht="20.100000000000001" customHeight="1" x14ac:dyDescent="0.25">
      <c r="A32" s="3" t="s">
        <v>2813</v>
      </c>
      <c r="B32" s="4" t="s">
        <v>2057</v>
      </c>
      <c r="C32" s="4" t="s">
        <v>2814</v>
      </c>
      <c r="D32" s="4" t="s">
        <v>2059</v>
      </c>
      <c r="E32" s="4" t="s">
        <v>1965</v>
      </c>
      <c r="F32" s="4" t="s">
        <v>1966</v>
      </c>
      <c r="G32" s="4" t="s">
        <v>2057</v>
      </c>
      <c r="H32" s="4" t="s">
        <v>2035</v>
      </c>
      <c r="I32" s="4" t="s">
        <v>1974</v>
      </c>
      <c r="J32" s="4" t="s">
        <v>2815</v>
      </c>
      <c r="K32" s="4" t="s">
        <v>2816</v>
      </c>
      <c r="L32" s="4" t="s">
        <v>2817</v>
      </c>
      <c r="M32" s="4" t="s">
        <v>2078</v>
      </c>
      <c r="N32" s="8">
        <v>46234</v>
      </c>
      <c r="O32" s="8">
        <v>46356</v>
      </c>
      <c r="P32" s="4" t="s">
        <v>1966</v>
      </c>
      <c r="Q32" s="4" t="s">
        <v>1974</v>
      </c>
      <c r="R32" s="4" t="s">
        <v>2818</v>
      </c>
      <c r="S32" s="4" t="s">
        <v>2819</v>
      </c>
      <c r="T32" s="4" t="s">
        <v>2067</v>
      </c>
      <c r="U32" s="4" t="s">
        <v>2174</v>
      </c>
      <c r="V32" s="4" t="s">
        <v>2067</v>
      </c>
      <c r="W32" s="4" t="s">
        <v>2069</v>
      </c>
    </row>
    <row r="33" spans="1:23" ht="20.100000000000001" customHeight="1" x14ac:dyDescent="0.25">
      <c r="A33" s="6" t="s">
        <v>2820</v>
      </c>
      <c r="B33" s="7" t="s">
        <v>2057</v>
      </c>
      <c r="C33" s="7" t="s">
        <v>2821</v>
      </c>
      <c r="D33" s="7" t="s">
        <v>2059</v>
      </c>
      <c r="E33" s="7" t="s">
        <v>1965</v>
      </c>
      <c r="F33" s="7" t="s">
        <v>1966</v>
      </c>
      <c r="G33" s="7" t="s">
        <v>2057</v>
      </c>
      <c r="H33" s="7" t="s">
        <v>2035</v>
      </c>
      <c r="I33" s="7" t="s">
        <v>1974</v>
      </c>
      <c r="J33" s="7" t="s">
        <v>2822</v>
      </c>
      <c r="K33" s="7" t="s">
        <v>2823</v>
      </c>
      <c r="L33" s="7" t="s">
        <v>2824</v>
      </c>
      <c r="M33" s="7" t="s">
        <v>2078</v>
      </c>
      <c r="N33" s="9">
        <v>46052</v>
      </c>
      <c r="O33" s="9">
        <v>46355</v>
      </c>
      <c r="P33" s="7" t="s">
        <v>1966</v>
      </c>
      <c r="Q33" s="7" t="s">
        <v>1974</v>
      </c>
      <c r="R33" s="7" t="s">
        <v>2825</v>
      </c>
      <c r="S33" s="7" t="s">
        <v>2826</v>
      </c>
      <c r="T33" s="7" t="s">
        <v>2067</v>
      </c>
      <c r="U33" s="7" t="s">
        <v>2174</v>
      </c>
      <c r="V33" s="7" t="s">
        <v>2067</v>
      </c>
      <c r="W33" s="7" t="s">
        <v>2069</v>
      </c>
    </row>
    <row r="34" spans="1:23" ht="20.100000000000001" customHeight="1" x14ac:dyDescent="0.25">
      <c r="A34" s="3" t="s">
        <v>2827</v>
      </c>
      <c r="B34" s="4" t="s">
        <v>2057</v>
      </c>
      <c r="C34" s="4" t="s">
        <v>2828</v>
      </c>
      <c r="D34" s="4" t="s">
        <v>2059</v>
      </c>
      <c r="E34" s="4" t="s">
        <v>1965</v>
      </c>
      <c r="F34" s="4" t="s">
        <v>1966</v>
      </c>
      <c r="G34" s="4" t="s">
        <v>2057</v>
      </c>
      <c r="H34" s="4" t="s">
        <v>2122</v>
      </c>
      <c r="I34" s="4" t="s">
        <v>1974</v>
      </c>
      <c r="J34" s="4" t="s">
        <v>2829</v>
      </c>
      <c r="K34" s="4" t="s">
        <v>2830</v>
      </c>
      <c r="L34" s="4" t="s">
        <v>2831</v>
      </c>
      <c r="M34" s="4" t="s">
        <v>2078</v>
      </c>
      <c r="N34" s="8">
        <v>46234</v>
      </c>
      <c r="O34" s="8">
        <v>46356</v>
      </c>
      <c r="P34" s="4" t="s">
        <v>1966</v>
      </c>
      <c r="Q34" s="4" t="s">
        <v>1974</v>
      </c>
      <c r="R34" s="4" t="s">
        <v>2832</v>
      </c>
      <c r="S34" s="4" t="s">
        <v>2833</v>
      </c>
      <c r="T34" s="4" t="s">
        <v>2351</v>
      </c>
      <c r="U34" s="4" t="s">
        <v>2174</v>
      </c>
      <c r="V34" s="4" t="s">
        <v>2351</v>
      </c>
      <c r="W34" s="4" t="s">
        <v>2069</v>
      </c>
    </row>
    <row r="35" spans="1:23" ht="20.100000000000001" customHeight="1" x14ac:dyDescent="0.25">
      <c r="A35" s="6" t="s">
        <v>2853</v>
      </c>
      <c r="B35" s="7" t="s">
        <v>2057</v>
      </c>
      <c r="C35" s="7" t="s">
        <v>2854</v>
      </c>
      <c r="D35" s="7" t="s">
        <v>2059</v>
      </c>
      <c r="E35" s="7" t="s">
        <v>1940</v>
      </c>
      <c r="F35" s="7" t="s">
        <v>1941</v>
      </c>
      <c r="G35" s="7" t="s">
        <v>2057</v>
      </c>
      <c r="H35" s="7" t="s">
        <v>1973</v>
      </c>
      <c r="I35" s="7" t="s">
        <v>1974</v>
      </c>
      <c r="J35" s="7" t="s">
        <v>2855</v>
      </c>
      <c r="K35" s="7" t="s">
        <v>2856</v>
      </c>
      <c r="L35" s="7" t="s">
        <v>2857</v>
      </c>
      <c r="M35" s="7" t="s">
        <v>2078</v>
      </c>
      <c r="N35" s="9">
        <v>46234</v>
      </c>
      <c r="O35" s="9">
        <v>46356</v>
      </c>
      <c r="P35" s="7" t="s">
        <v>1941</v>
      </c>
      <c r="Q35" s="7" t="s">
        <v>1974</v>
      </c>
      <c r="R35" s="7" t="s">
        <v>2858</v>
      </c>
      <c r="S35" s="7" t="s">
        <v>2859</v>
      </c>
      <c r="T35" s="7" t="s">
        <v>2067</v>
      </c>
      <c r="U35" s="7" t="s">
        <v>2068</v>
      </c>
      <c r="V35" s="7" t="s">
        <v>2067</v>
      </c>
      <c r="W35" s="7" t="s">
        <v>2069</v>
      </c>
    </row>
    <row r="36" spans="1:23" ht="20.100000000000001" customHeight="1" x14ac:dyDescent="0.25">
      <c r="A36" s="3" t="s">
        <v>2860</v>
      </c>
      <c r="B36" s="4" t="s">
        <v>2057</v>
      </c>
      <c r="C36" s="4" t="s">
        <v>2861</v>
      </c>
      <c r="D36" s="4" t="s">
        <v>2059</v>
      </c>
      <c r="E36" s="4" t="s">
        <v>1965</v>
      </c>
      <c r="F36" s="4" t="s">
        <v>1966</v>
      </c>
      <c r="G36" s="4" t="s">
        <v>2057</v>
      </c>
      <c r="H36" s="4" t="s">
        <v>1973</v>
      </c>
      <c r="I36" s="4" t="s">
        <v>1974</v>
      </c>
      <c r="J36" s="4" t="s">
        <v>2862</v>
      </c>
      <c r="K36" s="4" t="s">
        <v>2863</v>
      </c>
      <c r="L36" s="4" t="s">
        <v>2864</v>
      </c>
      <c r="M36" s="4" t="s">
        <v>2078</v>
      </c>
      <c r="N36" s="8">
        <v>46234</v>
      </c>
      <c r="O36" s="8">
        <v>46356</v>
      </c>
      <c r="P36" s="4" t="s">
        <v>1966</v>
      </c>
      <c r="Q36" s="4" t="s">
        <v>1974</v>
      </c>
      <c r="R36" s="4" t="s">
        <v>2865</v>
      </c>
      <c r="S36" s="4" t="s">
        <v>2866</v>
      </c>
      <c r="T36" s="4" t="s">
        <v>2067</v>
      </c>
      <c r="U36" s="4" t="s">
        <v>2174</v>
      </c>
      <c r="V36" s="4" t="s">
        <v>2067</v>
      </c>
      <c r="W36" s="4" t="s">
        <v>2069</v>
      </c>
    </row>
    <row r="37" spans="1:23" ht="20.100000000000001" customHeight="1" x14ac:dyDescent="0.25">
      <c r="A37" s="6" t="s">
        <v>2880</v>
      </c>
      <c r="B37" s="7" t="s">
        <v>2057</v>
      </c>
      <c r="C37" s="7" t="s">
        <v>2881</v>
      </c>
      <c r="D37" s="7" t="s">
        <v>2059</v>
      </c>
      <c r="E37" s="7" t="s">
        <v>1965</v>
      </c>
      <c r="F37" s="7" t="s">
        <v>1966</v>
      </c>
      <c r="G37" s="7" t="s">
        <v>2057</v>
      </c>
      <c r="H37" s="7" t="s">
        <v>2807</v>
      </c>
      <c r="I37" s="7" t="s">
        <v>1974</v>
      </c>
      <c r="J37" s="7" t="s">
        <v>2882</v>
      </c>
      <c r="K37" s="7" t="s">
        <v>2883</v>
      </c>
      <c r="L37" s="7" t="s">
        <v>2884</v>
      </c>
      <c r="M37" s="7" t="s">
        <v>2078</v>
      </c>
      <c r="N37" s="9">
        <v>46052</v>
      </c>
      <c r="O37" s="9">
        <v>46355</v>
      </c>
      <c r="P37" s="7" t="s">
        <v>1966</v>
      </c>
      <c r="Q37" s="7" t="s">
        <v>1974</v>
      </c>
      <c r="R37" s="7" t="s">
        <v>2885</v>
      </c>
      <c r="S37" s="7" t="s">
        <v>2886</v>
      </c>
      <c r="T37" s="7" t="s">
        <v>2067</v>
      </c>
      <c r="U37" s="7" t="s">
        <v>2174</v>
      </c>
      <c r="V37" s="7" t="s">
        <v>2067</v>
      </c>
      <c r="W37" s="7" t="s">
        <v>2082</v>
      </c>
    </row>
    <row r="38" spans="1:23" ht="20.100000000000001" customHeight="1" x14ac:dyDescent="0.25">
      <c r="A38" s="3" t="s">
        <v>2894</v>
      </c>
      <c r="B38" s="4" t="s">
        <v>2057</v>
      </c>
      <c r="C38" s="4" t="s">
        <v>2895</v>
      </c>
      <c r="D38" s="4" t="s">
        <v>2059</v>
      </c>
      <c r="E38" s="4" t="s">
        <v>1940</v>
      </c>
      <c r="F38" s="4" t="s">
        <v>1941</v>
      </c>
      <c r="G38" s="4" t="s">
        <v>2057</v>
      </c>
      <c r="H38" s="4" t="s">
        <v>2896</v>
      </c>
      <c r="I38" s="4" t="s">
        <v>1974</v>
      </c>
      <c r="J38" s="4" t="s">
        <v>2897</v>
      </c>
      <c r="K38" s="4" t="s">
        <v>2898</v>
      </c>
      <c r="L38" s="4" t="s">
        <v>2899</v>
      </c>
      <c r="M38" s="4" t="s">
        <v>2078</v>
      </c>
      <c r="N38" s="8">
        <v>46234</v>
      </c>
      <c r="O38" s="8">
        <v>46356</v>
      </c>
      <c r="P38" s="4" t="s">
        <v>1941</v>
      </c>
      <c r="Q38" s="4" t="s">
        <v>1974</v>
      </c>
      <c r="R38" s="4" t="s">
        <v>2900</v>
      </c>
      <c r="S38" s="4" t="s">
        <v>2901</v>
      </c>
      <c r="T38" s="4" t="s">
        <v>2067</v>
      </c>
      <c r="U38" s="4" t="s">
        <v>2068</v>
      </c>
      <c r="V38" s="4" t="s">
        <v>2067</v>
      </c>
      <c r="W38" s="4" t="s">
        <v>2082</v>
      </c>
    </row>
    <row r="39" spans="1:23" ht="20.100000000000001" customHeight="1" x14ac:dyDescent="0.25">
      <c r="A39" s="6" t="s">
        <v>1971</v>
      </c>
      <c r="B39" s="7" t="s">
        <v>2057</v>
      </c>
      <c r="C39" s="7" t="s">
        <v>1972</v>
      </c>
      <c r="D39" s="7" t="s">
        <v>2059</v>
      </c>
      <c r="E39" s="7" t="s">
        <v>1940</v>
      </c>
      <c r="F39" s="7" t="s">
        <v>1941</v>
      </c>
      <c r="G39" s="7" t="s">
        <v>2057</v>
      </c>
      <c r="H39" s="7" t="s">
        <v>1973</v>
      </c>
      <c r="I39" s="7" t="s">
        <v>1974</v>
      </c>
      <c r="J39" s="7" t="s">
        <v>2902</v>
      </c>
      <c r="K39" s="7" t="s">
        <v>2903</v>
      </c>
      <c r="L39" s="7" t="s">
        <v>2904</v>
      </c>
      <c r="M39" s="7" t="s">
        <v>2078</v>
      </c>
      <c r="N39" s="9">
        <v>46234</v>
      </c>
      <c r="O39" s="9">
        <v>46356</v>
      </c>
      <c r="P39" s="7" t="s">
        <v>1941</v>
      </c>
      <c r="Q39" s="7" t="s">
        <v>1974</v>
      </c>
      <c r="R39" s="7" t="s">
        <v>2905</v>
      </c>
      <c r="S39" s="7" t="s">
        <v>2906</v>
      </c>
      <c r="T39" s="7" t="s">
        <v>2067</v>
      </c>
      <c r="U39" s="7" t="s">
        <v>2068</v>
      </c>
      <c r="V39" s="7" t="s">
        <v>2067</v>
      </c>
      <c r="W39" s="7" t="s">
        <v>2069</v>
      </c>
    </row>
    <row r="40" spans="1:23" ht="20.100000000000001" customHeight="1" x14ac:dyDescent="0.25">
      <c r="A40" s="3" t="s">
        <v>2004</v>
      </c>
      <c r="B40" s="4" t="s">
        <v>2057</v>
      </c>
      <c r="C40" s="4" t="s">
        <v>2005</v>
      </c>
      <c r="D40" s="4" t="s">
        <v>2059</v>
      </c>
      <c r="E40" s="4" t="s">
        <v>1947</v>
      </c>
      <c r="F40" s="4" t="s">
        <v>1948</v>
      </c>
      <c r="G40" s="4" t="s">
        <v>2057</v>
      </c>
      <c r="H40" s="4" t="s">
        <v>2006</v>
      </c>
      <c r="I40" s="4" t="s">
        <v>2007</v>
      </c>
      <c r="J40" s="4" t="s">
        <v>2914</v>
      </c>
      <c r="K40" s="4" t="s">
        <v>2915</v>
      </c>
      <c r="L40" s="4" t="s">
        <v>2916</v>
      </c>
      <c r="M40" s="4" t="s">
        <v>2078</v>
      </c>
      <c r="N40" s="8">
        <v>46052</v>
      </c>
      <c r="O40" s="8">
        <v>46355</v>
      </c>
      <c r="P40" s="4" t="s">
        <v>2090</v>
      </c>
      <c r="Q40" s="4" t="s">
        <v>2007</v>
      </c>
      <c r="R40" s="4" t="s">
        <v>2917</v>
      </c>
      <c r="S40" s="4" t="s">
        <v>2918</v>
      </c>
      <c r="T40" s="4" t="s">
        <v>2067</v>
      </c>
      <c r="U40" s="4" t="s">
        <v>2109</v>
      </c>
      <c r="V40" s="4" t="s">
        <v>2067</v>
      </c>
      <c r="W40" s="4" t="s">
        <v>2069</v>
      </c>
    </row>
    <row r="41" spans="1:23" ht="20.100000000000001" customHeight="1" x14ac:dyDescent="0.25">
      <c r="A41" s="6" t="s">
        <v>2944</v>
      </c>
      <c r="B41" s="7" t="s">
        <v>2057</v>
      </c>
      <c r="C41" s="7" t="s">
        <v>2945</v>
      </c>
      <c r="D41" s="7" t="s">
        <v>2059</v>
      </c>
      <c r="E41" s="7" t="s">
        <v>1947</v>
      </c>
      <c r="F41" s="7" t="s">
        <v>2121</v>
      </c>
      <c r="G41" s="7" t="s">
        <v>2057</v>
      </c>
      <c r="H41" s="7" t="s">
        <v>2888</v>
      </c>
      <c r="I41" s="7" t="s">
        <v>2036</v>
      </c>
      <c r="J41" s="7" t="s">
        <v>2946</v>
      </c>
      <c r="K41" s="7" t="s">
        <v>2947</v>
      </c>
      <c r="L41" s="7" t="s">
        <v>2948</v>
      </c>
      <c r="M41" s="7" t="s">
        <v>2078</v>
      </c>
      <c r="N41" s="9">
        <v>46234</v>
      </c>
      <c r="O41" s="9">
        <v>46356</v>
      </c>
      <c r="P41" s="7" t="s">
        <v>2333</v>
      </c>
      <c r="Q41" s="7" t="s">
        <v>2036</v>
      </c>
      <c r="R41" s="7" t="s">
        <v>2949</v>
      </c>
      <c r="S41" s="7" t="s">
        <v>2950</v>
      </c>
      <c r="T41" s="7" t="s">
        <v>2067</v>
      </c>
      <c r="U41" s="7" t="s">
        <v>2128</v>
      </c>
      <c r="V41" s="7" t="s">
        <v>2067</v>
      </c>
      <c r="W41" s="7" t="s">
        <v>2082</v>
      </c>
    </row>
    <row r="42" spans="1:23" ht="20.100000000000001" customHeight="1" x14ac:dyDescent="0.25">
      <c r="A42" s="3" t="s">
        <v>2963</v>
      </c>
      <c r="B42" s="4" t="s">
        <v>2057</v>
      </c>
      <c r="C42" s="4" t="s">
        <v>2964</v>
      </c>
      <c r="D42" s="4" t="s">
        <v>2059</v>
      </c>
      <c r="E42" s="4" t="s">
        <v>1947</v>
      </c>
      <c r="F42" s="4" t="s">
        <v>1948</v>
      </c>
      <c r="G42" s="4" t="s">
        <v>2057</v>
      </c>
      <c r="H42" s="4" t="s">
        <v>2965</v>
      </c>
      <c r="I42" s="4" t="s">
        <v>2036</v>
      </c>
      <c r="J42" s="4" t="s">
        <v>2966</v>
      </c>
      <c r="K42" s="4" t="s">
        <v>2967</v>
      </c>
      <c r="L42" s="4" t="s">
        <v>2968</v>
      </c>
      <c r="M42" s="4" t="s">
        <v>2078</v>
      </c>
      <c r="N42" s="8">
        <v>46234</v>
      </c>
      <c r="O42" s="8">
        <v>46356</v>
      </c>
      <c r="P42" s="4" t="s">
        <v>2090</v>
      </c>
      <c r="Q42" s="4" t="s">
        <v>2036</v>
      </c>
      <c r="R42" s="4" t="s">
        <v>2969</v>
      </c>
      <c r="S42" s="4" t="s">
        <v>2970</v>
      </c>
      <c r="T42" s="4" t="s">
        <v>2067</v>
      </c>
      <c r="U42" s="4" t="s">
        <v>2768</v>
      </c>
      <c r="V42" s="4" t="s">
        <v>2067</v>
      </c>
      <c r="W42" s="4" t="s">
        <v>2082</v>
      </c>
    </row>
    <row r="43" spans="1:23" ht="20.100000000000001" customHeight="1" x14ac:dyDescent="0.25">
      <c r="A43" s="6" t="s">
        <v>2977</v>
      </c>
      <c r="B43" s="7" t="s">
        <v>2057</v>
      </c>
      <c r="C43" s="7" t="s">
        <v>2978</v>
      </c>
      <c r="D43" s="7" t="s">
        <v>2059</v>
      </c>
      <c r="E43" s="7" t="s">
        <v>1947</v>
      </c>
      <c r="F43" s="7" t="s">
        <v>2329</v>
      </c>
      <c r="G43" s="7" t="s">
        <v>2057</v>
      </c>
      <c r="H43" s="7" t="s">
        <v>2807</v>
      </c>
      <c r="I43" s="7" t="s">
        <v>2036</v>
      </c>
      <c r="J43" s="7" t="s">
        <v>2979</v>
      </c>
      <c r="K43" s="7" t="s">
        <v>2980</v>
      </c>
      <c r="L43" s="7" t="s">
        <v>2981</v>
      </c>
      <c r="M43" s="7" t="s">
        <v>2078</v>
      </c>
      <c r="N43" s="9">
        <v>46234</v>
      </c>
      <c r="O43" s="9">
        <v>46356</v>
      </c>
      <c r="P43" s="7" t="s">
        <v>2333</v>
      </c>
      <c r="Q43" s="7" t="s">
        <v>2036</v>
      </c>
      <c r="R43" s="7" t="s">
        <v>2982</v>
      </c>
      <c r="S43" s="7" t="s">
        <v>2983</v>
      </c>
      <c r="T43" s="7" t="s">
        <v>2067</v>
      </c>
      <c r="U43" s="7" t="s">
        <v>2109</v>
      </c>
      <c r="V43" s="7" t="s">
        <v>2067</v>
      </c>
      <c r="W43" s="7" t="s">
        <v>2082</v>
      </c>
    </row>
    <row r="44" spans="1:23" ht="20.100000000000001" customHeight="1" x14ac:dyDescent="0.25">
      <c r="A44" s="3" t="s">
        <v>2984</v>
      </c>
      <c r="B44" s="4" t="s">
        <v>2057</v>
      </c>
      <c r="C44" s="4" t="s">
        <v>2985</v>
      </c>
      <c r="D44" s="4" t="s">
        <v>2059</v>
      </c>
      <c r="E44" s="4" t="s">
        <v>1947</v>
      </c>
      <c r="F44" s="4" t="s">
        <v>1948</v>
      </c>
      <c r="G44" s="4" t="s">
        <v>2057</v>
      </c>
      <c r="H44" s="4" t="s">
        <v>2807</v>
      </c>
      <c r="I44" s="4" t="s">
        <v>2036</v>
      </c>
      <c r="J44" s="4" t="s">
        <v>2986</v>
      </c>
      <c r="K44" s="4" t="s">
        <v>2987</v>
      </c>
      <c r="L44" s="4" t="s">
        <v>2988</v>
      </c>
      <c r="M44" s="4" t="s">
        <v>2078</v>
      </c>
      <c r="N44" s="8">
        <v>46052</v>
      </c>
      <c r="O44" s="8">
        <v>46296</v>
      </c>
      <c r="P44" s="4" t="s">
        <v>2090</v>
      </c>
      <c r="Q44" s="4" t="s">
        <v>2036</v>
      </c>
      <c r="R44" s="4" t="s">
        <v>2403</v>
      </c>
      <c r="S44" s="4" t="s">
        <v>2989</v>
      </c>
      <c r="T44" s="4" t="s">
        <v>2067</v>
      </c>
      <c r="U44" s="4" t="s">
        <v>2109</v>
      </c>
      <c r="V44" s="4" t="s">
        <v>2067</v>
      </c>
      <c r="W44" s="4" t="s">
        <v>2082</v>
      </c>
    </row>
    <row r="45" spans="1:23" ht="20.100000000000001" customHeight="1" x14ac:dyDescent="0.25">
      <c r="A45" s="6" t="s">
        <v>3154</v>
      </c>
      <c r="B45" s="7" t="s">
        <v>2057</v>
      </c>
      <c r="C45" s="7" t="s">
        <v>3155</v>
      </c>
      <c r="D45" s="7" t="s">
        <v>2059</v>
      </c>
      <c r="E45" s="7" t="s">
        <v>1947</v>
      </c>
      <c r="F45" s="7" t="s">
        <v>1948</v>
      </c>
      <c r="G45" s="7" t="s">
        <v>2057</v>
      </c>
      <c r="H45" s="7" t="s">
        <v>3146</v>
      </c>
      <c r="I45" s="7" t="s">
        <v>3147</v>
      </c>
      <c r="J45" s="7" t="s">
        <v>3156</v>
      </c>
      <c r="K45" s="7" t="s">
        <v>3157</v>
      </c>
      <c r="L45" s="7" t="s">
        <v>3158</v>
      </c>
      <c r="M45" s="7" t="s">
        <v>2078</v>
      </c>
      <c r="N45" s="9">
        <v>46234</v>
      </c>
      <c r="O45" s="9">
        <v>46356</v>
      </c>
      <c r="P45" s="7" t="s">
        <v>2090</v>
      </c>
      <c r="Q45" s="7" t="s">
        <v>3147</v>
      </c>
      <c r="R45" s="7" t="s">
        <v>3159</v>
      </c>
      <c r="S45" s="7" t="s">
        <v>3160</v>
      </c>
      <c r="T45" s="7" t="s">
        <v>2067</v>
      </c>
      <c r="U45" s="7" t="s">
        <v>2109</v>
      </c>
      <c r="V45" s="7" t="s">
        <v>2067</v>
      </c>
      <c r="W45" s="7" t="s">
        <v>2069</v>
      </c>
    </row>
    <row r="46" spans="1:23" ht="20.100000000000001" customHeight="1" x14ac:dyDescent="0.25">
      <c r="A46" s="3" t="s">
        <v>3168</v>
      </c>
      <c r="B46" s="4" t="s">
        <v>2057</v>
      </c>
      <c r="C46" s="4" t="s">
        <v>3169</v>
      </c>
      <c r="D46" s="4" t="s">
        <v>2059</v>
      </c>
      <c r="E46" s="4" t="s">
        <v>1947</v>
      </c>
      <c r="F46" s="4" t="s">
        <v>1948</v>
      </c>
      <c r="G46" s="4" t="s">
        <v>2057</v>
      </c>
      <c r="H46" s="4" t="s">
        <v>3170</v>
      </c>
      <c r="I46" s="4" t="s">
        <v>3147</v>
      </c>
      <c r="J46" s="4" t="s">
        <v>3171</v>
      </c>
      <c r="K46" s="4" t="s">
        <v>3172</v>
      </c>
      <c r="L46" s="4" t="s">
        <v>3173</v>
      </c>
      <c r="M46" s="4" t="s">
        <v>2078</v>
      </c>
      <c r="N46" s="8">
        <v>46234</v>
      </c>
      <c r="O46" s="8">
        <v>46356</v>
      </c>
      <c r="P46" s="4" t="s">
        <v>2090</v>
      </c>
      <c r="Q46" s="4" t="s">
        <v>3147</v>
      </c>
      <c r="R46" s="4" t="s">
        <v>3174</v>
      </c>
      <c r="S46" s="4" t="s">
        <v>3175</v>
      </c>
      <c r="T46" s="4" t="s">
        <v>2067</v>
      </c>
      <c r="U46" s="4" t="s">
        <v>2146</v>
      </c>
      <c r="V46" s="4" t="s">
        <v>2067</v>
      </c>
      <c r="W46" s="4" t="s">
        <v>2082</v>
      </c>
    </row>
    <row r="47" spans="1:23" ht="20.100000000000001" customHeight="1" x14ac:dyDescent="0.25">
      <c r="A47" s="6" t="s">
        <v>3205</v>
      </c>
      <c r="B47" s="7" t="s">
        <v>2084</v>
      </c>
      <c r="C47" s="7" t="s">
        <v>3206</v>
      </c>
      <c r="D47" s="7" t="s">
        <v>2059</v>
      </c>
      <c r="E47" s="7" t="s">
        <v>1947</v>
      </c>
      <c r="F47" s="7" t="s">
        <v>1948</v>
      </c>
      <c r="G47" s="7" t="s">
        <v>2084</v>
      </c>
      <c r="H47" s="7" t="s">
        <v>3185</v>
      </c>
      <c r="I47" s="7" t="s">
        <v>1956</v>
      </c>
      <c r="J47" s="7" t="s">
        <v>3207</v>
      </c>
      <c r="K47" s="7" t="s">
        <v>3208</v>
      </c>
      <c r="L47" s="7" t="s">
        <v>3209</v>
      </c>
      <c r="M47" s="7" t="s">
        <v>2078</v>
      </c>
      <c r="N47" s="9">
        <v>46234</v>
      </c>
      <c r="O47" s="9">
        <v>46356</v>
      </c>
      <c r="P47" s="7" t="s">
        <v>2090</v>
      </c>
      <c r="Q47" s="7" t="s">
        <v>1956</v>
      </c>
      <c r="R47" s="7" t="s">
        <v>3210</v>
      </c>
      <c r="S47" s="7" t="s">
        <v>3211</v>
      </c>
      <c r="T47" s="7" t="s">
        <v>2067</v>
      </c>
      <c r="U47" s="7" t="s">
        <v>2146</v>
      </c>
      <c r="V47" s="7" t="s">
        <v>2067</v>
      </c>
      <c r="W47" s="7" t="s">
        <v>2082</v>
      </c>
    </row>
    <row r="48" spans="1:23" ht="20.100000000000001" customHeight="1" x14ac:dyDescent="0.25">
      <c r="A48" s="3" t="s">
        <v>3238</v>
      </c>
      <c r="B48" s="4" t="s">
        <v>2057</v>
      </c>
      <c r="C48" s="4" t="s">
        <v>3239</v>
      </c>
      <c r="D48" s="4" t="s">
        <v>2059</v>
      </c>
      <c r="E48" s="4" t="s">
        <v>2189</v>
      </c>
      <c r="F48" s="4" t="s">
        <v>2190</v>
      </c>
      <c r="G48" s="4" t="s">
        <v>2057</v>
      </c>
      <c r="H48" s="4" t="s">
        <v>3240</v>
      </c>
      <c r="I48" s="4" t="s">
        <v>1956</v>
      </c>
      <c r="J48" s="4" t="s">
        <v>3241</v>
      </c>
      <c r="K48" s="4" t="s">
        <v>3242</v>
      </c>
      <c r="L48" s="4" t="s">
        <v>3243</v>
      </c>
      <c r="M48" s="4" t="s">
        <v>2064</v>
      </c>
      <c r="N48" s="8">
        <v>46052</v>
      </c>
      <c r="O48" s="8"/>
      <c r="P48" s="4" t="s">
        <v>2195</v>
      </c>
      <c r="Q48" s="4" t="s">
        <v>1956</v>
      </c>
      <c r="R48" s="4" t="s">
        <v>3244</v>
      </c>
      <c r="S48" s="4" t="s">
        <v>3245</v>
      </c>
      <c r="T48" s="4" t="s">
        <v>2067</v>
      </c>
      <c r="U48" s="4" t="s">
        <v>2198</v>
      </c>
      <c r="V48" s="4" t="s">
        <v>2067</v>
      </c>
      <c r="W48" s="4" t="s">
        <v>2069</v>
      </c>
    </row>
    <row r="49" spans="1:23" ht="20.100000000000001" customHeight="1" x14ac:dyDescent="0.25">
      <c r="A49" s="6" t="s">
        <v>3252</v>
      </c>
      <c r="B49" s="7" t="s">
        <v>2057</v>
      </c>
      <c r="C49" s="7" t="s">
        <v>3253</v>
      </c>
      <c r="D49" s="7" t="s">
        <v>2059</v>
      </c>
      <c r="E49" s="7" t="s">
        <v>2189</v>
      </c>
      <c r="F49" s="7" t="s">
        <v>2190</v>
      </c>
      <c r="G49" s="7" t="s">
        <v>2057</v>
      </c>
      <c r="H49" s="7" t="s">
        <v>3254</v>
      </c>
      <c r="I49" s="7" t="s">
        <v>1956</v>
      </c>
      <c r="J49" s="7" t="s">
        <v>3255</v>
      </c>
      <c r="K49" s="7" t="s">
        <v>3256</v>
      </c>
      <c r="L49" s="7" t="s">
        <v>3257</v>
      </c>
      <c r="M49" s="7" t="s">
        <v>2078</v>
      </c>
      <c r="N49" s="9">
        <v>46052</v>
      </c>
      <c r="O49" s="9">
        <v>46355</v>
      </c>
      <c r="P49" s="7" t="s">
        <v>2195</v>
      </c>
      <c r="Q49" s="7" t="s">
        <v>1956</v>
      </c>
      <c r="R49" s="7" t="s">
        <v>2126</v>
      </c>
      <c r="S49" s="7" t="s">
        <v>3258</v>
      </c>
      <c r="T49" s="7" t="s">
        <v>2067</v>
      </c>
      <c r="U49" s="7" t="s">
        <v>2198</v>
      </c>
      <c r="V49" s="7" t="s">
        <v>2067</v>
      </c>
      <c r="W49" s="7" t="s">
        <v>2082</v>
      </c>
    </row>
    <row r="50" spans="1:23" ht="20.100000000000001" customHeight="1" x14ac:dyDescent="0.25">
      <c r="A50" s="3" t="s">
        <v>3284</v>
      </c>
      <c r="B50" s="4" t="s">
        <v>2084</v>
      </c>
      <c r="C50" s="4" t="s">
        <v>3285</v>
      </c>
      <c r="D50" s="4" t="s">
        <v>2059</v>
      </c>
      <c r="E50" s="4" t="s">
        <v>1947</v>
      </c>
      <c r="F50" s="4" t="s">
        <v>1948</v>
      </c>
      <c r="G50" s="4" t="s">
        <v>2084</v>
      </c>
      <c r="H50" s="4" t="s">
        <v>3213</v>
      </c>
      <c r="I50" s="4" t="s">
        <v>1956</v>
      </c>
      <c r="J50" s="4" t="s">
        <v>3286</v>
      </c>
      <c r="K50" s="4" t="s">
        <v>3287</v>
      </c>
      <c r="L50" s="4" t="s">
        <v>3288</v>
      </c>
      <c r="M50" s="4" t="s">
        <v>2064</v>
      </c>
      <c r="N50" s="8">
        <v>46052</v>
      </c>
      <c r="O50" s="8"/>
      <c r="P50" s="4" t="s">
        <v>2090</v>
      </c>
      <c r="Q50" s="4" t="s">
        <v>1956</v>
      </c>
      <c r="R50" s="4" t="s">
        <v>3289</v>
      </c>
      <c r="S50" s="4" t="s">
        <v>3290</v>
      </c>
      <c r="T50" s="4" t="s">
        <v>2067</v>
      </c>
      <c r="U50" s="4" t="s">
        <v>2146</v>
      </c>
      <c r="V50" s="4" t="s">
        <v>2067</v>
      </c>
      <c r="W50" s="4" t="s">
        <v>2069</v>
      </c>
    </row>
    <row r="51" spans="1:23" ht="20.100000000000001" customHeight="1" x14ac:dyDescent="0.25">
      <c r="A51" s="6" t="s">
        <v>3291</v>
      </c>
      <c r="B51" s="7" t="s">
        <v>2084</v>
      </c>
      <c r="C51" s="7" t="s">
        <v>3292</v>
      </c>
      <c r="D51" s="7" t="s">
        <v>2059</v>
      </c>
      <c r="E51" s="7" t="s">
        <v>1947</v>
      </c>
      <c r="F51" s="7" t="s">
        <v>1948</v>
      </c>
      <c r="G51" s="7" t="s">
        <v>2084</v>
      </c>
      <c r="H51" s="7" t="s">
        <v>3185</v>
      </c>
      <c r="I51" s="7" t="s">
        <v>1956</v>
      </c>
      <c r="J51" s="7" t="s">
        <v>3293</v>
      </c>
      <c r="K51" s="7" t="s">
        <v>3294</v>
      </c>
      <c r="L51" s="7" t="s">
        <v>3295</v>
      </c>
      <c r="M51" s="7" t="s">
        <v>2078</v>
      </c>
      <c r="N51" s="9">
        <v>46234</v>
      </c>
      <c r="O51" s="9">
        <v>46356</v>
      </c>
      <c r="P51" s="7" t="s">
        <v>2090</v>
      </c>
      <c r="Q51" s="7" t="s">
        <v>1956</v>
      </c>
      <c r="R51" s="7" t="s">
        <v>3296</v>
      </c>
      <c r="S51" s="7" t="s">
        <v>3297</v>
      </c>
      <c r="T51" s="7" t="s">
        <v>2067</v>
      </c>
      <c r="U51" s="7" t="s">
        <v>2146</v>
      </c>
      <c r="V51" s="7" t="s">
        <v>2067</v>
      </c>
      <c r="W51" s="7" t="s">
        <v>2082</v>
      </c>
    </row>
    <row r="52" spans="1:23" ht="20.100000000000001" customHeight="1" x14ac:dyDescent="0.25">
      <c r="A52" s="3" t="s">
        <v>3304</v>
      </c>
      <c r="B52" s="4" t="s">
        <v>2057</v>
      </c>
      <c r="C52" s="4" t="s">
        <v>3305</v>
      </c>
      <c r="D52" s="4" t="s">
        <v>2059</v>
      </c>
      <c r="E52" s="4" t="s">
        <v>2111</v>
      </c>
      <c r="F52" s="4" t="s">
        <v>2112</v>
      </c>
      <c r="G52" s="4" t="s">
        <v>2057</v>
      </c>
      <c r="H52" s="4" t="s">
        <v>3220</v>
      </c>
      <c r="I52" s="4" t="s">
        <v>1956</v>
      </c>
      <c r="J52" s="4" t="s">
        <v>3306</v>
      </c>
      <c r="K52" s="4" t="s">
        <v>3307</v>
      </c>
      <c r="L52" s="4" t="s">
        <v>3308</v>
      </c>
      <c r="M52" s="4" t="s">
        <v>2078</v>
      </c>
      <c r="N52" s="8">
        <v>46052</v>
      </c>
      <c r="O52" s="8">
        <v>46355</v>
      </c>
      <c r="P52" s="4" t="s">
        <v>2112</v>
      </c>
      <c r="Q52" s="4" t="s">
        <v>1956</v>
      </c>
      <c r="R52" s="4" t="s">
        <v>3309</v>
      </c>
      <c r="S52" s="4" t="s">
        <v>3310</v>
      </c>
      <c r="T52" s="4" t="s">
        <v>2067</v>
      </c>
      <c r="U52" s="4" t="s">
        <v>2119</v>
      </c>
      <c r="V52" s="4" t="s">
        <v>2067</v>
      </c>
      <c r="W52" s="4" t="s">
        <v>2082</v>
      </c>
    </row>
    <row r="53" spans="1:23" ht="20.100000000000001" customHeight="1" x14ac:dyDescent="0.25">
      <c r="A53" s="6" t="s">
        <v>3311</v>
      </c>
      <c r="B53" s="7" t="s">
        <v>2084</v>
      </c>
      <c r="C53" s="7" t="s">
        <v>3312</v>
      </c>
      <c r="D53" s="7" t="s">
        <v>2059</v>
      </c>
      <c r="E53" s="7" t="s">
        <v>1947</v>
      </c>
      <c r="F53" s="7" t="s">
        <v>1948</v>
      </c>
      <c r="G53" s="7" t="s">
        <v>2084</v>
      </c>
      <c r="H53" s="7" t="s">
        <v>3213</v>
      </c>
      <c r="I53" s="7" t="s">
        <v>1956</v>
      </c>
      <c r="J53" s="7" t="s">
        <v>3313</v>
      </c>
      <c r="K53" s="7" t="s">
        <v>3314</v>
      </c>
      <c r="L53" s="7" t="s">
        <v>3315</v>
      </c>
      <c r="M53" s="7" t="s">
        <v>3316</v>
      </c>
      <c r="N53" s="9">
        <v>45873</v>
      </c>
      <c r="O53" s="9">
        <v>46356</v>
      </c>
      <c r="P53" s="7" t="s">
        <v>2090</v>
      </c>
      <c r="Q53" s="7" t="s">
        <v>1956</v>
      </c>
      <c r="R53" s="7" t="s">
        <v>3317</v>
      </c>
      <c r="S53" s="7" t="s">
        <v>3318</v>
      </c>
      <c r="T53" s="7" t="s">
        <v>2067</v>
      </c>
      <c r="U53" s="7" t="s">
        <v>2146</v>
      </c>
      <c r="V53" s="7" t="s">
        <v>2067</v>
      </c>
      <c r="W53" s="7" t="s">
        <v>2069</v>
      </c>
    </row>
    <row r="54" spans="1:23" ht="20.100000000000001" customHeight="1" x14ac:dyDescent="0.25">
      <c r="A54" s="3" t="s">
        <v>3344</v>
      </c>
      <c r="B54" s="4" t="s">
        <v>2057</v>
      </c>
      <c r="C54" s="4" t="s">
        <v>3345</v>
      </c>
      <c r="D54" s="4" t="s">
        <v>2059</v>
      </c>
      <c r="E54" s="4" t="s">
        <v>1947</v>
      </c>
      <c r="F54" s="4" t="s">
        <v>1948</v>
      </c>
      <c r="G54" s="4" t="s">
        <v>2057</v>
      </c>
      <c r="H54" s="4" t="s">
        <v>3240</v>
      </c>
      <c r="I54" s="4" t="s">
        <v>1956</v>
      </c>
      <c r="J54" s="4" t="s">
        <v>3346</v>
      </c>
      <c r="K54" s="4" t="s">
        <v>3347</v>
      </c>
      <c r="L54" s="4" t="s">
        <v>3348</v>
      </c>
      <c r="M54" s="4" t="s">
        <v>2078</v>
      </c>
      <c r="N54" s="8">
        <v>46234</v>
      </c>
      <c r="O54" s="8">
        <v>46356</v>
      </c>
      <c r="P54" s="4" t="s">
        <v>2090</v>
      </c>
      <c r="Q54" s="4" t="s">
        <v>1956</v>
      </c>
      <c r="R54" s="4" t="s">
        <v>3349</v>
      </c>
      <c r="S54" s="4" t="s">
        <v>3350</v>
      </c>
      <c r="T54" s="4" t="s">
        <v>2067</v>
      </c>
      <c r="U54" s="4" t="s">
        <v>2146</v>
      </c>
      <c r="V54" s="4" t="s">
        <v>2067</v>
      </c>
      <c r="W54" s="4" t="s">
        <v>2069</v>
      </c>
    </row>
    <row r="55" spans="1:23" ht="20.100000000000001" customHeight="1" x14ac:dyDescent="0.25">
      <c r="A55" s="6" t="s">
        <v>3357</v>
      </c>
      <c r="B55" s="7" t="s">
        <v>2057</v>
      </c>
      <c r="C55" s="7" t="s">
        <v>3358</v>
      </c>
      <c r="D55" s="7" t="s">
        <v>2059</v>
      </c>
      <c r="E55" s="7" t="s">
        <v>1965</v>
      </c>
      <c r="F55" s="7" t="s">
        <v>1966</v>
      </c>
      <c r="G55" s="7" t="s">
        <v>2057</v>
      </c>
      <c r="H55" s="7" t="s">
        <v>3220</v>
      </c>
      <c r="I55" s="7" t="s">
        <v>1956</v>
      </c>
      <c r="J55" s="7" t="s">
        <v>3359</v>
      </c>
      <c r="K55" s="7" t="s">
        <v>3360</v>
      </c>
      <c r="L55" s="7" t="s">
        <v>3361</v>
      </c>
      <c r="M55" s="7" t="s">
        <v>2078</v>
      </c>
      <c r="N55" s="9">
        <v>46234</v>
      </c>
      <c r="O55" s="9">
        <v>46356</v>
      </c>
      <c r="P55" s="7" t="s">
        <v>1966</v>
      </c>
      <c r="Q55" s="7" t="s">
        <v>1956</v>
      </c>
      <c r="R55" s="7" t="s">
        <v>3362</v>
      </c>
      <c r="S55" s="7" t="s">
        <v>3363</v>
      </c>
      <c r="T55" s="7" t="s">
        <v>2067</v>
      </c>
      <c r="U55" s="7" t="s">
        <v>2174</v>
      </c>
      <c r="V55" s="7" t="s">
        <v>2067</v>
      </c>
      <c r="W55" s="7" t="s">
        <v>2082</v>
      </c>
    </row>
    <row r="56" spans="1:23" ht="20.100000000000001" customHeight="1" x14ac:dyDescent="0.25">
      <c r="A56" s="3" t="s">
        <v>3364</v>
      </c>
      <c r="B56" s="4" t="s">
        <v>2084</v>
      </c>
      <c r="C56" s="4" t="s">
        <v>3365</v>
      </c>
      <c r="D56" s="4" t="s">
        <v>2059</v>
      </c>
      <c r="E56" s="4" t="s">
        <v>1947</v>
      </c>
      <c r="F56" s="4" t="s">
        <v>1948</v>
      </c>
      <c r="G56" s="4" t="s">
        <v>2084</v>
      </c>
      <c r="H56" s="4" t="s">
        <v>3185</v>
      </c>
      <c r="I56" s="4" t="s">
        <v>1956</v>
      </c>
      <c r="J56" s="4" t="s">
        <v>3366</v>
      </c>
      <c r="K56" s="4" t="s">
        <v>3367</v>
      </c>
      <c r="L56" s="4" t="s">
        <v>3368</v>
      </c>
      <c r="M56" s="4" t="s">
        <v>2078</v>
      </c>
      <c r="N56" s="8">
        <v>46234</v>
      </c>
      <c r="O56" s="8">
        <v>46356</v>
      </c>
      <c r="P56" s="4" t="s">
        <v>2090</v>
      </c>
      <c r="Q56" s="4" t="s">
        <v>1956</v>
      </c>
      <c r="R56" s="4" t="s">
        <v>3369</v>
      </c>
      <c r="S56" s="4" t="s">
        <v>3370</v>
      </c>
      <c r="T56" s="4" t="s">
        <v>2067</v>
      </c>
      <c r="U56" s="4" t="s">
        <v>2146</v>
      </c>
      <c r="V56" s="4" t="s">
        <v>2067</v>
      </c>
      <c r="W56" s="4" t="s">
        <v>2082</v>
      </c>
    </row>
    <row r="57" spans="1:23" ht="20.100000000000001" customHeight="1" x14ac:dyDescent="0.25">
      <c r="A57" s="6" t="s">
        <v>3371</v>
      </c>
      <c r="B57" s="7" t="s">
        <v>2057</v>
      </c>
      <c r="C57" s="7" t="s">
        <v>3372</v>
      </c>
      <c r="D57" s="7" t="s">
        <v>2059</v>
      </c>
      <c r="E57" s="7" t="s">
        <v>1940</v>
      </c>
      <c r="F57" s="7" t="s">
        <v>1941</v>
      </c>
      <c r="G57" s="7" t="s">
        <v>2057</v>
      </c>
      <c r="H57" s="7" t="s">
        <v>3240</v>
      </c>
      <c r="I57" s="7" t="s">
        <v>1956</v>
      </c>
      <c r="J57" s="7" t="s">
        <v>3373</v>
      </c>
      <c r="K57" s="7" t="s">
        <v>3374</v>
      </c>
      <c r="L57" s="7" t="s">
        <v>3375</v>
      </c>
      <c r="M57" s="7" t="s">
        <v>2078</v>
      </c>
      <c r="N57" s="9">
        <v>45992</v>
      </c>
      <c r="O57" s="9">
        <v>46356</v>
      </c>
      <c r="P57" s="7" t="s">
        <v>1941</v>
      </c>
      <c r="Q57" s="7" t="s">
        <v>1956</v>
      </c>
      <c r="R57" s="7" t="s">
        <v>3376</v>
      </c>
      <c r="S57" s="7" t="s">
        <v>3377</v>
      </c>
      <c r="T57" s="7" t="s">
        <v>2067</v>
      </c>
      <c r="U57" s="7" t="s">
        <v>2068</v>
      </c>
      <c r="V57" s="7" t="s">
        <v>2067</v>
      </c>
      <c r="W57" s="7" t="s">
        <v>2069</v>
      </c>
    </row>
    <row r="58" spans="1:23" ht="20.100000000000001" customHeight="1" x14ac:dyDescent="0.25">
      <c r="A58" s="3" t="s">
        <v>3378</v>
      </c>
      <c r="B58" s="4" t="s">
        <v>2084</v>
      </c>
      <c r="C58" s="4" t="s">
        <v>3379</v>
      </c>
      <c r="D58" s="4" t="s">
        <v>2059</v>
      </c>
      <c r="E58" s="4" t="s">
        <v>1947</v>
      </c>
      <c r="F58" s="4" t="s">
        <v>1948</v>
      </c>
      <c r="G58" s="4" t="s">
        <v>2084</v>
      </c>
      <c r="H58" s="4" t="s">
        <v>3339</v>
      </c>
      <c r="I58" s="4" t="s">
        <v>1956</v>
      </c>
      <c r="J58" s="4" t="s">
        <v>3380</v>
      </c>
      <c r="K58" s="4" t="s">
        <v>3381</v>
      </c>
      <c r="L58" s="4" t="s">
        <v>3382</v>
      </c>
      <c r="M58" s="4" t="s">
        <v>2078</v>
      </c>
      <c r="N58" s="8">
        <v>45992</v>
      </c>
      <c r="O58" s="8">
        <v>46356</v>
      </c>
      <c r="P58" s="4" t="s">
        <v>2090</v>
      </c>
      <c r="Q58" s="4" t="s">
        <v>1956</v>
      </c>
      <c r="R58" s="4" t="s">
        <v>3383</v>
      </c>
      <c r="S58" s="4" t="s">
        <v>3384</v>
      </c>
      <c r="T58" s="4" t="s">
        <v>2067</v>
      </c>
      <c r="U58" s="4" t="s">
        <v>2146</v>
      </c>
      <c r="V58" s="4" t="s">
        <v>2067</v>
      </c>
      <c r="W58" s="4" t="s">
        <v>2069</v>
      </c>
    </row>
    <row r="59" spans="1:23" ht="20.100000000000001" customHeight="1" x14ac:dyDescent="0.25">
      <c r="A59" s="6" t="s">
        <v>3403</v>
      </c>
      <c r="B59" s="7" t="s">
        <v>2084</v>
      </c>
      <c r="C59" s="7" t="s">
        <v>3404</v>
      </c>
      <c r="D59" s="7" t="s">
        <v>2059</v>
      </c>
      <c r="E59" s="7" t="s">
        <v>1947</v>
      </c>
      <c r="F59" s="7" t="s">
        <v>1948</v>
      </c>
      <c r="G59" s="7" t="s">
        <v>2084</v>
      </c>
      <c r="H59" s="7" t="s">
        <v>3405</v>
      </c>
      <c r="I59" s="7" t="s">
        <v>1956</v>
      </c>
      <c r="J59" s="7" t="s">
        <v>3406</v>
      </c>
      <c r="K59" s="7" t="s">
        <v>3407</v>
      </c>
      <c r="L59" s="7" t="s">
        <v>3408</v>
      </c>
      <c r="M59" s="7" t="s">
        <v>2078</v>
      </c>
      <c r="N59" s="9">
        <v>46234</v>
      </c>
      <c r="O59" s="9">
        <v>46356</v>
      </c>
      <c r="P59" s="7" t="s">
        <v>2090</v>
      </c>
      <c r="Q59" s="7" t="s">
        <v>1956</v>
      </c>
      <c r="R59" s="7" t="s">
        <v>3409</v>
      </c>
      <c r="S59" s="7" t="s">
        <v>3410</v>
      </c>
      <c r="T59" s="7" t="s">
        <v>2067</v>
      </c>
      <c r="U59" s="7" t="s">
        <v>2146</v>
      </c>
      <c r="V59" s="7" t="s">
        <v>2067</v>
      </c>
      <c r="W59" s="7" t="s">
        <v>2082</v>
      </c>
    </row>
    <row r="60" spans="1:23" ht="20.100000000000001" customHeight="1" x14ac:dyDescent="0.25">
      <c r="A60" s="3" t="s">
        <v>3417</v>
      </c>
      <c r="B60" s="4" t="s">
        <v>2084</v>
      </c>
      <c r="C60" s="4" t="s">
        <v>3418</v>
      </c>
      <c r="D60" s="4" t="s">
        <v>2059</v>
      </c>
      <c r="E60" s="4" t="s">
        <v>1947</v>
      </c>
      <c r="F60" s="4" t="s">
        <v>1948</v>
      </c>
      <c r="G60" s="4" t="s">
        <v>2084</v>
      </c>
      <c r="H60" s="4" t="s">
        <v>3185</v>
      </c>
      <c r="I60" s="4" t="s">
        <v>1956</v>
      </c>
      <c r="J60" s="4" t="s">
        <v>3419</v>
      </c>
      <c r="K60" s="4" t="s">
        <v>3420</v>
      </c>
      <c r="L60" s="4" t="s">
        <v>3421</v>
      </c>
      <c r="M60" s="4" t="s">
        <v>2078</v>
      </c>
      <c r="N60" s="8">
        <v>46234</v>
      </c>
      <c r="O60" s="8">
        <v>46356</v>
      </c>
      <c r="P60" s="4" t="s">
        <v>2090</v>
      </c>
      <c r="Q60" s="4" t="s">
        <v>1956</v>
      </c>
      <c r="R60" s="4" t="s">
        <v>3422</v>
      </c>
      <c r="S60" s="4" t="s">
        <v>3423</v>
      </c>
      <c r="T60" s="4" t="s">
        <v>2067</v>
      </c>
      <c r="U60" s="4" t="s">
        <v>2146</v>
      </c>
      <c r="V60" s="4" t="s">
        <v>2067</v>
      </c>
      <c r="W60" s="4" t="s">
        <v>2082</v>
      </c>
    </row>
    <row r="61" spans="1:23" ht="20.100000000000001" customHeight="1" x14ac:dyDescent="0.25">
      <c r="A61" s="6" t="s">
        <v>3424</v>
      </c>
      <c r="B61" s="7" t="s">
        <v>2057</v>
      </c>
      <c r="C61" s="7" t="s">
        <v>3425</v>
      </c>
      <c r="D61" s="7" t="s">
        <v>2059</v>
      </c>
      <c r="E61" s="7" t="s">
        <v>1965</v>
      </c>
      <c r="F61" s="7" t="s">
        <v>1966</v>
      </c>
      <c r="G61" s="7" t="s">
        <v>2057</v>
      </c>
      <c r="H61" s="7" t="s">
        <v>3266</v>
      </c>
      <c r="I61" s="7" t="s">
        <v>1956</v>
      </c>
      <c r="J61" s="7" t="s">
        <v>3426</v>
      </c>
      <c r="K61" s="7" t="s">
        <v>3427</v>
      </c>
      <c r="L61" s="7" t="s">
        <v>3428</v>
      </c>
      <c r="M61" s="7" t="s">
        <v>2078</v>
      </c>
      <c r="N61" s="9">
        <v>46234</v>
      </c>
      <c r="O61" s="9">
        <v>46356</v>
      </c>
      <c r="P61" s="7" t="s">
        <v>1966</v>
      </c>
      <c r="Q61" s="7" t="s">
        <v>1956</v>
      </c>
      <c r="R61" s="7" t="s">
        <v>3429</v>
      </c>
      <c r="S61" s="7" t="s">
        <v>3430</v>
      </c>
      <c r="T61" s="7" t="s">
        <v>2067</v>
      </c>
      <c r="U61" s="7" t="s">
        <v>2174</v>
      </c>
      <c r="V61" s="7" t="s">
        <v>2067</v>
      </c>
      <c r="W61" s="7" t="s">
        <v>2069</v>
      </c>
    </row>
    <row r="62" spans="1:23" ht="20.100000000000001" customHeight="1" x14ac:dyDescent="0.25">
      <c r="A62" s="3" t="s">
        <v>3456</v>
      </c>
      <c r="B62" s="4" t="s">
        <v>2084</v>
      </c>
      <c r="C62" s="4" t="s">
        <v>3457</v>
      </c>
      <c r="D62" s="4" t="s">
        <v>2059</v>
      </c>
      <c r="E62" s="4" t="s">
        <v>1947</v>
      </c>
      <c r="F62" s="4" t="s">
        <v>1948</v>
      </c>
      <c r="G62" s="4" t="s">
        <v>2084</v>
      </c>
      <c r="H62" s="4" t="s">
        <v>3339</v>
      </c>
      <c r="I62" s="4" t="s">
        <v>1956</v>
      </c>
      <c r="J62" s="4" t="s">
        <v>3458</v>
      </c>
      <c r="K62" s="4" t="s">
        <v>3459</v>
      </c>
      <c r="L62" s="4" t="s">
        <v>3460</v>
      </c>
      <c r="M62" s="4" t="s">
        <v>2078</v>
      </c>
      <c r="N62" s="8">
        <v>45992</v>
      </c>
      <c r="O62" s="8">
        <v>46356</v>
      </c>
      <c r="P62" s="4" t="s">
        <v>2090</v>
      </c>
      <c r="Q62" s="4" t="s">
        <v>1956</v>
      </c>
      <c r="R62" s="4" t="s">
        <v>3461</v>
      </c>
      <c r="S62" s="4" t="s">
        <v>3462</v>
      </c>
      <c r="T62" s="4" t="s">
        <v>2067</v>
      </c>
      <c r="U62" s="4" t="s">
        <v>2146</v>
      </c>
      <c r="V62" s="4" t="s">
        <v>2067</v>
      </c>
      <c r="W62" s="4" t="s">
        <v>2069</v>
      </c>
    </row>
    <row r="63" spans="1:23" ht="20.100000000000001" customHeight="1" x14ac:dyDescent="0.25">
      <c r="A63" s="6" t="s">
        <v>3463</v>
      </c>
      <c r="B63" s="7" t="s">
        <v>2084</v>
      </c>
      <c r="C63" s="7" t="s">
        <v>3464</v>
      </c>
      <c r="D63" s="7" t="s">
        <v>2059</v>
      </c>
      <c r="E63" s="7" t="s">
        <v>2189</v>
      </c>
      <c r="F63" s="7" t="s">
        <v>2190</v>
      </c>
      <c r="G63" s="7" t="s">
        <v>2084</v>
      </c>
      <c r="H63" s="7" t="s">
        <v>3465</v>
      </c>
      <c r="I63" s="7" t="s">
        <v>1956</v>
      </c>
      <c r="J63" s="7" t="s">
        <v>3466</v>
      </c>
      <c r="K63" s="7" t="s">
        <v>3467</v>
      </c>
      <c r="L63" s="7" t="s">
        <v>3468</v>
      </c>
      <c r="M63" s="7" t="s">
        <v>2078</v>
      </c>
      <c r="N63" s="9">
        <v>46234</v>
      </c>
      <c r="O63" s="9">
        <v>46356</v>
      </c>
      <c r="P63" s="7" t="s">
        <v>2195</v>
      </c>
      <c r="Q63" s="7" t="s">
        <v>1956</v>
      </c>
      <c r="R63" s="7" t="s">
        <v>3469</v>
      </c>
      <c r="S63" s="7" t="s">
        <v>3470</v>
      </c>
      <c r="T63" s="7" t="s">
        <v>2067</v>
      </c>
      <c r="U63" s="7" t="s">
        <v>2198</v>
      </c>
      <c r="V63" s="7" t="s">
        <v>2067</v>
      </c>
      <c r="W63" s="7" t="s">
        <v>2082</v>
      </c>
    </row>
    <row r="64" spans="1:23" ht="20.100000000000001" customHeight="1" x14ac:dyDescent="0.25">
      <c r="A64" s="3" t="s">
        <v>3512</v>
      </c>
      <c r="B64" s="4" t="s">
        <v>2084</v>
      </c>
      <c r="C64" s="4" t="s">
        <v>3513</v>
      </c>
      <c r="D64" s="4" t="s">
        <v>2059</v>
      </c>
      <c r="E64" s="4" t="s">
        <v>1947</v>
      </c>
      <c r="F64" s="4" t="s">
        <v>1948</v>
      </c>
      <c r="G64" s="4" t="s">
        <v>2084</v>
      </c>
      <c r="H64" s="4" t="s">
        <v>3213</v>
      </c>
      <c r="I64" s="4" t="s">
        <v>1956</v>
      </c>
      <c r="J64" s="4" t="s">
        <v>3514</v>
      </c>
      <c r="K64" s="4" t="s">
        <v>3515</v>
      </c>
      <c r="L64" s="4" t="s">
        <v>3516</v>
      </c>
      <c r="M64" s="4" t="s">
        <v>2078</v>
      </c>
      <c r="N64" s="8">
        <v>46234</v>
      </c>
      <c r="O64" s="8">
        <v>46356</v>
      </c>
      <c r="P64" s="4" t="s">
        <v>2090</v>
      </c>
      <c r="Q64" s="4" t="s">
        <v>1956</v>
      </c>
      <c r="R64" s="4" t="s">
        <v>3517</v>
      </c>
      <c r="S64" s="4" t="s">
        <v>3518</v>
      </c>
      <c r="T64" s="4" t="s">
        <v>2067</v>
      </c>
      <c r="U64" s="4" t="s">
        <v>2146</v>
      </c>
      <c r="V64" s="4" t="s">
        <v>2067</v>
      </c>
      <c r="W64" s="4" t="s">
        <v>2069</v>
      </c>
    </row>
    <row r="65" spans="1:23" ht="20.100000000000001" customHeight="1" x14ac:dyDescent="0.25">
      <c r="A65" s="6" t="s">
        <v>3534</v>
      </c>
      <c r="B65" s="7" t="s">
        <v>2057</v>
      </c>
      <c r="C65" s="7" t="s">
        <v>3535</v>
      </c>
      <c r="D65" s="7" t="s">
        <v>2059</v>
      </c>
      <c r="E65" s="7" t="s">
        <v>2131</v>
      </c>
      <c r="F65" s="7" t="s">
        <v>2132</v>
      </c>
      <c r="G65" s="7" t="s">
        <v>2057</v>
      </c>
      <c r="H65" s="7" t="s">
        <v>3220</v>
      </c>
      <c r="I65" s="7" t="s">
        <v>1956</v>
      </c>
      <c r="J65" s="7" t="s">
        <v>3536</v>
      </c>
      <c r="K65" s="7" t="s">
        <v>3537</v>
      </c>
      <c r="L65" s="7" t="s">
        <v>3538</v>
      </c>
      <c r="M65" s="7" t="s">
        <v>2078</v>
      </c>
      <c r="N65" s="9">
        <v>46120</v>
      </c>
      <c r="O65" s="9">
        <v>46356</v>
      </c>
      <c r="P65" s="7" t="s">
        <v>2132</v>
      </c>
      <c r="Q65" s="7" t="s">
        <v>1956</v>
      </c>
      <c r="R65" s="7" t="s">
        <v>3539</v>
      </c>
      <c r="S65" s="7" t="s">
        <v>3540</v>
      </c>
      <c r="T65" s="7" t="s">
        <v>2067</v>
      </c>
      <c r="U65" s="7" t="s">
        <v>2138</v>
      </c>
      <c r="V65" s="7" t="s">
        <v>2067</v>
      </c>
      <c r="W65" s="7" t="s">
        <v>2082</v>
      </c>
    </row>
    <row r="66" spans="1:23" ht="20.100000000000001" customHeight="1" x14ac:dyDescent="0.25">
      <c r="A66" s="3" t="s">
        <v>3558</v>
      </c>
      <c r="B66" s="4" t="s">
        <v>2057</v>
      </c>
      <c r="C66" s="4" t="s">
        <v>3559</v>
      </c>
      <c r="D66" s="4" t="s">
        <v>2059</v>
      </c>
      <c r="E66" s="4" t="s">
        <v>1947</v>
      </c>
      <c r="F66" s="4" t="s">
        <v>1948</v>
      </c>
      <c r="G66" s="4" t="s">
        <v>2057</v>
      </c>
      <c r="H66" s="4" t="s">
        <v>3220</v>
      </c>
      <c r="I66" s="4" t="s">
        <v>1956</v>
      </c>
      <c r="J66" s="4" t="s">
        <v>3560</v>
      </c>
      <c r="K66" s="4" t="s">
        <v>3561</v>
      </c>
      <c r="L66" s="4" t="s">
        <v>3562</v>
      </c>
      <c r="M66" s="4" t="s">
        <v>2078</v>
      </c>
      <c r="N66" s="8">
        <v>46129</v>
      </c>
      <c r="O66" s="8">
        <v>46356</v>
      </c>
      <c r="P66" s="4" t="s">
        <v>2090</v>
      </c>
      <c r="Q66" s="4" t="s">
        <v>1956</v>
      </c>
      <c r="R66" s="4" t="s">
        <v>3563</v>
      </c>
      <c r="S66" s="4" t="s">
        <v>3564</v>
      </c>
      <c r="T66" s="4" t="s">
        <v>2067</v>
      </c>
      <c r="U66" s="4" t="s">
        <v>2146</v>
      </c>
      <c r="V66" s="4" t="s">
        <v>2067</v>
      </c>
      <c r="W66" s="4" t="s">
        <v>2082</v>
      </c>
    </row>
    <row r="67" spans="1:23" ht="20.100000000000001" customHeight="1" x14ac:dyDescent="0.25">
      <c r="A67" s="6" t="s">
        <v>3571</v>
      </c>
      <c r="B67" s="7" t="s">
        <v>2057</v>
      </c>
      <c r="C67" s="7" t="s">
        <v>3572</v>
      </c>
      <c r="D67" s="7" t="s">
        <v>2059</v>
      </c>
      <c r="E67" s="7" t="s">
        <v>2189</v>
      </c>
      <c r="F67" s="7" t="s">
        <v>2190</v>
      </c>
      <c r="G67" s="7" t="s">
        <v>2057</v>
      </c>
      <c r="H67" s="7" t="s">
        <v>3573</v>
      </c>
      <c r="I67" s="7" t="s">
        <v>1961</v>
      </c>
      <c r="J67" s="7" t="s">
        <v>3574</v>
      </c>
      <c r="K67" s="7" t="s">
        <v>3575</v>
      </c>
      <c r="L67" s="7" t="s">
        <v>3576</v>
      </c>
      <c r="M67" s="7" t="s">
        <v>2064</v>
      </c>
      <c r="N67" s="9">
        <v>39828</v>
      </c>
      <c r="O67" s="9"/>
      <c r="P67" s="7" t="s">
        <v>2195</v>
      </c>
      <c r="Q67" s="7" t="s">
        <v>1961</v>
      </c>
      <c r="R67" s="7" t="s">
        <v>3577</v>
      </c>
      <c r="S67" s="7" t="s">
        <v>3578</v>
      </c>
      <c r="T67" s="7" t="s">
        <v>2351</v>
      </c>
      <c r="U67" s="7" t="s">
        <v>2198</v>
      </c>
      <c r="V67" s="7" t="s">
        <v>2351</v>
      </c>
      <c r="W67" s="7" t="s">
        <v>2069</v>
      </c>
    </row>
    <row r="68" spans="1:23" ht="20.100000000000001" customHeight="1" x14ac:dyDescent="0.25">
      <c r="A68" s="3" t="s">
        <v>3592</v>
      </c>
      <c r="B68" s="4" t="s">
        <v>2057</v>
      </c>
      <c r="C68" s="4" t="s">
        <v>3593</v>
      </c>
      <c r="D68" s="4" t="s">
        <v>2059</v>
      </c>
      <c r="E68" s="4" t="s">
        <v>1947</v>
      </c>
      <c r="F68" s="4" t="s">
        <v>1948</v>
      </c>
      <c r="G68" s="4" t="s">
        <v>2057</v>
      </c>
      <c r="H68" s="4" t="s">
        <v>3594</v>
      </c>
      <c r="I68" s="4" t="s">
        <v>1961</v>
      </c>
      <c r="J68" s="4" t="s">
        <v>3595</v>
      </c>
      <c r="K68" s="4" t="s">
        <v>3596</v>
      </c>
      <c r="L68" s="4" t="s">
        <v>3597</v>
      </c>
      <c r="M68" s="4" t="s">
        <v>2064</v>
      </c>
      <c r="N68" s="8">
        <v>42387</v>
      </c>
      <c r="O68" s="8"/>
      <c r="P68" s="4" t="s">
        <v>2090</v>
      </c>
      <c r="Q68" s="4" t="s">
        <v>1961</v>
      </c>
      <c r="R68" s="4" t="s">
        <v>2079</v>
      </c>
      <c r="S68" s="4" t="s">
        <v>3598</v>
      </c>
      <c r="T68" s="4" t="s">
        <v>2067</v>
      </c>
      <c r="U68" s="4" t="s">
        <v>2768</v>
      </c>
      <c r="V68" s="4" t="s">
        <v>2067</v>
      </c>
      <c r="W68" s="4" t="s">
        <v>2069</v>
      </c>
    </row>
    <row r="69" spans="1:23" ht="20.100000000000001" customHeight="1" x14ac:dyDescent="0.25">
      <c r="A69" s="6" t="s">
        <v>3599</v>
      </c>
      <c r="B69" s="7" t="s">
        <v>2057</v>
      </c>
      <c r="C69" s="7" t="s">
        <v>3600</v>
      </c>
      <c r="D69" s="7" t="s">
        <v>2059</v>
      </c>
      <c r="E69" s="7" t="s">
        <v>2189</v>
      </c>
      <c r="F69" s="7" t="s">
        <v>2190</v>
      </c>
      <c r="G69" s="7" t="s">
        <v>2057</v>
      </c>
      <c r="H69" s="7" t="s">
        <v>3601</v>
      </c>
      <c r="I69" s="7" t="s">
        <v>1961</v>
      </c>
      <c r="J69" s="7" t="s">
        <v>3602</v>
      </c>
      <c r="K69" s="7" t="s">
        <v>3603</v>
      </c>
      <c r="L69" s="7" t="s">
        <v>3604</v>
      </c>
      <c r="M69" s="7" t="s">
        <v>2064</v>
      </c>
      <c r="N69" s="9">
        <v>43102</v>
      </c>
      <c r="O69" s="9"/>
      <c r="P69" s="7" t="s">
        <v>2195</v>
      </c>
      <c r="Q69" s="7" t="s">
        <v>1961</v>
      </c>
      <c r="R69" s="7" t="s">
        <v>3605</v>
      </c>
      <c r="S69" s="7" t="s">
        <v>3606</v>
      </c>
      <c r="T69" s="7" t="s">
        <v>2067</v>
      </c>
      <c r="U69" s="7" t="s">
        <v>2198</v>
      </c>
      <c r="V69" s="7" t="s">
        <v>2067</v>
      </c>
      <c r="W69" s="7" t="s">
        <v>2069</v>
      </c>
    </row>
    <row r="70" spans="1:23" ht="20.100000000000001" customHeight="1" x14ac:dyDescent="0.25">
      <c r="A70" s="3" t="s">
        <v>3607</v>
      </c>
      <c r="B70" s="4" t="s">
        <v>2057</v>
      </c>
      <c r="C70" s="4" t="s">
        <v>3608</v>
      </c>
      <c r="D70" s="4" t="s">
        <v>2059</v>
      </c>
      <c r="E70" s="4" t="s">
        <v>2189</v>
      </c>
      <c r="F70" s="4" t="s">
        <v>2190</v>
      </c>
      <c r="G70" s="4" t="s">
        <v>2057</v>
      </c>
      <c r="H70" s="4" t="s">
        <v>3609</v>
      </c>
      <c r="I70" s="4" t="s">
        <v>1961</v>
      </c>
      <c r="J70" s="4" t="s">
        <v>3610</v>
      </c>
      <c r="K70" s="4" t="s">
        <v>3611</v>
      </c>
      <c r="L70" s="4" t="s">
        <v>3612</v>
      </c>
      <c r="M70" s="4" t="s">
        <v>2078</v>
      </c>
      <c r="N70" s="8">
        <v>46052</v>
      </c>
      <c r="O70" s="8">
        <v>46296</v>
      </c>
      <c r="P70" s="4" t="s">
        <v>2195</v>
      </c>
      <c r="Q70" s="4" t="s">
        <v>1961</v>
      </c>
      <c r="R70" s="4" t="s">
        <v>3613</v>
      </c>
      <c r="S70" s="4" t="s">
        <v>3614</v>
      </c>
      <c r="T70" s="4" t="s">
        <v>2067</v>
      </c>
      <c r="U70" s="4" t="s">
        <v>2198</v>
      </c>
      <c r="V70" s="4" t="s">
        <v>2067</v>
      </c>
      <c r="W70" s="4" t="s">
        <v>2069</v>
      </c>
    </row>
    <row r="71" spans="1:23" ht="20.100000000000001" customHeight="1" x14ac:dyDescent="0.25">
      <c r="A71" s="6" t="s">
        <v>1994</v>
      </c>
      <c r="B71" s="7" t="s">
        <v>2057</v>
      </c>
      <c r="C71" s="7" t="s">
        <v>1995</v>
      </c>
      <c r="D71" s="7" t="s">
        <v>2059</v>
      </c>
      <c r="E71" s="7" t="s">
        <v>1947</v>
      </c>
      <c r="F71" s="7" t="s">
        <v>1948</v>
      </c>
      <c r="G71" s="7" t="s">
        <v>2057</v>
      </c>
      <c r="H71" s="7" t="s">
        <v>1996</v>
      </c>
      <c r="I71" s="7" t="s">
        <v>1961</v>
      </c>
      <c r="J71" s="7" t="s">
        <v>3621</v>
      </c>
      <c r="K71" s="7" t="s">
        <v>3622</v>
      </c>
      <c r="L71" s="7" t="s">
        <v>3623</v>
      </c>
      <c r="M71" s="7" t="s">
        <v>2078</v>
      </c>
      <c r="N71" s="9">
        <v>45992</v>
      </c>
      <c r="O71" s="9">
        <v>46356</v>
      </c>
      <c r="P71" s="7" t="s">
        <v>2090</v>
      </c>
      <c r="Q71" s="7" t="s">
        <v>1961</v>
      </c>
      <c r="R71" s="7" t="s">
        <v>3624</v>
      </c>
      <c r="S71" s="7" t="s">
        <v>3625</v>
      </c>
      <c r="T71" s="7" t="s">
        <v>2067</v>
      </c>
      <c r="U71" s="7" t="s">
        <v>2768</v>
      </c>
      <c r="V71" s="7" t="s">
        <v>2067</v>
      </c>
      <c r="W71" s="7" t="s">
        <v>2069</v>
      </c>
    </row>
    <row r="72" spans="1:23" ht="20.100000000000001" customHeight="1" x14ac:dyDescent="0.25">
      <c r="A72" s="3" t="s">
        <v>2013</v>
      </c>
      <c r="B72" s="4" t="s">
        <v>2057</v>
      </c>
      <c r="C72" s="4" t="s">
        <v>2014</v>
      </c>
      <c r="D72" s="4" t="s">
        <v>2059</v>
      </c>
      <c r="E72" s="4" t="s">
        <v>1947</v>
      </c>
      <c r="F72" s="4" t="s">
        <v>1948</v>
      </c>
      <c r="G72" s="4" t="s">
        <v>2057</v>
      </c>
      <c r="H72" s="4" t="s">
        <v>1996</v>
      </c>
      <c r="I72" s="4" t="s">
        <v>1961</v>
      </c>
      <c r="J72" s="4" t="s">
        <v>3626</v>
      </c>
      <c r="K72" s="4" t="s">
        <v>3627</v>
      </c>
      <c r="L72" s="4" t="s">
        <v>3628</v>
      </c>
      <c r="M72" s="4" t="s">
        <v>2078</v>
      </c>
      <c r="N72" s="8">
        <v>45992</v>
      </c>
      <c r="O72" s="8">
        <v>46356</v>
      </c>
      <c r="P72" s="4" t="s">
        <v>2090</v>
      </c>
      <c r="Q72" s="4" t="s">
        <v>1961</v>
      </c>
      <c r="R72" s="4" t="s">
        <v>3629</v>
      </c>
      <c r="S72" s="4" t="s">
        <v>3630</v>
      </c>
      <c r="T72" s="4" t="s">
        <v>2067</v>
      </c>
      <c r="U72" s="4" t="s">
        <v>2768</v>
      </c>
      <c r="V72" s="4" t="s">
        <v>2067</v>
      </c>
      <c r="W72" s="4" t="s">
        <v>2069</v>
      </c>
    </row>
    <row r="73" spans="1:23" ht="20.100000000000001" customHeight="1" x14ac:dyDescent="0.25">
      <c r="A73" s="6" t="s">
        <v>3654</v>
      </c>
      <c r="B73" s="7" t="s">
        <v>2084</v>
      </c>
      <c r="C73" s="7" t="s">
        <v>3655</v>
      </c>
      <c r="D73" s="7" t="s">
        <v>2059</v>
      </c>
      <c r="E73" s="7" t="s">
        <v>2189</v>
      </c>
      <c r="F73" s="7" t="s">
        <v>2190</v>
      </c>
      <c r="G73" s="7" t="s">
        <v>2084</v>
      </c>
      <c r="H73" s="7" t="s">
        <v>3641</v>
      </c>
      <c r="I73" s="7" t="s">
        <v>1961</v>
      </c>
      <c r="J73" s="7" t="s">
        <v>3656</v>
      </c>
      <c r="K73" s="7" t="s">
        <v>3657</v>
      </c>
      <c r="L73" s="7" t="s">
        <v>3658</v>
      </c>
      <c r="M73" s="7" t="s">
        <v>2078</v>
      </c>
      <c r="N73" s="9">
        <v>45992</v>
      </c>
      <c r="O73" s="9">
        <v>46356</v>
      </c>
      <c r="P73" s="7" t="s">
        <v>2195</v>
      </c>
      <c r="Q73" s="7" t="s">
        <v>1961</v>
      </c>
      <c r="R73" s="7" t="s">
        <v>3659</v>
      </c>
      <c r="S73" s="7" t="s">
        <v>3660</v>
      </c>
      <c r="T73" s="7" t="s">
        <v>2067</v>
      </c>
      <c r="U73" s="7" t="s">
        <v>2198</v>
      </c>
      <c r="V73" s="7" t="s">
        <v>2067</v>
      </c>
      <c r="W73" s="7" t="s">
        <v>2069</v>
      </c>
    </row>
    <row r="74" spans="1:23" ht="20.100000000000001" customHeight="1" x14ac:dyDescent="0.25">
      <c r="A74" s="3" t="s">
        <v>3661</v>
      </c>
      <c r="B74" s="4" t="s">
        <v>2057</v>
      </c>
      <c r="C74" s="4" t="s">
        <v>3662</v>
      </c>
      <c r="D74" s="4" t="s">
        <v>2059</v>
      </c>
      <c r="E74" s="4" t="s">
        <v>2111</v>
      </c>
      <c r="F74" s="4" t="s">
        <v>2112</v>
      </c>
      <c r="G74" s="4" t="s">
        <v>2057</v>
      </c>
      <c r="H74" s="4" t="s">
        <v>3609</v>
      </c>
      <c r="I74" s="4" t="s">
        <v>1961</v>
      </c>
      <c r="J74" s="4" t="s">
        <v>3663</v>
      </c>
      <c r="K74" s="4" t="s">
        <v>3664</v>
      </c>
      <c r="L74" s="4" t="s">
        <v>3665</v>
      </c>
      <c r="M74" s="4" t="s">
        <v>2078</v>
      </c>
      <c r="N74" s="8">
        <v>46052</v>
      </c>
      <c r="O74" s="8">
        <v>46296</v>
      </c>
      <c r="P74" s="4" t="s">
        <v>2112</v>
      </c>
      <c r="Q74" s="4" t="s">
        <v>1961</v>
      </c>
      <c r="R74" s="4" t="s">
        <v>3666</v>
      </c>
      <c r="S74" s="4" t="s">
        <v>3667</v>
      </c>
      <c r="T74" s="4" t="s">
        <v>2067</v>
      </c>
      <c r="U74" s="4" t="s">
        <v>2119</v>
      </c>
      <c r="V74" s="4" t="s">
        <v>2067</v>
      </c>
      <c r="W74" s="4" t="s">
        <v>2069</v>
      </c>
    </row>
    <row r="75" spans="1:23" ht="20.100000000000001" customHeight="1" x14ac:dyDescent="0.25">
      <c r="A75" s="6" t="s">
        <v>3680</v>
      </c>
      <c r="B75" s="7" t="s">
        <v>2057</v>
      </c>
      <c r="C75" s="7" t="s">
        <v>3681</v>
      </c>
      <c r="D75" s="7" t="s">
        <v>2059</v>
      </c>
      <c r="E75" s="7" t="s">
        <v>2111</v>
      </c>
      <c r="F75" s="7" t="s">
        <v>2112</v>
      </c>
      <c r="G75" s="7" t="s">
        <v>2057</v>
      </c>
      <c r="H75" s="7" t="s">
        <v>3609</v>
      </c>
      <c r="I75" s="7" t="s">
        <v>1961</v>
      </c>
      <c r="J75" s="7" t="s">
        <v>3682</v>
      </c>
      <c r="K75" s="7" t="s">
        <v>3683</v>
      </c>
      <c r="L75" s="7" t="s">
        <v>3684</v>
      </c>
      <c r="M75" s="7" t="s">
        <v>2078</v>
      </c>
      <c r="N75" s="9">
        <v>45992</v>
      </c>
      <c r="O75" s="9">
        <v>46356</v>
      </c>
      <c r="P75" s="7" t="s">
        <v>2112</v>
      </c>
      <c r="Q75" s="7" t="s">
        <v>1961</v>
      </c>
      <c r="R75" s="7" t="s">
        <v>3685</v>
      </c>
      <c r="S75" s="7" t="s">
        <v>3686</v>
      </c>
      <c r="T75" s="7" t="s">
        <v>2067</v>
      </c>
      <c r="U75" s="7" t="s">
        <v>2119</v>
      </c>
      <c r="V75" s="7" t="s">
        <v>2067</v>
      </c>
      <c r="W75" s="7" t="s">
        <v>2069</v>
      </c>
    </row>
    <row r="76" spans="1:23" ht="20.100000000000001" customHeight="1" x14ac:dyDescent="0.25">
      <c r="A76" s="3" t="s">
        <v>3687</v>
      </c>
      <c r="B76" s="4" t="s">
        <v>2057</v>
      </c>
      <c r="C76" s="4" t="s">
        <v>3688</v>
      </c>
      <c r="D76" s="4" t="s">
        <v>2059</v>
      </c>
      <c r="E76" s="4" t="s">
        <v>1952</v>
      </c>
      <c r="F76" s="4" t="s">
        <v>1953</v>
      </c>
      <c r="G76" s="4" t="s">
        <v>2057</v>
      </c>
      <c r="H76" s="4" t="s">
        <v>1960</v>
      </c>
      <c r="I76" s="4" t="s">
        <v>1961</v>
      </c>
      <c r="J76" s="4" t="s">
        <v>3689</v>
      </c>
      <c r="K76" s="4" t="s">
        <v>3690</v>
      </c>
      <c r="L76" s="4" t="s">
        <v>3691</v>
      </c>
      <c r="M76" s="4" t="s">
        <v>2078</v>
      </c>
      <c r="N76" s="8">
        <v>46234</v>
      </c>
      <c r="O76" s="8">
        <v>46356</v>
      </c>
      <c r="P76" s="4" t="s">
        <v>1953</v>
      </c>
      <c r="Q76" s="4" t="s">
        <v>1961</v>
      </c>
      <c r="R76" s="4" t="s">
        <v>3692</v>
      </c>
      <c r="S76" s="4" t="s">
        <v>3693</v>
      </c>
      <c r="T76" s="4" t="s">
        <v>2067</v>
      </c>
      <c r="U76" s="4" t="s">
        <v>2358</v>
      </c>
      <c r="V76" s="4" t="s">
        <v>2067</v>
      </c>
      <c r="W76" s="4" t="s">
        <v>2069</v>
      </c>
    </row>
    <row r="77" spans="1:23" ht="20.100000000000001" customHeight="1" x14ac:dyDescent="0.25">
      <c r="A77" s="6" t="s">
        <v>3694</v>
      </c>
      <c r="B77" s="7" t="s">
        <v>2057</v>
      </c>
      <c r="C77" s="7" t="s">
        <v>3695</v>
      </c>
      <c r="D77" s="7" t="s">
        <v>2059</v>
      </c>
      <c r="E77" s="7" t="s">
        <v>2189</v>
      </c>
      <c r="F77" s="7" t="s">
        <v>2190</v>
      </c>
      <c r="G77" s="7" t="s">
        <v>2057</v>
      </c>
      <c r="H77" s="7" t="s">
        <v>3609</v>
      </c>
      <c r="I77" s="7" t="s">
        <v>1961</v>
      </c>
      <c r="J77" s="7" t="s">
        <v>3696</v>
      </c>
      <c r="K77" s="7" t="s">
        <v>3697</v>
      </c>
      <c r="L77" s="7" t="s">
        <v>3698</v>
      </c>
      <c r="M77" s="7" t="s">
        <v>2078</v>
      </c>
      <c r="N77" s="9">
        <v>46052</v>
      </c>
      <c r="O77" s="9">
        <v>46296</v>
      </c>
      <c r="P77" s="7" t="s">
        <v>2195</v>
      </c>
      <c r="Q77" s="7" t="s">
        <v>1961</v>
      </c>
      <c r="R77" s="7" t="s">
        <v>3699</v>
      </c>
      <c r="S77" s="7" t="s">
        <v>3700</v>
      </c>
      <c r="T77" s="7" t="s">
        <v>2067</v>
      </c>
      <c r="U77" s="7" t="s">
        <v>2198</v>
      </c>
      <c r="V77" s="7" t="s">
        <v>2067</v>
      </c>
      <c r="W77" s="7" t="s">
        <v>2069</v>
      </c>
    </row>
    <row r="78" spans="1:23" ht="20.100000000000001" customHeight="1" x14ac:dyDescent="0.25">
      <c r="A78" s="3" t="s">
        <v>3719</v>
      </c>
      <c r="B78" s="4" t="s">
        <v>2057</v>
      </c>
      <c r="C78" s="4" t="s">
        <v>3720</v>
      </c>
      <c r="D78" s="4" t="s">
        <v>2059</v>
      </c>
      <c r="E78" s="4" t="s">
        <v>2189</v>
      </c>
      <c r="F78" s="4" t="s">
        <v>2190</v>
      </c>
      <c r="G78" s="4" t="s">
        <v>2057</v>
      </c>
      <c r="H78" s="4" t="s">
        <v>3609</v>
      </c>
      <c r="I78" s="4" t="s">
        <v>1961</v>
      </c>
      <c r="J78" s="4" t="s">
        <v>3721</v>
      </c>
      <c r="K78" s="4" t="s">
        <v>3722</v>
      </c>
      <c r="L78" s="4" t="s">
        <v>3723</v>
      </c>
      <c r="M78" s="4" t="s">
        <v>2078</v>
      </c>
      <c r="N78" s="8">
        <v>46234</v>
      </c>
      <c r="O78" s="8">
        <v>46356</v>
      </c>
      <c r="P78" s="4" t="s">
        <v>2195</v>
      </c>
      <c r="Q78" s="4" t="s">
        <v>1961</v>
      </c>
      <c r="R78" s="4" t="s">
        <v>3724</v>
      </c>
      <c r="S78" s="4" t="s">
        <v>3725</v>
      </c>
      <c r="T78" s="4" t="s">
        <v>2067</v>
      </c>
      <c r="U78" s="4" t="s">
        <v>2198</v>
      </c>
      <c r="V78" s="4" t="s">
        <v>2067</v>
      </c>
      <c r="W78" s="4" t="s">
        <v>2069</v>
      </c>
    </row>
    <row r="79" spans="1:23" ht="20.100000000000001" customHeight="1" x14ac:dyDescent="0.25">
      <c r="A79" s="6" t="s">
        <v>3769</v>
      </c>
      <c r="B79" s="7" t="s">
        <v>2084</v>
      </c>
      <c r="C79" s="7" t="s">
        <v>3770</v>
      </c>
      <c r="D79" s="7" t="s">
        <v>2059</v>
      </c>
      <c r="E79" s="7" t="s">
        <v>1947</v>
      </c>
      <c r="F79" s="7" t="s">
        <v>1948</v>
      </c>
      <c r="G79" s="7" t="s">
        <v>2084</v>
      </c>
      <c r="H79" s="7" t="s">
        <v>3580</v>
      </c>
      <c r="I79" s="7" t="s">
        <v>1961</v>
      </c>
      <c r="J79" s="7" t="s">
        <v>3771</v>
      </c>
      <c r="K79" s="7" t="s">
        <v>3772</v>
      </c>
      <c r="L79" s="7" t="s">
        <v>3773</v>
      </c>
      <c r="M79" s="7" t="s">
        <v>2078</v>
      </c>
      <c r="N79" s="9">
        <v>46234</v>
      </c>
      <c r="O79" s="9">
        <v>46356</v>
      </c>
      <c r="P79" s="7" t="s">
        <v>2090</v>
      </c>
      <c r="Q79" s="7" t="s">
        <v>1961</v>
      </c>
      <c r="R79" s="7" t="s">
        <v>3774</v>
      </c>
      <c r="S79" s="7" t="s">
        <v>3775</v>
      </c>
      <c r="T79" s="7" t="s">
        <v>2067</v>
      </c>
      <c r="U79" s="7" t="s">
        <v>2146</v>
      </c>
      <c r="V79" s="7" t="s">
        <v>2067</v>
      </c>
      <c r="W79" s="7" t="s">
        <v>2069</v>
      </c>
    </row>
    <row r="80" spans="1:23" ht="20.100000000000001" customHeight="1" x14ac:dyDescent="0.25">
      <c r="A80" s="3" t="s">
        <v>3776</v>
      </c>
      <c r="B80" s="4" t="s">
        <v>2084</v>
      </c>
      <c r="C80" s="4" t="s">
        <v>3777</v>
      </c>
      <c r="D80" s="4" t="s">
        <v>2059</v>
      </c>
      <c r="E80" s="4" t="s">
        <v>2111</v>
      </c>
      <c r="F80" s="4" t="s">
        <v>2112</v>
      </c>
      <c r="G80" s="4" t="s">
        <v>2084</v>
      </c>
      <c r="H80" s="4" t="s">
        <v>3778</v>
      </c>
      <c r="I80" s="4" t="s">
        <v>1961</v>
      </c>
      <c r="J80" s="4" t="s">
        <v>3779</v>
      </c>
      <c r="K80" s="4" t="s">
        <v>3780</v>
      </c>
      <c r="L80" s="4" t="s">
        <v>3781</v>
      </c>
      <c r="M80" s="4" t="s">
        <v>2078</v>
      </c>
      <c r="N80" s="8">
        <v>46234</v>
      </c>
      <c r="O80" s="8">
        <v>46356</v>
      </c>
      <c r="P80" s="4" t="s">
        <v>2112</v>
      </c>
      <c r="Q80" s="4" t="s">
        <v>1961</v>
      </c>
      <c r="R80" s="4" t="s">
        <v>3782</v>
      </c>
      <c r="S80" s="4" t="s">
        <v>3783</v>
      </c>
      <c r="T80" s="4" t="s">
        <v>2067</v>
      </c>
      <c r="U80" s="4" t="s">
        <v>2119</v>
      </c>
      <c r="V80" s="4" t="s">
        <v>2067</v>
      </c>
      <c r="W80" s="4" t="s">
        <v>2069</v>
      </c>
    </row>
    <row r="81" spans="1:23" ht="20.100000000000001" customHeight="1" x14ac:dyDescent="0.25">
      <c r="A81" s="6" t="s">
        <v>3790</v>
      </c>
      <c r="B81" s="7" t="s">
        <v>2057</v>
      </c>
      <c r="C81" s="7" t="s">
        <v>3791</v>
      </c>
      <c r="D81" s="7" t="s">
        <v>2059</v>
      </c>
      <c r="E81" s="7" t="s">
        <v>2189</v>
      </c>
      <c r="F81" s="7" t="s">
        <v>2190</v>
      </c>
      <c r="G81" s="7" t="s">
        <v>2057</v>
      </c>
      <c r="H81" s="7" t="s">
        <v>1996</v>
      </c>
      <c r="I81" s="7" t="s">
        <v>1961</v>
      </c>
      <c r="J81" s="7" t="s">
        <v>3792</v>
      </c>
      <c r="K81" s="7" t="s">
        <v>3793</v>
      </c>
      <c r="L81" s="7" t="s">
        <v>3794</v>
      </c>
      <c r="M81" s="7" t="s">
        <v>2078</v>
      </c>
      <c r="N81" s="9">
        <v>46234</v>
      </c>
      <c r="O81" s="9">
        <v>46356</v>
      </c>
      <c r="P81" s="7" t="s">
        <v>2195</v>
      </c>
      <c r="Q81" s="7" t="s">
        <v>1961</v>
      </c>
      <c r="R81" s="7" t="s">
        <v>2825</v>
      </c>
      <c r="S81" s="7" t="s">
        <v>3795</v>
      </c>
      <c r="T81" s="7" t="s">
        <v>2067</v>
      </c>
      <c r="U81" s="7" t="s">
        <v>2198</v>
      </c>
      <c r="V81" s="7" t="s">
        <v>2067</v>
      </c>
      <c r="W81" s="7" t="s">
        <v>2069</v>
      </c>
    </row>
    <row r="82" spans="1:23" ht="20.100000000000001" customHeight="1" x14ac:dyDescent="0.25">
      <c r="A82" s="3" t="s">
        <v>3813</v>
      </c>
      <c r="B82" s="4" t="s">
        <v>2084</v>
      </c>
      <c r="C82" s="4" t="s">
        <v>3814</v>
      </c>
      <c r="D82" s="4" t="s">
        <v>2059</v>
      </c>
      <c r="E82" s="4" t="s">
        <v>2673</v>
      </c>
      <c r="F82" s="4" t="s">
        <v>2674</v>
      </c>
      <c r="G82" s="4" t="s">
        <v>2084</v>
      </c>
      <c r="H82" s="4" t="s">
        <v>3641</v>
      </c>
      <c r="I82" s="4" t="s">
        <v>1961</v>
      </c>
      <c r="J82" s="4" t="s">
        <v>3815</v>
      </c>
      <c r="K82" s="4" t="s">
        <v>3816</v>
      </c>
      <c r="L82" s="4" t="s">
        <v>3817</v>
      </c>
      <c r="M82" s="4" t="s">
        <v>2078</v>
      </c>
      <c r="N82" s="8">
        <v>46234</v>
      </c>
      <c r="O82" s="8">
        <v>46356</v>
      </c>
      <c r="P82" s="4" t="s">
        <v>2674</v>
      </c>
      <c r="Q82" s="4" t="s">
        <v>1961</v>
      </c>
      <c r="R82" s="4" t="s">
        <v>3469</v>
      </c>
      <c r="S82" s="4" t="s">
        <v>3818</v>
      </c>
      <c r="T82" s="4" t="s">
        <v>2067</v>
      </c>
      <c r="U82" s="4" t="s">
        <v>2680</v>
      </c>
      <c r="V82" s="4" t="s">
        <v>2067</v>
      </c>
      <c r="W82" s="4" t="s">
        <v>2069</v>
      </c>
    </row>
    <row r="83" spans="1:23" ht="20.100000000000001" customHeight="1" x14ac:dyDescent="0.25">
      <c r="A83" s="6" t="s">
        <v>3842</v>
      </c>
      <c r="B83" s="7" t="s">
        <v>2057</v>
      </c>
      <c r="C83" s="7" t="s">
        <v>3843</v>
      </c>
      <c r="D83" s="7" t="s">
        <v>2059</v>
      </c>
      <c r="E83" s="7" t="s">
        <v>2189</v>
      </c>
      <c r="F83" s="7" t="s">
        <v>2190</v>
      </c>
      <c r="G83" s="7" t="s">
        <v>2057</v>
      </c>
      <c r="H83" s="7" t="s">
        <v>3609</v>
      </c>
      <c r="I83" s="7" t="s">
        <v>1961</v>
      </c>
      <c r="J83" s="7" t="s">
        <v>3844</v>
      </c>
      <c r="K83" s="7" t="s">
        <v>3845</v>
      </c>
      <c r="L83" s="7" t="s">
        <v>3846</v>
      </c>
      <c r="M83" s="7" t="s">
        <v>2078</v>
      </c>
      <c r="N83" s="9">
        <v>46234</v>
      </c>
      <c r="O83" s="9">
        <v>46356</v>
      </c>
      <c r="P83" s="7" t="s">
        <v>2195</v>
      </c>
      <c r="Q83" s="7" t="s">
        <v>1961</v>
      </c>
      <c r="R83" s="7" t="s">
        <v>3847</v>
      </c>
      <c r="S83" s="7" t="s">
        <v>3848</v>
      </c>
      <c r="T83" s="7" t="s">
        <v>2067</v>
      </c>
      <c r="U83" s="7" t="s">
        <v>2198</v>
      </c>
      <c r="V83" s="7" t="s">
        <v>2067</v>
      </c>
      <c r="W83" s="7" t="s">
        <v>2069</v>
      </c>
    </row>
    <row r="84" spans="1:23" ht="20.100000000000001" customHeight="1" x14ac:dyDescent="0.25">
      <c r="A84" s="3" t="s">
        <v>3867</v>
      </c>
      <c r="B84" s="4" t="s">
        <v>2057</v>
      </c>
      <c r="C84" s="4" t="s">
        <v>3868</v>
      </c>
      <c r="D84" s="4" t="s">
        <v>2059</v>
      </c>
      <c r="E84" s="4" t="s">
        <v>2673</v>
      </c>
      <c r="F84" s="4" t="s">
        <v>2674</v>
      </c>
      <c r="G84" s="4" t="s">
        <v>2057</v>
      </c>
      <c r="H84" s="4" t="s">
        <v>3869</v>
      </c>
      <c r="I84" s="4" t="s">
        <v>1961</v>
      </c>
      <c r="J84" s="4" t="s">
        <v>3870</v>
      </c>
      <c r="K84" s="4" t="s">
        <v>3871</v>
      </c>
      <c r="L84" s="4" t="s">
        <v>3872</v>
      </c>
      <c r="M84" s="4" t="s">
        <v>2078</v>
      </c>
      <c r="N84" s="8">
        <v>46234</v>
      </c>
      <c r="O84" s="8">
        <v>46356</v>
      </c>
      <c r="P84" s="4" t="s">
        <v>2674</v>
      </c>
      <c r="Q84" s="4" t="s">
        <v>1961</v>
      </c>
      <c r="R84" s="4" t="s">
        <v>3873</v>
      </c>
      <c r="S84" s="4" t="s">
        <v>3874</v>
      </c>
      <c r="T84" s="4" t="s">
        <v>2067</v>
      </c>
      <c r="U84" s="4" t="s">
        <v>2680</v>
      </c>
      <c r="V84" s="4" t="s">
        <v>2067</v>
      </c>
      <c r="W84" s="4" t="s">
        <v>2082</v>
      </c>
    </row>
    <row r="85" spans="1:23" ht="20.100000000000001" customHeight="1" x14ac:dyDescent="0.25">
      <c r="A85" s="6" t="s">
        <v>3881</v>
      </c>
      <c r="B85" s="7" t="s">
        <v>2057</v>
      </c>
      <c r="C85" s="7" t="s">
        <v>3882</v>
      </c>
      <c r="D85" s="7" t="s">
        <v>2059</v>
      </c>
      <c r="E85" s="7" t="s">
        <v>2111</v>
      </c>
      <c r="F85" s="7" t="s">
        <v>2112</v>
      </c>
      <c r="G85" s="7" t="s">
        <v>2057</v>
      </c>
      <c r="H85" s="7" t="s">
        <v>3609</v>
      </c>
      <c r="I85" s="7" t="s">
        <v>1961</v>
      </c>
      <c r="J85" s="7" t="s">
        <v>3883</v>
      </c>
      <c r="K85" s="7" t="s">
        <v>3884</v>
      </c>
      <c r="L85" s="7" t="s">
        <v>3885</v>
      </c>
      <c r="M85" s="7" t="s">
        <v>2078</v>
      </c>
      <c r="N85" s="9">
        <v>46234</v>
      </c>
      <c r="O85" s="9">
        <v>46356</v>
      </c>
      <c r="P85" s="7" t="s">
        <v>2112</v>
      </c>
      <c r="Q85" s="7" t="s">
        <v>1961</v>
      </c>
      <c r="R85" s="7" t="s">
        <v>2605</v>
      </c>
      <c r="S85" s="7" t="s">
        <v>3886</v>
      </c>
      <c r="T85" s="7" t="s">
        <v>2067</v>
      </c>
      <c r="U85" s="7" t="s">
        <v>2119</v>
      </c>
      <c r="V85" s="7" t="s">
        <v>2067</v>
      </c>
      <c r="W85" s="7" t="s">
        <v>2069</v>
      </c>
    </row>
    <row r="86" spans="1:23" ht="20.100000000000001" customHeight="1" x14ac:dyDescent="0.25">
      <c r="A86" s="3" t="s">
        <v>3887</v>
      </c>
      <c r="B86" s="4" t="s">
        <v>2057</v>
      </c>
      <c r="C86" s="4" t="s">
        <v>3888</v>
      </c>
      <c r="D86" s="4" t="s">
        <v>2059</v>
      </c>
      <c r="E86" s="4" t="s">
        <v>2189</v>
      </c>
      <c r="F86" s="4" t="s">
        <v>2190</v>
      </c>
      <c r="G86" s="4" t="s">
        <v>2057</v>
      </c>
      <c r="H86" s="4" t="s">
        <v>3609</v>
      </c>
      <c r="I86" s="4" t="s">
        <v>1961</v>
      </c>
      <c r="J86" s="4" t="s">
        <v>3889</v>
      </c>
      <c r="K86" s="4" t="s">
        <v>3890</v>
      </c>
      <c r="L86" s="4" t="s">
        <v>3891</v>
      </c>
      <c r="M86" s="4" t="s">
        <v>2078</v>
      </c>
      <c r="N86" s="8">
        <v>46234</v>
      </c>
      <c r="O86" s="8">
        <v>46356</v>
      </c>
      <c r="P86" s="4" t="s">
        <v>2195</v>
      </c>
      <c r="Q86" s="4" t="s">
        <v>1961</v>
      </c>
      <c r="R86" s="4" t="s">
        <v>3892</v>
      </c>
      <c r="S86" s="4" t="s">
        <v>3893</v>
      </c>
      <c r="T86" s="4" t="s">
        <v>2067</v>
      </c>
      <c r="U86" s="4" t="s">
        <v>2198</v>
      </c>
      <c r="V86" s="4" t="s">
        <v>2067</v>
      </c>
      <c r="W86" s="4" t="s">
        <v>2069</v>
      </c>
    </row>
    <row r="87" spans="1:23" ht="20.100000000000001" customHeight="1" x14ac:dyDescent="0.25">
      <c r="A87" s="6" t="s">
        <v>3906</v>
      </c>
      <c r="B87" s="7" t="s">
        <v>2057</v>
      </c>
      <c r="C87" s="7" t="s">
        <v>3907</v>
      </c>
      <c r="D87" s="7" t="s">
        <v>2059</v>
      </c>
      <c r="E87" s="7" t="s">
        <v>2189</v>
      </c>
      <c r="F87" s="7" t="s">
        <v>2190</v>
      </c>
      <c r="G87" s="7" t="s">
        <v>2057</v>
      </c>
      <c r="H87" s="7" t="s">
        <v>1960</v>
      </c>
      <c r="I87" s="7" t="s">
        <v>1961</v>
      </c>
      <c r="J87" s="7" t="s">
        <v>3908</v>
      </c>
      <c r="K87" s="7" t="s">
        <v>3909</v>
      </c>
      <c r="L87" s="7" t="s">
        <v>3910</v>
      </c>
      <c r="M87" s="7" t="s">
        <v>2078</v>
      </c>
      <c r="N87" s="9">
        <v>46052</v>
      </c>
      <c r="O87" s="9">
        <v>46296</v>
      </c>
      <c r="P87" s="7" t="s">
        <v>2195</v>
      </c>
      <c r="Q87" s="7" t="s">
        <v>1961</v>
      </c>
      <c r="R87" s="7" t="s">
        <v>3911</v>
      </c>
      <c r="S87" s="7" t="s">
        <v>3912</v>
      </c>
      <c r="T87" s="7" t="s">
        <v>2067</v>
      </c>
      <c r="U87" s="7" t="s">
        <v>2198</v>
      </c>
      <c r="V87" s="7" t="s">
        <v>2067</v>
      </c>
      <c r="W87" s="7" t="s">
        <v>2069</v>
      </c>
    </row>
    <row r="88" spans="1:23" ht="20.100000000000001" customHeight="1" x14ac:dyDescent="0.25">
      <c r="A88" s="3" t="s">
        <v>3913</v>
      </c>
      <c r="B88" s="4" t="s">
        <v>2084</v>
      </c>
      <c r="C88" s="4" t="s">
        <v>3914</v>
      </c>
      <c r="D88" s="4" t="s">
        <v>2059</v>
      </c>
      <c r="E88" s="4" t="s">
        <v>1947</v>
      </c>
      <c r="F88" s="4" t="s">
        <v>1948</v>
      </c>
      <c r="G88" s="4" t="s">
        <v>2084</v>
      </c>
      <c r="H88" s="4" t="s">
        <v>3915</v>
      </c>
      <c r="I88" s="4" t="s">
        <v>3916</v>
      </c>
      <c r="J88" s="4" t="s">
        <v>3917</v>
      </c>
      <c r="K88" s="4" t="s">
        <v>3918</v>
      </c>
      <c r="L88" s="4" t="s">
        <v>3919</v>
      </c>
      <c r="M88" s="4" t="s">
        <v>2064</v>
      </c>
      <c r="N88" s="8">
        <v>40198</v>
      </c>
      <c r="O88" s="8"/>
      <c r="P88" s="4" t="s">
        <v>2090</v>
      </c>
      <c r="Q88" s="4" t="s">
        <v>3916</v>
      </c>
      <c r="R88" s="4" t="s">
        <v>3920</v>
      </c>
      <c r="S88" s="4" t="s">
        <v>3921</v>
      </c>
      <c r="T88" s="4" t="s">
        <v>2067</v>
      </c>
      <c r="U88" s="4" t="s">
        <v>3922</v>
      </c>
      <c r="V88" s="4" t="s">
        <v>2067</v>
      </c>
      <c r="W88" s="4" t="s">
        <v>2069</v>
      </c>
    </row>
    <row r="89" spans="1:23" ht="20.100000000000001" customHeight="1" x14ac:dyDescent="0.25">
      <c r="A89" s="6" t="s">
        <v>3923</v>
      </c>
      <c r="B89" s="7" t="s">
        <v>2057</v>
      </c>
      <c r="C89" s="7" t="s">
        <v>3924</v>
      </c>
      <c r="D89" s="7" t="s">
        <v>2059</v>
      </c>
      <c r="E89" s="7" t="s">
        <v>2189</v>
      </c>
      <c r="F89" s="7" t="s">
        <v>2190</v>
      </c>
      <c r="G89" s="7" t="s">
        <v>2057</v>
      </c>
      <c r="H89" s="7" t="s">
        <v>3925</v>
      </c>
      <c r="I89" s="7" t="s">
        <v>3916</v>
      </c>
      <c r="J89" s="7" t="s">
        <v>3926</v>
      </c>
      <c r="K89" s="7" t="s">
        <v>3927</v>
      </c>
      <c r="L89" s="7" t="s">
        <v>3928</v>
      </c>
      <c r="M89" s="7" t="s">
        <v>2078</v>
      </c>
      <c r="N89" s="9">
        <v>45992</v>
      </c>
      <c r="O89" s="9">
        <v>46356</v>
      </c>
      <c r="P89" s="7" t="s">
        <v>2195</v>
      </c>
      <c r="Q89" s="7" t="s">
        <v>3916</v>
      </c>
      <c r="R89" s="7" t="s">
        <v>3929</v>
      </c>
      <c r="S89" s="7" t="s">
        <v>3930</v>
      </c>
      <c r="T89" s="7" t="s">
        <v>2067</v>
      </c>
      <c r="U89" s="7" t="s">
        <v>2198</v>
      </c>
      <c r="V89" s="7" t="s">
        <v>2067</v>
      </c>
      <c r="W89" s="7" t="s">
        <v>2069</v>
      </c>
    </row>
    <row r="90" spans="1:23" ht="20.100000000000001" customHeight="1" x14ac:dyDescent="0.25">
      <c r="A90" s="3" t="s">
        <v>3931</v>
      </c>
      <c r="B90" s="4" t="s">
        <v>2057</v>
      </c>
      <c r="C90" s="4" t="s">
        <v>3932</v>
      </c>
      <c r="D90" s="4" t="s">
        <v>2059</v>
      </c>
      <c r="E90" s="4" t="s">
        <v>1952</v>
      </c>
      <c r="F90" s="4" t="s">
        <v>1953</v>
      </c>
      <c r="G90" s="4" t="s">
        <v>2057</v>
      </c>
      <c r="H90" s="4" t="s">
        <v>3933</v>
      </c>
      <c r="I90" s="4" t="s">
        <v>3916</v>
      </c>
      <c r="J90" s="4" t="s">
        <v>3934</v>
      </c>
      <c r="K90" s="4" t="s">
        <v>3935</v>
      </c>
      <c r="L90" s="4" t="s">
        <v>3936</v>
      </c>
      <c r="M90" s="4" t="s">
        <v>2078</v>
      </c>
      <c r="N90" s="8">
        <v>46234</v>
      </c>
      <c r="O90" s="8">
        <v>46356</v>
      </c>
      <c r="P90" s="4" t="s">
        <v>1953</v>
      </c>
      <c r="Q90" s="4" t="s">
        <v>3916</v>
      </c>
      <c r="R90" s="4" t="s">
        <v>3937</v>
      </c>
      <c r="S90" s="4" t="s">
        <v>3938</v>
      </c>
      <c r="T90" s="4" t="s">
        <v>2067</v>
      </c>
      <c r="U90" s="4" t="s">
        <v>2358</v>
      </c>
      <c r="V90" s="4" t="s">
        <v>2067</v>
      </c>
      <c r="W90" s="4" t="s">
        <v>2082</v>
      </c>
    </row>
    <row r="91" spans="1:23" ht="20.100000000000001" customHeight="1" x14ac:dyDescent="0.25">
      <c r="A91" s="6" t="s">
        <v>4002</v>
      </c>
      <c r="B91" s="7" t="s">
        <v>2084</v>
      </c>
      <c r="C91" s="7" t="s">
        <v>4003</v>
      </c>
      <c r="D91" s="7" t="s">
        <v>2059</v>
      </c>
      <c r="E91" s="7" t="s">
        <v>1947</v>
      </c>
      <c r="F91" s="7" t="s">
        <v>1948</v>
      </c>
      <c r="G91" s="7" t="s">
        <v>2084</v>
      </c>
      <c r="H91" s="7" t="s">
        <v>3940</v>
      </c>
      <c r="I91" s="7" t="s">
        <v>3916</v>
      </c>
      <c r="J91" s="7" t="s">
        <v>4004</v>
      </c>
      <c r="K91" s="7" t="s">
        <v>4005</v>
      </c>
      <c r="L91" s="7" t="s">
        <v>4006</v>
      </c>
      <c r="M91" s="7" t="s">
        <v>2078</v>
      </c>
      <c r="N91" s="9">
        <v>46234</v>
      </c>
      <c r="O91" s="9">
        <v>46356</v>
      </c>
      <c r="P91" s="7" t="s">
        <v>2090</v>
      </c>
      <c r="Q91" s="7" t="s">
        <v>3916</v>
      </c>
      <c r="R91" s="7" t="s">
        <v>4007</v>
      </c>
      <c r="S91" s="7" t="s">
        <v>4008</v>
      </c>
      <c r="T91" s="7" t="s">
        <v>2067</v>
      </c>
      <c r="U91" s="7" t="s">
        <v>2146</v>
      </c>
      <c r="V91" s="7" t="s">
        <v>2067</v>
      </c>
      <c r="W91" s="7" t="s">
        <v>2069</v>
      </c>
    </row>
    <row r="92" spans="1:23" ht="20.100000000000001" customHeight="1" x14ac:dyDescent="0.25">
      <c r="A92" s="3" t="s">
        <v>4079</v>
      </c>
      <c r="B92" s="4" t="s">
        <v>2084</v>
      </c>
      <c r="C92" s="4" t="s">
        <v>4080</v>
      </c>
      <c r="D92" s="4" t="s">
        <v>2059</v>
      </c>
      <c r="E92" s="4" t="s">
        <v>1947</v>
      </c>
      <c r="F92" s="4" t="s">
        <v>2238</v>
      </c>
      <c r="G92" s="4" t="s">
        <v>2084</v>
      </c>
      <c r="H92" s="4" t="s">
        <v>4021</v>
      </c>
      <c r="I92" s="4" t="s">
        <v>3916</v>
      </c>
      <c r="J92" s="4" t="s">
        <v>4081</v>
      </c>
      <c r="K92" s="4" t="s">
        <v>4082</v>
      </c>
      <c r="L92" s="4" t="s">
        <v>4083</v>
      </c>
      <c r="M92" s="4" t="s">
        <v>2078</v>
      </c>
      <c r="N92" s="8">
        <v>46234</v>
      </c>
      <c r="O92" s="8">
        <v>46356</v>
      </c>
      <c r="P92" s="4" t="s">
        <v>2090</v>
      </c>
      <c r="Q92" s="4" t="s">
        <v>3916</v>
      </c>
      <c r="R92" s="4" t="s">
        <v>4084</v>
      </c>
      <c r="S92" s="4" t="s">
        <v>4085</v>
      </c>
      <c r="T92" s="4" t="s">
        <v>2067</v>
      </c>
      <c r="U92" s="4" t="s">
        <v>2244</v>
      </c>
      <c r="V92" s="4" t="s">
        <v>2067</v>
      </c>
      <c r="W92" s="4" t="s">
        <v>2082</v>
      </c>
    </row>
    <row r="93" spans="1:23" ht="20.100000000000001" customHeight="1" x14ac:dyDescent="0.25">
      <c r="A93" s="6" t="s">
        <v>4086</v>
      </c>
      <c r="B93" s="7" t="s">
        <v>2084</v>
      </c>
      <c r="C93" s="7" t="s">
        <v>4087</v>
      </c>
      <c r="D93" s="7" t="s">
        <v>2059</v>
      </c>
      <c r="E93" s="7" t="s">
        <v>1947</v>
      </c>
      <c r="F93" s="7" t="s">
        <v>2238</v>
      </c>
      <c r="G93" s="7" t="s">
        <v>2084</v>
      </c>
      <c r="H93" s="7" t="s">
        <v>4088</v>
      </c>
      <c r="I93" s="7" t="s">
        <v>3916</v>
      </c>
      <c r="J93" s="7" t="s">
        <v>4089</v>
      </c>
      <c r="K93" s="7" t="s">
        <v>4090</v>
      </c>
      <c r="L93" s="7" t="s">
        <v>4091</v>
      </c>
      <c r="M93" s="7" t="s">
        <v>2078</v>
      </c>
      <c r="N93" s="9">
        <v>45992</v>
      </c>
      <c r="O93" s="9">
        <v>46356</v>
      </c>
      <c r="P93" s="7" t="s">
        <v>2090</v>
      </c>
      <c r="Q93" s="7" t="s">
        <v>3916</v>
      </c>
      <c r="R93" s="7" t="s">
        <v>4092</v>
      </c>
      <c r="S93" s="7" t="s">
        <v>4093</v>
      </c>
      <c r="T93" s="7" t="s">
        <v>2067</v>
      </c>
      <c r="U93" s="7" t="s">
        <v>2244</v>
      </c>
      <c r="V93" s="7" t="s">
        <v>2067</v>
      </c>
      <c r="W93" s="7" t="s">
        <v>2082</v>
      </c>
    </row>
    <row r="94" spans="1:23" ht="20.100000000000001" customHeight="1" x14ac:dyDescent="0.25">
      <c r="A94" s="3" t="s">
        <v>4252</v>
      </c>
      <c r="B94" s="4" t="s">
        <v>2084</v>
      </c>
      <c r="C94" s="4" t="s">
        <v>4253</v>
      </c>
      <c r="D94" s="4" t="s">
        <v>2059</v>
      </c>
      <c r="E94" s="4" t="s">
        <v>2189</v>
      </c>
      <c r="F94" s="4" t="s">
        <v>2190</v>
      </c>
      <c r="G94" s="4" t="s">
        <v>2084</v>
      </c>
      <c r="H94" s="4" t="s">
        <v>3952</v>
      </c>
      <c r="I94" s="4" t="s">
        <v>3916</v>
      </c>
      <c r="J94" s="4" t="s">
        <v>4254</v>
      </c>
      <c r="K94" s="4" t="s">
        <v>4255</v>
      </c>
      <c r="L94" s="4" t="s">
        <v>4256</v>
      </c>
      <c r="M94" s="4" t="s">
        <v>2078</v>
      </c>
      <c r="N94" s="8">
        <v>46234</v>
      </c>
      <c r="O94" s="8">
        <v>46356</v>
      </c>
      <c r="P94" s="4" t="s">
        <v>2195</v>
      </c>
      <c r="Q94" s="4" t="s">
        <v>3916</v>
      </c>
      <c r="R94" s="4" t="s">
        <v>4257</v>
      </c>
      <c r="S94" s="4" t="s">
        <v>4258</v>
      </c>
      <c r="T94" s="4" t="s">
        <v>2067</v>
      </c>
      <c r="U94" s="4" t="s">
        <v>2198</v>
      </c>
      <c r="V94" s="4" t="s">
        <v>2067</v>
      </c>
      <c r="W94" s="4" t="s">
        <v>2082</v>
      </c>
    </row>
    <row r="95" spans="1:23" ht="20.100000000000001" customHeight="1" x14ac:dyDescent="0.25">
      <c r="A95" s="6" t="s">
        <v>4267</v>
      </c>
      <c r="B95" s="7" t="s">
        <v>2057</v>
      </c>
      <c r="C95" s="7" t="s">
        <v>4268</v>
      </c>
      <c r="D95" s="7" t="s">
        <v>2059</v>
      </c>
      <c r="E95" s="7" t="s">
        <v>1947</v>
      </c>
      <c r="F95" s="7" t="s">
        <v>1948</v>
      </c>
      <c r="G95" s="7" t="s">
        <v>2057</v>
      </c>
      <c r="H95" s="7" t="s">
        <v>4269</v>
      </c>
      <c r="I95" s="7" t="s">
        <v>4261</v>
      </c>
      <c r="J95" s="7" t="s">
        <v>4270</v>
      </c>
      <c r="K95" s="7" t="s">
        <v>4271</v>
      </c>
      <c r="L95" s="7" t="s">
        <v>4272</v>
      </c>
      <c r="M95" s="7" t="s">
        <v>2078</v>
      </c>
      <c r="N95" s="9">
        <v>46024</v>
      </c>
      <c r="O95" s="9">
        <v>46386</v>
      </c>
      <c r="P95" s="7" t="s">
        <v>2090</v>
      </c>
      <c r="Q95" s="7" t="s">
        <v>4261</v>
      </c>
      <c r="R95" s="7" t="s">
        <v>4273</v>
      </c>
      <c r="S95" s="7" t="s">
        <v>4274</v>
      </c>
      <c r="T95" s="7" t="s">
        <v>2067</v>
      </c>
      <c r="U95" s="7" t="s">
        <v>2146</v>
      </c>
      <c r="V95" s="7" t="s">
        <v>2067</v>
      </c>
      <c r="W95" s="7" t="s">
        <v>2082</v>
      </c>
    </row>
    <row r="96" spans="1:23" ht="20.100000000000001" customHeight="1" x14ac:dyDescent="0.25">
      <c r="A96" s="3" t="s">
        <v>4289</v>
      </c>
      <c r="B96" s="4" t="s">
        <v>2057</v>
      </c>
      <c r="C96" s="4" t="s">
        <v>4290</v>
      </c>
      <c r="D96" s="4" t="s">
        <v>2059</v>
      </c>
      <c r="E96" s="4" t="s">
        <v>1947</v>
      </c>
      <c r="F96" s="4" t="s">
        <v>1948</v>
      </c>
      <c r="G96" s="4" t="s">
        <v>2057</v>
      </c>
      <c r="H96" s="4" t="s">
        <v>4291</v>
      </c>
      <c r="I96" s="4" t="s">
        <v>4261</v>
      </c>
      <c r="J96" s="4" t="s">
        <v>4292</v>
      </c>
      <c r="K96" s="4" t="s">
        <v>4293</v>
      </c>
      <c r="L96" s="4" t="s">
        <v>4294</v>
      </c>
      <c r="M96" s="4" t="s">
        <v>2078</v>
      </c>
      <c r="N96" s="8">
        <v>46052</v>
      </c>
      <c r="O96" s="8">
        <v>46355</v>
      </c>
      <c r="P96" s="4" t="s">
        <v>2090</v>
      </c>
      <c r="Q96" s="4" t="s">
        <v>4261</v>
      </c>
      <c r="R96" s="4" t="s">
        <v>4295</v>
      </c>
      <c r="S96" s="4" t="s">
        <v>4296</v>
      </c>
      <c r="T96" s="4" t="s">
        <v>2067</v>
      </c>
      <c r="U96" s="4" t="s">
        <v>2109</v>
      </c>
      <c r="V96" s="4" t="s">
        <v>2067</v>
      </c>
      <c r="W96" s="4" t="s">
        <v>2082</v>
      </c>
    </row>
    <row r="97" spans="1:23" ht="20.100000000000001" customHeight="1" x14ac:dyDescent="0.25">
      <c r="A97" s="6" t="s">
        <v>4317</v>
      </c>
      <c r="B97" s="7" t="s">
        <v>2057</v>
      </c>
      <c r="C97" s="7" t="s">
        <v>4318</v>
      </c>
      <c r="D97" s="7" t="s">
        <v>2059</v>
      </c>
      <c r="E97" s="7" t="s">
        <v>1947</v>
      </c>
      <c r="F97" s="7" t="s">
        <v>1948</v>
      </c>
      <c r="G97" s="7" t="s">
        <v>2057</v>
      </c>
      <c r="H97" s="7" t="s">
        <v>4305</v>
      </c>
      <c r="I97" s="7" t="s">
        <v>4261</v>
      </c>
      <c r="J97" s="7" t="s">
        <v>4319</v>
      </c>
      <c r="K97" s="7" t="s">
        <v>4320</v>
      </c>
      <c r="L97" s="7" t="s">
        <v>4321</v>
      </c>
      <c r="M97" s="7" t="s">
        <v>2078</v>
      </c>
      <c r="N97" s="9">
        <v>46052</v>
      </c>
      <c r="O97" s="9">
        <v>46355</v>
      </c>
      <c r="P97" s="7" t="s">
        <v>2090</v>
      </c>
      <c r="Q97" s="7" t="s">
        <v>4261</v>
      </c>
      <c r="R97" s="7" t="s">
        <v>4322</v>
      </c>
      <c r="S97" s="7" t="s">
        <v>4323</v>
      </c>
      <c r="T97" s="7" t="s">
        <v>2067</v>
      </c>
      <c r="U97" s="7" t="s">
        <v>2109</v>
      </c>
      <c r="V97" s="7" t="s">
        <v>2067</v>
      </c>
      <c r="W97" s="7" t="s">
        <v>2069</v>
      </c>
    </row>
    <row r="98" spans="1:23" ht="20.100000000000001" customHeight="1" x14ac:dyDescent="0.25">
      <c r="A98" s="3" t="s">
        <v>4336</v>
      </c>
      <c r="B98" s="4" t="s">
        <v>2057</v>
      </c>
      <c r="C98" s="4" t="s">
        <v>4337</v>
      </c>
      <c r="D98" s="4" t="s">
        <v>2059</v>
      </c>
      <c r="E98" s="4" t="s">
        <v>1947</v>
      </c>
      <c r="F98" s="4" t="s">
        <v>1948</v>
      </c>
      <c r="G98" s="4" t="s">
        <v>2057</v>
      </c>
      <c r="H98" s="4" t="s">
        <v>4305</v>
      </c>
      <c r="I98" s="4" t="s">
        <v>4261</v>
      </c>
      <c r="J98" s="4" t="s">
        <v>4338</v>
      </c>
      <c r="K98" s="4" t="s">
        <v>4339</v>
      </c>
      <c r="L98" s="4" t="s">
        <v>4340</v>
      </c>
      <c r="M98" s="4" t="s">
        <v>2078</v>
      </c>
      <c r="N98" s="8">
        <v>46234</v>
      </c>
      <c r="O98" s="8">
        <v>46356</v>
      </c>
      <c r="P98" s="4" t="s">
        <v>2090</v>
      </c>
      <c r="Q98" s="4" t="s">
        <v>4261</v>
      </c>
      <c r="R98" s="4" t="s">
        <v>3532</v>
      </c>
      <c r="S98" s="4" t="s">
        <v>4341</v>
      </c>
      <c r="T98" s="4" t="s">
        <v>2067</v>
      </c>
      <c r="U98" s="4" t="s">
        <v>2109</v>
      </c>
      <c r="V98" s="4" t="s">
        <v>2067</v>
      </c>
      <c r="W98" s="4" t="s">
        <v>2069</v>
      </c>
    </row>
    <row r="99" spans="1:23" ht="20.100000000000001" customHeight="1" x14ac:dyDescent="0.25">
      <c r="A99" s="6" t="s">
        <v>4401</v>
      </c>
      <c r="B99" s="7" t="s">
        <v>2057</v>
      </c>
      <c r="C99" s="7" t="s">
        <v>4402</v>
      </c>
      <c r="D99" s="7" t="s">
        <v>2059</v>
      </c>
      <c r="E99" s="7" t="s">
        <v>1947</v>
      </c>
      <c r="F99" s="7" t="s">
        <v>1948</v>
      </c>
      <c r="G99" s="7" t="s">
        <v>2057</v>
      </c>
      <c r="H99" s="7" t="s">
        <v>4395</v>
      </c>
      <c r="I99" s="7" t="s">
        <v>2017</v>
      </c>
      <c r="J99" s="7" t="s">
        <v>4403</v>
      </c>
      <c r="K99" s="7" t="s">
        <v>4404</v>
      </c>
      <c r="L99" s="7" t="s">
        <v>4405</v>
      </c>
      <c r="M99" s="7" t="s">
        <v>2064</v>
      </c>
      <c r="N99" s="9">
        <v>42023</v>
      </c>
      <c r="O99" s="9"/>
      <c r="P99" s="7" t="s">
        <v>2090</v>
      </c>
      <c r="Q99" s="7" t="s">
        <v>2017</v>
      </c>
      <c r="R99" s="7" t="s">
        <v>4406</v>
      </c>
      <c r="S99" s="7" t="s">
        <v>4407</v>
      </c>
      <c r="T99" s="7" t="s">
        <v>2067</v>
      </c>
      <c r="U99" s="7" t="s">
        <v>2768</v>
      </c>
      <c r="V99" s="7" t="s">
        <v>2067</v>
      </c>
      <c r="W99" s="7" t="s">
        <v>2069</v>
      </c>
    </row>
    <row r="100" spans="1:23" ht="20.100000000000001" customHeight="1" x14ac:dyDescent="0.25">
      <c r="A100" s="3" t="s">
        <v>4421</v>
      </c>
      <c r="B100" s="4" t="s">
        <v>2084</v>
      </c>
      <c r="C100" s="4" t="s">
        <v>4422</v>
      </c>
      <c r="D100" s="4" t="s">
        <v>2059</v>
      </c>
      <c r="E100" s="4" t="s">
        <v>1947</v>
      </c>
      <c r="F100" s="4" t="s">
        <v>1948</v>
      </c>
      <c r="G100" s="4" t="s">
        <v>2084</v>
      </c>
      <c r="H100" s="4" t="s">
        <v>4415</v>
      </c>
      <c r="I100" s="4" t="s">
        <v>2017</v>
      </c>
      <c r="J100" s="4" t="s">
        <v>4423</v>
      </c>
      <c r="K100" s="4" t="s">
        <v>4424</v>
      </c>
      <c r="L100" s="4" t="s">
        <v>4425</v>
      </c>
      <c r="M100" s="4" t="s">
        <v>2078</v>
      </c>
      <c r="N100" s="8">
        <v>45992</v>
      </c>
      <c r="O100" s="8">
        <v>46356</v>
      </c>
      <c r="P100" s="4" t="s">
        <v>2090</v>
      </c>
      <c r="Q100" s="4" t="s">
        <v>2017</v>
      </c>
      <c r="R100" s="4" t="s">
        <v>4426</v>
      </c>
      <c r="S100" s="4" t="s">
        <v>4427</v>
      </c>
      <c r="T100" s="4" t="s">
        <v>2067</v>
      </c>
      <c r="U100" s="4" t="s">
        <v>2146</v>
      </c>
      <c r="V100" s="4" t="s">
        <v>2067</v>
      </c>
      <c r="W100" s="4" t="s">
        <v>2069</v>
      </c>
    </row>
    <row r="101" spans="1:23" ht="20.100000000000001" customHeight="1" x14ac:dyDescent="0.25">
      <c r="A101" s="6" t="s">
        <v>4490</v>
      </c>
      <c r="B101" s="7" t="s">
        <v>2057</v>
      </c>
      <c r="C101" s="7" t="s">
        <v>4491</v>
      </c>
      <c r="D101" s="7" t="s">
        <v>2059</v>
      </c>
      <c r="E101" s="7" t="s">
        <v>1947</v>
      </c>
      <c r="F101" s="7" t="s">
        <v>1948</v>
      </c>
      <c r="G101" s="7" t="s">
        <v>2057</v>
      </c>
      <c r="H101" s="7" t="s">
        <v>2016</v>
      </c>
      <c r="I101" s="7" t="s">
        <v>2017</v>
      </c>
      <c r="J101" s="7" t="s">
        <v>4492</v>
      </c>
      <c r="K101" s="7" t="s">
        <v>4493</v>
      </c>
      <c r="L101" s="7" t="s">
        <v>4494</v>
      </c>
      <c r="M101" s="7" t="s">
        <v>2078</v>
      </c>
      <c r="N101" s="9">
        <v>45992</v>
      </c>
      <c r="O101" s="9">
        <v>46356</v>
      </c>
      <c r="P101" s="7" t="s">
        <v>2090</v>
      </c>
      <c r="Q101" s="7" t="s">
        <v>2017</v>
      </c>
      <c r="R101" s="7" t="s">
        <v>2825</v>
      </c>
      <c r="S101" s="7" t="s">
        <v>4495</v>
      </c>
      <c r="T101" s="7" t="s">
        <v>2067</v>
      </c>
      <c r="U101" s="7" t="s">
        <v>2768</v>
      </c>
      <c r="V101" s="7" t="s">
        <v>2067</v>
      </c>
      <c r="W101" s="7" t="s">
        <v>2069</v>
      </c>
    </row>
    <row r="102" spans="1:23" ht="20.100000000000001" customHeight="1" x14ac:dyDescent="0.25">
      <c r="A102" s="3" t="s">
        <v>4599</v>
      </c>
      <c r="B102" s="4" t="s">
        <v>2084</v>
      </c>
      <c r="C102" s="4" t="s">
        <v>4600</v>
      </c>
      <c r="D102" s="4" t="s">
        <v>2059</v>
      </c>
      <c r="E102" s="4" t="s">
        <v>2673</v>
      </c>
      <c r="F102" s="4" t="s">
        <v>2674</v>
      </c>
      <c r="G102" s="4" t="s">
        <v>2084</v>
      </c>
      <c r="H102" s="4" t="s">
        <v>4484</v>
      </c>
      <c r="I102" s="4" t="s">
        <v>2017</v>
      </c>
      <c r="J102" s="4" t="s">
        <v>4601</v>
      </c>
      <c r="K102" s="4" t="s">
        <v>4602</v>
      </c>
      <c r="L102" s="4" t="s">
        <v>4603</v>
      </c>
      <c r="M102" s="4" t="s">
        <v>2078</v>
      </c>
      <c r="N102" s="8">
        <v>46164</v>
      </c>
      <c r="O102" s="8">
        <v>46294</v>
      </c>
      <c r="P102" s="4" t="s">
        <v>2674</v>
      </c>
      <c r="Q102" s="4" t="s">
        <v>2017</v>
      </c>
      <c r="R102" s="4" t="s">
        <v>2635</v>
      </c>
      <c r="S102" s="4" t="s">
        <v>4604</v>
      </c>
      <c r="T102" s="4" t="s">
        <v>2067</v>
      </c>
      <c r="U102" s="4" t="s">
        <v>2680</v>
      </c>
      <c r="V102" s="4" t="s">
        <v>2067</v>
      </c>
      <c r="W102" s="4" t="s">
        <v>2069</v>
      </c>
    </row>
    <row r="103" spans="1:23" ht="20.100000000000001" customHeight="1" x14ac:dyDescent="0.25">
      <c r="A103" s="6" t="s">
        <v>4640</v>
      </c>
      <c r="B103" s="7" t="s">
        <v>2057</v>
      </c>
      <c r="C103" s="7" t="s">
        <v>4641</v>
      </c>
      <c r="D103" s="7" t="s">
        <v>2059</v>
      </c>
      <c r="E103" s="7" t="s">
        <v>1947</v>
      </c>
      <c r="F103" s="7" t="s">
        <v>1948</v>
      </c>
      <c r="G103" s="7" t="s">
        <v>2057</v>
      </c>
      <c r="H103" s="7" t="s">
        <v>4642</v>
      </c>
      <c r="I103" s="7" t="s">
        <v>2017</v>
      </c>
      <c r="J103" s="7" t="s">
        <v>4643</v>
      </c>
      <c r="K103" s="7" t="s">
        <v>4644</v>
      </c>
      <c r="L103" s="7" t="s">
        <v>4645</v>
      </c>
      <c r="M103" s="7" t="s">
        <v>2078</v>
      </c>
      <c r="N103" s="9">
        <v>46218</v>
      </c>
      <c r="O103" s="9">
        <v>46401</v>
      </c>
      <c r="P103" s="7" t="s">
        <v>2090</v>
      </c>
      <c r="Q103" s="7" t="s">
        <v>2017</v>
      </c>
      <c r="R103" s="7" t="s">
        <v>4646</v>
      </c>
      <c r="S103" s="7" t="s">
        <v>4647</v>
      </c>
      <c r="T103" s="7" t="s">
        <v>2067</v>
      </c>
      <c r="U103" s="7" t="s">
        <v>2146</v>
      </c>
      <c r="V103" s="7" t="s">
        <v>2067</v>
      </c>
      <c r="W103" s="7" t="s">
        <v>2069</v>
      </c>
    </row>
    <row r="104" spans="1:23" ht="20.100000000000001" customHeight="1" x14ac:dyDescent="0.25">
      <c r="A104" s="3" t="s">
        <v>4660</v>
      </c>
      <c r="B104" s="4" t="s">
        <v>2057</v>
      </c>
      <c r="C104" s="4" t="s">
        <v>4661</v>
      </c>
      <c r="D104" s="4" t="s">
        <v>2059</v>
      </c>
      <c r="E104" s="4" t="s">
        <v>2111</v>
      </c>
      <c r="F104" s="4" t="s">
        <v>2112</v>
      </c>
      <c r="G104" s="4" t="s">
        <v>2057</v>
      </c>
      <c r="H104" s="4" t="s">
        <v>4662</v>
      </c>
      <c r="I104" s="4" t="s">
        <v>4663</v>
      </c>
      <c r="J104" s="4" t="s">
        <v>4664</v>
      </c>
      <c r="K104" s="4" t="s">
        <v>4665</v>
      </c>
      <c r="L104" s="4" t="s">
        <v>4666</v>
      </c>
      <c r="M104" s="4" t="s">
        <v>2078</v>
      </c>
      <c r="N104" s="8">
        <v>46234</v>
      </c>
      <c r="O104" s="8">
        <v>46356</v>
      </c>
      <c r="P104" s="4" t="s">
        <v>2112</v>
      </c>
      <c r="Q104" s="4" t="s">
        <v>4663</v>
      </c>
      <c r="R104" s="4" t="s">
        <v>4667</v>
      </c>
      <c r="S104" s="4" t="s">
        <v>4668</v>
      </c>
      <c r="T104" s="4" t="s">
        <v>2067</v>
      </c>
      <c r="U104" s="4" t="s">
        <v>2119</v>
      </c>
      <c r="V104" s="4" t="s">
        <v>2067</v>
      </c>
      <c r="W104" s="4" t="s">
        <v>2069</v>
      </c>
    </row>
    <row r="105" spans="1:23" ht="20.100000000000001" customHeight="1" x14ac:dyDescent="0.25">
      <c r="A105" s="6" t="s">
        <v>4669</v>
      </c>
      <c r="B105" s="7" t="s">
        <v>2057</v>
      </c>
      <c r="C105" s="7" t="s">
        <v>4670</v>
      </c>
      <c r="D105" s="7" t="s">
        <v>2059</v>
      </c>
      <c r="E105" s="7" t="s">
        <v>2189</v>
      </c>
      <c r="F105" s="7" t="s">
        <v>2190</v>
      </c>
      <c r="G105" s="7" t="s">
        <v>2057</v>
      </c>
      <c r="H105" s="7" t="s">
        <v>4662</v>
      </c>
      <c r="I105" s="7" t="s">
        <v>4663</v>
      </c>
      <c r="J105" s="7" t="s">
        <v>4671</v>
      </c>
      <c r="K105" s="7" t="s">
        <v>4672</v>
      </c>
      <c r="L105" s="7" t="s">
        <v>4673</v>
      </c>
      <c r="M105" s="7" t="s">
        <v>2078</v>
      </c>
      <c r="N105" s="9">
        <v>46234</v>
      </c>
      <c r="O105" s="9">
        <v>46356</v>
      </c>
      <c r="P105" s="7" t="s">
        <v>2195</v>
      </c>
      <c r="Q105" s="7" t="s">
        <v>4663</v>
      </c>
      <c r="R105" s="7" t="s">
        <v>4674</v>
      </c>
      <c r="S105" s="7" t="s">
        <v>4675</v>
      </c>
      <c r="T105" s="7" t="s">
        <v>2067</v>
      </c>
      <c r="U105" s="7" t="s">
        <v>2198</v>
      </c>
      <c r="V105" s="7" t="s">
        <v>2067</v>
      </c>
      <c r="W105" s="7" t="s">
        <v>2069</v>
      </c>
    </row>
    <row r="106" spans="1:23" ht="20.100000000000001" customHeight="1" x14ac:dyDescent="0.25">
      <c r="A106" s="3" t="s">
        <v>4684</v>
      </c>
      <c r="B106" s="4" t="s">
        <v>2057</v>
      </c>
      <c r="C106" s="4" t="s">
        <v>4685</v>
      </c>
      <c r="D106" s="4" t="s">
        <v>2059</v>
      </c>
      <c r="E106" s="4" t="s">
        <v>2111</v>
      </c>
      <c r="F106" s="4" t="s">
        <v>2112</v>
      </c>
      <c r="G106" s="4" t="s">
        <v>2057</v>
      </c>
      <c r="H106" s="4" t="s">
        <v>4686</v>
      </c>
      <c r="I106" s="4" t="s">
        <v>1951</v>
      </c>
      <c r="J106" s="4" t="s">
        <v>4687</v>
      </c>
      <c r="K106" s="4" t="s">
        <v>4688</v>
      </c>
      <c r="L106" s="4" t="s">
        <v>4689</v>
      </c>
      <c r="M106" s="4" t="s">
        <v>2078</v>
      </c>
      <c r="N106" s="8">
        <v>46234</v>
      </c>
      <c r="O106" s="8">
        <v>46356</v>
      </c>
      <c r="P106" s="4" t="s">
        <v>2112</v>
      </c>
      <c r="Q106" s="4" t="s">
        <v>1951</v>
      </c>
      <c r="R106" s="4" t="s">
        <v>4334</v>
      </c>
      <c r="S106" s="4" t="s">
        <v>4690</v>
      </c>
      <c r="T106" s="4" t="s">
        <v>2067</v>
      </c>
      <c r="U106" s="4" t="s">
        <v>2119</v>
      </c>
      <c r="V106" s="4" t="s">
        <v>2067</v>
      </c>
      <c r="W106" s="4" t="s">
        <v>2069</v>
      </c>
    </row>
    <row r="107" spans="1:23" ht="20.100000000000001" customHeight="1" x14ac:dyDescent="0.25">
      <c r="A107" s="6" t="s">
        <v>4721</v>
      </c>
      <c r="B107" s="7" t="s">
        <v>2057</v>
      </c>
      <c r="C107" s="7" t="s">
        <v>4722</v>
      </c>
      <c r="D107" s="7" t="s">
        <v>2059</v>
      </c>
      <c r="E107" s="7" t="s">
        <v>2111</v>
      </c>
      <c r="F107" s="7" t="s">
        <v>2112</v>
      </c>
      <c r="G107" s="7" t="s">
        <v>2057</v>
      </c>
      <c r="H107" s="7" t="s">
        <v>4715</v>
      </c>
      <c r="I107" s="7" t="s">
        <v>1951</v>
      </c>
      <c r="J107" s="7" t="s">
        <v>4723</v>
      </c>
      <c r="K107" s="7" t="s">
        <v>4724</v>
      </c>
      <c r="L107" s="7" t="s">
        <v>4725</v>
      </c>
      <c r="M107" s="7" t="s">
        <v>2078</v>
      </c>
      <c r="N107" s="9">
        <v>46234</v>
      </c>
      <c r="O107" s="9">
        <v>46356</v>
      </c>
      <c r="P107" s="7" t="s">
        <v>2112</v>
      </c>
      <c r="Q107" s="7" t="s">
        <v>1951</v>
      </c>
      <c r="R107" s="7" t="s">
        <v>2593</v>
      </c>
      <c r="S107" s="7" t="s">
        <v>4726</v>
      </c>
      <c r="T107" s="7" t="s">
        <v>2067</v>
      </c>
      <c r="U107" s="7" t="s">
        <v>2119</v>
      </c>
      <c r="V107" s="7" t="s">
        <v>2067</v>
      </c>
      <c r="W107" s="7" t="s">
        <v>2069</v>
      </c>
    </row>
    <row r="108" spans="1:23" ht="20.100000000000001" customHeight="1" x14ac:dyDescent="0.25">
      <c r="A108" s="3" t="s">
        <v>4770</v>
      </c>
      <c r="B108" s="4" t="s">
        <v>2084</v>
      </c>
      <c r="C108" s="4" t="s">
        <v>4771</v>
      </c>
      <c r="D108" s="4" t="s">
        <v>2059</v>
      </c>
      <c r="E108" s="4" t="s">
        <v>1947</v>
      </c>
      <c r="F108" s="4" t="s">
        <v>1948</v>
      </c>
      <c r="G108" s="4" t="s">
        <v>2084</v>
      </c>
      <c r="H108" s="4" t="s">
        <v>4772</v>
      </c>
      <c r="I108" s="4" t="s">
        <v>1951</v>
      </c>
      <c r="J108" s="4" t="s">
        <v>4773</v>
      </c>
      <c r="K108" s="4" t="s">
        <v>4774</v>
      </c>
      <c r="L108" s="4" t="s">
        <v>4775</v>
      </c>
      <c r="M108" s="4" t="s">
        <v>2078</v>
      </c>
      <c r="N108" s="8">
        <v>46234</v>
      </c>
      <c r="O108" s="8">
        <v>46356</v>
      </c>
      <c r="P108" s="4" t="s">
        <v>2090</v>
      </c>
      <c r="Q108" s="4" t="s">
        <v>1951</v>
      </c>
      <c r="R108" s="4" t="s">
        <v>2663</v>
      </c>
      <c r="S108" s="4" t="s">
        <v>4776</v>
      </c>
      <c r="T108" s="4" t="s">
        <v>2067</v>
      </c>
      <c r="U108" s="4" t="s">
        <v>2146</v>
      </c>
      <c r="V108" s="4" t="s">
        <v>2067</v>
      </c>
      <c r="W108" s="4" t="s">
        <v>2082</v>
      </c>
    </row>
    <row r="109" spans="1:23" ht="20.100000000000001" customHeight="1" x14ac:dyDescent="0.25">
      <c r="A109" s="6" t="s">
        <v>4783</v>
      </c>
      <c r="B109" s="7" t="s">
        <v>2057</v>
      </c>
      <c r="C109" s="7" t="s">
        <v>4784</v>
      </c>
      <c r="D109" s="7" t="s">
        <v>2059</v>
      </c>
      <c r="E109" s="7" t="s">
        <v>1947</v>
      </c>
      <c r="F109" s="7" t="s">
        <v>1948</v>
      </c>
      <c r="G109" s="7" t="s">
        <v>2057</v>
      </c>
      <c r="H109" s="7" t="s">
        <v>1950</v>
      </c>
      <c r="I109" s="7" t="s">
        <v>1951</v>
      </c>
      <c r="J109" s="7" t="s">
        <v>4785</v>
      </c>
      <c r="K109" s="7" t="s">
        <v>4786</v>
      </c>
      <c r="L109" s="7" t="s">
        <v>4787</v>
      </c>
      <c r="M109" s="7" t="s">
        <v>2078</v>
      </c>
      <c r="N109" s="9">
        <v>46234</v>
      </c>
      <c r="O109" s="9">
        <v>46356</v>
      </c>
      <c r="P109" s="7" t="s">
        <v>2090</v>
      </c>
      <c r="Q109" s="7" t="s">
        <v>1951</v>
      </c>
      <c r="R109" s="7" t="s">
        <v>4788</v>
      </c>
      <c r="S109" s="7" t="s">
        <v>4789</v>
      </c>
      <c r="T109" s="7" t="s">
        <v>2067</v>
      </c>
      <c r="U109" s="7" t="s">
        <v>2768</v>
      </c>
      <c r="V109" s="7" t="s">
        <v>2067</v>
      </c>
      <c r="W109" s="7" t="s">
        <v>2069</v>
      </c>
    </row>
    <row r="110" spans="1:23" ht="20.100000000000001" customHeight="1" x14ac:dyDescent="0.25">
      <c r="A110" s="3" t="s">
        <v>4809</v>
      </c>
      <c r="B110" s="4" t="s">
        <v>2057</v>
      </c>
      <c r="C110" s="4" t="s">
        <v>4810</v>
      </c>
      <c r="D110" s="4" t="s">
        <v>2059</v>
      </c>
      <c r="E110" s="4" t="s">
        <v>2189</v>
      </c>
      <c r="F110" s="4" t="s">
        <v>2190</v>
      </c>
      <c r="G110" s="4" t="s">
        <v>2057</v>
      </c>
      <c r="H110" s="4" t="s">
        <v>4811</v>
      </c>
      <c r="I110" s="4" t="s">
        <v>1951</v>
      </c>
      <c r="J110" s="4" t="s">
        <v>4812</v>
      </c>
      <c r="K110" s="4" t="s">
        <v>4813</v>
      </c>
      <c r="L110" s="4" t="s">
        <v>4814</v>
      </c>
      <c r="M110" s="4" t="s">
        <v>2078</v>
      </c>
      <c r="N110" s="8">
        <v>46108</v>
      </c>
      <c r="O110" s="8">
        <v>46356</v>
      </c>
      <c r="P110" s="4" t="s">
        <v>2195</v>
      </c>
      <c r="Q110" s="4" t="s">
        <v>1951</v>
      </c>
      <c r="R110" s="4" t="s">
        <v>4815</v>
      </c>
      <c r="S110" s="4" t="s">
        <v>4816</v>
      </c>
      <c r="T110" s="4" t="s">
        <v>2067</v>
      </c>
      <c r="U110" s="4" t="s">
        <v>2198</v>
      </c>
      <c r="V110" s="4" t="s">
        <v>2067</v>
      </c>
      <c r="W110" s="4" t="s">
        <v>2082</v>
      </c>
    </row>
    <row r="111" spans="1:23" ht="20.100000000000001" customHeight="1" x14ac:dyDescent="0.25">
      <c r="A111" s="6" t="s">
        <v>4823</v>
      </c>
      <c r="B111" s="7" t="s">
        <v>2057</v>
      </c>
      <c r="C111" s="7" t="s">
        <v>4824</v>
      </c>
      <c r="D111" s="7" t="s">
        <v>2059</v>
      </c>
      <c r="E111" s="7" t="s">
        <v>2189</v>
      </c>
      <c r="F111" s="7" t="s">
        <v>2190</v>
      </c>
      <c r="G111" s="7" t="s">
        <v>2057</v>
      </c>
      <c r="H111" s="7" t="s">
        <v>1950</v>
      </c>
      <c r="I111" s="7" t="s">
        <v>1951</v>
      </c>
      <c r="J111" s="7" t="s">
        <v>4825</v>
      </c>
      <c r="K111" s="7" t="s">
        <v>4826</v>
      </c>
      <c r="L111" s="7" t="s">
        <v>4827</v>
      </c>
      <c r="M111" s="7" t="s">
        <v>2078</v>
      </c>
      <c r="N111" s="9">
        <v>45992</v>
      </c>
      <c r="O111" s="9">
        <v>46356</v>
      </c>
      <c r="P111" s="7" t="s">
        <v>2195</v>
      </c>
      <c r="Q111" s="7" t="s">
        <v>1951</v>
      </c>
      <c r="R111" s="7" t="s">
        <v>4178</v>
      </c>
      <c r="S111" s="7" t="s">
        <v>4828</v>
      </c>
      <c r="T111" s="7" t="s">
        <v>2067</v>
      </c>
      <c r="U111" s="7" t="s">
        <v>2198</v>
      </c>
      <c r="V111" s="7" t="s">
        <v>2067</v>
      </c>
      <c r="W111" s="7" t="s">
        <v>2069</v>
      </c>
    </row>
    <row r="112" spans="1:23" ht="20.100000000000001" customHeight="1" x14ac:dyDescent="0.25">
      <c r="A112" s="3" t="s">
        <v>4849</v>
      </c>
      <c r="B112" s="4" t="s">
        <v>2057</v>
      </c>
      <c r="C112" s="4" t="s">
        <v>4850</v>
      </c>
      <c r="D112" s="4" t="s">
        <v>2059</v>
      </c>
      <c r="E112" s="4" t="s">
        <v>2111</v>
      </c>
      <c r="F112" s="4" t="s">
        <v>2112</v>
      </c>
      <c r="G112" s="4" t="s">
        <v>2057</v>
      </c>
      <c r="H112" s="4" t="s">
        <v>4686</v>
      </c>
      <c r="I112" s="4" t="s">
        <v>1951</v>
      </c>
      <c r="J112" s="4" t="s">
        <v>4851</v>
      </c>
      <c r="K112" s="4" t="s">
        <v>4852</v>
      </c>
      <c r="L112" s="4" t="s">
        <v>4853</v>
      </c>
      <c r="M112" s="4" t="s">
        <v>2078</v>
      </c>
      <c r="N112" s="8">
        <v>46234</v>
      </c>
      <c r="O112" s="8">
        <v>46356</v>
      </c>
      <c r="P112" s="4" t="s">
        <v>2112</v>
      </c>
      <c r="Q112" s="4" t="s">
        <v>1951</v>
      </c>
      <c r="R112" s="4" t="s">
        <v>4854</v>
      </c>
      <c r="S112" s="4" t="s">
        <v>4855</v>
      </c>
      <c r="T112" s="4" t="s">
        <v>2067</v>
      </c>
      <c r="U112" s="4" t="s">
        <v>2119</v>
      </c>
      <c r="V112" s="4" t="s">
        <v>2067</v>
      </c>
      <c r="W112" s="4" t="s">
        <v>2069</v>
      </c>
    </row>
    <row r="113" spans="1:23" ht="20.100000000000001" customHeight="1" x14ac:dyDescent="0.25">
      <c r="A113" s="6" t="s">
        <v>4862</v>
      </c>
      <c r="B113" s="7" t="s">
        <v>2057</v>
      </c>
      <c r="C113" s="7" t="s">
        <v>4863</v>
      </c>
      <c r="D113" s="7" t="s">
        <v>2059</v>
      </c>
      <c r="E113" s="7" t="s">
        <v>1947</v>
      </c>
      <c r="F113" s="7" t="s">
        <v>1948</v>
      </c>
      <c r="G113" s="7" t="s">
        <v>2057</v>
      </c>
      <c r="H113" s="7" t="s">
        <v>1950</v>
      </c>
      <c r="I113" s="7" t="s">
        <v>1951</v>
      </c>
      <c r="J113" s="7" t="s">
        <v>4864</v>
      </c>
      <c r="K113" s="7" t="s">
        <v>4865</v>
      </c>
      <c r="L113" s="7" t="s">
        <v>4866</v>
      </c>
      <c r="M113" s="7" t="s">
        <v>2078</v>
      </c>
      <c r="N113" s="9">
        <v>46234</v>
      </c>
      <c r="O113" s="9">
        <v>46356</v>
      </c>
      <c r="P113" s="7" t="s">
        <v>2090</v>
      </c>
      <c r="Q113" s="7" t="s">
        <v>1951</v>
      </c>
      <c r="R113" s="7" t="s">
        <v>4867</v>
      </c>
      <c r="S113" s="7" t="s">
        <v>4868</v>
      </c>
      <c r="T113" s="7" t="s">
        <v>2067</v>
      </c>
      <c r="U113" s="7" t="s">
        <v>2768</v>
      </c>
      <c r="V113" s="7" t="s">
        <v>2067</v>
      </c>
      <c r="W113" s="7" t="s">
        <v>2069</v>
      </c>
    </row>
    <row r="114" spans="1:23" ht="20.100000000000001" customHeight="1" x14ac:dyDescent="0.25">
      <c r="A114" s="3" t="s">
        <v>2026</v>
      </c>
      <c r="B114" s="4" t="s">
        <v>2057</v>
      </c>
      <c r="C114" s="4" t="s">
        <v>2027</v>
      </c>
      <c r="D114" s="4" t="s">
        <v>2059</v>
      </c>
      <c r="E114" s="4" t="s">
        <v>1947</v>
      </c>
      <c r="F114" s="4" t="s">
        <v>1948</v>
      </c>
      <c r="G114" s="4" t="s">
        <v>2057</v>
      </c>
      <c r="H114" s="4" t="s">
        <v>1950</v>
      </c>
      <c r="I114" s="4" t="s">
        <v>1951</v>
      </c>
      <c r="J114" s="4" t="s">
        <v>4882</v>
      </c>
      <c r="K114" s="4" t="s">
        <v>4883</v>
      </c>
      <c r="L114" s="4" t="s">
        <v>4884</v>
      </c>
      <c r="M114" s="4" t="s">
        <v>2078</v>
      </c>
      <c r="N114" s="8">
        <v>45992</v>
      </c>
      <c r="O114" s="8">
        <v>46356</v>
      </c>
      <c r="P114" s="4" t="s">
        <v>2090</v>
      </c>
      <c r="Q114" s="4" t="s">
        <v>1951</v>
      </c>
      <c r="R114" s="4" t="s">
        <v>2326</v>
      </c>
      <c r="S114" s="4" t="s">
        <v>4885</v>
      </c>
      <c r="T114" s="4" t="s">
        <v>2067</v>
      </c>
      <c r="U114" s="4" t="s">
        <v>2768</v>
      </c>
      <c r="V114" s="4" t="s">
        <v>2067</v>
      </c>
      <c r="W114" s="4" t="s">
        <v>2069</v>
      </c>
    </row>
    <row r="115" spans="1:23" ht="20.100000000000001" customHeight="1" x14ac:dyDescent="0.25">
      <c r="A115" s="6" t="s">
        <v>4892</v>
      </c>
      <c r="B115" s="7" t="s">
        <v>2057</v>
      </c>
      <c r="C115" s="7" t="s">
        <v>4893</v>
      </c>
      <c r="D115" s="7" t="s">
        <v>2059</v>
      </c>
      <c r="E115" s="7" t="s">
        <v>2189</v>
      </c>
      <c r="F115" s="7" t="s">
        <v>2190</v>
      </c>
      <c r="G115" s="7" t="s">
        <v>2057</v>
      </c>
      <c r="H115" s="7" t="s">
        <v>1950</v>
      </c>
      <c r="I115" s="7" t="s">
        <v>1951</v>
      </c>
      <c r="J115" s="7" t="s">
        <v>4894</v>
      </c>
      <c r="K115" s="7" t="s">
        <v>4895</v>
      </c>
      <c r="L115" s="7" t="s">
        <v>4896</v>
      </c>
      <c r="M115" s="7" t="s">
        <v>2078</v>
      </c>
      <c r="N115" s="9">
        <v>46234</v>
      </c>
      <c r="O115" s="9">
        <v>46356</v>
      </c>
      <c r="P115" s="7" t="s">
        <v>2195</v>
      </c>
      <c r="Q115" s="7" t="s">
        <v>1951</v>
      </c>
      <c r="R115" s="7" t="s">
        <v>3724</v>
      </c>
      <c r="S115" s="7" t="s">
        <v>4897</v>
      </c>
      <c r="T115" s="7" t="s">
        <v>2067</v>
      </c>
      <c r="U115" s="7" t="s">
        <v>2198</v>
      </c>
      <c r="V115" s="7" t="s">
        <v>2067</v>
      </c>
      <c r="W115" s="7" t="s">
        <v>2069</v>
      </c>
    </row>
    <row r="116" spans="1:23" ht="20.100000000000001" customHeight="1" x14ac:dyDescent="0.25">
      <c r="A116" s="3" t="s">
        <v>4903</v>
      </c>
      <c r="B116" s="4" t="s">
        <v>2057</v>
      </c>
      <c r="C116" s="4" t="s">
        <v>4904</v>
      </c>
      <c r="D116" s="4" t="s">
        <v>2059</v>
      </c>
      <c r="E116" s="4" t="s">
        <v>2189</v>
      </c>
      <c r="F116" s="4" t="s">
        <v>2190</v>
      </c>
      <c r="G116" s="4" t="s">
        <v>2057</v>
      </c>
      <c r="H116" s="4" t="s">
        <v>1950</v>
      </c>
      <c r="I116" s="4" t="s">
        <v>1951</v>
      </c>
      <c r="J116" s="4" t="s">
        <v>4905</v>
      </c>
      <c r="K116" s="4" t="s">
        <v>4906</v>
      </c>
      <c r="L116" s="4" t="s">
        <v>4907</v>
      </c>
      <c r="M116" s="4" t="s">
        <v>2078</v>
      </c>
      <c r="N116" s="8">
        <v>45992</v>
      </c>
      <c r="O116" s="8">
        <v>46356</v>
      </c>
      <c r="P116" s="4" t="s">
        <v>2195</v>
      </c>
      <c r="Q116" s="4" t="s">
        <v>1951</v>
      </c>
      <c r="R116" s="4" t="s">
        <v>4908</v>
      </c>
      <c r="S116" s="4" t="s">
        <v>4909</v>
      </c>
      <c r="T116" s="4" t="s">
        <v>2067</v>
      </c>
      <c r="U116" s="4" t="s">
        <v>2198</v>
      </c>
      <c r="V116" s="4" t="s">
        <v>2067</v>
      </c>
      <c r="W116" s="4" t="s">
        <v>2069</v>
      </c>
    </row>
    <row r="117" spans="1:23" ht="20.100000000000001" customHeight="1" x14ac:dyDescent="0.25">
      <c r="A117" s="6" t="s">
        <v>4916</v>
      </c>
      <c r="B117" s="7" t="s">
        <v>2057</v>
      </c>
      <c r="C117" s="7" t="s">
        <v>4917</v>
      </c>
      <c r="D117" s="7" t="s">
        <v>2059</v>
      </c>
      <c r="E117" s="7" t="s">
        <v>2189</v>
      </c>
      <c r="F117" s="7" t="s">
        <v>2190</v>
      </c>
      <c r="G117" s="7" t="s">
        <v>2057</v>
      </c>
      <c r="H117" s="7" t="s">
        <v>1950</v>
      </c>
      <c r="I117" s="7" t="s">
        <v>1951</v>
      </c>
      <c r="J117" s="7" t="s">
        <v>4918</v>
      </c>
      <c r="K117" s="7" t="s">
        <v>4919</v>
      </c>
      <c r="L117" s="7" t="s">
        <v>4920</v>
      </c>
      <c r="M117" s="7" t="s">
        <v>2078</v>
      </c>
      <c r="N117" s="9">
        <v>46234</v>
      </c>
      <c r="O117" s="9">
        <v>46356</v>
      </c>
      <c r="P117" s="7" t="s">
        <v>2195</v>
      </c>
      <c r="Q117" s="7" t="s">
        <v>1951</v>
      </c>
      <c r="R117" s="7" t="s">
        <v>4208</v>
      </c>
      <c r="S117" s="7" t="s">
        <v>4921</v>
      </c>
      <c r="T117" s="7" t="s">
        <v>2067</v>
      </c>
      <c r="U117" s="7" t="s">
        <v>2198</v>
      </c>
      <c r="V117" s="7" t="s">
        <v>2067</v>
      </c>
      <c r="W117" s="7" t="s">
        <v>2069</v>
      </c>
    </row>
    <row r="118" spans="1:23" ht="20.100000000000001" customHeight="1" x14ac:dyDescent="0.25">
      <c r="A118" s="3" t="s">
        <v>4922</v>
      </c>
      <c r="B118" s="4" t="s">
        <v>2084</v>
      </c>
      <c r="C118" s="4" t="s">
        <v>4923</v>
      </c>
      <c r="D118" s="4" t="s">
        <v>2059</v>
      </c>
      <c r="E118" s="4" t="s">
        <v>2673</v>
      </c>
      <c r="F118" s="4" t="s">
        <v>2674</v>
      </c>
      <c r="G118" s="4" t="s">
        <v>2084</v>
      </c>
      <c r="H118" s="4" t="s">
        <v>4772</v>
      </c>
      <c r="I118" s="4" t="s">
        <v>1951</v>
      </c>
      <c r="J118" s="4" t="s">
        <v>4924</v>
      </c>
      <c r="K118" s="4" t="s">
        <v>4925</v>
      </c>
      <c r="L118" s="4" t="s">
        <v>4926</v>
      </c>
      <c r="M118" s="4" t="s">
        <v>2078</v>
      </c>
      <c r="N118" s="8">
        <v>46234</v>
      </c>
      <c r="O118" s="8">
        <v>46356</v>
      </c>
      <c r="P118" s="4" t="s">
        <v>2674</v>
      </c>
      <c r="Q118" s="4" t="s">
        <v>1951</v>
      </c>
      <c r="R118" s="4" t="s">
        <v>4927</v>
      </c>
      <c r="S118" s="4" t="s">
        <v>4928</v>
      </c>
      <c r="T118" s="4" t="s">
        <v>2067</v>
      </c>
      <c r="U118" s="4" t="s">
        <v>2680</v>
      </c>
      <c r="V118" s="4" t="s">
        <v>2067</v>
      </c>
      <c r="W118" s="4" t="s">
        <v>2082</v>
      </c>
    </row>
    <row r="119" spans="1:23" ht="20.100000000000001" customHeight="1" x14ac:dyDescent="0.25">
      <c r="A119" s="6" t="s">
        <v>4929</v>
      </c>
      <c r="B119" s="7" t="s">
        <v>2057</v>
      </c>
      <c r="C119" s="7" t="s">
        <v>4930</v>
      </c>
      <c r="D119" s="7" t="s">
        <v>2059</v>
      </c>
      <c r="E119" s="7" t="s">
        <v>2189</v>
      </c>
      <c r="F119" s="7" t="s">
        <v>2190</v>
      </c>
      <c r="G119" s="7" t="s">
        <v>2057</v>
      </c>
      <c r="H119" s="7" t="s">
        <v>4818</v>
      </c>
      <c r="I119" s="7" t="s">
        <v>1951</v>
      </c>
      <c r="J119" s="7" t="s">
        <v>4931</v>
      </c>
      <c r="K119" s="7" t="s">
        <v>4932</v>
      </c>
      <c r="L119" s="7" t="s">
        <v>4933</v>
      </c>
      <c r="M119" s="7" t="s">
        <v>2078</v>
      </c>
      <c r="N119" s="9">
        <v>46234</v>
      </c>
      <c r="O119" s="9">
        <v>46356</v>
      </c>
      <c r="P119" s="7" t="s">
        <v>2195</v>
      </c>
      <c r="Q119" s="7" t="s">
        <v>1951</v>
      </c>
      <c r="R119" s="7" t="s">
        <v>4934</v>
      </c>
      <c r="S119" s="7" t="s">
        <v>4935</v>
      </c>
      <c r="T119" s="7" t="s">
        <v>2067</v>
      </c>
      <c r="U119" s="7" t="s">
        <v>2198</v>
      </c>
      <c r="V119" s="7" t="s">
        <v>2067</v>
      </c>
      <c r="W119" s="7" t="s">
        <v>2069</v>
      </c>
    </row>
    <row r="120" spans="1:23" ht="20.100000000000001" customHeight="1" x14ac:dyDescent="0.25">
      <c r="A120" s="3" t="s">
        <v>4942</v>
      </c>
      <c r="B120" s="4" t="s">
        <v>2057</v>
      </c>
      <c r="C120" s="4" t="s">
        <v>4943</v>
      </c>
      <c r="D120" s="4" t="s">
        <v>2059</v>
      </c>
      <c r="E120" s="4" t="s">
        <v>2189</v>
      </c>
      <c r="F120" s="4" t="s">
        <v>2190</v>
      </c>
      <c r="G120" s="4" t="s">
        <v>2057</v>
      </c>
      <c r="H120" s="4" t="s">
        <v>4818</v>
      </c>
      <c r="I120" s="4" t="s">
        <v>1951</v>
      </c>
      <c r="J120" s="4" t="s">
        <v>4944</v>
      </c>
      <c r="K120" s="4" t="s">
        <v>4945</v>
      </c>
      <c r="L120" s="4" t="s">
        <v>4946</v>
      </c>
      <c r="M120" s="4" t="s">
        <v>2078</v>
      </c>
      <c r="N120" s="8">
        <v>46052</v>
      </c>
      <c r="O120" s="8">
        <v>46296</v>
      </c>
      <c r="P120" s="4" t="s">
        <v>2195</v>
      </c>
      <c r="Q120" s="4" t="s">
        <v>1951</v>
      </c>
      <c r="R120" s="4" t="s">
        <v>4947</v>
      </c>
      <c r="S120" s="4" t="s">
        <v>4948</v>
      </c>
      <c r="T120" s="4" t="s">
        <v>2067</v>
      </c>
      <c r="U120" s="4" t="s">
        <v>2198</v>
      </c>
      <c r="V120" s="4" t="s">
        <v>2067</v>
      </c>
      <c r="W120" s="4" t="s">
        <v>2069</v>
      </c>
    </row>
    <row r="121" spans="1:23" ht="20.100000000000001" customHeight="1" x14ac:dyDescent="0.25">
      <c r="A121" s="6" t="s">
        <v>4949</v>
      </c>
      <c r="B121" s="7" t="s">
        <v>2057</v>
      </c>
      <c r="C121" s="7" t="s">
        <v>4950</v>
      </c>
      <c r="D121" s="7" t="s">
        <v>2059</v>
      </c>
      <c r="E121" s="7" t="s">
        <v>2189</v>
      </c>
      <c r="F121" s="7" t="s">
        <v>2190</v>
      </c>
      <c r="G121" s="7" t="s">
        <v>2057</v>
      </c>
      <c r="H121" s="7" t="s">
        <v>1950</v>
      </c>
      <c r="I121" s="7" t="s">
        <v>1951</v>
      </c>
      <c r="J121" s="7" t="s">
        <v>4951</v>
      </c>
      <c r="K121" s="7" t="s">
        <v>4952</v>
      </c>
      <c r="L121" s="7" t="s">
        <v>4953</v>
      </c>
      <c r="M121" s="7" t="s">
        <v>2078</v>
      </c>
      <c r="N121" s="9">
        <v>46234</v>
      </c>
      <c r="O121" s="9">
        <v>46356</v>
      </c>
      <c r="P121" s="7" t="s">
        <v>2195</v>
      </c>
      <c r="Q121" s="7" t="s">
        <v>1951</v>
      </c>
      <c r="R121" s="7" t="s">
        <v>4954</v>
      </c>
      <c r="S121" s="7" t="s">
        <v>4955</v>
      </c>
      <c r="T121" s="7" t="s">
        <v>2067</v>
      </c>
      <c r="U121" s="7" t="s">
        <v>2198</v>
      </c>
      <c r="V121" s="7" t="s">
        <v>2067</v>
      </c>
      <c r="W121" s="7" t="s">
        <v>2069</v>
      </c>
    </row>
    <row r="122" spans="1:23" ht="20.100000000000001" customHeight="1" x14ac:dyDescent="0.25">
      <c r="A122" s="3" t="s">
        <v>4973</v>
      </c>
      <c r="B122" s="4" t="s">
        <v>2057</v>
      </c>
      <c r="C122" s="4" t="s">
        <v>4974</v>
      </c>
      <c r="D122" s="4" t="s">
        <v>2059</v>
      </c>
      <c r="E122" s="4" t="s">
        <v>2111</v>
      </c>
      <c r="F122" s="4" t="s">
        <v>2112</v>
      </c>
      <c r="G122" s="4" t="s">
        <v>2057</v>
      </c>
      <c r="H122" s="4" t="s">
        <v>4686</v>
      </c>
      <c r="I122" s="4" t="s">
        <v>1951</v>
      </c>
      <c r="J122" s="4" t="s">
        <v>4975</v>
      </c>
      <c r="K122" s="4" t="s">
        <v>4976</v>
      </c>
      <c r="L122" s="4" t="s">
        <v>4977</v>
      </c>
      <c r="M122" s="4" t="s">
        <v>2078</v>
      </c>
      <c r="N122" s="8">
        <v>46234</v>
      </c>
      <c r="O122" s="8">
        <v>46356</v>
      </c>
      <c r="P122" s="4" t="s">
        <v>2112</v>
      </c>
      <c r="Q122" s="4" t="s">
        <v>1951</v>
      </c>
      <c r="R122" s="4" t="s">
        <v>2297</v>
      </c>
      <c r="S122" s="4" t="s">
        <v>4978</v>
      </c>
      <c r="T122" s="4" t="s">
        <v>2067</v>
      </c>
      <c r="U122" s="4" t="s">
        <v>2119</v>
      </c>
      <c r="V122" s="4" t="s">
        <v>2067</v>
      </c>
      <c r="W122" s="4" t="s">
        <v>2069</v>
      </c>
    </row>
    <row r="123" spans="1:23" ht="20.100000000000001" customHeight="1" x14ac:dyDescent="0.25">
      <c r="A123" s="6" t="s">
        <v>4985</v>
      </c>
      <c r="B123" s="7" t="s">
        <v>2057</v>
      </c>
      <c r="C123" s="7" t="s">
        <v>4986</v>
      </c>
      <c r="D123" s="7" t="s">
        <v>2059</v>
      </c>
      <c r="E123" s="7" t="s">
        <v>2189</v>
      </c>
      <c r="F123" s="7" t="s">
        <v>2190</v>
      </c>
      <c r="G123" s="7" t="s">
        <v>2057</v>
      </c>
      <c r="H123" s="7" t="s">
        <v>1950</v>
      </c>
      <c r="I123" s="7" t="s">
        <v>1951</v>
      </c>
      <c r="J123" s="7" t="s">
        <v>4987</v>
      </c>
      <c r="K123" s="7" t="s">
        <v>4988</v>
      </c>
      <c r="L123" s="7" t="s">
        <v>4989</v>
      </c>
      <c r="M123" s="7" t="s">
        <v>2078</v>
      </c>
      <c r="N123" s="9">
        <v>46234</v>
      </c>
      <c r="O123" s="9">
        <v>46356</v>
      </c>
      <c r="P123" s="7" t="s">
        <v>2195</v>
      </c>
      <c r="Q123" s="7" t="s">
        <v>1951</v>
      </c>
      <c r="R123" s="7" t="s">
        <v>2342</v>
      </c>
      <c r="S123" s="7" t="s">
        <v>4990</v>
      </c>
      <c r="T123" s="7" t="s">
        <v>2067</v>
      </c>
      <c r="U123" s="7" t="s">
        <v>2198</v>
      </c>
      <c r="V123" s="7" t="s">
        <v>2067</v>
      </c>
      <c r="W123" s="7" t="s">
        <v>2069</v>
      </c>
    </row>
    <row r="124" spans="1:23" ht="20.100000000000001" customHeight="1" x14ac:dyDescent="0.25">
      <c r="A124" s="3" t="s">
        <v>4991</v>
      </c>
      <c r="B124" s="4" t="s">
        <v>2084</v>
      </c>
      <c r="C124" s="4" t="s">
        <v>4992</v>
      </c>
      <c r="D124" s="4" t="s">
        <v>2059</v>
      </c>
      <c r="E124" s="4" t="s">
        <v>2111</v>
      </c>
      <c r="F124" s="4" t="s">
        <v>2112</v>
      </c>
      <c r="G124" s="4" t="s">
        <v>2084</v>
      </c>
      <c r="H124" s="4" t="s">
        <v>4772</v>
      </c>
      <c r="I124" s="4" t="s">
        <v>1951</v>
      </c>
      <c r="J124" s="4" t="s">
        <v>4993</v>
      </c>
      <c r="K124" s="4" t="s">
        <v>4994</v>
      </c>
      <c r="L124" s="4" t="s">
        <v>4995</v>
      </c>
      <c r="M124" s="4" t="s">
        <v>2078</v>
      </c>
      <c r="N124" s="8">
        <v>46234</v>
      </c>
      <c r="O124" s="8">
        <v>46356</v>
      </c>
      <c r="P124" s="4" t="s">
        <v>2112</v>
      </c>
      <c r="Q124" s="4" t="s">
        <v>1951</v>
      </c>
      <c r="R124" s="4" t="s">
        <v>4874</v>
      </c>
      <c r="S124" s="4" t="s">
        <v>4996</v>
      </c>
      <c r="T124" s="4" t="s">
        <v>2067</v>
      </c>
      <c r="U124" s="4" t="s">
        <v>2119</v>
      </c>
      <c r="V124" s="4" t="s">
        <v>2067</v>
      </c>
      <c r="W124" s="4" t="s">
        <v>2082</v>
      </c>
    </row>
    <row r="125" spans="1:23" ht="20.100000000000001" customHeight="1" x14ac:dyDescent="0.25">
      <c r="A125" s="6" t="s">
        <v>5015</v>
      </c>
      <c r="B125" s="7" t="s">
        <v>2057</v>
      </c>
      <c r="C125" s="7" t="s">
        <v>5016</v>
      </c>
      <c r="D125" s="7" t="s">
        <v>2059</v>
      </c>
      <c r="E125" s="7" t="s">
        <v>1947</v>
      </c>
      <c r="F125" s="7" t="s">
        <v>1948</v>
      </c>
      <c r="G125" s="7" t="s">
        <v>2057</v>
      </c>
      <c r="H125" s="7" t="s">
        <v>4715</v>
      </c>
      <c r="I125" s="7" t="s">
        <v>1951</v>
      </c>
      <c r="J125" s="7" t="s">
        <v>5017</v>
      </c>
      <c r="K125" s="7" t="s">
        <v>5018</v>
      </c>
      <c r="L125" s="7" t="s">
        <v>5019</v>
      </c>
      <c r="M125" s="7" t="s">
        <v>2078</v>
      </c>
      <c r="N125" s="9">
        <v>46234</v>
      </c>
      <c r="O125" s="9">
        <v>46356</v>
      </c>
      <c r="P125" s="7" t="s">
        <v>2090</v>
      </c>
      <c r="Q125" s="7" t="s">
        <v>1951</v>
      </c>
      <c r="R125" s="7" t="s">
        <v>5020</v>
      </c>
      <c r="S125" s="7" t="s">
        <v>5021</v>
      </c>
      <c r="T125" s="7" t="s">
        <v>2067</v>
      </c>
      <c r="U125" s="7" t="s">
        <v>2768</v>
      </c>
      <c r="V125" s="7" t="s">
        <v>2067</v>
      </c>
      <c r="W125" s="7" t="s">
        <v>2069</v>
      </c>
    </row>
    <row r="126" spans="1:23" ht="20.100000000000001" customHeight="1" x14ac:dyDescent="0.25">
      <c r="A126" s="3" t="s">
        <v>5022</v>
      </c>
      <c r="B126" s="4" t="s">
        <v>2057</v>
      </c>
      <c r="C126" s="4" t="s">
        <v>5023</v>
      </c>
      <c r="D126" s="4" t="s">
        <v>2059</v>
      </c>
      <c r="E126" s="4" t="s">
        <v>2189</v>
      </c>
      <c r="F126" s="4" t="s">
        <v>2190</v>
      </c>
      <c r="G126" s="4" t="s">
        <v>2057</v>
      </c>
      <c r="H126" s="4" t="s">
        <v>4692</v>
      </c>
      <c r="I126" s="4" t="s">
        <v>1951</v>
      </c>
      <c r="J126" s="4" t="s">
        <v>5024</v>
      </c>
      <c r="K126" s="4" t="s">
        <v>5025</v>
      </c>
      <c r="L126" s="4" t="s">
        <v>5026</v>
      </c>
      <c r="M126" s="4" t="s">
        <v>2078</v>
      </c>
      <c r="N126" s="8">
        <v>46234</v>
      </c>
      <c r="O126" s="8">
        <v>46356</v>
      </c>
      <c r="P126" s="4" t="s">
        <v>2195</v>
      </c>
      <c r="Q126" s="4" t="s">
        <v>1951</v>
      </c>
      <c r="R126" s="4" t="s">
        <v>4971</v>
      </c>
      <c r="S126" s="4" t="s">
        <v>5027</v>
      </c>
      <c r="T126" s="4" t="s">
        <v>2067</v>
      </c>
      <c r="U126" s="4" t="s">
        <v>2198</v>
      </c>
      <c r="V126" s="4" t="s">
        <v>2067</v>
      </c>
      <c r="W126" s="4" t="s">
        <v>2069</v>
      </c>
    </row>
    <row r="127" spans="1:23" ht="20.100000000000001" customHeight="1" x14ac:dyDescent="0.25">
      <c r="A127" s="6" t="s">
        <v>5032</v>
      </c>
      <c r="B127" s="7" t="s">
        <v>2057</v>
      </c>
      <c r="C127" s="7" t="s">
        <v>5033</v>
      </c>
      <c r="D127" s="7" t="s">
        <v>2059</v>
      </c>
      <c r="E127" s="7" t="s">
        <v>2189</v>
      </c>
      <c r="F127" s="7" t="s">
        <v>2190</v>
      </c>
      <c r="G127" s="7" t="s">
        <v>2057</v>
      </c>
      <c r="H127" s="7" t="s">
        <v>1950</v>
      </c>
      <c r="I127" s="7" t="s">
        <v>1951</v>
      </c>
      <c r="J127" s="7" t="s">
        <v>5034</v>
      </c>
      <c r="K127" s="7" t="s">
        <v>5035</v>
      </c>
      <c r="L127" s="7" t="s">
        <v>5036</v>
      </c>
      <c r="M127" s="7" t="s">
        <v>2078</v>
      </c>
      <c r="N127" s="9">
        <v>46234</v>
      </c>
      <c r="O127" s="9">
        <v>46356</v>
      </c>
      <c r="P127" s="7" t="s">
        <v>2195</v>
      </c>
      <c r="Q127" s="7" t="s">
        <v>1951</v>
      </c>
      <c r="R127" s="7" t="s">
        <v>5037</v>
      </c>
      <c r="S127" s="7" t="s">
        <v>5038</v>
      </c>
      <c r="T127" s="7" t="s">
        <v>2067</v>
      </c>
      <c r="U127" s="7" t="s">
        <v>2198</v>
      </c>
      <c r="V127" s="7" t="s">
        <v>2067</v>
      </c>
      <c r="W127" s="7" t="s">
        <v>2069</v>
      </c>
    </row>
    <row r="128" spans="1:23" ht="20.100000000000001" customHeight="1" x14ac:dyDescent="0.25">
      <c r="A128" s="3" t="s">
        <v>5063</v>
      </c>
      <c r="B128" s="4" t="s">
        <v>2057</v>
      </c>
      <c r="C128" s="4" t="s">
        <v>5064</v>
      </c>
      <c r="D128" s="4" t="s">
        <v>2059</v>
      </c>
      <c r="E128" s="4" t="s">
        <v>2189</v>
      </c>
      <c r="F128" s="4" t="s">
        <v>2190</v>
      </c>
      <c r="G128" s="4" t="s">
        <v>2057</v>
      </c>
      <c r="H128" s="4" t="s">
        <v>4715</v>
      </c>
      <c r="I128" s="4" t="s">
        <v>1951</v>
      </c>
      <c r="J128" s="4" t="s">
        <v>5065</v>
      </c>
      <c r="K128" s="4" t="s">
        <v>5066</v>
      </c>
      <c r="L128" s="4" t="s">
        <v>5067</v>
      </c>
      <c r="M128" s="4" t="s">
        <v>2078</v>
      </c>
      <c r="N128" s="8">
        <v>46234</v>
      </c>
      <c r="O128" s="8">
        <v>46356</v>
      </c>
      <c r="P128" s="4" t="s">
        <v>2195</v>
      </c>
      <c r="Q128" s="4" t="s">
        <v>1951</v>
      </c>
      <c r="R128" s="4" t="s">
        <v>5068</v>
      </c>
      <c r="S128" s="4" t="s">
        <v>5069</v>
      </c>
      <c r="T128" s="4" t="s">
        <v>2067</v>
      </c>
      <c r="U128" s="4" t="s">
        <v>2198</v>
      </c>
      <c r="V128" s="4" t="s">
        <v>2067</v>
      </c>
      <c r="W128" s="4" t="s">
        <v>2069</v>
      </c>
    </row>
    <row r="129" spans="1:23" ht="20.100000000000001" customHeight="1" x14ac:dyDescent="0.25">
      <c r="A129" s="6" t="s">
        <v>5095</v>
      </c>
      <c r="B129" s="7" t="s">
        <v>2057</v>
      </c>
      <c r="C129" s="7" t="s">
        <v>5096</v>
      </c>
      <c r="D129" s="7" t="s">
        <v>2059</v>
      </c>
      <c r="E129" s="7" t="s">
        <v>2189</v>
      </c>
      <c r="F129" s="7" t="s">
        <v>2190</v>
      </c>
      <c r="G129" s="7" t="s">
        <v>2057</v>
      </c>
      <c r="H129" s="7" t="s">
        <v>4692</v>
      </c>
      <c r="I129" s="7" t="s">
        <v>1951</v>
      </c>
      <c r="J129" s="7" t="s">
        <v>5097</v>
      </c>
      <c r="K129" s="7" t="s">
        <v>5098</v>
      </c>
      <c r="L129" s="7" t="s">
        <v>5099</v>
      </c>
      <c r="M129" s="7" t="s">
        <v>2078</v>
      </c>
      <c r="N129" s="9">
        <v>46052</v>
      </c>
      <c r="O129" s="9">
        <v>46296</v>
      </c>
      <c r="P129" s="7" t="s">
        <v>2195</v>
      </c>
      <c r="Q129" s="7" t="s">
        <v>1951</v>
      </c>
      <c r="R129" s="7" t="s">
        <v>2222</v>
      </c>
      <c r="S129" s="7" t="s">
        <v>5100</v>
      </c>
      <c r="T129" s="7" t="s">
        <v>2067</v>
      </c>
      <c r="U129" s="7" t="s">
        <v>2198</v>
      </c>
      <c r="V129" s="7" t="s">
        <v>2067</v>
      </c>
      <c r="W129" s="7" t="s">
        <v>2069</v>
      </c>
    </row>
    <row r="130" spans="1:23" ht="20.100000000000001" customHeight="1" x14ac:dyDescent="0.25">
      <c r="A130" s="3" t="s">
        <v>5113</v>
      </c>
      <c r="B130" s="4" t="s">
        <v>2057</v>
      </c>
      <c r="C130" s="4" t="s">
        <v>5114</v>
      </c>
      <c r="D130" s="4" t="s">
        <v>2059</v>
      </c>
      <c r="E130" s="4" t="s">
        <v>2189</v>
      </c>
      <c r="F130" s="4" t="s">
        <v>2190</v>
      </c>
      <c r="G130" s="4" t="s">
        <v>2057</v>
      </c>
      <c r="H130" s="4" t="s">
        <v>1950</v>
      </c>
      <c r="I130" s="4" t="s">
        <v>1951</v>
      </c>
      <c r="J130" s="4" t="s">
        <v>5115</v>
      </c>
      <c r="K130" s="4" t="s">
        <v>5116</v>
      </c>
      <c r="L130" s="4" t="s">
        <v>5117</v>
      </c>
      <c r="M130" s="4" t="s">
        <v>2078</v>
      </c>
      <c r="N130" s="8">
        <v>46234</v>
      </c>
      <c r="O130" s="8">
        <v>46356</v>
      </c>
      <c r="P130" s="4" t="s">
        <v>2195</v>
      </c>
      <c r="Q130" s="4" t="s">
        <v>1951</v>
      </c>
      <c r="R130" s="4" t="s">
        <v>5118</v>
      </c>
      <c r="S130" s="4" t="s">
        <v>5119</v>
      </c>
      <c r="T130" s="4" t="s">
        <v>2067</v>
      </c>
      <c r="U130" s="4" t="s">
        <v>2198</v>
      </c>
      <c r="V130" s="4" t="s">
        <v>2067</v>
      </c>
      <c r="W130" s="4" t="s">
        <v>2069</v>
      </c>
    </row>
    <row r="131" spans="1:23" ht="20.100000000000001" customHeight="1" x14ac:dyDescent="0.25">
      <c r="A131" s="6" t="s">
        <v>5120</v>
      </c>
      <c r="B131" s="7" t="s">
        <v>2057</v>
      </c>
      <c r="C131" s="7" t="s">
        <v>5121</v>
      </c>
      <c r="D131" s="7" t="s">
        <v>2059</v>
      </c>
      <c r="E131" s="7" t="s">
        <v>2189</v>
      </c>
      <c r="F131" s="7" t="s">
        <v>2190</v>
      </c>
      <c r="G131" s="7" t="s">
        <v>2057</v>
      </c>
      <c r="H131" s="7" t="s">
        <v>1950</v>
      </c>
      <c r="I131" s="7" t="s">
        <v>1951</v>
      </c>
      <c r="J131" s="7" t="s">
        <v>5122</v>
      </c>
      <c r="K131" s="7" t="s">
        <v>5123</v>
      </c>
      <c r="L131" s="7" t="s">
        <v>5124</v>
      </c>
      <c r="M131" s="7" t="s">
        <v>2078</v>
      </c>
      <c r="N131" s="9">
        <v>46234</v>
      </c>
      <c r="O131" s="9">
        <v>46356</v>
      </c>
      <c r="P131" s="7" t="s">
        <v>2195</v>
      </c>
      <c r="Q131" s="7" t="s">
        <v>1951</v>
      </c>
      <c r="R131" s="7" t="s">
        <v>4702</v>
      </c>
      <c r="S131" s="7" t="s">
        <v>5125</v>
      </c>
      <c r="T131" s="7" t="s">
        <v>2067</v>
      </c>
      <c r="U131" s="7" t="s">
        <v>2198</v>
      </c>
      <c r="V131" s="7" t="s">
        <v>2067</v>
      </c>
      <c r="W131" s="7" t="s">
        <v>2069</v>
      </c>
    </row>
    <row r="132" spans="1:23" ht="20.100000000000001" customHeight="1" x14ac:dyDescent="0.25">
      <c r="A132" s="3" t="s">
        <v>1985</v>
      </c>
      <c r="B132" s="4" t="s">
        <v>2057</v>
      </c>
      <c r="C132" s="4" t="s">
        <v>1986</v>
      </c>
      <c r="D132" s="4" t="s">
        <v>2059</v>
      </c>
      <c r="E132" s="4" t="s">
        <v>1952</v>
      </c>
      <c r="F132" s="4" t="s">
        <v>1953</v>
      </c>
      <c r="G132" s="4" t="s">
        <v>2057</v>
      </c>
      <c r="H132" s="4" t="s">
        <v>1950</v>
      </c>
      <c r="I132" s="4" t="s">
        <v>1951</v>
      </c>
      <c r="J132" s="4" t="s">
        <v>5126</v>
      </c>
      <c r="K132" s="4" t="s">
        <v>5127</v>
      </c>
      <c r="L132" s="4" t="s">
        <v>5128</v>
      </c>
      <c r="M132" s="4" t="s">
        <v>2078</v>
      </c>
      <c r="N132" s="8">
        <v>46234</v>
      </c>
      <c r="O132" s="8">
        <v>46356</v>
      </c>
      <c r="P132" s="4" t="s">
        <v>1953</v>
      </c>
      <c r="Q132" s="4" t="s">
        <v>1951</v>
      </c>
      <c r="R132" s="4" t="s">
        <v>5129</v>
      </c>
      <c r="S132" s="4" t="s">
        <v>5130</v>
      </c>
      <c r="T132" s="4" t="s">
        <v>2067</v>
      </c>
      <c r="U132" s="4" t="s">
        <v>2358</v>
      </c>
      <c r="V132" s="4" t="s">
        <v>2067</v>
      </c>
      <c r="W132" s="4" t="s">
        <v>2069</v>
      </c>
    </row>
    <row r="133" spans="1:23" ht="20.100000000000001" customHeight="1" x14ac:dyDescent="0.25">
      <c r="A133" s="6" t="s">
        <v>5137</v>
      </c>
      <c r="B133" s="7" t="s">
        <v>2057</v>
      </c>
      <c r="C133" s="7" t="s">
        <v>5138</v>
      </c>
      <c r="D133" s="7" t="s">
        <v>2059</v>
      </c>
      <c r="E133" s="7" t="s">
        <v>2189</v>
      </c>
      <c r="F133" s="7" t="s">
        <v>2190</v>
      </c>
      <c r="G133" s="7" t="s">
        <v>2057</v>
      </c>
      <c r="H133" s="7" t="s">
        <v>5139</v>
      </c>
      <c r="I133" s="7" t="s">
        <v>1951</v>
      </c>
      <c r="J133" s="7" t="s">
        <v>5140</v>
      </c>
      <c r="K133" s="7" t="s">
        <v>5141</v>
      </c>
      <c r="L133" s="7" t="s">
        <v>5142</v>
      </c>
      <c r="M133" s="7" t="s">
        <v>2078</v>
      </c>
      <c r="N133" s="9">
        <v>46234</v>
      </c>
      <c r="O133" s="9">
        <v>46356</v>
      </c>
      <c r="P133" s="7" t="s">
        <v>2195</v>
      </c>
      <c r="Q133" s="7" t="s">
        <v>1951</v>
      </c>
      <c r="R133" s="7" t="s">
        <v>5143</v>
      </c>
      <c r="S133" s="7" t="s">
        <v>5144</v>
      </c>
      <c r="T133" s="7" t="s">
        <v>2067</v>
      </c>
      <c r="U133" s="7" t="s">
        <v>2198</v>
      </c>
      <c r="V133" s="7" t="s">
        <v>2067</v>
      </c>
      <c r="W133" s="7" t="s">
        <v>2082</v>
      </c>
    </row>
    <row r="134" spans="1:23" ht="20.100000000000001" customHeight="1" x14ac:dyDescent="0.25">
      <c r="A134" s="3" t="s">
        <v>5178</v>
      </c>
      <c r="B134" s="4" t="s">
        <v>2057</v>
      </c>
      <c r="C134" s="4" t="s">
        <v>5179</v>
      </c>
      <c r="D134" s="4" t="s">
        <v>2059</v>
      </c>
      <c r="E134" s="4" t="s">
        <v>2111</v>
      </c>
      <c r="F134" s="4" t="s">
        <v>2112</v>
      </c>
      <c r="G134" s="4" t="s">
        <v>2057</v>
      </c>
      <c r="H134" s="4" t="s">
        <v>5139</v>
      </c>
      <c r="I134" s="4" t="s">
        <v>1951</v>
      </c>
      <c r="J134" s="4" t="s">
        <v>5180</v>
      </c>
      <c r="K134" s="4" t="s">
        <v>5181</v>
      </c>
      <c r="L134" s="4" t="s">
        <v>5182</v>
      </c>
      <c r="M134" s="4" t="s">
        <v>2078</v>
      </c>
      <c r="N134" s="8">
        <v>46108</v>
      </c>
      <c r="O134" s="8">
        <v>46356</v>
      </c>
      <c r="P134" s="4" t="s">
        <v>2112</v>
      </c>
      <c r="Q134" s="4" t="s">
        <v>1951</v>
      </c>
      <c r="R134" s="4" t="s">
        <v>5183</v>
      </c>
      <c r="S134" s="4" t="s">
        <v>5184</v>
      </c>
      <c r="T134" s="4" t="s">
        <v>2067</v>
      </c>
      <c r="U134" s="4" t="s">
        <v>2119</v>
      </c>
      <c r="V134" s="4" t="s">
        <v>2067</v>
      </c>
      <c r="W134" s="4" t="s">
        <v>2082</v>
      </c>
    </row>
    <row r="135" spans="1:23" ht="20.100000000000001" customHeight="1" x14ac:dyDescent="0.25">
      <c r="A135" s="6" t="s">
        <v>5197</v>
      </c>
      <c r="B135" s="7" t="s">
        <v>2057</v>
      </c>
      <c r="C135" s="7" t="s">
        <v>5198</v>
      </c>
      <c r="D135" s="7" t="s">
        <v>2059</v>
      </c>
      <c r="E135" s="7" t="s">
        <v>2111</v>
      </c>
      <c r="F135" s="7" t="s">
        <v>2112</v>
      </c>
      <c r="G135" s="7" t="s">
        <v>2057</v>
      </c>
      <c r="H135" s="7" t="s">
        <v>1950</v>
      </c>
      <c r="I135" s="7" t="s">
        <v>1951</v>
      </c>
      <c r="J135" s="7" t="s">
        <v>5199</v>
      </c>
      <c r="K135" s="7" t="s">
        <v>5200</v>
      </c>
      <c r="L135" s="7" t="s">
        <v>5201</v>
      </c>
      <c r="M135" s="7" t="s">
        <v>2078</v>
      </c>
      <c r="N135" s="9">
        <v>46234</v>
      </c>
      <c r="O135" s="9">
        <v>46356</v>
      </c>
      <c r="P135" s="7" t="s">
        <v>2112</v>
      </c>
      <c r="Q135" s="7" t="s">
        <v>1951</v>
      </c>
      <c r="R135" s="7" t="s">
        <v>2825</v>
      </c>
      <c r="S135" s="7" t="s">
        <v>5202</v>
      </c>
      <c r="T135" s="7" t="s">
        <v>2067</v>
      </c>
      <c r="U135" s="7" t="s">
        <v>2119</v>
      </c>
      <c r="V135" s="7" t="s">
        <v>2067</v>
      </c>
      <c r="W135" s="7" t="s">
        <v>2069</v>
      </c>
    </row>
    <row r="136" spans="1:23" ht="20.100000000000001" customHeight="1" x14ac:dyDescent="0.25">
      <c r="A136" s="3" t="s">
        <v>5209</v>
      </c>
      <c r="B136" s="4" t="s">
        <v>2057</v>
      </c>
      <c r="C136" s="4" t="s">
        <v>5210</v>
      </c>
      <c r="D136" s="4" t="s">
        <v>2059</v>
      </c>
      <c r="E136" s="4" t="s">
        <v>2189</v>
      </c>
      <c r="F136" s="4" t="s">
        <v>2190</v>
      </c>
      <c r="G136" s="4" t="s">
        <v>2057</v>
      </c>
      <c r="H136" s="4" t="s">
        <v>4692</v>
      </c>
      <c r="I136" s="4" t="s">
        <v>1951</v>
      </c>
      <c r="J136" s="4" t="s">
        <v>5211</v>
      </c>
      <c r="K136" s="4" t="s">
        <v>5212</v>
      </c>
      <c r="L136" s="4" t="s">
        <v>5213</v>
      </c>
      <c r="M136" s="4" t="s">
        <v>2078</v>
      </c>
      <c r="N136" s="8">
        <v>46234</v>
      </c>
      <c r="O136" s="8">
        <v>46356</v>
      </c>
      <c r="P136" s="4" t="s">
        <v>2195</v>
      </c>
      <c r="Q136" s="4" t="s">
        <v>1951</v>
      </c>
      <c r="R136" s="4" t="s">
        <v>3383</v>
      </c>
      <c r="S136" s="4" t="s">
        <v>5214</v>
      </c>
      <c r="T136" s="4" t="s">
        <v>2067</v>
      </c>
      <c r="U136" s="4" t="s">
        <v>2198</v>
      </c>
      <c r="V136" s="4" t="s">
        <v>2067</v>
      </c>
      <c r="W136" s="4" t="s">
        <v>2069</v>
      </c>
    </row>
    <row r="137" spans="1:23" ht="20.100000000000001" customHeight="1" x14ac:dyDescent="0.25">
      <c r="A137" s="6" t="s">
        <v>5227</v>
      </c>
      <c r="B137" s="7" t="s">
        <v>2057</v>
      </c>
      <c r="C137" s="7" t="s">
        <v>5228</v>
      </c>
      <c r="D137" s="7" t="s">
        <v>2059</v>
      </c>
      <c r="E137" s="7" t="s">
        <v>2189</v>
      </c>
      <c r="F137" s="7" t="s">
        <v>2190</v>
      </c>
      <c r="G137" s="7" t="s">
        <v>2057</v>
      </c>
      <c r="H137" s="7" t="s">
        <v>5229</v>
      </c>
      <c r="I137" s="7" t="s">
        <v>2021</v>
      </c>
      <c r="J137" s="7" t="s">
        <v>5230</v>
      </c>
      <c r="K137" s="7" t="s">
        <v>5231</v>
      </c>
      <c r="L137" s="7" t="s">
        <v>5232</v>
      </c>
      <c r="M137" s="7" t="s">
        <v>2078</v>
      </c>
      <c r="N137" s="9">
        <v>46234</v>
      </c>
      <c r="O137" s="9">
        <v>46356</v>
      </c>
      <c r="P137" s="7" t="s">
        <v>2195</v>
      </c>
      <c r="Q137" s="7" t="s">
        <v>2021</v>
      </c>
      <c r="R137" s="7" t="s">
        <v>5233</v>
      </c>
      <c r="S137" s="7" t="s">
        <v>5234</v>
      </c>
      <c r="T137" s="7" t="s">
        <v>2067</v>
      </c>
      <c r="U137" s="7" t="s">
        <v>2198</v>
      </c>
      <c r="V137" s="7" t="s">
        <v>2067</v>
      </c>
      <c r="W137" s="7" t="s">
        <v>2069</v>
      </c>
    </row>
    <row r="138" spans="1:23" ht="20.100000000000001" customHeight="1" x14ac:dyDescent="0.25">
      <c r="A138" s="3" t="s">
        <v>5235</v>
      </c>
      <c r="B138" s="4" t="s">
        <v>2057</v>
      </c>
      <c r="C138" s="4" t="s">
        <v>5236</v>
      </c>
      <c r="D138" s="4" t="s">
        <v>2059</v>
      </c>
      <c r="E138" s="4" t="s">
        <v>2111</v>
      </c>
      <c r="F138" s="4" t="s">
        <v>2112</v>
      </c>
      <c r="G138" s="4" t="s">
        <v>2057</v>
      </c>
      <c r="H138" s="4" t="s">
        <v>2020</v>
      </c>
      <c r="I138" s="4" t="s">
        <v>2021</v>
      </c>
      <c r="J138" s="4" t="s">
        <v>5237</v>
      </c>
      <c r="K138" s="4" t="s">
        <v>5238</v>
      </c>
      <c r="L138" s="4" t="s">
        <v>5239</v>
      </c>
      <c r="M138" s="4" t="s">
        <v>2078</v>
      </c>
      <c r="N138" s="8">
        <v>46234</v>
      </c>
      <c r="O138" s="8">
        <v>46356</v>
      </c>
      <c r="P138" s="4" t="s">
        <v>2112</v>
      </c>
      <c r="Q138" s="4" t="s">
        <v>2021</v>
      </c>
      <c r="R138" s="4" t="s">
        <v>5219</v>
      </c>
      <c r="S138" s="4" t="s">
        <v>5240</v>
      </c>
      <c r="T138" s="4" t="s">
        <v>2067</v>
      </c>
      <c r="U138" s="4" t="s">
        <v>2119</v>
      </c>
      <c r="V138" s="4" t="s">
        <v>2067</v>
      </c>
      <c r="W138" s="4" t="s">
        <v>2069</v>
      </c>
    </row>
    <row r="139" spans="1:23" ht="20.100000000000001" customHeight="1" x14ac:dyDescent="0.25">
      <c r="A139" s="6" t="s">
        <v>5280</v>
      </c>
      <c r="B139" s="7" t="s">
        <v>2057</v>
      </c>
      <c r="C139" s="7" t="s">
        <v>5281</v>
      </c>
      <c r="D139" s="7" t="s">
        <v>2059</v>
      </c>
      <c r="E139" s="7" t="s">
        <v>1947</v>
      </c>
      <c r="F139" s="7" t="s">
        <v>1948</v>
      </c>
      <c r="G139" s="7" t="s">
        <v>2057</v>
      </c>
      <c r="H139" s="7" t="s">
        <v>5282</v>
      </c>
      <c r="I139" s="7" t="s">
        <v>2021</v>
      </c>
      <c r="J139" s="7" t="s">
        <v>5283</v>
      </c>
      <c r="K139" s="7" t="s">
        <v>5284</v>
      </c>
      <c r="L139" s="7" t="s">
        <v>5285</v>
      </c>
      <c r="M139" s="7" t="s">
        <v>2078</v>
      </c>
      <c r="N139" s="9">
        <v>46234</v>
      </c>
      <c r="O139" s="9">
        <v>46356</v>
      </c>
      <c r="P139" s="7" t="s">
        <v>2090</v>
      </c>
      <c r="Q139" s="7" t="s">
        <v>2021</v>
      </c>
      <c r="R139" s="7" t="s">
        <v>5286</v>
      </c>
      <c r="S139" s="7" t="s">
        <v>5287</v>
      </c>
      <c r="T139" s="7" t="s">
        <v>2067</v>
      </c>
      <c r="U139" s="7" t="s">
        <v>2768</v>
      </c>
      <c r="V139" s="7" t="s">
        <v>2067</v>
      </c>
      <c r="W139" s="7" t="s">
        <v>2082</v>
      </c>
    </row>
    <row r="140" spans="1:23" ht="20.100000000000001" customHeight="1" x14ac:dyDescent="0.25">
      <c r="A140" s="3" t="s">
        <v>5295</v>
      </c>
      <c r="B140" s="4" t="s">
        <v>2057</v>
      </c>
      <c r="C140" s="4" t="s">
        <v>5296</v>
      </c>
      <c r="D140" s="4" t="s">
        <v>2059</v>
      </c>
      <c r="E140" s="4" t="s">
        <v>2111</v>
      </c>
      <c r="F140" s="4" t="s">
        <v>2112</v>
      </c>
      <c r="G140" s="4" t="s">
        <v>2057</v>
      </c>
      <c r="H140" s="4" t="s">
        <v>4662</v>
      </c>
      <c r="I140" s="4" t="s">
        <v>2021</v>
      </c>
      <c r="J140" s="4" t="s">
        <v>5297</v>
      </c>
      <c r="K140" s="4" t="s">
        <v>5298</v>
      </c>
      <c r="L140" s="4" t="s">
        <v>5299</v>
      </c>
      <c r="M140" s="4" t="s">
        <v>2078</v>
      </c>
      <c r="N140" s="8">
        <v>46234</v>
      </c>
      <c r="O140" s="8">
        <v>46356</v>
      </c>
      <c r="P140" s="4" t="s">
        <v>2112</v>
      </c>
      <c r="Q140" s="4" t="s">
        <v>2021</v>
      </c>
      <c r="R140" s="4" t="s">
        <v>2228</v>
      </c>
      <c r="S140" s="4" t="s">
        <v>5300</v>
      </c>
      <c r="T140" s="4" t="s">
        <v>2067</v>
      </c>
      <c r="U140" s="4" t="s">
        <v>2119</v>
      </c>
      <c r="V140" s="4" t="s">
        <v>2067</v>
      </c>
      <c r="W140" s="4" t="s">
        <v>2069</v>
      </c>
    </row>
    <row r="141" spans="1:23" ht="20.100000000000001" customHeight="1" x14ac:dyDescent="0.25">
      <c r="A141" s="6" t="s">
        <v>5313</v>
      </c>
      <c r="B141" s="7" t="s">
        <v>2057</v>
      </c>
      <c r="C141" s="7" t="s">
        <v>5314</v>
      </c>
      <c r="D141" s="7" t="s">
        <v>2059</v>
      </c>
      <c r="E141" s="7" t="s">
        <v>2189</v>
      </c>
      <c r="F141" s="7" t="s">
        <v>2190</v>
      </c>
      <c r="G141" s="7" t="s">
        <v>2057</v>
      </c>
      <c r="H141" s="7" t="s">
        <v>4662</v>
      </c>
      <c r="I141" s="7" t="s">
        <v>2021</v>
      </c>
      <c r="J141" s="7" t="s">
        <v>5315</v>
      </c>
      <c r="K141" s="7" t="s">
        <v>5316</v>
      </c>
      <c r="L141" s="7" t="s">
        <v>5317</v>
      </c>
      <c r="M141" s="7" t="s">
        <v>2064</v>
      </c>
      <c r="N141" s="9">
        <v>45687</v>
      </c>
      <c r="O141" s="9"/>
      <c r="P141" s="7" t="s">
        <v>2195</v>
      </c>
      <c r="Q141" s="7" t="s">
        <v>2021</v>
      </c>
      <c r="R141" s="7" t="s">
        <v>5318</v>
      </c>
      <c r="S141" s="7" t="s">
        <v>5319</v>
      </c>
      <c r="T141" s="7" t="s">
        <v>2067</v>
      </c>
      <c r="U141" s="7" t="s">
        <v>2198</v>
      </c>
      <c r="V141" s="7" t="s">
        <v>2067</v>
      </c>
      <c r="W141" s="7" t="s">
        <v>2069</v>
      </c>
    </row>
    <row r="142" spans="1:23" ht="20.100000000000001" customHeight="1" x14ac:dyDescent="0.25">
      <c r="A142" s="3" t="s">
        <v>5338</v>
      </c>
      <c r="B142" s="4" t="s">
        <v>2057</v>
      </c>
      <c r="C142" s="4" t="s">
        <v>5339</v>
      </c>
      <c r="D142" s="4" t="s">
        <v>2059</v>
      </c>
      <c r="E142" s="4" t="s">
        <v>2673</v>
      </c>
      <c r="F142" s="4" t="s">
        <v>2674</v>
      </c>
      <c r="G142" s="4" t="s">
        <v>2057</v>
      </c>
      <c r="H142" s="4" t="s">
        <v>4662</v>
      </c>
      <c r="I142" s="4" t="s">
        <v>2021</v>
      </c>
      <c r="J142" s="4" t="s">
        <v>5340</v>
      </c>
      <c r="K142" s="4" t="s">
        <v>5341</v>
      </c>
      <c r="L142" s="4" t="s">
        <v>5342</v>
      </c>
      <c r="M142" s="4" t="s">
        <v>2078</v>
      </c>
      <c r="N142" s="8">
        <v>46234</v>
      </c>
      <c r="O142" s="8">
        <v>46356</v>
      </c>
      <c r="P142" s="4" t="s">
        <v>2674</v>
      </c>
      <c r="Q142" s="4" t="s">
        <v>2021</v>
      </c>
      <c r="R142" s="4" t="s">
        <v>5343</v>
      </c>
      <c r="S142" s="4" t="s">
        <v>5344</v>
      </c>
      <c r="T142" s="4" t="s">
        <v>2067</v>
      </c>
      <c r="U142" s="4" t="s">
        <v>2680</v>
      </c>
      <c r="V142" s="4" t="s">
        <v>2067</v>
      </c>
      <c r="W142" s="4" t="s">
        <v>2069</v>
      </c>
    </row>
    <row r="143" spans="1:23" ht="20.100000000000001" customHeight="1" x14ac:dyDescent="0.25">
      <c r="A143" s="6" t="s">
        <v>5351</v>
      </c>
      <c r="B143" s="7" t="s">
        <v>2057</v>
      </c>
      <c r="C143" s="7" t="s">
        <v>5352</v>
      </c>
      <c r="D143" s="7" t="s">
        <v>2059</v>
      </c>
      <c r="E143" s="7" t="s">
        <v>1947</v>
      </c>
      <c r="F143" s="7" t="s">
        <v>1948</v>
      </c>
      <c r="G143" s="7" t="s">
        <v>2057</v>
      </c>
      <c r="H143" s="7" t="s">
        <v>4662</v>
      </c>
      <c r="I143" s="7" t="s">
        <v>2021</v>
      </c>
      <c r="J143" s="7" t="s">
        <v>5353</v>
      </c>
      <c r="K143" s="7" t="s">
        <v>5354</v>
      </c>
      <c r="L143" s="7" t="s">
        <v>5355</v>
      </c>
      <c r="M143" s="7" t="s">
        <v>2078</v>
      </c>
      <c r="N143" s="9">
        <v>46234</v>
      </c>
      <c r="O143" s="9">
        <v>46356</v>
      </c>
      <c r="P143" s="7" t="s">
        <v>2090</v>
      </c>
      <c r="Q143" s="7" t="s">
        <v>2021</v>
      </c>
      <c r="R143" s="7" t="s">
        <v>5356</v>
      </c>
      <c r="S143" s="7" t="s">
        <v>5357</v>
      </c>
      <c r="T143" s="7" t="s">
        <v>2067</v>
      </c>
      <c r="U143" s="7" t="s">
        <v>2768</v>
      </c>
      <c r="V143" s="7" t="s">
        <v>2067</v>
      </c>
      <c r="W143" s="7" t="s">
        <v>2069</v>
      </c>
    </row>
    <row r="144" spans="1:23" ht="20.100000000000001" customHeight="1" x14ac:dyDescent="0.25">
      <c r="A144" s="3" t="s">
        <v>5364</v>
      </c>
      <c r="B144" s="4" t="s">
        <v>2057</v>
      </c>
      <c r="C144" s="4" t="s">
        <v>5365</v>
      </c>
      <c r="D144" s="4" t="s">
        <v>2059</v>
      </c>
      <c r="E144" s="4" t="s">
        <v>2673</v>
      </c>
      <c r="F144" s="4" t="s">
        <v>2674</v>
      </c>
      <c r="G144" s="4" t="s">
        <v>2057</v>
      </c>
      <c r="H144" s="4" t="s">
        <v>4662</v>
      </c>
      <c r="I144" s="4" t="s">
        <v>2021</v>
      </c>
      <c r="J144" s="4" t="s">
        <v>5366</v>
      </c>
      <c r="K144" s="4" t="s">
        <v>5367</v>
      </c>
      <c r="L144" s="4" t="s">
        <v>5368</v>
      </c>
      <c r="M144" s="4" t="s">
        <v>2078</v>
      </c>
      <c r="N144" s="8">
        <v>46234</v>
      </c>
      <c r="O144" s="8">
        <v>46356</v>
      </c>
      <c r="P144" s="4" t="s">
        <v>2674</v>
      </c>
      <c r="Q144" s="4" t="s">
        <v>2021</v>
      </c>
      <c r="R144" s="4" t="s">
        <v>5369</v>
      </c>
      <c r="S144" s="4" t="s">
        <v>5370</v>
      </c>
      <c r="T144" s="4" t="s">
        <v>2067</v>
      </c>
      <c r="U144" s="4" t="s">
        <v>2680</v>
      </c>
      <c r="V144" s="4" t="s">
        <v>2067</v>
      </c>
      <c r="W144" s="4" t="s">
        <v>2069</v>
      </c>
    </row>
    <row r="145" spans="1:23" ht="20.100000000000001" customHeight="1" x14ac:dyDescent="0.25">
      <c r="A145" s="6" t="s">
        <v>5383</v>
      </c>
      <c r="B145" s="7" t="s">
        <v>2057</v>
      </c>
      <c r="C145" s="7" t="s">
        <v>5384</v>
      </c>
      <c r="D145" s="7" t="s">
        <v>2059</v>
      </c>
      <c r="E145" s="7" t="s">
        <v>2189</v>
      </c>
      <c r="F145" s="7" t="s">
        <v>2190</v>
      </c>
      <c r="G145" s="7" t="s">
        <v>2057</v>
      </c>
      <c r="H145" s="7" t="s">
        <v>2020</v>
      </c>
      <c r="I145" s="7" t="s">
        <v>2021</v>
      </c>
      <c r="J145" s="7" t="s">
        <v>5385</v>
      </c>
      <c r="K145" s="7" t="s">
        <v>5386</v>
      </c>
      <c r="L145" s="7" t="s">
        <v>5387</v>
      </c>
      <c r="M145" s="7" t="s">
        <v>2064</v>
      </c>
      <c r="N145" s="9">
        <v>45509</v>
      </c>
      <c r="O145" s="9"/>
      <c r="P145" s="7" t="s">
        <v>2195</v>
      </c>
      <c r="Q145" s="7" t="s">
        <v>2021</v>
      </c>
      <c r="R145" s="7" t="s">
        <v>5388</v>
      </c>
      <c r="S145" s="7" t="s">
        <v>5389</v>
      </c>
      <c r="T145" s="7" t="s">
        <v>2067</v>
      </c>
      <c r="U145" s="7" t="s">
        <v>2198</v>
      </c>
      <c r="V145" s="7" t="s">
        <v>2067</v>
      </c>
      <c r="W145" s="7" t="s">
        <v>2069</v>
      </c>
    </row>
    <row r="146" spans="1:23" ht="20.100000000000001" customHeight="1" x14ac:dyDescent="0.25">
      <c r="A146" s="3" t="s">
        <v>5402</v>
      </c>
      <c r="B146" s="4" t="s">
        <v>2057</v>
      </c>
      <c r="C146" s="4" t="s">
        <v>5403</v>
      </c>
      <c r="D146" s="4" t="s">
        <v>2059</v>
      </c>
      <c r="E146" s="4" t="s">
        <v>2111</v>
      </c>
      <c r="F146" s="4" t="s">
        <v>2112</v>
      </c>
      <c r="G146" s="4" t="s">
        <v>2057</v>
      </c>
      <c r="H146" s="4" t="s">
        <v>4662</v>
      </c>
      <c r="I146" s="4" t="s">
        <v>2021</v>
      </c>
      <c r="J146" s="4" t="s">
        <v>5404</v>
      </c>
      <c r="K146" s="4" t="s">
        <v>5405</v>
      </c>
      <c r="L146" s="4" t="s">
        <v>5406</v>
      </c>
      <c r="M146" s="4" t="s">
        <v>2078</v>
      </c>
      <c r="N146" s="8">
        <v>46234</v>
      </c>
      <c r="O146" s="8">
        <v>46356</v>
      </c>
      <c r="P146" s="4" t="s">
        <v>2112</v>
      </c>
      <c r="Q146" s="4" t="s">
        <v>2021</v>
      </c>
      <c r="R146" s="4" t="s">
        <v>5407</v>
      </c>
      <c r="S146" s="4" t="s">
        <v>5408</v>
      </c>
      <c r="T146" s="4" t="s">
        <v>2067</v>
      </c>
      <c r="U146" s="4" t="s">
        <v>2119</v>
      </c>
      <c r="V146" s="4" t="s">
        <v>2067</v>
      </c>
      <c r="W146" s="4" t="s">
        <v>2069</v>
      </c>
    </row>
    <row r="147" spans="1:23" ht="20.100000000000001" customHeight="1" x14ac:dyDescent="0.25">
      <c r="A147" s="6" t="s">
        <v>5416</v>
      </c>
      <c r="B147" s="7" t="s">
        <v>2057</v>
      </c>
      <c r="C147" s="7" t="s">
        <v>5417</v>
      </c>
      <c r="D147" s="7" t="s">
        <v>2059</v>
      </c>
      <c r="E147" s="7" t="s">
        <v>2189</v>
      </c>
      <c r="F147" s="7" t="s">
        <v>2190</v>
      </c>
      <c r="G147" s="7" t="s">
        <v>2057</v>
      </c>
      <c r="H147" s="7" t="s">
        <v>4662</v>
      </c>
      <c r="I147" s="7" t="s">
        <v>2021</v>
      </c>
      <c r="J147" s="7" t="s">
        <v>5418</v>
      </c>
      <c r="K147" s="7" t="s">
        <v>5419</v>
      </c>
      <c r="L147" s="7" t="s">
        <v>5420</v>
      </c>
      <c r="M147" s="7" t="s">
        <v>2078</v>
      </c>
      <c r="N147" s="9">
        <v>46234</v>
      </c>
      <c r="O147" s="9">
        <v>46356</v>
      </c>
      <c r="P147" s="7" t="s">
        <v>2195</v>
      </c>
      <c r="Q147" s="7" t="s">
        <v>2021</v>
      </c>
      <c r="R147" s="7" t="s">
        <v>5421</v>
      </c>
      <c r="S147" s="7" t="s">
        <v>5422</v>
      </c>
      <c r="T147" s="7" t="s">
        <v>2067</v>
      </c>
      <c r="U147" s="7" t="s">
        <v>2198</v>
      </c>
      <c r="V147" s="7" t="s">
        <v>2067</v>
      </c>
      <c r="W147" s="7" t="s">
        <v>2069</v>
      </c>
    </row>
    <row r="148" spans="1:23" ht="20.100000000000001" customHeight="1" x14ac:dyDescent="0.25">
      <c r="A148" s="3" t="s">
        <v>5435</v>
      </c>
      <c r="B148" s="4" t="s">
        <v>2057</v>
      </c>
      <c r="C148" s="4" t="s">
        <v>5436</v>
      </c>
      <c r="D148" s="4" t="s">
        <v>2059</v>
      </c>
      <c r="E148" s="4" t="s">
        <v>2189</v>
      </c>
      <c r="F148" s="4" t="s">
        <v>2190</v>
      </c>
      <c r="G148" s="4" t="s">
        <v>2057</v>
      </c>
      <c r="H148" s="4" t="s">
        <v>4662</v>
      </c>
      <c r="I148" s="4" t="s">
        <v>2021</v>
      </c>
      <c r="J148" s="4" t="s">
        <v>5437</v>
      </c>
      <c r="K148" s="4" t="s">
        <v>5438</v>
      </c>
      <c r="L148" s="4" t="s">
        <v>5439</v>
      </c>
      <c r="M148" s="4" t="s">
        <v>2078</v>
      </c>
      <c r="N148" s="8">
        <v>46052</v>
      </c>
      <c r="O148" s="8">
        <v>46296</v>
      </c>
      <c r="P148" s="4" t="s">
        <v>2195</v>
      </c>
      <c r="Q148" s="4" t="s">
        <v>2021</v>
      </c>
      <c r="R148" s="4" t="s">
        <v>5440</v>
      </c>
      <c r="S148" s="4" t="s">
        <v>5441</v>
      </c>
      <c r="T148" s="4" t="s">
        <v>2067</v>
      </c>
      <c r="U148" s="4" t="s">
        <v>2198</v>
      </c>
      <c r="V148" s="4" t="s">
        <v>2067</v>
      </c>
      <c r="W148" s="4" t="s">
        <v>2069</v>
      </c>
    </row>
    <row r="149" spans="1:23" ht="20.100000000000001" customHeight="1" x14ac:dyDescent="0.25">
      <c r="A149" s="6" t="s">
        <v>5442</v>
      </c>
      <c r="B149" s="7" t="s">
        <v>2057</v>
      </c>
      <c r="C149" s="7" t="s">
        <v>5443</v>
      </c>
      <c r="D149" s="7" t="s">
        <v>2059</v>
      </c>
      <c r="E149" s="7" t="s">
        <v>2189</v>
      </c>
      <c r="F149" s="7" t="s">
        <v>2190</v>
      </c>
      <c r="G149" s="7" t="s">
        <v>2057</v>
      </c>
      <c r="H149" s="7" t="s">
        <v>4662</v>
      </c>
      <c r="I149" s="7" t="s">
        <v>2021</v>
      </c>
      <c r="J149" s="7" t="s">
        <v>5444</v>
      </c>
      <c r="K149" s="7" t="s">
        <v>5445</v>
      </c>
      <c r="L149" s="7" t="s">
        <v>5446</v>
      </c>
      <c r="M149" s="7" t="s">
        <v>2078</v>
      </c>
      <c r="N149" s="9">
        <v>46234</v>
      </c>
      <c r="O149" s="9">
        <v>46356</v>
      </c>
      <c r="P149" s="7" t="s">
        <v>2195</v>
      </c>
      <c r="Q149" s="7" t="s">
        <v>2021</v>
      </c>
      <c r="R149" s="7" t="s">
        <v>5447</v>
      </c>
      <c r="S149" s="7" t="s">
        <v>5448</v>
      </c>
      <c r="T149" s="7" t="s">
        <v>2067</v>
      </c>
      <c r="U149" s="7" t="s">
        <v>2198</v>
      </c>
      <c r="V149" s="7" t="s">
        <v>2067</v>
      </c>
      <c r="W149" s="7" t="s">
        <v>2069</v>
      </c>
    </row>
    <row r="150" spans="1:23" ht="20.100000000000001" customHeight="1" x14ac:dyDescent="0.25">
      <c r="A150" s="3" t="s">
        <v>5449</v>
      </c>
      <c r="B150" s="4" t="s">
        <v>2057</v>
      </c>
      <c r="C150" s="4" t="s">
        <v>5450</v>
      </c>
      <c r="D150" s="4" t="s">
        <v>2059</v>
      </c>
      <c r="E150" s="4" t="s">
        <v>2111</v>
      </c>
      <c r="F150" s="4" t="s">
        <v>2112</v>
      </c>
      <c r="G150" s="4" t="s">
        <v>2057</v>
      </c>
      <c r="H150" s="4" t="s">
        <v>4662</v>
      </c>
      <c r="I150" s="4" t="s">
        <v>2021</v>
      </c>
      <c r="J150" s="4" t="s">
        <v>5451</v>
      </c>
      <c r="K150" s="4" t="s">
        <v>5452</v>
      </c>
      <c r="L150" s="4" t="s">
        <v>5453</v>
      </c>
      <c r="M150" s="4" t="s">
        <v>2078</v>
      </c>
      <c r="N150" s="8">
        <v>46234</v>
      </c>
      <c r="O150" s="8">
        <v>46356</v>
      </c>
      <c r="P150" s="4" t="s">
        <v>2112</v>
      </c>
      <c r="Q150" s="4" t="s">
        <v>2021</v>
      </c>
      <c r="R150" s="4" t="s">
        <v>5454</v>
      </c>
      <c r="S150" s="4" t="s">
        <v>5455</v>
      </c>
      <c r="T150" s="4" t="s">
        <v>2067</v>
      </c>
      <c r="U150" s="4" t="s">
        <v>2119</v>
      </c>
      <c r="V150" s="4" t="s">
        <v>2067</v>
      </c>
      <c r="W150" s="4" t="s">
        <v>2069</v>
      </c>
    </row>
    <row r="151" spans="1:23" ht="20.100000000000001" customHeight="1" x14ac:dyDescent="0.25">
      <c r="A151" s="6" t="s">
        <v>5462</v>
      </c>
      <c r="B151" s="7" t="s">
        <v>2057</v>
      </c>
      <c r="C151" s="7" t="s">
        <v>5463</v>
      </c>
      <c r="D151" s="7" t="s">
        <v>2059</v>
      </c>
      <c r="E151" s="7" t="s">
        <v>2111</v>
      </c>
      <c r="F151" s="7" t="s">
        <v>2112</v>
      </c>
      <c r="G151" s="7" t="s">
        <v>2057</v>
      </c>
      <c r="H151" s="7" t="s">
        <v>4662</v>
      </c>
      <c r="I151" s="7" t="s">
        <v>2021</v>
      </c>
      <c r="J151" s="7" t="s">
        <v>5464</v>
      </c>
      <c r="K151" s="7" t="s">
        <v>5465</v>
      </c>
      <c r="L151" s="7" t="s">
        <v>5466</v>
      </c>
      <c r="M151" s="7" t="s">
        <v>2078</v>
      </c>
      <c r="N151" s="9">
        <v>46234</v>
      </c>
      <c r="O151" s="9">
        <v>46356</v>
      </c>
      <c r="P151" s="7" t="s">
        <v>2112</v>
      </c>
      <c r="Q151" s="7" t="s">
        <v>2021</v>
      </c>
      <c r="R151" s="7" t="s">
        <v>5467</v>
      </c>
      <c r="S151" s="7" t="s">
        <v>5468</v>
      </c>
      <c r="T151" s="7" t="s">
        <v>2067</v>
      </c>
      <c r="U151" s="7" t="s">
        <v>2119</v>
      </c>
      <c r="V151" s="7" t="s">
        <v>2067</v>
      </c>
      <c r="W151" s="7" t="s">
        <v>2069</v>
      </c>
    </row>
    <row r="152" spans="1:23" ht="20.100000000000001" customHeight="1" x14ac:dyDescent="0.25">
      <c r="A152" s="3" t="s">
        <v>5469</v>
      </c>
      <c r="B152" s="4" t="s">
        <v>2057</v>
      </c>
      <c r="C152" s="4" t="s">
        <v>5470</v>
      </c>
      <c r="D152" s="4" t="s">
        <v>2059</v>
      </c>
      <c r="E152" s="4" t="s">
        <v>2189</v>
      </c>
      <c r="F152" s="4" t="s">
        <v>2190</v>
      </c>
      <c r="G152" s="4" t="s">
        <v>2057</v>
      </c>
      <c r="H152" s="4" t="s">
        <v>4662</v>
      </c>
      <c r="I152" s="4" t="s">
        <v>2021</v>
      </c>
      <c r="J152" s="4" t="s">
        <v>5471</v>
      </c>
      <c r="K152" s="4" t="s">
        <v>5472</v>
      </c>
      <c r="L152" s="4" t="s">
        <v>5473</v>
      </c>
      <c r="M152" s="4" t="s">
        <v>2078</v>
      </c>
      <c r="N152" s="8">
        <v>46234</v>
      </c>
      <c r="O152" s="8">
        <v>46356</v>
      </c>
      <c r="P152" s="4" t="s">
        <v>2195</v>
      </c>
      <c r="Q152" s="4" t="s">
        <v>2021</v>
      </c>
      <c r="R152" s="4" t="s">
        <v>5474</v>
      </c>
      <c r="S152" s="4" t="s">
        <v>5475</v>
      </c>
      <c r="T152" s="4" t="s">
        <v>2067</v>
      </c>
      <c r="U152" s="4" t="s">
        <v>2198</v>
      </c>
      <c r="V152" s="4" t="s">
        <v>2067</v>
      </c>
      <c r="W152" s="4" t="s">
        <v>2069</v>
      </c>
    </row>
    <row r="153" spans="1:23" ht="20.100000000000001" customHeight="1" x14ac:dyDescent="0.25">
      <c r="A153" s="6" t="s">
        <v>5476</v>
      </c>
      <c r="B153" s="7" t="s">
        <v>2057</v>
      </c>
      <c r="C153" s="7" t="s">
        <v>5477</v>
      </c>
      <c r="D153" s="7" t="s">
        <v>2059</v>
      </c>
      <c r="E153" s="7" t="s">
        <v>2189</v>
      </c>
      <c r="F153" s="7" t="s">
        <v>2190</v>
      </c>
      <c r="G153" s="7" t="s">
        <v>2057</v>
      </c>
      <c r="H153" s="7" t="s">
        <v>4662</v>
      </c>
      <c r="I153" s="7" t="s">
        <v>2021</v>
      </c>
      <c r="J153" s="7" t="s">
        <v>5478</v>
      </c>
      <c r="K153" s="7" t="s">
        <v>5479</v>
      </c>
      <c r="L153" s="7" t="s">
        <v>5480</v>
      </c>
      <c r="M153" s="7" t="s">
        <v>2078</v>
      </c>
      <c r="N153" s="9">
        <v>46052</v>
      </c>
      <c r="O153" s="9">
        <v>46296</v>
      </c>
      <c r="P153" s="7" t="s">
        <v>2195</v>
      </c>
      <c r="Q153" s="7" t="s">
        <v>2021</v>
      </c>
      <c r="R153" s="7" t="s">
        <v>5481</v>
      </c>
      <c r="S153" s="7" t="s">
        <v>5482</v>
      </c>
      <c r="T153" s="7" t="s">
        <v>2067</v>
      </c>
      <c r="U153" s="7" t="s">
        <v>2198</v>
      </c>
      <c r="V153" s="7" t="s">
        <v>2067</v>
      </c>
      <c r="W153" s="7" t="s">
        <v>2069</v>
      </c>
    </row>
    <row r="154" spans="1:23" ht="20.100000000000001" customHeight="1" x14ac:dyDescent="0.25">
      <c r="A154" s="3" t="s">
        <v>5489</v>
      </c>
      <c r="B154" s="4" t="s">
        <v>2057</v>
      </c>
      <c r="C154" s="4" t="s">
        <v>5490</v>
      </c>
      <c r="D154" s="4" t="s">
        <v>2059</v>
      </c>
      <c r="E154" s="4" t="s">
        <v>2673</v>
      </c>
      <c r="F154" s="4" t="s">
        <v>2674</v>
      </c>
      <c r="G154" s="4" t="s">
        <v>2057</v>
      </c>
      <c r="H154" s="4" t="s">
        <v>4662</v>
      </c>
      <c r="I154" s="4" t="s">
        <v>2021</v>
      </c>
      <c r="J154" s="4" t="s">
        <v>5491</v>
      </c>
      <c r="K154" s="4" t="s">
        <v>5492</v>
      </c>
      <c r="L154" s="4" t="s">
        <v>5493</v>
      </c>
      <c r="M154" s="4" t="s">
        <v>2078</v>
      </c>
      <c r="N154" s="8">
        <v>46052</v>
      </c>
      <c r="O154" s="8">
        <v>46296</v>
      </c>
      <c r="P154" s="4" t="s">
        <v>2674</v>
      </c>
      <c r="Q154" s="4" t="s">
        <v>2021</v>
      </c>
      <c r="R154" s="4" t="s">
        <v>5494</v>
      </c>
      <c r="S154" s="4" t="s">
        <v>5495</v>
      </c>
      <c r="T154" s="4" t="s">
        <v>2067</v>
      </c>
      <c r="U154" s="4" t="s">
        <v>2680</v>
      </c>
      <c r="V154" s="4" t="s">
        <v>2067</v>
      </c>
      <c r="W154" s="4" t="s">
        <v>2069</v>
      </c>
    </row>
    <row r="155" spans="1:23" ht="20.100000000000001" customHeight="1" x14ac:dyDescent="0.25">
      <c r="A155" s="6" t="s">
        <v>5511</v>
      </c>
      <c r="B155" s="7" t="s">
        <v>2057</v>
      </c>
      <c r="C155" s="7" t="s">
        <v>5512</v>
      </c>
      <c r="D155" s="7" t="s">
        <v>2059</v>
      </c>
      <c r="E155" s="7" t="s">
        <v>2189</v>
      </c>
      <c r="F155" s="7" t="s">
        <v>2190</v>
      </c>
      <c r="G155" s="7" t="s">
        <v>2057</v>
      </c>
      <c r="H155" s="7" t="s">
        <v>4662</v>
      </c>
      <c r="I155" s="7" t="s">
        <v>2021</v>
      </c>
      <c r="J155" s="7" t="s">
        <v>5513</v>
      </c>
      <c r="K155" s="7" t="s">
        <v>5514</v>
      </c>
      <c r="L155" s="7" t="s">
        <v>5515</v>
      </c>
      <c r="M155" s="7" t="s">
        <v>2078</v>
      </c>
      <c r="N155" s="9">
        <v>46234</v>
      </c>
      <c r="O155" s="9">
        <v>46356</v>
      </c>
      <c r="P155" s="7" t="s">
        <v>2195</v>
      </c>
      <c r="Q155" s="7" t="s">
        <v>2021</v>
      </c>
      <c r="R155" s="7" t="s">
        <v>4638</v>
      </c>
      <c r="S155" s="7" t="s">
        <v>5516</v>
      </c>
      <c r="T155" s="7" t="s">
        <v>2067</v>
      </c>
      <c r="U155" s="7" t="s">
        <v>2198</v>
      </c>
      <c r="V155" s="7" t="s">
        <v>2067</v>
      </c>
      <c r="W155" s="7" t="s">
        <v>2069</v>
      </c>
    </row>
    <row r="156" spans="1:23" ht="20.100000000000001" customHeight="1" x14ac:dyDescent="0.25">
      <c r="A156" s="3" t="s">
        <v>5539</v>
      </c>
      <c r="B156" s="4" t="s">
        <v>2057</v>
      </c>
      <c r="C156" s="4" t="s">
        <v>5540</v>
      </c>
      <c r="D156" s="4" t="s">
        <v>2059</v>
      </c>
      <c r="E156" s="4" t="s">
        <v>2189</v>
      </c>
      <c r="F156" s="4" t="s">
        <v>2190</v>
      </c>
      <c r="G156" s="4" t="s">
        <v>2057</v>
      </c>
      <c r="H156" s="4" t="s">
        <v>4662</v>
      </c>
      <c r="I156" s="4" t="s">
        <v>2021</v>
      </c>
      <c r="J156" s="4" t="s">
        <v>5541</v>
      </c>
      <c r="K156" s="4" t="s">
        <v>5542</v>
      </c>
      <c r="L156" s="4" t="s">
        <v>5543</v>
      </c>
      <c r="M156" s="4" t="s">
        <v>2078</v>
      </c>
      <c r="N156" s="8">
        <v>46234</v>
      </c>
      <c r="O156" s="8">
        <v>46356</v>
      </c>
      <c r="P156" s="4" t="s">
        <v>2195</v>
      </c>
      <c r="Q156" s="4" t="s">
        <v>2021</v>
      </c>
      <c r="R156" s="4" t="s">
        <v>5544</v>
      </c>
      <c r="S156" s="4" t="s">
        <v>5545</v>
      </c>
      <c r="T156" s="4" t="s">
        <v>2067</v>
      </c>
      <c r="U156" s="4" t="s">
        <v>2198</v>
      </c>
      <c r="V156" s="4" t="s">
        <v>2067</v>
      </c>
      <c r="W156" s="4" t="s">
        <v>2069</v>
      </c>
    </row>
    <row r="157" spans="1:23" ht="20.100000000000001" customHeight="1" x14ac:dyDescent="0.25">
      <c r="A157" s="6" t="s">
        <v>5568</v>
      </c>
      <c r="B157" s="7" t="s">
        <v>2057</v>
      </c>
      <c r="C157" s="7" t="s">
        <v>5569</v>
      </c>
      <c r="D157" s="7" t="s">
        <v>2059</v>
      </c>
      <c r="E157" s="7" t="s">
        <v>2111</v>
      </c>
      <c r="F157" s="7" t="s">
        <v>2112</v>
      </c>
      <c r="G157" s="7" t="s">
        <v>2057</v>
      </c>
      <c r="H157" s="7" t="s">
        <v>4662</v>
      </c>
      <c r="I157" s="7" t="s">
        <v>2021</v>
      </c>
      <c r="J157" s="7" t="s">
        <v>5570</v>
      </c>
      <c r="K157" s="7" t="s">
        <v>5571</v>
      </c>
      <c r="L157" s="7" t="s">
        <v>5572</v>
      </c>
      <c r="M157" s="7" t="s">
        <v>2078</v>
      </c>
      <c r="N157" s="9">
        <v>46234</v>
      </c>
      <c r="O157" s="9">
        <v>46356</v>
      </c>
      <c r="P157" s="7" t="s">
        <v>2112</v>
      </c>
      <c r="Q157" s="7" t="s">
        <v>2021</v>
      </c>
      <c r="R157" s="7" t="s">
        <v>5573</v>
      </c>
      <c r="S157" s="7" t="s">
        <v>5574</v>
      </c>
      <c r="T157" s="7" t="s">
        <v>2067</v>
      </c>
      <c r="U157" s="7" t="s">
        <v>2119</v>
      </c>
      <c r="V157" s="7" t="s">
        <v>2067</v>
      </c>
      <c r="W157" s="7" t="s">
        <v>2069</v>
      </c>
    </row>
    <row r="158" spans="1:23" ht="20.100000000000001" customHeight="1" x14ac:dyDescent="0.25">
      <c r="A158" s="3" t="s">
        <v>5575</v>
      </c>
      <c r="B158" s="4" t="s">
        <v>2057</v>
      </c>
      <c r="C158" s="4" t="s">
        <v>5576</v>
      </c>
      <c r="D158" s="4" t="s">
        <v>2059</v>
      </c>
      <c r="E158" s="4" t="s">
        <v>2673</v>
      </c>
      <c r="F158" s="4" t="s">
        <v>2674</v>
      </c>
      <c r="G158" s="4" t="s">
        <v>2057</v>
      </c>
      <c r="H158" s="4" t="s">
        <v>4662</v>
      </c>
      <c r="I158" s="4" t="s">
        <v>2021</v>
      </c>
      <c r="J158" s="4" t="s">
        <v>5577</v>
      </c>
      <c r="K158" s="4" t="s">
        <v>5578</v>
      </c>
      <c r="L158" s="4" t="s">
        <v>5579</v>
      </c>
      <c r="M158" s="4" t="s">
        <v>2078</v>
      </c>
      <c r="N158" s="8">
        <v>46234</v>
      </c>
      <c r="O158" s="8">
        <v>46356</v>
      </c>
      <c r="P158" s="4" t="s">
        <v>2674</v>
      </c>
      <c r="Q158" s="4" t="s">
        <v>2021</v>
      </c>
      <c r="R158" s="4" t="s">
        <v>5580</v>
      </c>
      <c r="S158" s="4" t="s">
        <v>5581</v>
      </c>
      <c r="T158" s="4" t="s">
        <v>2067</v>
      </c>
      <c r="U158" s="4" t="s">
        <v>2680</v>
      </c>
      <c r="V158" s="4" t="s">
        <v>2067</v>
      </c>
      <c r="W158" s="4" t="s">
        <v>2069</v>
      </c>
    </row>
    <row r="159" spans="1:23" ht="20.100000000000001" customHeight="1" x14ac:dyDescent="0.25">
      <c r="A159" s="6" t="s">
        <v>5588</v>
      </c>
      <c r="B159" s="7" t="s">
        <v>2057</v>
      </c>
      <c r="C159" s="7" t="s">
        <v>5589</v>
      </c>
      <c r="D159" s="7" t="s">
        <v>2059</v>
      </c>
      <c r="E159" s="7" t="s">
        <v>1952</v>
      </c>
      <c r="F159" s="7" t="s">
        <v>1953</v>
      </c>
      <c r="G159" s="7" t="s">
        <v>2057</v>
      </c>
      <c r="H159" s="7" t="s">
        <v>2020</v>
      </c>
      <c r="I159" s="7" t="s">
        <v>2021</v>
      </c>
      <c r="J159" s="7" t="s">
        <v>5590</v>
      </c>
      <c r="K159" s="7" t="s">
        <v>5591</v>
      </c>
      <c r="L159" s="7" t="s">
        <v>5592</v>
      </c>
      <c r="M159" s="7" t="s">
        <v>2078</v>
      </c>
      <c r="N159" s="9">
        <v>46234</v>
      </c>
      <c r="O159" s="9">
        <v>46356</v>
      </c>
      <c r="P159" s="7" t="s">
        <v>1953</v>
      </c>
      <c r="Q159" s="7" t="s">
        <v>2021</v>
      </c>
      <c r="R159" s="7" t="s">
        <v>5593</v>
      </c>
      <c r="S159" s="7" t="s">
        <v>5594</v>
      </c>
      <c r="T159" s="7" t="s">
        <v>2067</v>
      </c>
      <c r="U159" s="7" t="s">
        <v>2358</v>
      </c>
      <c r="V159" s="7" t="s">
        <v>2067</v>
      </c>
      <c r="W159" s="7" t="s">
        <v>2069</v>
      </c>
    </row>
    <row r="160" spans="1:23" ht="20.100000000000001" customHeight="1" x14ac:dyDescent="0.25">
      <c r="A160" s="3" t="s">
        <v>5630</v>
      </c>
      <c r="B160" s="4" t="s">
        <v>2057</v>
      </c>
      <c r="C160" s="4" t="s">
        <v>5631</v>
      </c>
      <c r="D160" s="4" t="s">
        <v>2059</v>
      </c>
      <c r="E160" s="4" t="s">
        <v>2673</v>
      </c>
      <c r="F160" s="4" t="s">
        <v>2674</v>
      </c>
      <c r="G160" s="4" t="s">
        <v>2057</v>
      </c>
      <c r="H160" s="4" t="s">
        <v>4662</v>
      </c>
      <c r="I160" s="4" t="s">
        <v>2021</v>
      </c>
      <c r="J160" s="4" t="s">
        <v>5632</v>
      </c>
      <c r="K160" s="4" t="s">
        <v>5633</v>
      </c>
      <c r="L160" s="4" t="s">
        <v>5634</v>
      </c>
      <c r="M160" s="4" t="s">
        <v>2078</v>
      </c>
      <c r="N160" s="8">
        <v>46234</v>
      </c>
      <c r="O160" s="8">
        <v>46356</v>
      </c>
      <c r="P160" s="4" t="s">
        <v>2674</v>
      </c>
      <c r="Q160" s="4" t="s">
        <v>2021</v>
      </c>
      <c r="R160" s="4" t="s">
        <v>3834</v>
      </c>
      <c r="S160" s="4" t="s">
        <v>5635</v>
      </c>
      <c r="T160" s="4" t="s">
        <v>2067</v>
      </c>
      <c r="U160" s="4" t="s">
        <v>2680</v>
      </c>
      <c r="V160" s="4" t="s">
        <v>2067</v>
      </c>
      <c r="W160" s="4" t="s">
        <v>2069</v>
      </c>
    </row>
    <row r="161" spans="1:23" ht="20.100000000000001" customHeight="1" x14ac:dyDescent="0.25">
      <c r="A161" s="6" t="s">
        <v>2018</v>
      </c>
      <c r="B161" s="7" t="s">
        <v>2057</v>
      </c>
      <c r="C161" s="7" t="s">
        <v>2019</v>
      </c>
      <c r="D161" s="7" t="s">
        <v>2059</v>
      </c>
      <c r="E161" s="7" t="s">
        <v>1947</v>
      </c>
      <c r="F161" s="7" t="s">
        <v>1948</v>
      </c>
      <c r="G161" s="7" t="s">
        <v>2057</v>
      </c>
      <c r="H161" s="7" t="s">
        <v>2020</v>
      </c>
      <c r="I161" s="7" t="s">
        <v>2021</v>
      </c>
      <c r="J161" s="7" t="s">
        <v>5636</v>
      </c>
      <c r="K161" s="7" t="s">
        <v>5637</v>
      </c>
      <c r="L161" s="7" t="s">
        <v>5638</v>
      </c>
      <c r="M161" s="7" t="s">
        <v>2078</v>
      </c>
      <c r="N161" s="9">
        <v>46234</v>
      </c>
      <c r="O161" s="9">
        <v>46356</v>
      </c>
      <c r="P161" s="7" t="s">
        <v>2090</v>
      </c>
      <c r="Q161" s="7" t="s">
        <v>2021</v>
      </c>
      <c r="R161" s="7" t="s">
        <v>5639</v>
      </c>
      <c r="S161" s="7" t="s">
        <v>5640</v>
      </c>
      <c r="T161" s="7" t="s">
        <v>2067</v>
      </c>
      <c r="U161" s="7" t="s">
        <v>2146</v>
      </c>
      <c r="V161" s="7" t="s">
        <v>2067</v>
      </c>
      <c r="W161" s="7" t="s">
        <v>2069</v>
      </c>
    </row>
    <row r="162" spans="1:23" ht="20.100000000000001" customHeight="1" x14ac:dyDescent="0.25">
      <c r="A162" s="3" t="s">
        <v>5641</v>
      </c>
      <c r="B162" s="4" t="s">
        <v>2057</v>
      </c>
      <c r="C162" s="4" t="s">
        <v>5642</v>
      </c>
      <c r="D162" s="4" t="s">
        <v>2059</v>
      </c>
      <c r="E162" s="4" t="s">
        <v>2111</v>
      </c>
      <c r="F162" s="4" t="s">
        <v>2112</v>
      </c>
      <c r="G162" s="4" t="s">
        <v>2057</v>
      </c>
      <c r="H162" s="4" t="s">
        <v>5282</v>
      </c>
      <c r="I162" s="4" t="s">
        <v>2021</v>
      </c>
      <c r="J162" s="4" t="s">
        <v>5643</v>
      </c>
      <c r="K162" s="4" t="s">
        <v>5644</v>
      </c>
      <c r="L162" s="4" t="s">
        <v>5645</v>
      </c>
      <c r="M162" s="4" t="s">
        <v>2078</v>
      </c>
      <c r="N162" s="8">
        <v>46234</v>
      </c>
      <c r="O162" s="8">
        <v>46356</v>
      </c>
      <c r="P162" s="4" t="s">
        <v>2112</v>
      </c>
      <c r="Q162" s="4" t="s">
        <v>2021</v>
      </c>
      <c r="R162" s="4" t="s">
        <v>5646</v>
      </c>
      <c r="S162" s="4" t="s">
        <v>5647</v>
      </c>
      <c r="T162" s="4" t="s">
        <v>2067</v>
      </c>
      <c r="U162" s="4" t="s">
        <v>2119</v>
      </c>
      <c r="V162" s="4" t="s">
        <v>2067</v>
      </c>
      <c r="W162" s="4" t="s">
        <v>2082</v>
      </c>
    </row>
    <row r="163" spans="1:23" ht="20.100000000000001" customHeight="1" x14ac:dyDescent="0.25">
      <c r="A163" s="6" t="s">
        <v>5648</v>
      </c>
      <c r="B163" s="7" t="s">
        <v>2057</v>
      </c>
      <c r="C163" s="7" t="s">
        <v>5649</v>
      </c>
      <c r="D163" s="7" t="s">
        <v>2059</v>
      </c>
      <c r="E163" s="7" t="s">
        <v>2673</v>
      </c>
      <c r="F163" s="7" t="s">
        <v>2674</v>
      </c>
      <c r="G163" s="7" t="s">
        <v>2057</v>
      </c>
      <c r="H163" s="7" t="s">
        <v>5650</v>
      </c>
      <c r="I163" s="7" t="s">
        <v>2021</v>
      </c>
      <c r="J163" s="7" t="s">
        <v>5651</v>
      </c>
      <c r="K163" s="7" t="s">
        <v>5652</v>
      </c>
      <c r="L163" s="7" t="s">
        <v>5653</v>
      </c>
      <c r="M163" s="7" t="s">
        <v>2078</v>
      </c>
      <c r="N163" s="9">
        <v>46108</v>
      </c>
      <c r="O163" s="9">
        <v>46356</v>
      </c>
      <c r="P163" s="7" t="s">
        <v>2674</v>
      </c>
      <c r="Q163" s="7" t="s">
        <v>2021</v>
      </c>
      <c r="R163" s="7" t="s">
        <v>5654</v>
      </c>
      <c r="S163" s="7" t="s">
        <v>5655</v>
      </c>
      <c r="T163" s="7" t="s">
        <v>2067</v>
      </c>
      <c r="U163" s="7" t="s">
        <v>2680</v>
      </c>
      <c r="V163" s="7" t="s">
        <v>2067</v>
      </c>
      <c r="W163" s="7" t="s">
        <v>2082</v>
      </c>
    </row>
    <row r="164" spans="1:23" ht="20.100000000000001" customHeight="1" x14ac:dyDescent="0.25">
      <c r="A164" s="3" t="s">
        <v>5662</v>
      </c>
      <c r="B164" s="4" t="s">
        <v>2057</v>
      </c>
      <c r="C164" s="4" t="s">
        <v>5663</v>
      </c>
      <c r="D164" s="4" t="s">
        <v>2059</v>
      </c>
      <c r="E164" s="4" t="s">
        <v>2111</v>
      </c>
      <c r="F164" s="4" t="s">
        <v>2112</v>
      </c>
      <c r="G164" s="4" t="s">
        <v>2057</v>
      </c>
      <c r="H164" s="4" t="s">
        <v>4662</v>
      </c>
      <c r="I164" s="4" t="s">
        <v>2021</v>
      </c>
      <c r="J164" s="4" t="s">
        <v>5664</v>
      </c>
      <c r="K164" s="4" t="s">
        <v>5665</v>
      </c>
      <c r="L164" s="4" t="s">
        <v>5666</v>
      </c>
      <c r="M164" s="4" t="s">
        <v>2078</v>
      </c>
      <c r="N164" s="8">
        <v>46234</v>
      </c>
      <c r="O164" s="8">
        <v>46356</v>
      </c>
      <c r="P164" s="4" t="s">
        <v>2112</v>
      </c>
      <c r="Q164" s="4" t="s">
        <v>2021</v>
      </c>
      <c r="R164" s="4" t="s">
        <v>5667</v>
      </c>
      <c r="S164" s="4" t="s">
        <v>5668</v>
      </c>
      <c r="T164" s="4" t="s">
        <v>2067</v>
      </c>
      <c r="U164" s="4" t="s">
        <v>2119</v>
      </c>
      <c r="V164" s="4" t="s">
        <v>2067</v>
      </c>
      <c r="W164" s="4" t="s">
        <v>2069</v>
      </c>
    </row>
    <row r="165" spans="1:23" ht="20.100000000000001" customHeight="1" x14ac:dyDescent="0.25">
      <c r="A165" s="6" t="s">
        <v>5669</v>
      </c>
      <c r="B165" s="7" t="s">
        <v>2057</v>
      </c>
      <c r="C165" s="7" t="s">
        <v>5670</v>
      </c>
      <c r="D165" s="7" t="s">
        <v>2059</v>
      </c>
      <c r="E165" s="7" t="s">
        <v>2111</v>
      </c>
      <c r="F165" s="7" t="s">
        <v>2112</v>
      </c>
      <c r="G165" s="7" t="s">
        <v>2057</v>
      </c>
      <c r="H165" s="7" t="s">
        <v>4662</v>
      </c>
      <c r="I165" s="7" t="s">
        <v>2021</v>
      </c>
      <c r="J165" s="7" t="s">
        <v>5671</v>
      </c>
      <c r="K165" s="7" t="s">
        <v>5672</v>
      </c>
      <c r="L165" s="7" t="s">
        <v>5673</v>
      </c>
      <c r="M165" s="7" t="s">
        <v>2078</v>
      </c>
      <c r="N165" s="9">
        <v>46234</v>
      </c>
      <c r="O165" s="9">
        <v>46356</v>
      </c>
      <c r="P165" s="7" t="s">
        <v>2112</v>
      </c>
      <c r="Q165" s="7" t="s">
        <v>2021</v>
      </c>
      <c r="R165" s="7" t="s">
        <v>4638</v>
      </c>
      <c r="S165" s="7" t="s">
        <v>5674</v>
      </c>
      <c r="T165" s="7" t="s">
        <v>2067</v>
      </c>
      <c r="U165" s="7" t="s">
        <v>2119</v>
      </c>
      <c r="V165" s="7" t="s">
        <v>2067</v>
      </c>
      <c r="W165" s="7" t="s">
        <v>2069</v>
      </c>
    </row>
    <row r="166" spans="1:23" ht="20.100000000000001" customHeight="1" x14ac:dyDescent="0.25">
      <c r="A166" s="3" t="s">
        <v>5675</v>
      </c>
      <c r="B166" s="4" t="s">
        <v>2057</v>
      </c>
      <c r="C166" s="4" t="s">
        <v>5676</v>
      </c>
      <c r="D166" s="4" t="s">
        <v>2059</v>
      </c>
      <c r="E166" s="4" t="s">
        <v>2189</v>
      </c>
      <c r="F166" s="4" t="s">
        <v>2190</v>
      </c>
      <c r="G166" s="4" t="s">
        <v>2057</v>
      </c>
      <c r="H166" s="4" t="s">
        <v>5282</v>
      </c>
      <c r="I166" s="4" t="s">
        <v>2021</v>
      </c>
      <c r="J166" s="4" t="s">
        <v>5677</v>
      </c>
      <c r="K166" s="4" t="s">
        <v>5678</v>
      </c>
      <c r="L166" s="4" t="s">
        <v>5679</v>
      </c>
      <c r="M166" s="4" t="s">
        <v>2078</v>
      </c>
      <c r="N166" s="8">
        <v>46234</v>
      </c>
      <c r="O166" s="8">
        <v>46356</v>
      </c>
      <c r="P166" s="4" t="s">
        <v>2195</v>
      </c>
      <c r="Q166" s="4" t="s">
        <v>2021</v>
      </c>
      <c r="R166" s="4" t="s">
        <v>5487</v>
      </c>
      <c r="S166" s="4" t="s">
        <v>5680</v>
      </c>
      <c r="T166" s="4" t="s">
        <v>2067</v>
      </c>
      <c r="U166" s="4" t="s">
        <v>2198</v>
      </c>
      <c r="V166" s="4" t="s">
        <v>2067</v>
      </c>
      <c r="W166" s="4" t="s">
        <v>2082</v>
      </c>
    </row>
    <row r="167" spans="1:23" ht="20.100000000000001" customHeight="1" x14ac:dyDescent="0.25">
      <c r="A167" s="6" t="s">
        <v>5687</v>
      </c>
      <c r="B167" s="7" t="s">
        <v>2057</v>
      </c>
      <c r="C167" s="7" t="s">
        <v>5688</v>
      </c>
      <c r="D167" s="7" t="s">
        <v>2059</v>
      </c>
      <c r="E167" s="7" t="s">
        <v>2111</v>
      </c>
      <c r="F167" s="7" t="s">
        <v>2112</v>
      </c>
      <c r="G167" s="7" t="s">
        <v>2057</v>
      </c>
      <c r="H167" s="7" t="s">
        <v>4662</v>
      </c>
      <c r="I167" s="7" t="s">
        <v>2021</v>
      </c>
      <c r="J167" s="7" t="s">
        <v>5689</v>
      </c>
      <c r="K167" s="7" t="s">
        <v>5690</v>
      </c>
      <c r="L167" s="7" t="s">
        <v>5691</v>
      </c>
      <c r="M167" s="7" t="s">
        <v>2078</v>
      </c>
      <c r="N167" s="9">
        <v>46234</v>
      </c>
      <c r="O167" s="9">
        <v>46356</v>
      </c>
      <c r="P167" s="7" t="s">
        <v>2112</v>
      </c>
      <c r="Q167" s="7" t="s">
        <v>2021</v>
      </c>
      <c r="R167" s="7" t="s">
        <v>5692</v>
      </c>
      <c r="S167" s="7" t="s">
        <v>5693</v>
      </c>
      <c r="T167" s="7" t="s">
        <v>2067</v>
      </c>
      <c r="U167" s="7" t="s">
        <v>2119</v>
      </c>
      <c r="V167" s="7" t="s">
        <v>2067</v>
      </c>
      <c r="W167" s="7" t="s">
        <v>2069</v>
      </c>
    </row>
    <row r="168" spans="1:23" ht="20.100000000000001" customHeight="1" x14ac:dyDescent="0.25">
      <c r="A168" s="3" t="s">
        <v>5704</v>
      </c>
      <c r="B168" s="4" t="s">
        <v>2057</v>
      </c>
      <c r="C168" s="4" t="s">
        <v>5705</v>
      </c>
      <c r="D168" s="4" t="s">
        <v>2059</v>
      </c>
      <c r="E168" s="4" t="s">
        <v>2189</v>
      </c>
      <c r="F168" s="4" t="s">
        <v>2190</v>
      </c>
      <c r="G168" s="4" t="s">
        <v>2057</v>
      </c>
      <c r="H168" s="4" t="s">
        <v>4662</v>
      </c>
      <c r="I168" s="4" t="s">
        <v>2021</v>
      </c>
      <c r="J168" s="4" t="s">
        <v>5706</v>
      </c>
      <c r="K168" s="4" t="s">
        <v>5707</v>
      </c>
      <c r="L168" s="4" t="s">
        <v>5708</v>
      </c>
      <c r="M168" s="4" t="s">
        <v>2078</v>
      </c>
      <c r="N168" s="8">
        <v>46055</v>
      </c>
      <c r="O168" s="8">
        <v>46294</v>
      </c>
      <c r="P168" s="4" t="s">
        <v>2195</v>
      </c>
      <c r="Q168" s="4" t="s">
        <v>2021</v>
      </c>
      <c r="R168" s="4" t="s">
        <v>5487</v>
      </c>
      <c r="S168" s="4" t="s">
        <v>5709</v>
      </c>
      <c r="T168" s="4" t="s">
        <v>2067</v>
      </c>
      <c r="U168" s="4" t="s">
        <v>2198</v>
      </c>
      <c r="V168" s="4" t="s">
        <v>2067</v>
      </c>
      <c r="W168" s="4" t="s">
        <v>2069</v>
      </c>
    </row>
    <row r="169" spans="1:23" ht="20.100000000000001" customHeight="1" x14ac:dyDescent="0.25">
      <c r="A169" s="6" t="s">
        <v>5716</v>
      </c>
      <c r="B169" s="7" t="s">
        <v>2057</v>
      </c>
      <c r="C169" s="7" t="s">
        <v>5717</v>
      </c>
      <c r="D169" s="7" t="s">
        <v>2059</v>
      </c>
      <c r="E169" s="7" t="s">
        <v>2673</v>
      </c>
      <c r="F169" s="7" t="s">
        <v>2674</v>
      </c>
      <c r="G169" s="7" t="s">
        <v>2057</v>
      </c>
      <c r="H169" s="7" t="s">
        <v>5650</v>
      </c>
      <c r="I169" s="7" t="s">
        <v>2021</v>
      </c>
      <c r="J169" s="7" t="s">
        <v>5718</v>
      </c>
      <c r="K169" s="7" t="s">
        <v>5719</v>
      </c>
      <c r="L169" s="7" t="s">
        <v>5720</v>
      </c>
      <c r="M169" s="7" t="s">
        <v>2078</v>
      </c>
      <c r="N169" s="9">
        <v>46108</v>
      </c>
      <c r="O169" s="9">
        <v>46356</v>
      </c>
      <c r="P169" s="7" t="s">
        <v>2674</v>
      </c>
      <c r="Q169" s="7" t="s">
        <v>2021</v>
      </c>
      <c r="R169" s="7" t="s">
        <v>5118</v>
      </c>
      <c r="S169" s="7" t="s">
        <v>5721</v>
      </c>
      <c r="T169" s="7" t="s">
        <v>2067</v>
      </c>
      <c r="U169" s="7" t="s">
        <v>2680</v>
      </c>
      <c r="V169" s="7" t="s">
        <v>2067</v>
      </c>
      <c r="W169" s="7" t="s">
        <v>2082</v>
      </c>
    </row>
    <row r="170" spans="1:23" ht="20.100000000000001" customHeight="1" x14ac:dyDescent="0.25">
      <c r="A170" s="3" t="s">
        <v>5722</v>
      </c>
      <c r="B170" s="4" t="s">
        <v>2057</v>
      </c>
      <c r="C170" s="4" t="s">
        <v>5723</v>
      </c>
      <c r="D170" s="4" t="s">
        <v>2059</v>
      </c>
      <c r="E170" s="4" t="s">
        <v>2189</v>
      </c>
      <c r="F170" s="4" t="s">
        <v>2190</v>
      </c>
      <c r="G170" s="4" t="s">
        <v>2057</v>
      </c>
      <c r="H170" s="4" t="s">
        <v>4662</v>
      </c>
      <c r="I170" s="4" t="s">
        <v>2021</v>
      </c>
      <c r="J170" s="4" t="s">
        <v>5724</v>
      </c>
      <c r="K170" s="4" t="s">
        <v>5725</v>
      </c>
      <c r="L170" s="4" t="s">
        <v>5726</v>
      </c>
      <c r="M170" s="4" t="s">
        <v>2078</v>
      </c>
      <c r="N170" s="8">
        <v>46055</v>
      </c>
      <c r="O170" s="8">
        <v>46294</v>
      </c>
      <c r="P170" s="4" t="s">
        <v>2195</v>
      </c>
      <c r="Q170" s="4" t="s">
        <v>2021</v>
      </c>
      <c r="R170" s="4" t="s">
        <v>2297</v>
      </c>
      <c r="S170" s="4" t="s">
        <v>5727</v>
      </c>
      <c r="T170" s="4" t="s">
        <v>2067</v>
      </c>
      <c r="U170" s="4" t="s">
        <v>2198</v>
      </c>
      <c r="V170" s="4" t="s">
        <v>2067</v>
      </c>
      <c r="W170" s="4" t="s">
        <v>2069</v>
      </c>
    </row>
    <row r="171" spans="1:23" ht="20.100000000000001" customHeight="1" x14ac:dyDescent="0.25">
      <c r="A171" s="6" t="s">
        <v>5728</v>
      </c>
      <c r="B171" s="7" t="s">
        <v>2057</v>
      </c>
      <c r="C171" s="7" t="s">
        <v>5729</v>
      </c>
      <c r="D171" s="7" t="s">
        <v>2059</v>
      </c>
      <c r="E171" s="7" t="s">
        <v>2189</v>
      </c>
      <c r="F171" s="7" t="s">
        <v>2190</v>
      </c>
      <c r="G171" s="7" t="s">
        <v>2057</v>
      </c>
      <c r="H171" s="7" t="s">
        <v>4662</v>
      </c>
      <c r="I171" s="7" t="s">
        <v>2021</v>
      </c>
      <c r="J171" s="7" t="s">
        <v>5730</v>
      </c>
      <c r="K171" s="7" t="s">
        <v>5731</v>
      </c>
      <c r="L171" s="7" t="s">
        <v>5732</v>
      </c>
      <c r="M171" s="7" t="s">
        <v>2078</v>
      </c>
      <c r="N171" s="9">
        <v>46234</v>
      </c>
      <c r="O171" s="9">
        <v>46356</v>
      </c>
      <c r="P171" s="7" t="s">
        <v>2195</v>
      </c>
      <c r="Q171" s="7" t="s">
        <v>2021</v>
      </c>
      <c r="R171" s="7" t="s">
        <v>5733</v>
      </c>
      <c r="S171" s="7" t="s">
        <v>5734</v>
      </c>
      <c r="T171" s="7" t="s">
        <v>2067</v>
      </c>
      <c r="U171" s="7" t="s">
        <v>2198</v>
      </c>
      <c r="V171" s="7" t="s">
        <v>2067</v>
      </c>
      <c r="W171" s="7" t="s">
        <v>2069</v>
      </c>
    </row>
    <row r="172" spans="1:23" ht="20.100000000000001" customHeight="1" x14ac:dyDescent="0.25">
      <c r="A172" s="3" t="s">
        <v>5735</v>
      </c>
      <c r="B172" s="4" t="s">
        <v>2057</v>
      </c>
      <c r="C172" s="4" t="s">
        <v>5736</v>
      </c>
      <c r="D172" s="4" t="s">
        <v>2059</v>
      </c>
      <c r="E172" s="4" t="s">
        <v>2111</v>
      </c>
      <c r="F172" s="4" t="s">
        <v>2112</v>
      </c>
      <c r="G172" s="4" t="s">
        <v>2057</v>
      </c>
      <c r="H172" s="4" t="s">
        <v>4662</v>
      </c>
      <c r="I172" s="4" t="s">
        <v>2021</v>
      </c>
      <c r="J172" s="4" t="s">
        <v>5737</v>
      </c>
      <c r="K172" s="4" t="s">
        <v>5738</v>
      </c>
      <c r="L172" s="4" t="s">
        <v>5739</v>
      </c>
      <c r="M172" s="4" t="s">
        <v>2078</v>
      </c>
      <c r="N172" s="8">
        <v>46090</v>
      </c>
      <c r="O172" s="8">
        <v>46294</v>
      </c>
      <c r="P172" s="4" t="s">
        <v>2112</v>
      </c>
      <c r="Q172" s="4" t="s">
        <v>2021</v>
      </c>
      <c r="R172" s="4" t="s">
        <v>5740</v>
      </c>
      <c r="S172" s="4" t="s">
        <v>5741</v>
      </c>
      <c r="T172" s="4" t="s">
        <v>2067</v>
      </c>
      <c r="U172" s="4" t="s">
        <v>2119</v>
      </c>
      <c r="V172" s="4" t="s">
        <v>2067</v>
      </c>
      <c r="W172" s="4" t="s">
        <v>2069</v>
      </c>
    </row>
    <row r="173" spans="1:23" ht="20.100000000000001" customHeight="1" x14ac:dyDescent="0.25">
      <c r="A173" s="6" t="s">
        <v>5755</v>
      </c>
      <c r="B173" s="7" t="s">
        <v>2084</v>
      </c>
      <c r="C173" s="7" t="s">
        <v>5756</v>
      </c>
      <c r="D173" s="7" t="s">
        <v>2059</v>
      </c>
      <c r="E173" s="7" t="s">
        <v>1947</v>
      </c>
      <c r="F173" s="7" t="s">
        <v>1948</v>
      </c>
      <c r="G173" s="7" t="s">
        <v>2084</v>
      </c>
      <c r="H173" s="7" t="s">
        <v>1977</v>
      </c>
      <c r="I173" s="7" t="s">
        <v>1978</v>
      </c>
      <c r="J173" s="7" t="s">
        <v>5757</v>
      </c>
      <c r="K173" s="7" t="s">
        <v>5758</v>
      </c>
      <c r="L173" s="7" t="s">
        <v>5759</v>
      </c>
      <c r="M173" s="7" t="s">
        <v>2078</v>
      </c>
      <c r="N173" s="9">
        <v>45992</v>
      </c>
      <c r="O173" s="9">
        <v>46356</v>
      </c>
      <c r="P173" s="7" t="s">
        <v>2090</v>
      </c>
      <c r="Q173" s="7" t="s">
        <v>1978</v>
      </c>
      <c r="R173" s="7" t="s">
        <v>3217</v>
      </c>
      <c r="S173" s="7" t="s">
        <v>5760</v>
      </c>
      <c r="T173" s="7" t="s">
        <v>2067</v>
      </c>
      <c r="U173" s="7" t="s">
        <v>2146</v>
      </c>
      <c r="V173" s="7" t="s">
        <v>2067</v>
      </c>
      <c r="W173" s="7" t="s">
        <v>2069</v>
      </c>
    </row>
    <row r="174" spans="1:23" ht="20.100000000000001" customHeight="1" x14ac:dyDescent="0.25">
      <c r="A174" s="3" t="s">
        <v>5777</v>
      </c>
      <c r="B174" s="4" t="s">
        <v>2084</v>
      </c>
      <c r="C174" s="4" t="s">
        <v>5778</v>
      </c>
      <c r="D174" s="4" t="s">
        <v>2059</v>
      </c>
      <c r="E174" s="4" t="s">
        <v>3064</v>
      </c>
      <c r="F174" s="4" t="s">
        <v>3065</v>
      </c>
      <c r="G174" s="4" t="s">
        <v>2084</v>
      </c>
      <c r="H174" s="4" t="s">
        <v>5779</v>
      </c>
      <c r="I174" s="4" t="s">
        <v>1978</v>
      </c>
      <c r="J174" s="4" t="s">
        <v>5780</v>
      </c>
      <c r="K174" s="4" t="s">
        <v>5781</v>
      </c>
      <c r="L174" s="4" t="s">
        <v>5782</v>
      </c>
      <c r="M174" s="4" t="s">
        <v>2078</v>
      </c>
      <c r="N174" s="8">
        <v>46024</v>
      </c>
      <c r="O174" s="8">
        <v>46355</v>
      </c>
      <c r="P174" s="4" t="s">
        <v>3065</v>
      </c>
      <c r="Q174" s="4" t="s">
        <v>1978</v>
      </c>
      <c r="R174" s="4" t="s">
        <v>5783</v>
      </c>
      <c r="S174" s="4" t="s">
        <v>5784</v>
      </c>
      <c r="T174" s="4" t="s">
        <v>2067</v>
      </c>
      <c r="U174" s="4" t="s">
        <v>3073</v>
      </c>
      <c r="V174" s="4" t="s">
        <v>2067</v>
      </c>
      <c r="W174" s="4" t="s">
        <v>2069</v>
      </c>
    </row>
    <row r="175" spans="1:23" ht="20.100000000000001" customHeight="1" x14ac:dyDescent="0.25">
      <c r="A175" s="6" t="s">
        <v>5792</v>
      </c>
      <c r="B175" s="7" t="s">
        <v>2057</v>
      </c>
      <c r="C175" s="7" t="s">
        <v>5793</v>
      </c>
      <c r="D175" s="7" t="s">
        <v>2059</v>
      </c>
      <c r="E175" s="7" t="s">
        <v>1947</v>
      </c>
      <c r="F175" s="7" t="s">
        <v>1948</v>
      </c>
      <c r="G175" s="7" t="s">
        <v>2057</v>
      </c>
      <c r="H175" s="7" t="s">
        <v>5794</v>
      </c>
      <c r="I175" s="7" t="s">
        <v>1978</v>
      </c>
      <c r="J175" s="7" t="s">
        <v>5795</v>
      </c>
      <c r="K175" s="7" t="s">
        <v>5796</v>
      </c>
      <c r="L175" s="7" t="s">
        <v>5797</v>
      </c>
      <c r="M175" s="7" t="s">
        <v>2064</v>
      </c>
      <c r="N175" s="9">
        <v>45278</v>
      </c>
      <c r="O175" s="9"/>
      <c r="P175" s="7" t="s">
        <v>2090</v>
      </c>
      <c r="Q175" s="7" t="s">
        <v>1978</v>
      </c>
      <c r="R175" s="7" t="s">
        <v>5798</v>
      </c>
      <c r="S175" s="7" t="s">
        <v>5799</v>
      </c>
      <c r="T175" s="7" t="s">
        <v>2067</v>
      </c>
      <c r="U175" s="7" t="s">
        <v>2093</v>
      </c>
      <c r="V175" s="7" t="s">
        <v>2067</v>
      </c>
      <c r="W175" s="7" t="s">
        <v>2069</v>
      </c>
    </row>
    <row r="176" spans="1:23" ht="20.100000000000001" customHeight="1" x14ac:dyDescent="0.25">
      <c r="A176" s="3" t="s">
        <v>5811</v>
      </c>
      <c r="B176" s="4" t="s">
        <v>2084</v>
      </c>
      <c r="C176" s="4" t="s">
        <v>5812</v>
      </c>
      <c r="D176" s="4" t="s">
        <v>2059</v>
      </c>
      <c r="E176" s="4" t="s">
        <v>1947</v>
      </c>
      <c r="F176" s="4" t="s">
        <v>1948</v>
      </c>
      <c r="G176" s="4" t="s">
        <v>2084</v>
      </c>
      <c r="H176" s="4" t="s">
        <v>1977</v>
      </c>
      <c r="I176" s="4" t="s">
        <v>1978</v>
      </c>
      <c r="J176" s="4" t="s">
        <v>5813</v>
      </c>
      <c r="K176" s="4" t="s">
        <v>5814</v>
      </c>
      <c r="L176" s="4" t="s">
        <v>5815</v>
      </c>
      <c r="M176" s="4" t="s">
        <v>2078</v>
      </c>
      <c r="N176" s="8">
        <v>45992</v>
      </c>
      <c r="O176" s="8">
        <v>46356</v>
      </c>
      <c r="P176" s="4" t="s">
        <v>2090</v>
      </c>
      <c r="Q176" s="4" t="s">
        <v>1978</v>
      </c>
      <c r="R176" s="4" t="s">
        <v>5816</v>
      </c>
      <c r="S176" s="4" t="s">
        <v>5817</v>
      </c>
      <c r="T176" s="4" t="s">
        <v>2067</v>
      </c>
      <c r="U176" s="4" t="s">
        <v>2146</v>
      </c>
      <c r="V176" s="4" t="s">
        <v>2067</v>
      </c>
      <c r="W176" s="4" t="s">
        <v>2069</v>
      </c>
    </row>
    <row r="177" spans="1:23" ht="20.100000000000001" customHeight="1" x14ac:dyDescent="0.25">
      <c r="A177" s="6" t="s">
        <v>1975</v>
      </c>
      <c r="B177" s="7" t="s">
        <v>2084</v>
      </c>
      <c r="C177" s="7" t="s">
        <v>1976</v>
      </c>
      <c r="D177" s="7" t="s">
        <v>2059</v>
      </c>
      <c r="E177" s="7" t="s">
        <v>1979</v>
      </c>
      <c r="F177" s="7" t="s">
        <v>1980</v>
      </c>
      <c r="G177" s="7" t="s">
        <v>2084</v>
      </c>
      <c r="H177" s="7" t="s">
        <v>1977</v>
      </c>
      <c r="I177" s="7" t="s">
        <v>1978</v>
      </c>
      <c r="J177" s="7" t="s">
        <v>5823</v>
      </c>
      <c r="K177" s="7" t="s">
        <v>5824</v>
      </c>
      <c r="L177" s="7" t="s">
        <v>5825</v>
      </c>
      <c r="M177" s="7" t="s">
        <v>2078</v>
      </c>
      <c r="N177" s="9">
        <v>45992</v>
      </c>
      <c r="O177" s="9">
        <v>46356</v>
      </c>
      <c r="P177" s="7" t="s">
        <v>1980</v>
      </c>
      <c r="Q177" s="7" t="s">
        <v>1978</v>
      </c>
      <c r="R177" s="7" t="s">
        <v>5826</v>
      </c>
      <c r="S177" s="7" t="s">
        <v>5827</v>
      </c>
      <c r="T177" s="7" t="s">
        <v>2067</v>
      </c>
      <c r="U177" s="7" t="s">
        <v>2299</v>
      </c>
      <c r="V177" s="7" t="s">
        <v>2067</v>
      </c>
      <c r="W177" s="7" t="s">
        <v>2069</v>
      </c>
    </row>
    <row r="178" spans="1:23" ht="20.100000000000001" customHeight="1" x14ac:dyDescent="0.25">
      <c r="A178" s="3" t="s">
        <v>5828</v>
      </c>
      <c r="B178" s="4" t="s">
        <v>2084</v>
      </c>
      <c r="C178" s="4" t="s">
        <v>5829</v>
      </c>
      <c r="D178" s="4" t="s">
        <v>2059</v>
      </c>
      <c r="E178" s="4" t="s">
        <v>2111</v>
      </c>
      <c r="F178" s="4" t="s">
        <v>2112</v>
      </c>
      <c r="G178" s="4" t="s">
        <v>2084</v>
      </c>
      <c r="H178" s="4" t="s">
        <v>1977</v>
      </c>
      <c r="I178" s="4" t="s">
        <v>1978</v>
      </c>
      <c r="J178" s="4" t="s">
        <v>5830</v>
      </c>
      <c r="K178" s="4" t="s">
        <v>5831</v>
      </c>
      <c r="L178" s="4" t="s">
        <v>5832</v>
      </c>
      <c r="M178" s="4" t="s">
        <v>2078</v>
      </c>
      <c r="N178" s="8">
        <v>45992</v>
      </c>
      <c r="O178" s="8">
        <v>46356</v>
      </c>
      <c r="P178" s="4" t="s">
        <v>2112</v>
      </c>
      <c r="Q178" s="4" t="s">
        <v>1978</v>
      </c>
      <c r="R178" s="4" t="s">
        <v>5833</v>
      </c>
      <c r="S178" s="4" t="s">
        <v>5834</v>
      </c>
      <c r="T178" s="4" t="s">
        <v>2067</v>
      </c>
      <c r="U178" s="4" t="s">
        <v>2119</v>
      </c>
      <c r="V178" s="4" t="s">
        <v>2067</v>
      </c>
      <c r="W178" s="4" t="s">
        <v>2069</v>
      </c>
    </row>
    <row r="179" spans="1:23" ht="20.100000000000001" customHeight="1" x14ac:dyDescent="0.25">
      <c r="A179" s="6" t="s">
        <v>5873</v>
      </c>
      <c r="B179" s="7" t="s">
        <v>2084</v>
      </c>
      <c r="C179" s="7" t="s">
        <v>5874</v>
      </c>
      <c r="D179" s="7" t="s">
        <v>2059</v>
      </c>
      <c r="E179" s="7" t="s">
        <v>2673</v>
      </c>
      <c r="F179" s="7" t="s">
        <v>2674</v>
      </c>
      <c r="G179" s="7" t="s">
        <v>2084</v>
      </c>
      <c r="H179" s="7" t="s">
        <v>5779</v>
      </c>
      <c r="I179" s="7" t="s">
        <v>1978</v>
      </c>
      <c r="J179" s="7" t="s">
        <v>5875</v>
      </c>
      <c r="K179" s="7" t="s">
        <v>5876</v>
      </c>
      <c r="L179" s="7" t="s">
        <v>5877</v>
      </c>
      <c r="M179" s="7" t="s">
        <v>2078</v>
      </c>
      <c r="N179" s="9">
        <v>45992</v>
      </c>
      <c r="O179" s="9">
        <v>46356</v>
      </c>
      <c r="P179" s="7" t="s">
        <v>2674</v>
      </c>
      <c r="Q179" s="7" t="s">
        <v>1978</v>
      </c>
      <c r="R179" s="7" t="s">
        <v>5878</v>
      </c>
      <c r="S179" s="7" t="s">
        <v>5879</v>
      </c>
      <c r="T179" s="7" t="s">
        <v>2067</v>
      </c>
      <c r="U179" s="7" t="s">
        <v>2680</v>
      </c>
      <c r="V179" s="7" t="s">
        <v>2067</v>
      </c>
      <c r="W179" s="7" t="s">
        <v>2069</v>
      </c>
    </row>
    <row r="180" spans="1:23" ht="20.100000000000001" customHeight="1" x14ac:dyDescent="0.25">
      <c r="A180" s="3" t="s">
        <v>5910</v>
      </c>
      <c r="B180" s="4" t="s">
        <v>2084</v>
      </c>
      <c r="C180" s="4" t="s">
        <v>5911</v>
      </c>
      <c r="D180" s="4" t="s">
        <v>2059</v>
      </c>
      <c r="E180" s="4" t="s">
        <v>2131</v>
      </c>
      <c r="F180" s="4" t="s">
        <v>2132</v>
      </c>
      <c r="G180" s="4" t="s">
        <v>2084</v>
      </c>
      <c r="H180" s="4" t="s">
        <v>1977</v>
      </c>
      <c r="I180" s="4" t="s">
        <v>1978</v>
      </c>
      <c r="J180" s="4" t="s">
        <v>5912</v>
      </c>
      <c r="K180" s="4" t="s">
        <v>5913</v>
      </c>
      <c r="L180" s="4" t="s">
        <v>5914</v>
      </c>
      <c r="M180" s="4" t="s">
        <v>2078</v>
      </c>
      <c r="N180" s="8">
        <v>45992</v>
      </c>
      <c r="O180" s="8">
        <v>46356</v>
      </c>
      <c r="P180" s="4" t="s">
        <v>2132</v>
      </c>
      <c r="Q180" s="4" t="s">
        <v>1978</v>
      </c>
      <c r="R180" s="4" t="s">
        <v>5915</v>
      </c>
      <c r="S180" s="4" t="s">
        <v>5916</v>
      </c>
      <c r="T180" s="4" t="s">
        <v>2067</v>
      </c>
      <c r="U180" s="4" t="s">
        <v>2138</v>
      </c>
      <c r="V180" s="4" t="s">
        <v>2067</v>
      </c>
      <c r="W180" s="4" t="s">
        <v>2069</v>
      </c>
    </row>
    <row r="181" spans="1:23" ht="20.100000000000001" customHeight="1" x14ac:dyDescent="0.25">
      <c r="A181" s="6" t="s">
        <v>5967</v>
      </c>
      <c r="B181" s="7" t="s">
        <v>2084</v>
      </c>
      <c r="C181" s="7" t="s">
        <v>5968</v>
      </c>
      <c r="D181" s="7" t="s">
        <v>2059</v>
      </c>
      <c r="E181" s="7" t="s">
        <v>2111</v>
      </c>
      <c r="F181" s="7" t="s">
        <v>2112</v>
      </c>
      <c r="G181" s="7" t="s">
        <v>2084</v>
      </c>
      <c r="H181" s="7" t="s">
        <v>1977</v>
      </c>
      <c r="I181" s="7" t="s">
        <v>1978</v>
      </c>
      <c r="J181" s="7" t="s">
        <v>5969</v>
      </c>
      <c r="K181" s="7" t="s">
        <v>5970</v>
      </c>
      <c r="L181" s="7" t="s">
        <v>5971</v>
      </c>
      <c r="M181" s="7" t="s">
        <v>2078</v>
      </c>
      <c r="N181" s="9">
        <v>45992</v>
      </c>
      <c r="O181" s="9">
        <v>46356</v>
      </c>
      <c r="P181" s="7" t="s">
        <v>2112</v>
      </c>
      <c r="Q181" s="7" t="s">
        <v>1978</v>
      </c>
      <c r="R181" s="7" t="s">
        <v>5972</v>
      </c>
      <c r="S181" s="7" t="s">
        <v>5973</v>
      </c>
      <c r="T181" s="7" t="s">
        <v>2067</v>
      </c>
      <c r="U181" s="7" t="s">
        <v>2119</v>
      </c>
      <c r="V181" s="7" t="s">
        <v>2067</v>
      </c>
      <c r="W181" s="7" t="s">
        <v>2069</v>
      </c>
    </row>
    <row r="182" spans="1:23" ht="20.100000000000001" customHeight="1" x14ac:dyDescent="0.25">
      <c r="A182" s="3" t="s">
        <v>5974</v>
      </c>
      <c r="B182" s="4" t="s">
        <v>2084</v>
      </c>
      <c r="C182" s="4" t="s">
        <v>5975</v>
      </c>
      <c r="D182" s="4" t="s">
        <v>2059</v>
      </c>
      <c r="E182" s="4" t="s">
        <v>2131</v>
      </c>
      <c r="F182" s="4" t="s">
        <v>2132</v>
      </c>
      <c r="G182" s="4" t="s">
        <v>2084</v>
      </c>
      <c r="H182" s="4" t="s">
        <v>1977</v>
      </c>
      <c r="I182" s="4" t="s">
        <v>1978</v>
      </c>
      <c r="J182" s="4" t="s">
        <v>5976</v>
      </c>
      <c r="K182" s="4" t="s">
        <v>5977</v>
      </c>
      <c r="L182" s="4" t="s">
        <v>5978</v>
      </c>
      <c r="M182" s="4" t="s">
        <v>2078</v>
      </c>
      <c r="N182" s="8">
        <v>46234</v>
      </c>
      <c r="O182" s="8">
        <v>46356</v>
      </c>
      <c r="P182" s="4" t="s">
        <v>2132</v>
      </c>
      <c r="Q182" s="4" t="s">
        <v>1978</v>
      </c>
      <c r="R182" s="4" t="s">
        <v>3711</v>
      </c>
      <c r="S182" s="4" t="s">
        <v>5979</v>
      </c>
      <c r="T182" s="4" t="s">
        <v>2067</v>
      </c>
      <c r="U182" s="4" t="s">
        <v>2138</v>
      </c>
      <c r="V182" s="4" t="s">
        <v>2067</v>
      </c>
      <c r="W182" s="4" t="s">
        <v>2069</v>
      </c>
    </row>
    <row r="183" spans="1:23" ht="20.100000000000001" customHeight="1" x14ac:dyDescent="0.25">
      <c r="A183" s="6" t="s">
        <v>2001</v>
      </c>
      <c r="B183" s="7" t="s">
        <v>2057</v>
      </c>
      <c r="C183" s="7" t="s">
        <v>2002</v>
      </c>
      <c r="D183" s="7" t="s">
        <v>2059</v>
      </c>
      <c r="E183" s="7" t="s">
        <v>1947</v>
      </c>
      <c r="F183" s="7" t="s">
        <v>1948</v>
      </c>
      <c r="G183" s="7" t="s">
        <v>2057</v>
      </c>
      <c r="H183" s="7" t="s">
        <v>2003</v>
      </c>
      <c r="I183" s="7" t="s">
        <v>1978</v>
      </c>
      <c r="J183" s="7" t="s">
        <v>5985</v>
      </c>
      <c r="K183" s="7" t="s">
        <v>5986</v>
      </c>
      <c r="L183" s="7" t="s">
        <v>5987</v>
      </c>
      <c r="M183" s="7" t="s">
        <v>2078</v>
      </c>
      <c r="N183" s="9">
        <v>46234</v>
      </c>
      <c r="O183" s="9">
        <v>46356</v>
      </c>
      <c r="P183" s="7" t="s">
        <v>2090</v>
      </c>
      <c r="Q183" s="7" t="s">
        <v>1978</v>
      </c>
      <c r="R183" s="7" t="s">
        <v>5988</v>
      </c>
      <c r="S183" s="7" t="s">
        <v>5989</v>
      </c>
      <c r="T183" s="7" t="s">
        <v>2067</v>
      </c>
      <c r="U183" s="7" t="s">
        <v>2146</v>
      </c>
      <c r="V183" s="7" t="s">
        <v>2067</v>
      </c>
      <c r="W183" s="7" t="s">
        <v>2069</v>
      </c>
    </row>
    <row r="184" spans="1:23" ht="20.100000000000001" customHeight="1" x14ac:dyDescent="0.25">
      <c r="A184" s="3" t="s">
        <v>5990</v>
      </c>
      <c r="B184" s="4" t="s">
        <v>2057</v>
      </c>
      <c r="C184" s="4" t="s">
        <v>5991</v>
      </c>
      <c r="D184" s="4" t="s">
        <v>2059</v>
      </c>
      <c r="E184" s="4" t="s">
        <v>1947</v>
      </c>
      <c r="F184" s="4" t="s">
        <v>1948</v>
      </c>
      <c r="G184" s="4" t="s">
        <v>2057</v>
      </c>
      <c r="H184" s="4" t="s">
        <v>5749</v>
      </c>
      <c r="I184" s="4" t="s">
        <v>1978</v>
      </c>
      <c r="J184" s="4" t="s">
        <v>5992</v>
      </c>
      <c r="K184" s="4" t="s">
        <v>5993</v>
      </c>
      <c r="L184" s="4" t="s">
        <v>5994</v>
      </c>
      <c r="M184" s="4" t="s">
        <v>2078</v>
      </c>
      <c r="N184" s="8">
        <v>46052</v>
      </c>
      <c r="O184" s="8">
        <v>46355</v>
      </c>
      <c r="P184" s="4" t="s">
        <v>2090</v>
      </c>
      <c r="Q184" s="4" t="s">
        <v>1978</v>
      </c>
      <c r="R184" s="4" t="s">
        <v>5995</v>
      </c>
      <c r="S184" s="4" t="s">
        <v>5996</v>
      </c>
      <c r="T184" s="4" t="s">
        <v>2067</v>
      </c>
      <c r="U184" s="4" t="s">
        <v>2146</v>
      </c>
      <c r="V184" s="4" t="s">
        <v>2067</v>
      </c>
      <c r="W184" s="4" t="s">
        <v>2069</v>
      </c>
    </row>
    <row r="185" spans="1:23" ht="20.100000000000001" customHeight="1" x14ac:dyDescent="0.25">
      <c r="A185" s="6" t="s">
        <v>5997</v>
      </c>
      <c r="B185" s="7" t="s">
        <v>2084</v>
      </c>
      <c r="C185" s="7" t="s">
        <v>5998</v>
      </c>
      <c r="D185" s="7" t="s">
        <v>2059</v>
      </c>
      <c r="E185" s="7" t="s">
        <v>1983</v>
      </c>
      <c r="F185" s="7" t="s">
        <v>1984</v>
      </c>
      <c r="G185" s="7" t="s">
        <v>2084</v>
      </c>
      <c r="H185" s="7" t="s">
        <v>5881</v>
      </c>
      <c r="I185" s="7" t="s">
        <v>1978</v>
      </c>
      <c r="J185" s="7" t="s">
        <v>5999</v>
      </c>
      <c r="K185" s="7" t="s">
        <v>6000</v>
      </c>
      <c r="L185" s="7" t="s">
        <v>6001</v>
      </c>
      <c r="M185" s="7" t="s">
        <v>2064</v>
      </c>
      <c r="N185" s="9">
        <v>45687</v>
      </c>
      <c r="O185" s="9"/>
      <c r="P185" s="7" t="s">
        <v>2493</v>
      </c>
      <c r="Q185" s="7" t="s">
        <v>1978</v>
      </c>
      <c r="R185" s="7" t="s">
        <v>6002</v>
      </c>
      <c r="S185" s="7" t="s">
        <v>6003</v>
      </c>
      <c r="T185" s="7" t="s">
        <v>2067</v>
      </c>
      <c r="U185" s="7" t="s">
        <v>2496</v>
      </c>
      <c r="V185" s="7" t="s">
        <v>2067</v>
      </c>
      <c r="W185" s="7" t="s">
        <v>2069</v>
      </c>
    </row>
    <row r="186" spans="1:23" ht="20.100000000000001" customHeight="1" x14ac:dyDescent="0.25">
      <c r="A186" s="3" t="s">
        <v>6034</v>
      </c>
      <c r="B186" s="4" t="s">
        <v>2084</v>
      </c>
      <c r="C186" s="4" t="s">
        <v>6035</v>
      </c>
      <c r="D186" s="4" t="s">
        <v>2059</v>
      </c>
      <c r="E186" s="4" t="s">
        <v>1947</v>
      </c>
      <c r="F186" s="4" t="s">
        <v>1948</v>
      </c>
      <c r="G186" s="4" t="s">
        <v>2084</v>
      </c>
      <c r="H186" s="4" t="s">
        <v>1977</v>
      </c>
      <c r="I186" s="4" t="s">
        <v>1978</v>
      </c>
      <c r="J186" s="4" t="s">
        <v>6036</v>
      </c>
      <c r="K186" s="4" t="s">
        <v>6037</v>
      </c>
      <c r="L186" s="4" t="s">
        <v>6038</v>
      </c>
      <c r="M186" s="4" t="s">
        <v>2078</v>
      </c>
      <c r="N186" s="8">
        <v>45992</v>
      </c>
      <c r="O186" s="8">
        <v>46356</v>
      </c>
      <c r="P186" s="4" t="s">
        <v>2090</v>
      </c>
      <c r="Q186" s="4" t="s">
        <v>1978</v>
      </c>
      <c r="R186" s="4" t="s">
        <v>6039</v>
      </c>
      <c r="S186" s="4" t="s">
        <v>6040</v>
      </c>
      <c r="T186" s="4" t="s">
        <v>2067</v>
      </c>
      <c r="U186" s="4" t="s">
        <v>2146</v>
      </c>
      <c r="V186" s="4" t="s">
        <v>2067</v>
      </c>
      <c r="W186" s="4" t="s">
        <v>2069</v>
      </c>
    </row>
    <row r="187" spans="1:23" ht="20.100000000000001" customHeight="1" x14ac:dyDescent="0.25">
      <c r="A187" s="6" t="s">
        <v>6048</v>
      </c>
      <c r="B187" s="7" t="s">
        <v>2057</v>
      </c>
      <c r="C187" s="7" t="s">
        <v>6049</v>
      </c>
      <c r="D187" s="7" t="s">
        <v>2059</v>
      </c>
      <c r="E187" s="7" t="s">
        <v>2189</v>
      </c>
      <c r="F187" s="7" t="s">
        <v>2190</v>
      </c>
      <c r="G187" s="7" t="s">
        <v>2057</v>
      </c>
      <c r="H187" s="7" t="s">
        <v>2003</v>
      </c>
      <c r="I187" s="7" t="s">
        <v>1978</v>
      </c>
      <c r="J187" s="7" t="s">
        <v>6050</v>
      </c>
      <c r="K187" s="7" t="s">
        <v>6051</v>
      </c>
      <c r="L187" s="7" t="s">
        <v>6052</v>
      </c>
      <c r="M187" s="7" t="s">
        <v>2078</v>
      </c>
      <c r="N187" s="9">
        <v>46052</v>
      </c>
      <c r="O187" s="9">
        <v>46355</v>
      </c>
      <c r="P187" s="7" t="s">
        <v>2195</v>
      </c>
      <c r="Q187" s="7" t="s">
        <v>1978</v>
      </c>
      <c r="R187" s="7" t="s">
        <v>6053</v>
      </c>
      <c r="S187" s="7" t="s">
        <v>6054</v>
      </c>
      <c r="T187" s="7" t="s">
        <v>2067</v>
      </c>
      <c r="U187" s="7" t="s">
        <v>2198</v>
      </c>
      <c r="V187" s="7" t="s">
        <v>2067</v>
      </c>
      <c r="W187" s="7" t="s">
        <v>2069</v>
      </c>
    </row>
    <row r="188" spans="1:23" ht="20.100000000000001" customHeight="1" x14ac:dyDescent="0.25">
      <c r="A188" s="3" t="s">
        <v>6061</v>
      </c>
      <c r="B188" s="4" t="s">
        <v>2057</v>
      </c>
      <c r="C188" s="4" t="s">
        <v>6062</v>
      </c>
      <c r="D188" s="4" t="s">
        <v>2059</v>
      </c>
      <c r="E188" s="4" t="s">
        <v>1947</v>
      </c>
      <c r="F188" s="4" t="s">
        <v>1948</v>
      </c>
      <c r="G188" s="4" t="s">
        <v>2057</v>
      </c>
      <c r="H188" s="4" t="s">
        <v>2003</v>
      </c>
      <c r="I188" s="4" t="s">
        <v>1978</v>
      </c>
      <c r="J188" s="4" t="s">
        <v>6063</v>
      </c>
      <c r="K188" s="4" t="s">
        <v>6064</v>
      </c>
      <c r="L188" s="4" t="s">
        <v>6065</v>
      </c>
      <c r="M188" s="4" t="s">
        <v>2078</v>
      </c>
      <c r="N188" s="8">
        <v>46052</v>
      </c>
      <c r="O188" s="8">
        <v>46355</v>
      </c>
      <c r="P188" s="4" t="s">
        <v>2090</v>
      </c>
      <c r="Q188" s="4" t="s">
        <v>1978</v>
      </c>
      <c r="R188" s="4" t="s">
        <v>3383</v>
      </c>
      <c r="S188" s="4" t="s">
        <v>6066</v>
      </c>
      <c r="T188" s="4" t="s">
        <v>2067</v>
      </c>
      <c r="U188" s="4" t="s">
        <v>3437</v>
      </c>
      <c r="V188" s="4" t="s">
        <v>2067</v>
      </c>
      <c r="W188" s="4" t="s">
        <v>2069</v>
      </c>
    </row>
    <row r="189" spans="1:23" ht="20.100000000000001" customHeight="1" x14ac:dyDescent="0.25">
      <c r="A189" s="6" t="s">
        <v>6078</v>
      </c>
      <c r="B189" s="7" t="s">
        <v>2057</v>
      </c>
      <c r="C189" s="7" t="s">
        <v>6079</v>
      </c>
      <c r="D189" s="7" t="s">
        <v>2059</v>
      </c>
      <c r="E189" s="7" t="s">
        <v>1947</v>
      </c>
      <c r="F189" s="7" t="s">
        <v>1948</v>
      </c>
      <c r="G189" s="7" t="s">
        <v>2057</v>
      </c>
      <c r="H189" s="7" t="s">
        <v>5749</v>
      </c>
      <c r="I189" s="7" t="s">
        <v>1978</v>
      </c>
      <c r="J189" s="7" t="s">
        <v>6080</v>
      </c>
      <c r="K189" s="7" t="s">
        <v>6081</v>
      </c>
      <c r="L189" s="7" t="s">
        <v>6082</v>
      </c>
      <c r="M189" s="7" t="s">
        <v>2078</v>
      </c>
      <c r="N189" s="9">
        <v>46234</v>
      </c>
      <c r="O189" s="9">
        <v>46356</v>
      </c>
      <c r="P189" s="7" t="s">
        <v>2090</v>
      </c>
      <c r="Q189" s="7" t="s">
        <v>1978</v>
      </c>
      <c r="R189" s="7" t="s">
        <v>6083</v>
      </c>
      <c r="S189" s="7" t="s">
        <v>6084</v>
      </c>
      <c r="T189" s="7" t="s">
        <v>2067</v>
      </c>
      <c r="U189" s="7" t="s">
        <v>2146</v>
      </c>
      <c r="V189" s="7" t="s">
        <v>2067</v>
      </c>
      <c r="W189" s="7" t="s">
        <v>2069</v>
      </c>
    </row>
    <row r="190" spans="1:23" ht="20.100000000000001" customHeight="1" x14ac:dyDescent="0.25">
      <c r="A190" s="3" t="s">
        <v>6085</v>
      </c>
      <c r="B190" s="4" t="s">
        <v>2057</v>
      </c>
      <c r="C190" s="4" t="s">
        <v>6086</v>
      </c>
      <c r="D190" s="4" t="s">
        <v>2059</v>
      </c>
      <c r="E190" s="4" t="s">
        <v>2189</v>
      </c>
      <c r="F190" s="4" t="s">
        <v>2190</v>
      </c>
      <c r="G190" s="4" t="s">
        <v>2057</v>
      </c>
      <c r="H190" s="4" t="s">
        <v>5842</v>
      </c>
      <c r="I190" s="4" t="s">
        <v>1978</v>
      </c>
      <c r="J190" s="4" t="s">
        <v>6087</v>
      </c>
      <c r="K190" s="4" t="s">
        <v>6088</v>
      </c>
      <c r="L190" s="4" t="s">
        <v>6089</v>
      </c>
      <c r="M190" s="4" t="s">
        <v>2078</v>
      </c>
      <c r="N190" s="8">
        <v>46052</v>
      </c>
      <c r="O190" s="8">
        <v>46355</v>
      </c>
      <c r="P190" s="4" t="s">
        <v>2195</v>
      </c>
      <c r="Q190" s="4" t="s">
        <v>1978</v>
      </c>
      <c r="R190" s="4" t="s">
        <v>6090</v>
      </c>
      <c r="S190" s="4" t="s">
        <v>6091</v>
      </c>
      <c r="T190" s="4" t="s">
        <v>2067</v>
      </c>
      <c r="U190" s="4" t="s">
        <v>2198</v>
      </c>
      <c r="V190" s="4" t="s">
        <v>2067</v>
      </c>
      <c r="W190" s="4" t="s">
        <v>2069</v>
      </c>
    </row>
    <row r="191" spans="1:23" ht="20.100000000000001" customHeight="1" x14ac:dyDescent="0.25">
      <c r="A191" s="6" t="s">
        <v>6126</v>
      </c>
      <c r="B191" s="7" t="s">
        <v>2057</v>
      </c>
      <c r="C191" s="7" t="s">
        <v>6127</v>
      </c>
      <c r="D191" s="7" t="s">
        <v>2059</v>
      </c>
      <c r="E191" s="7" t="s">
        <v>6128</v>
      </c>
      <c r="F191" s="7" t="s">
        <v>6129</v>
      </c>
      <c r="G191" s="7" t="s">
        <v>2057</v>
      </c>
      <c r="H191" s="7" t="s">
        <v>2003</v>
      </c>
      <c r="I191" s="7" t="s">
        <v>1978</v>
      </c>
      <c r="J191" s="7" t="s">
        <v>6130</v>
      </c>
      <c r="K191" s="7" t="s">
        <v>6131</v>
      </c>
      <c r="L191" s="7" t="s">
        <v>6132</v>
      </c>
      <c r="M191" s="7" t="s">
        <v>2078</v>
      </c>
      <c r="N191" s="9">
        <v>45992</v>
      </c>
      <c r="O191" s="9">
        <v>46356</v>
      </c>
      <c r="P191" s="7" t="s">
        <v>6129</v>
      </c>
      <c r="Q191" s="7" t="s">
        <v>1978</v>
      </c>
      <c r="R191" s="7" t="s">
        <v>6133</v>
      </c>
      <c r="S191" s="7" t="s">
        <v>6134</v>
      </c>
      <c r="T191" s="7" t="s">
        <v>2067</v>
      </c>
      <c r="U191" s="7" t="s">
        <v>6135</v>
      </c>
      <c r="V191" s="7" t="s">
        <v>2067</v>
      </c>
      <c r="W191" s="7" t="s">
        <v>2069</v>
      </c>
    </row>
    <row r="192" spans="1:23" ht="20.100000000000001" customHeight="1" x14ac:dyDescent="0.25">
      <c r="A192" s="3" t="s">
        <v>6217</v>
      </c>
      <c r="B192" s="4" t="s">
        <v>2057</v>
      </c>
      <c r="C192" s="4" t="s">
        <v>6218</v>
      </c>
      <c r="D192" s="4" t="s">
        <v>2059</v>
      </c>
      <c r="E192" s="4" t="s">
        <v>1947</v>
      </c>
      <c r="F192" s="4" t="s">
        <v>1948</v>
      </c>
      <c r="G192" s="4" t="s">
        <v>2057</v>
      </c>
      <c r="H192" s="4" t="s">
        <v>2003</v>
      </c>
      <c r="I192" s="4" t="s">
        <v>1978</v>
      </c>
      <c r="J192" s="4" t="s">
        <v>6219</v>
      </c>
      <c r="K192" s="4" t="s">
        <v>6220</v>
      </c>
      <c r="L192" s="4" t="s">
        <v>6221</v>
      </c>
      <c r="M192" s="4" t="s">
        <v>2078</v>
      </c>
      <c r="N192" s="8">
        <v>46234</v>
      </c>
      <c r="O192" s="8">
        <v>46356</v>
      </c>
      <c r="P192" s="4" t="s">
        <v>2090</v>
      </c>
      <c r="Q192" s="4" t="s">
        <v>1978</v>
      </c>
      <c r="R192" s="4" t="s">
        <v>2222</v>
      </c>
      <c r="S192" s="4" t="s">
        <v>6222</v>
      </c>
      <c r="T192" s="4" t="s">
        <v>2067</v>
      </c>
      <c r="U192" s="4" t="s">
        <v>2146</v>
      </c>
      <c r="V192" s="4" t="s">
        <v>2067</v>
      </c>
      <c r="W192" s="4" t="s">
        <v>2069</v>
      </c>
    </row>
    <row r="193" spans="1:23" ht="20.100000000000001" customHeight="1" x14ac:dyDescent="0.25">
      <c r="A193" s="6" t="s">
        <v>6314</v>
      </c>
      <c r="B193" s="7" t="s">
        <v>2084</v>
      </c>
      <c r="C193" s="7" t="s">
        <v>6315</v>
      </c>
      <c r="D193" s="7" t="s">
        <v>2059</v>
      </c>
      <c r="E193" s="7" t="s">
        <v>2111</v>
      </c>
      <c r="F193" s="7" t="s">
        <v>2112</v>
      </c>
      <c r="G193" s="7" t="s">
        <v>2084</v>
      </c>
      <c r="H193" s="7" t="s">
        <v>6316</v>
      </c>
      <c r="I193" s="7" t="s">
        <v>6309</v>
      </c>
      <c r="J193" s="7" t="s">
        <v>6317</v>
      </c>
      <c r="K193" s="7" t="s">
        <v>6318</v>
      </c>
      <c r="L193" s="7" t="s">
        <v>6319</v>
      </c>
      <c r="M193" s="7" t="s">
        <v>2078</v>
      </c>
      <c r="N193" s="9">
        <v>45992</v>
      </c>
      <c r="O193" s="9">
        <v>46356</v>
      </c>
      <c r="P193" s="7" t="s">
        <v>2112</v>
      </c>
      <c r="Q193" s="7" t="s">
        <v>6309</v>
      </c>
      <c r="R193" s="7" t="s">
        <v>6320</v>
      </c>
      <c r="S193" s="7" t="s">
        <v>6321</v>
      </c>
      <c r="T193" s="7" t="s">
        <v>2067</v>
      </c>
      <c r="U193" s="7" t="s">
        <v>2119</v>
      </c>
      <c r="V193" s="7" t="s">
        <v>2067</v>
      </c>
      <c r="W193" s="7" t="s">
        <v>2069</v>
      </c>
    </row>
    <row r="194" spans="1:23" ht="20.100000000000001" customHeight="1" x14ac:dyDescent="0.25">
      <c r="A194" s="3" t="s">
        <v>6322</v>
      </c>
      <c r="B194" s="4" t="s">
        <v>2084</v>
      </c>
      <c r="C194" s="4" t="s">
        <v>6323</v>
      </c>
      <c r="D194" s="4" t="s">
        <v>2059</v>
      </c>
      <c r="E194" s="4" t="s">
        <v>1979</v>
      </c>
      <c r="F194" s="4" t="s">
        <v>1980</v>
      </c>
      <c r="G194" s="4" t="s">
        <v>2084</v>
      </c>
      <c r="H194" s="4" t="s">
        <v>6308</v>
      </c>
      <c r="I194" s="4" t="s">
        <v>6309</v>
      </c>
      <c r="J194" s="4" t="s">
        <v>6324</v>
      </c>
      <c r="K194" s="4" t="s">
        <v>6325</v>
      </c>
      <c r="L194" s="4" t="s">
        <v>6326</v>
      </c>
      <c r="M194" s="4" t="s">
        <v>2078</v>
      </c>
      <c r="N194" s="8">
        <v>45992</v>
      </c>
      <c r="O194" s="8">
        <v>46356</v>
      </c>
      <c r="P194" s="4" t="s">
        <v>1980</v>
      </c>
      <c r="Q194" s="4" t="s">
        <v>6309</v>
      </c>
      <c r="R194" s="4" t="s">
        <v>6327</v>
      </c>
      <c r="S194" s="4" t="s">
        <v>6328</v>
      </c>
      <c r="T194" s="4" t="s">
        <v>2067</v>
      </c>
      <c r="U194" s="4" t="s">
        <v>2299</v>
      </c>
      <c r="V194" s="4" t="s">
        <v>2067</v>
      </c>
      <c r="W194" s="4" t="s">
        <v>2069</v>
      </c>
    </row>
    <row r="195" spans="1:23" ht="20.100000000000001" customHeight="1" x14ac:dyDescent="0.25">
      <c r="A195" s="6" t="s">
        <v>6329</v>
      </c>
      <c r="B195" s="7" t="s">
        <v>2084</v>
      </c>
      <c r="C195" s="7" t="s">
        <v>6330</v>
      </c>
      <c r="D195" s="7" t="s">
        <v>2059</v>
      </c>
      <c r="E195" s="7" t="s">
        <v>2131</v>
      </c>
      <c r="F195" s="7" t="s">
        <v>2132</v>
      </c>
      <c r="G195" s="7" t="s">
        <v>2084</v>
      </c>
      <c r="H195" s="7" t="s">
        <v>6331</v>
      </c>
      <c r="I195" s="7" t="s">
        <v>6309</v>
      </c>
      <c r="J195" s="7" t="s">
        <v>6332</v>
      </c>
      <c r="K195" s="7" t="s">
        <v>6333</v>
      </c>
      <c r="L195" s="7" t="s">
        <v>6334</v>
      </c>
      <c r="M195" s="7" t="s">
        <v>2078</v>
      </c>
      <c r="N195" s="9">
        <v>46108</v>
      </c>
      <c r="O195" s="9">
        <v>46356</v>
      </c>
      <c r="P195" s="7" t="s">
        <v>2132</v>
      </c>
      <c r="Q195" s="7" t="s">
        <v>6309</v>
      </c>
      <c r="R195" s="7" t="s">
        <v>6335</v>
      </c>
      <c r="S195" s="7" t="s">
        <v>6336</v>
      </c>
      <c r="T195" s="7" t="s">
        <v>2067</v>
      </c>
      <c r="U195" s="7" t="s">
        <v>2138</v>
      </c>
      <c r="V195" s="7" t="s">
        <v>2067</v>
      </c>
      <c r="W195" s="7" t="s">
        <v>2082</v>
      </c>
    </row>
    <row r="196" spans="1:23" ht="20.100000000000001" customHeight="1" x14ac:dyDescent="0.25">
      <c r="A196" s="3" t="s">
        <v>6337</v>
      </c>
      <c r="B196" s="4" t="s">
        <v>2084</v>
      </c>
      <c r="C196" s="4" t="s">
        <v>6338</v>
      </c>
      <c r="D196" s="4" t="s">
        <v>2059</v>
      </c>
      <c r="E196" s="4" t="s">
        <v>2673</v>
      </c>
      <c r="F196" s="4" t="s">
        <v>2674</v>
      </c>
      <c r="G196" s="4" t="s">
        <v>2084</v>
      </c>
      <c r="H196" s="4" t="s">
        <v>6339</v>
      </c>
      <c r="I196" s="4" t="s">
        <v>6309</v>
      </c>
      <c r="J196" s="4" t="s">
        <v>6340</v>
      </c>
      <c r="K196" s="4" t="s">
        <v>6341</v>
      </c>
      <c r="L196" s="4" t="s">
        <v>6342</v>
      </c>
      <c r="M196" s="4" t="s">
        <v>2078</v>
      </c>
      <c r="N196" s="8">
        <v>46126</v>
      </c>
      <c r="O196" s="8">
        <v>46356</v>
      </c>
      <c r="P196" s="4" t="s">
        <v>2674</v>
      </c>
      <c r="Q196" s="4" t="s">
        <v>6309</v>
      </c>
      <c r="R196" s="4" t="s">
        <v>6343</v>
      </c>
      <c r="S196" s="4" t="s">
        <v>6344</v>
      </c>
      <c r="T196" s="4" t="s">
        <v>2067</v>
      </c>
      <c r="U196" s="4" t="s">
        <v>2680</v>
      </c>
      <c r="V196" s="4" t="s">
        <v>2067</v>
      </c>
      <c r="W196" s="4" t="s">
        <v>2082</v>
      </c>
    </row>
    <row r="197" spans="1:23" ht="20.100000000000001" customHeight="1" x14ac:dyDescent="0.25">
      <c r="A197" s="6" t="s">
        <v>6363</v>
      </c>
      <c r="B197" s="7" t="s">
        <v>2084</v>
      </c>
      <c r="C197" s="7" t="s">
        <v>6364</v>
      </c>
      <c r="D197" s="7" t="s">
        <v>2059</v>
      </c>
      <c r="E197" s="7" t="s">
        <v>1947</v>
      </c>
      <c r="F197" s="7" t="s">
        <v>1948</v>
      </c>
      <c r="G197" s="7" t="s">
        <v>2084</v>
      </c>
      <c r="H197" s="7" t="s">
        <v>6365</v>
      </c>
      <c r="I197" s="7" t="s">
        <v>2000</v>
      </c>
      <c r="J197" s="7" t="s">
        <v>6366</v>
      </c>
      <c r="K197" s="7" t="s">
        <v>6367</v>
      </c>
      <c r="L197" s="7" t="s">
        <v>6368</v>
      </c>
      <c r="M197" s="7" t="s">
        <v>2078</v>
      </c>
      <c r="N197" s="9">
        <v>45992</v>
      </c>
      <c r="O197" s="9">
        <v>46356</v>
      </c>
      <c r="P197" s="7" t="s">
        <v>2090</v>
      </c>
      <c r="Q197" s="7" t="s">
        <v>2000</v>
      </c>
      <c r="R197" s="7" t="s">
        <v>6369</v>
      </c>
      <c r="S197" s="7" t="s">
        <v>6370</v>
      </c>
      <c r="T197" s="7" t="s">
        <v>2067</v>
      </c>
      <c r="U197" s="7" t="s">
        <v>2146</v>
      </c>
      <c r="V197" s="7" t="s">
        <v>2067</v>
      </c>
      <c r="W197" s="7" t="s">
        <v>2069</v>
      </c>
    </row>
    <row r="198" spans="1:23" ht="20.100000000000001" customHeight="1" x14ac:dyDescent="0.25">
      <c r="A198" s="3" t="s">
        <v>1997</v>
      </c>
      <c r="B198" s="4" t="s">
        <v>2084</v>
      </c>
      <c r="C198" s="4" t="s">
        <v>1998</v>
      </c>
      <c r="D198" s="4" t="s">
        <v>2059</v>
      </c>
      <c r="E198" s="4" t="s">
        <v>1947</v>
      </c>
      <c r="F198" s="4" t="s">
        <v>1948</v>
      </c>
      <c r="G198" s="4" t="s">
        <v>2084</v>
      </c>
      <c r="H198" s="4" t="s">
        <v>1999</v>
      </c>
      <c r="I198" s="4" t="s">
        <v>2000</v>
      </c>
      <c r="J198" s="4" t="s">
        <v>6371</v>
      </c>
      <c r="K198" s="4" t="s">
        <v>6372</v>
      </c>
      <c r="L198" s="4" t="s">
        <v>6373</v>
      </c>
      <c r="M198" s="4" t="s">
        <v>2078</v>
      </c>
      <c r="N198" s="8">
        <v>46052</v>
      </c>
      <c r="O198" s="8">
        <v>46355</v>
      </c>
      <c r="P198" s="4" t="s">
        <v>2090</v>
      </c>
      <c r="Q198" s="4" t="s">
        <v>2000</v>
      </c>
      <c r="R198" s="4" t="s">
        <v>4334</v>
      </c>
      <c r="S198" s="4" t="s">
        <v>6374</v>
      </c>
      <c r="T198" s="4" t="s">
        <v>2067</v>
      </c>
      <c r="U198" s="4" t="s">
        <v>2146</v>
      </c>
      <c r="V198" s="4" t="s">
        <v>2067</v>
      </c>
      <c r="W198" s="4" t="s">
        <v>2069</v>
      </c>
    </row>
    <row r="199" spans="1:23" ht="20.100000000000001" customHeight="1" x14ac:dyDescent="0.25">
      <c r="A199" s="6" t="s">
        <v>6393</v>
      </c>
      <c r="B199" s="7" t="s">
        <v>2084</v>
      </c>
      <c r="C199" s="7" t="s">
        <v>6394</v>
      </c>
      <c r="D199" s="7" t="s">
        <v>2059</v>
      </c>
      <c r="E199" s="7" t="s">
        <v>3064</v>
      </c>
      <c r="F199" s="7" t="s">
        <v>3065</v>
      </c>
      <c r="G199" s="7" t="s">
        <v>2084</v>
      </c>
      <c r="H199" s="7" t="s">
        <v>6395</v>
      </c>
      <c r="I199" s="7" t="s">
        <v>2000</v>
      </c>
      <c r="J199" s="7" t="s">
        <v>6396</v>
      </c>
      <c r="K199" s="7" t="s">
        <v>6397</v>
      </c>
      <c r="L199" s="7" t="s">
        <v>6398</v>
      </c>
      <c r="M199" s="7" t="s">
        <v>2078</v>
      </c>
      <c r="N199" s="9">
        <v>46234</v>
      </c>
      <c r="O199" s="9">
        <v>46356</v>
      </c>
      <c r="P199" s="7" t="s">
        <v>3065</v>
      </c>
      <c r="Q199" s="7" t="s">
        <v>2000</v>
      </c>
      <c r="R199" s="7" t="s">
        <v>6399</v>
      </c>
      <c r="S199" s="7" t="s">
        <v>6400</v>
      </c>
      <c r="T199" s="7" t="s">
        <v>2067</v>
      </c>
      <c r="U199" s="7" t="s">
        <v>3073</v>
      </c>
      <c r="V199" s="7" t="s">
        <v>2067</v>
      </c>
      <c r="W199" s="7" t="s">
        <v>2069</v>
      </c>
    </row>
    <row r="200" spans="1:23" ht="20.100000000000001" customHeight="1" x14ac:dyDescent="0.25">
      <c r="A200" s="3" t="s">
        <v>6425</v>
      </c>
      <c r="B200" s="4" t="s">
        <v>2084</v>
      </c>
      <c r="C200" s="4" t="s">
        <v>6426</v>
      </c>
      <c r="D200" s="4" t="s">
        <v>2059</v>
      </c>
      <c r="E200" s="4" t="s">
        <v>4160</v>
      </c>
      <c r="F200" s="4" t="s">
        <v>4161</v>
      </c>
      <c r="G200" s="4" t="s">
        <v>2084</v>
      </c>
      <c r="H200" s="4" t="s">
        <v>6395</v>
      </c>
      <c r="I200" s="4" t="s">
        <v>2000</v>
      </c>
      <c r="J200" s="4" t="s">
        <v>6427</v>
      </c>
      <c r="K200" s="4" t="s">
        <v>6428</v>
      </c>
      <c r="L200" s="4" t="s">
        <v>6429</v>
      </c>
      <c r="M200" s="4" t="s">
        <v>2078</v>
      </c>
      <c r="N200" s="8">
        <v>46108</v>
      </c>
      <c r="O200" s="8">
        <v>46356</v>
      </c>
      <c r="P200" s="4" t="s">
        <v>4161</v>
      </c>
      <c r="Q200" s="4" t="s">
        <v>2000</v>
      </c>
      <c r="R200" s="4" t="s">
        <v>6430</v>
      </c>
      <c r="S200" s="4" t="s">
        <v>6431</v>
      </c>
      <c r="T200" s="4" t="s">
        <v>2067</v>
      </c>
      <c r="U200" s="4" t="s">
        <v>4167</v>
      </c>
      <c r="V200" s="4" t="s">
        <v>2067</v>
      </c>
      <c r="W200" s="4" t="s">
        <v>2069</v>
      </c>
    </row>
    <row r="201" spans="1:23" ht="20.100000000000001" customHeight="1" x14ac:dyDescent="0.25">
      <c r="A201" s="6" t="s">
        <v>6444</v>
      </c>
      <c r="B201" s="7" t="s">
        <v>2084</v>
      </c>
      <c r="C201" s="7" t="s">
        <v>6445</v>
      </c>
      <c r="D201" s="7" t="s">
        <v>2059</v>
      </c>
      <c r="E201" s="7" t="s">
        <v>1947</v>
      </c>
      <c r="F201" s="7" t="s">
        <v>1948</v>
      </c>
      <c r="G201" s="7" t="s">
        <v>2084</v>
      </c>
      <c r="H201" s="7" t="s">
        <v>6376</v>
      </c>
      <c r="I201" s="7" t="s">
        <v>2000</v>
      </c>
      <c r="J201" s="7" t="s">
        <v>6446</v>
      </c>
      <c r="K201" s="7" t="s">
        <v>6447</v>
      </c>
      <c r="L201" s="7" t="s">
        <v>6448</v>
      </c>
      <c r="M201" s="7" t="s">
        <v>2078</v>
      </c>
      <c r="N201" s="9">
        <v>46234</v>
      </c>
      <c r="O201" s="9">
        <v>46356</v>
      </c>
      <c r="P201" s="7" t="s">
        <v>2090</v>
      </c>
      <c r="Q201" s="7" t="s">
        <v>2000</v>
      </c>
      <c r="R201" s="7" t="s">
        <v>6449</v>
      </c>
      <c r="S201" s="7" t="s">
        <v>6450</v>
      </c>
      <c r="T201" s="7" t="s">
        <v>2067</v>
      </c>
      <c r="U201" s="7" t="s">
        <v>2146</v>
      </c>
      <c r="V201" s="7" t="s">
        <v>2067</v>
      </c>
      <c r="W201" s="7" t="s">
        <v>2069</v>
      </c>
    </row>
    <row r="202" spans="1:23" ht="20.100000000000001" customHeight="1" x14ac:dyDescent="0.25">
      <c r="A202" s="3" t="s">
        <v>6510</v>
      </c>
      <c r="B202" s="4" t="s">
        <v>2084</v>
      </c>
      <c r="C202" s="4" t="s">
        <v>6511</v>
      </c>
      <c r="D202" s="4" t="s">
        <v>2059</v>
      </c>
      <c r="E202" s="4" t="s">
        <v>1947</v>
      </c>
      <c r="F202" s="4" t="s">
        <v>1948</v>
      </c>
      <c r="G202" s="4" t="s">
        <v>2084</v>
      </c>
      <c r="H202" s="4" t="s">
        <v>6512</v>
      </c>
      <c r="I202" s="4" t="s">
        <v>6490</v>
      </c>
      <c r="J202" s="4" t="s">
        <v>6513</v>
      </c>
      <c r="K202" s="4" t="s">
        <v>6514</v>
      </c>
      <c r="L202" s="4" t="s">
        <v>6515</v>
      </c>
      <c r="M202" s="4" t="s">
        <v>2078</v>
      </c>
      <c r="N202" s="8">
        <v>46000</v>
      </c>
      <c r="O202" s="8">
        <v>46355</v>
      </c>
      <c r="P202" s="4" t="s">
        <v>2090</v>
      </c>
      <c r="Q202" s="4" t="s">
        <v>6490</v>
      </c>
      <c r="R202" s="4" t="s">
        <v>6516</v>
      </c>
      <c r="S202" s="4" t="s">
        <v>6517</v>
      </c>
      <c r="T202" s="4" t="s">
        <v>2067</v>
      </c>
      <c r="U202" s="4" t="s">
        <v>2146</v>
      </c>
      <c r="V202" s="4" t="s">
        <v>2067</v>
      </c>
      <c r="W202" s="4" t="s">
        <v>2082</v>
      </c>
    </row>
    <row r="203" spans="1:23" ht="20.100000000000001" customHeight="1" x14ac:dyDescent="0.25">
      <c r="A203" s="6" t="s">
        <v>6518</v>
      </c>
      <c r="B203" s="7" t="s">
        <v>2084</v>
      </c>
      <c r="C203" s="7" t="s">
        <v>6519</v>
      </c>
      <c r="D203" s="7" t="s">
        <v>2059</v>
      </c>
      <c r="E203" s="7" t="s">
        <v>1947</v>
      </c>
      <c r="F203" s="7" t="s">
        <v>1948</v>
      </c>
      <c r="G203" s="7" t="s">
        <v>2084</v>
      </c>
      <c r="H203" s="7" t="s">
        <v>6520</v>
      </c>
      <c r="I203" s="7" t="s">
        <v>6521</v>
      </c>
      <c r="J203" s="7" t="s">
        <v>6522</v>
      </c>
      <c r="K203" s="7" t="s">
        <v>6523</v>
      </c>
      <c r="L203" s="7" t="s">
        <v>6524</v>
      </c>
      <c r="M203" s="7" t="s">
        <v>2078</v>
      </c>
      <c r="N203" s="9">
        <v>45981</v>
      </c>
      <c r="O203" s="9">
        <v>46341</v>
      </c>
      <c r="P203" s="7" t="s">
        <v>2090</v>
      </c>
      <c r="Q203" s="7" t="s">
        <v>6521</v>
      </c>
      <c r="R203" s="7" t="s">
        <v>6525</v>
      </c>
      <c r="S203" s="7" t="s">
        <v>6526</v>
      </c>
      <c r="T203" s="7" t="s">
        <v>2067</v>
      </c>
      <c r="U203" s="7" t="s">
        <v>2146</v>
      </c>
      <c r="V203" s="7" t="s">
        <v>2067</v>
      </c>
      <c r="W203" s="7" t="s">
        <v>2069</v>
      </c>
    </row>
    <row r="204" spans="1:23" ht="20.100000000000001" customHeight="1" x14ac:dyDescent="0.25">
      <c r="A204" s="3" t="s">
        <v>6546</v>
      </c>
      <c r="B204" s="4" t="s">
        <v>2084</v>
      </c>
      <c r="C204" s="4" t="s">
        <v>6547</v>
      </c>
      <c r="D204" s="4" t="s">
        <v>2059</v>
      </c>
      <c r="E204" s="4" t="s">
        <v>1947</v>
      </c>
      <c r="F204" s="4" t="s">
        <v>1948</v>
      </c>
      <c r="G204" s="4" t="s">
        <v>2084</v>
      </c>
      <c r="H204" s="4" t="s">
        <v>6534</v>
      </c>
      <c r="I204" s="4" t="s">
        <v>6521</v>
      </c>
      <c r="J204" s="4" t="s">
        <v>6548</v>
      </c>
      <c r="K204" s="4" t="s">
        <v>6549</v>
      </c>
      <c r="L204" s="4" t="s">
        <v>6550</v>
      </c>
      <c r="M204" s="4" t="s">
        <v>2078</v>
      </c>
      <c r="N204" s="8">
        <v>46234</v>
      </c>
      <c r="O204" s="8">
        <v>46356</v>
      </c>
      <c r="P204" s="4" t="s">
        <v>2090</v>
      </c>
      <c r="Q204" s="4" t="s">
        <v>6521</v>
      </c>
      <c r="R204" s="4" t="s">
        <v>2605</v>
      </c>
      <c r="S204" s="4" t="s">
        <v>6551</v>
      </c>
      <c r="T204" s="4" t="s">
        <v>2067</v>
      </c>
      <c r="U204" s="4" t="s">
        <v>2146</v>
      </c>
      <c r="V204" s="4" t="s">
        <v>2067</v>
      </c>
      <c r="W204" s="4" t="s">
        <v>2069</v>
      </c>
    </row>
    <row r="205" spans="1:23" ht="20.100000000000001" customHeight="1" x14ac:dyDescent="0.25">
      <c r="A205" s="6" t="s">
        <v>6560</v>
      </c>
      <c r="B205" s="7" t="s">
        <v>2084</v>
      </c>
      <c r="C205" s="7" t="s">
        <v>6561</v>
      </c>
      <c r="D205" s="7" t="s">
        <v>2059</v>
      </c>
      <c r="E205" s="7" t="s">
        <v>3520</v>
      </c>
      <c r="F205" s="7" t="s">
        <v>3521</v>
      </c>
      <c r="G205" s="7" t="s">
        <v>2084</v>
      </c>
      <c r="H205" s="7" t="s">
        <v>6562</v>
      </c>
      <c r="I205" s="7" t="s">
        <v>6554</v>
      </c>
      <c r="J205" s="7" t="s">
        <v>6563</v>
      </c>
      <c r="K205" s="7" t="s">
        <v>6564</v>
      </c>
      <c r="L205" s="7" t="s">
        <v>6565</v>
      </c>
      <c r="M205" s="7" t="s">
        <v>2078</v>
      </c>
      <c r="N205" s="9">
        <v>46234</v>
      </c>
      <c r="O205" s="9">
        <v>46356</v>
      </c>
      <c r="P205" s="7" t="s">
        <v>3521</v>
      </c>
      <c r="Q205" s="7" t="s">
        <v>6554</v>
      </c>
      <c r="R205" s="7" t="s">
        <v>6566</v>
      </c>
      <c r="S205" s="7" t="s">
        <v>6567</v>
      </c>
      <c r="T205" s="7" t="s">
        <v>2067</v>
      </c>
      <c r="U205" s="7" t="s">
        <v>3527</v>
      </c>
      <c r="V205" s="7" t="s">
        <v>2067</v>
      </c>
      <c r="W205" s="7" t="s">
        <v>2082</v>
      </c>
    </row>
    <row r="206" spans="1:23" ht="20.100000000000001" customHeight="1" x14ac:dyDescent="0.25">
      <c r="A206" s="3" t="s">
        <v>6588</v>
      </c>
      <c r="B206" s="4" t="s">
        <v>2084</v>
      </c>
      <c r="C206" s="4" t="s">
        <v>6589</v>
      </c>
      <c r="D206" s="4" t="s">
        <v>2059</v>
      </c>
      <c r="E206" s="4" t="s">
        <v>2131</v>
      </c>
      <c r="F206" s="4" t="s">
        <v>2132</v>
      </c>
      <c r="G206" s="4" t="s">
        <v>2084</v>
      </c>
      <c r="H206" s="4" t="s">
        <v>6569</v>
      </c>
      <c r="I206" s="4" t="s">
        <v>6554</v>
      </c>
      <c r="J206" s="4" t="s">
        <v>6590</v>
      </c>
      <c r="K206" s="4" t="s">
        <v>6591</v>
      </c>
      <c r="L206" s="4" t="s">
        <v>6592</v>
      </c>
      <c r="M206" s="4" t="s">
        <v>2078</v>
      </c>
      <c r="N206" s="8">
        <v>46108</v>
      </c>
      <c r="O206" s="8">
        <v>46356</v>
      </c>
      <c r="P206" s="4" t="s">
        <v>2132</v>
      </c>
      <c r="Q206" s="4" t="s">
        <v>6554</v>
      </c>
      <c r="R206" s="4" t="s">
        <v>6593</v>
      </c>
      <c r="S206" s="4" t="s">
        <v>6594</v>
      </c>
      <c r="T206" s="4" t="s">
        <v>2067</v>
      </c>
      <c r="U206" s="4" t="s">
        <v>2138</v>
      </c>
      <c r="V206" s="4" t="s">
        <v>2067</v>
      </c>
      <c r="W206" s="4" t="s">
        <v>2069</v>
      </c>
    </row>
    <row r="207" spans="1:23" ht="20.100000000000001" customHeight="1" x14ac:dyDescent="0.25">
      <c r="A207" s="6" t="s">
        <v>6595</v>
      </c>
      <c r="B207" s="7" t="s">
        <v>2084</v>
      </c>
      <c r="C207" s="7" t="s">
        <v>6596</v>
      </c>
      <c r="D207" s="7" t="s">
        <v>2059</v>
      </c>
      <c r="E207" s="7" t="s">
        <v>2131</v>
      </c>
      <c r="F207" s="7" t="s">
        <v>2132</v>
      </c>
      <c r="G207" s="7" t="s">
        <v>2084</v>
      </c>
      <c r="H207" s="7" t="s">
        <v>6597</v>
      </c>
      <c r="I207" s="7" t="s">
        <v>6598</v>
      </c>
      <c r="J207" s="7" t="s">
        <v>6599</v>
      </c>
      <c r="K207" s="7" t="s">
        <v>6600</v>
      </c>
      <c r="L207" s="7" t="s">
        <v>6601</v>
      </c>
      <c r="M207" s="7" t="s">
        <v>2078</v>
      </c>
      <c r="N207" s="9">
        <v>46234</v>
      </c>
      <c r="O207" s="9">
        <v>46356</v>
      </c>
      <c r="P207" s="7" t="s">
        <v>2132</v>
      </c>
      <c r="Q207" s="7" t="s">
        <v>6598</v>
      </c>
      <c r="R207" s="7" t="s">
        <v>2923</v>
      </c>
      <c r="S207" s="7" t="s">
        <v>6602</v>
      </c>
      <c r="T207" s="7" t="s">
        <v>2067</v>
      </c>
      <c r="U207" s="7" t="s">
        <v>2138</v>
      </c>
      <c r="V207" s="7" t="s">
        <v>2067</v>
      </c>
      <c r="W207" s="7" t="s">
        <v>2069</v>
      </c>
    </row>
    <row r="208" spans="1:23" ht="20.100000000000001" customHeight="1" x14ac:dyDescent="0.25">
      <c r="A208" s="3" t="s">
        <v>6673</v>
      </c>
      <c r="B208" s="4" t="s">
        <v>2084</v>
      </c>
      <c r="C208" s="4" t="s">
        <v>6674</v>
      </c>
      <c r="D208" s="4" t="s">
        <v>2059</v>
      </c>
      <c r="E208" s="4" t="s">
        <v>1947</v>
      </c>
      <c r="F208" s="4" t="s">
        <v>1948</v>
      </c>
      <c r="G208" s="4" t="s">
        <v>2084</v>
      </c>
      <c r="H208" s="4" t="s">
        <v>6629</v>
      </c>
      <c r="I208" s="4" t="s">
        <v>6623</v>
      </c>
      <c r="J208" s="4" t="s">
        <v>6675</v>
      </c>
      <c r="K208" s="4" t="s">
        <v>6676</v>
      </c>
      <c r="L208" s="4" t="s">
        <v>6677</v>
      </c>
      <c r="M208" s="4" t="s">
        <v>2078</v>
      </c>
      <c r="N208" s="8">
        <v>46234</v>
      </c>
      <c r="O208" s="8">
        <v>46356</v>
      </c>
      <c r="P208" s="4" t="s">
        <v>2195</v>
      </c>
      <c r="Q208" s="4" t="s">
        <v>6623</v>
      </c>
      <c r="R208" s="4" t="s">
        <v>6678</v>
      </c>
      <c r="S208" s="4" t="s">
        <v>6679</v>
      </c>
      <c r="T208" s="4" t="s">
        <v>2067</v>
      </c>
      <c r="U208" s="4" t="s">
        <v>2198</v>
      </c>
      <c r="V208" s="4" t="s">
        <v>2067</v>
      </c>
      <c r="W208" s="4" t="s">
        <v>2069</v>
      </c>
    </row>
    <row r="209" spans="1:23" ht="20.100000000000001" customHeight="1" x14ac:dyDescent="0.25">
      <c r="A209" s="6" t="s">
        <v>6685</v>
      </c>
      <c r="B209" s="7" t="s">
        <v>2084</v>
      </c>
      <c r="C209" s="7" t="s">
        <v>6686</v>
      </c>
      <c r="D209" s="7" t="s">
        <v>2059</v>
      </c>
      <c r="E209" s="7" t="s">
        <v>2189</v>
      </c>
      <c r="F209" s="7" t="s">
        <v>2190</v>
      </c>
      <c r="G209" s="7" t="s">
        <v>2084</v>
      </c>
      <c r="H209" s="7" t="s">
        <v>6687</v>
      </c>
      <c r="I209" s="7" t="s">
        <v>6688</v>
      </c>
      <c r="J209" s="7" t="s">
        <v>6689</v>
      </c>
      <c r="K209" s="7" t="s">
        <v>6690</v>
      </c>
      <c r="L209" s="7" t="s">
        <v>6691</v>
      </c>
      <c r="M209" s="7" t="s">
        <v>2078</v>
      </c>
      <c r="N209" s="9">
        <v>45992</v>
      </c>
      <c r="O209" s="9">
        <v>46356</v>
      </c>
      <c r="P209" s="7" t="s">
        <v>2195</v>
      </c>
      <c r="Q209" s="7" t="s">
        <v>6688</v>
      </c>
      <c r="R209" s="7" t="s">
        <v>6494</v>
      </c>
      <c r="S209" s="7" t="s">
        <v>6692</v>
      </c>
      <c r="T209" s="7" t="s">
        <v>2067</v>
      </c>
      <c r="U209" s="7" t="s">
        <v>2198</v>
      </c>
      <c r="V209" s="7" t="s">
        <v>2067</v>
      </c>
      <c r="W209" s="7" t="s">
        <v>2069</v>
      </c>
    </row>
    <row r="210" spans="1:23" ht="20.100000000000001" customHeight="1" x14ac:dyDescent="0.25">
      <c r="A210" s="3" t="s">
        <v>6693</v>
      </c>
      <c r="B210" s="4" t="s">
        <v>2084</v>
      </c>
      <c r="C210" s="4" t="s">
        <v>6694</v>
      </c>
      <c r="D210" s="4" t="s">
        <v>2059</v>
      </c>
      <c r="E210" s="4" t="s">
        <v>1947</v>
      </c>
      <c r="F210" s="4" t="s">
        <v>1948</v>
      </c>
      <c r="G210" s="4" t="s">
        <v>2084</v>
      </c>
      <c r="H210" s="4" t="s">
        <v>6695</v>
      </c>
      <c r="I210" s="4" t="s">
        <v>6688</v>
      </c>
      <c r="J210" s="4" t="s">
        <v>6696</v>
      </c>
      <c r="K210" s="4" t="s">
        <v>6697</v>
      </c>
      <c r="L210" s="4" t="s">
        <v>6698</v>
      </c>
      <c r="M210" s="4" t="s">
        <v>2078</v>
      </c>
      <c r="N210" s="8">
        <v>45992</v>
      </c>
      <c r="O210" s="8">
        <v>46356</v>
      </c>
      <c r="P210" s="4" t="s">
        <v>2090</v>
      </c>
      <c r="Q210" s="4" t="s">
        <v>6688</v>
      </c>
      <c r="R210" s="4" t="s">
        <v>6699</v>
      </c>
      <c r="S210" s="4" t="s">
        <v>6700</v>
      </c>
      <c r="T210" s="4" t="s">
        <v>2067</v>
      </c>
      <c r="U210" s="4" t="s">
        <v>2146</v>
      </c>
      <c r="V210" s="4" t="s">
        <v>2067</v>
      </c>
      <c r="W210" s="4" t="s">
        <v>2069</v>
      </c>
    </row>
    <row r="211" spans="1:23" ht="20.100000000000001" customHeight="1" x14ac:dyDescent="0.25">
      <c r="A211" s="6" t="s">
        <v>6719</v>
      </c>
      <c r="B211" s="7" t="s">
        <v>2084</v>
      </c>
      <c r="C211" s="7" t="s">
        <v>6720</v>
      </c>
      <c r="D211" s="7" t="s">
        <v>2059</v>
      </c>
      <c r="E211" s="7" t="s">
        <v>1947</v>
      </c>
      <c r="F211" s="7" t="s">
        <v>1948</v>
      </c>
      <c r="G211" s="7" t="s">
        <v>2084</v>
      </c>
      <c r="H211" s="7" t="s">
        <v>6721</v>
      </c>
      <c r="I211" s="7" t="s">
        <v>6722</v>
      </c>
      <c r="J211" s="7" t="s">
        <v>6723</v>
      </c>
      <c r="K211" s="7" t="s">
        <v>6724</v>
      </c>
      <c r="L211" s="7" t="s">
        <v>6725</v>
      </c>
      <c r="M211" s="7" t="s">
        <v>2078</v>
      </c>
      <c r="N211" s="9">
        <v>46234</v>
      </c>
      <c r="O211" s="9">
        <v>46356</v>
      </c>
      <c r="P211" s="7" t="s">
        <v>2090</v>
      </c>
      <c r="Q211" s="7" t="s">
        <v>6722</v>
      </c>
      <c r="R211" s="7" t="s">
        <v>4609</v>
      </c>
      <c r="S211" s="7" t="s">
        <v>6726</v>
      </c>
      <c r="T211" s="7" t="s">
        <v>2067</v>
      </c>
      <c r="U211" s="7" t="s">
        <v>2146</v>
      </c>
      <c r="V211" s="7" t="s">
        <v>2067</v>
      </c>
      <c r="W211" s="7" t="s">
        <v>2069</v>
      </c>
    </row>
    <row r="212" spans="1:23" ht="20.100000000000001" customHeight="1" x14ac:dyDescent="0.25">
      <c r="A212" s="3" t="s">
        <v>6788</v>
      </c>
      <c r="B212" s="4" t="s">
        <v>2084</v>
      </c>
      <c r="C212" s="4" t="s">
        <v>6789</v>
      </c>
      <c r="D212" s="4" t="s">
        <v>2059</v>
      </c>
      <c r="E212" s="4" t="s">
        <v>2673</v>
      </c>
      <c r="F212" s="4" t="s">
        <v>2674</v>
      </c>
      <c r="G212" s="4" t="s">
        <v>2084</v>
      </c>
      <c r="H212" s="4" t="s">
        <v>6740</v>
      </c>
      <c r="I212" s="4" t="s">
        <v>6722</v>
      </c>
      <c r="J212" s="4" t="s">
        <v>6790</v>
      </c>
      <c r="K212" s="4" t="s">
        <v>6791</v>
      </c>
      <c r="L212" s="4" t="s">
        <v>6792</v>
      </c>
      <c r="M212" s="4" t="s">
        <v>2078</v>
      </c>
      <c r="N212" s="8">
        <v>46234</v>
      </c>
      <c r="O212" s="8">
        <v>46356</v>
      </c>
      <c r="P212" s="4" t="s">
        <v>2674</v>
      </c>
      <c r="Q212" s="4" t="s">
        <v>6722</v>
      </c>
      <c r="R212" s="4" t="s">
        <v>5129</v>
      </c>
      <c r="S212" s="4" t="s">
        <v>6793</v>
      </c>
      <c r="T212" s="4" t="s">
        <v>2067</v>
      </c>
      <c r="U212" s="4" t="s">
        <v>2680</v>
      </c>
      <c r="V212" s="4" t="s">
        <v>2067</v>
      </c>
      <c r="W212" s="4" t="s">
        <v>2069</v>
      </c>
    </row>
    <row r="213" spans="1:23" ht="20.100000000000001" customHeight="1" x14ac:dyDescent="0.25">
      <c r="A213" s="6" t="s">
        <v>6827</v>
      </c>
      <c r="B213" s="7" t="s">
        <v>2084</v>
      </c>
      <c r="C213" s="7" t="s">
        <v>6828</v>
      </c>
      <c r="D213" s="7" t="s">
        <v>2059</v>
      </c>
      <c r="E213" s="7" t="s">
        <v>1947</v>
      </c>
      <c r="F213" s="7" t="s">
        <v>1948</v>
      </c>
      <c r="G213" s="7" t="s">
        <v>2084</v>
      </c>
      <c r="H213" s="7" t="s">
        <v>6829</v>
      </c>
      <c r="I213" s="7" t="s">
        <v>6814</v>
      </c>
      <c r="J213" s="7" t="s">
        <v>6830</v>
      </c>
      <c r="K213" s="7" t="s">
        <v>6831</v>
      </c>
      <c r="L213" s="7" t="s">
        <v>6832</v>
      </c>
      <c r="M213" s="7" t="s">
        <v>2078</v>
      </c>
      <c r="N213" s="9">
        <v>46108</v>
      </c>
      <c r="O213" s="9">
        <v>46356</v>
      </c>
      <c r="P213" s="7" t="s">
        <v>2090</v>
      </c>
      <c r="Q213" s="7" t="s">
        <v>6814</v>
      </c>
      <c r="R213" s="7" t="s">
        <v>6833</v>
      </c>
      <c r="S213" s="7" t="s">
        <v>6834</v>
      </c>
      <c r="T213" s="7" t="s">
        <v>2067</v>
      </c>
      <c r="U213" s="7" t="s">
        <v>2146</v>
      </c>
      <c r="V213" s="7" t="s">
        <v>2067</v>
      </c>
      <c r="W213" s="7" t="s">
        <v>2082</v>
      </c>
    </row>
    <row r="214" spans="1:23" ht="20.100000000000001" customHeight="1" x14ac:dyDescent="0.25">
      <c r="A214" s="3" t="s">
        <v>6845</v>
      </c>
      <c r="B214" s="4" t="s">
        <v>2084</v>
      </c>
      <c r="C214" s="4" t="s">
        <v>6846</v>
      </c>
      <c r="D214" s="4" t="s">
        <v>2059</v>
      </c>
      <c r="E214" s="4" t="s">
        <v>2111</v>
      </c>
      <c r="F214" s="4" t="s">
        <v>2112</v>
      </c>
      <c r="G214" s="4" t="s">
        <v>2084</v>
      </c>
      <c r="H214" s="4" t="s">
        <v>6813</v>
      </c>
      <c r="I214" s="4" t="s">
        <v>6814</v>
      </c>
      <c r="J214" s="4" t="s">
        <v>6847</v>
      </c>
      <c r="K214" s="4" t="s">
        <v>6848</v>
      </c>
      <c r="L214" s="4" t="s">
        <v>6849</v>
      </c>
      <c r="M214" s="4" t="s">
        <v>2078</v>
      </c>
      <c r="N214" s="8">
        <v>46112</v>
      </c>
      <c r="O214" s="8">
        <v>46356</v>
      </c>
      <c r="P214" s="4" t="s">
        <v>2112</v>
      </c>
      <c r="Q214" s="4" t="s">
        <v>6814</v>
      </c>
      <c r="R214" s="4" t="s">
        <v>6850</v>
      </c>
      <c r="S214" s="4" t="s">
        <v>6851</v>
      </c>
      <c r="T214" s="4" t="s">
        <v>2067</v>
      </c>
      <c r="U214" s="4" t="s">
        <v>2119</v>
      </c>
      <c r="V214" s="4" t="s">
        <v>2067</v>
      </c>
      <c r="W214" s="4" t="s">
        <v>2069</v>
      </c>
    </row>
    <row r="215" spans="1:23" ht="20.100000000000001" customHeight="1" x14ac:dyDescent="0.25">
      <c r="A215" s="6" t="s">
        <v>6852</v>
      </c>
      <c r="B215" s="7" t="s">
        <v>2084</v>
      </c>
      <c r="C215" s="7" t="s">
        <v>6853</v>
      </c>
      <c r="D215" s="7" t="s">
        <v>2059</v>
      </c>
      <c r="E215" s="7" t="s">
        <v>2072</v>
      </c>
      <c r="F215" s="7" t="s">
        <v>2073</v>
      </c>
      <c r="G215" s="7" t="s">
        <v>2084</v>
      </c>
      <c r="H215" s="7" t="s">
        <v>6854</v>
      </c>
      <c r="I215" s="7" t="s">
        <v>6814</v>
      </c>
      <c r="J215" s="7" t="s">
        <v>6855</v>
      </c>
      <c r="K215" s="7" t="s">
        <v>6856</v>
      </c>
      <c r="L215" s="7" t="s">
        <v>6857</v>
      </c>
      <c r="M215" s="7" t="s">
        <v>2078</v>
      </c>
      <c r="N215" s="9">
        <v>46108</v>
      </c>
      <c r="O215" s="9">
        <v>46356</v>
      </c>
      <c r="P215" s="7" t="s">
        <v>2073</v>
      </c>
      <c r="Q215" s="7" t="s">
        <v>6814</v>
      </c>
      <c r="R215" s="7" t="s">
        <v>6858</v>
      </c>
      <c r="S215" s="7" t="s">
        <v>6859</v>
      </c>
      <c r="T215" s="7" t="s">
        <v>2067</v>
      </c>
      <c r="U215" s="7" t="s">
        <v>2081</v>
      </c>
      <c r="V215" s="7" t="s">
        <v>2067</v>
      </c>
      <c r="W215" s="7" t="s">
        <v>2069</v>
      </c>
    </row>
    <row r="216" spans="1:23" ht="20.100000000000001" customHeight="1" x14ac:dyDescent="0.25">
      <c r="A216" s="3" t="s">
        <v>6868</v>
      </c>
      <c r="B216" s="4" t="s">
        <v>2084</v>
      </c>
      <c r="C216" s="4" t="s">
        <v>6869</v>
      </c>
      <c r="D216" s="4" t="s">
        <v>2059</v>
      </c>
      <c r="E216" s="4" t="s">
        <v>5762</v>
      </c>
      <c r="F216" s="4" t="s">
        <v>5763</v>
      </c>
      <c r="G216" s="4" t="s">
        <v>2084</v>
      </c>
      <c r="H216" s="4" t="s">
        <v>6870</v>
      </c>
      <c r="I216" s="4" t="s">
        <v>6862</v>
      </c>
      <c r="J216" s="4" t="s">
        <v>6871</v>
      </c>
      <c r="K216" s="4" t="s">
        <v>6872</v>
      </c>
      <c r="L216" s="4" t="s">
        <v>6873</v>
      </c>
      <c r="M216" s="4" t="s">
        <v>2078</v>
      </c>
      <c r="N216" s="8">
        <v>46052</v>
      </c>
      <c r="O216" s="8">
        <v>46355</v>
      </c>
      <c r="P216" s="4" t="s">
        <v>5763</v>
      </c>
      <c r="Q216" s="4" t="s">
        <v>6862</v>
      </c>
      <c r="R216" s="4" t="s">
        <v>6874</v>
      </c>
      <c r="S216" s="4" t="s">
        <v>6875</v>
      </c>
      <c r="T216" s="4" t="s">
        <v>2067</v>
      </c>
      <c r="U216" s="4" t="s">
        <v>5769</v>
      </c>
      <c r="V216" s="4" t="s">
        <v>2067</v>
      </c>
      <c r="W216" s="4" t="s">
        <v>2069</v>
      </c>
    </row>
    <row r="217" spans="1:23" ht="20.100000000000001" customHeight="1" x14ac:dyDescent="0.25">
      <c r="A217" s="6" t="s">
        <v>6883</v>
      </c>
      <c r="B217" s="7" t="s">
        <v>2084</v>
      </c>
      <c r="C217" s="7" t="s">
        <v>6884</v>
      </c>
      <c r="D217" s="7" t="s">
        <v>2059</v>
      </c>
      <c r="E217" s="7" t="s">
        <v>5762</v>
      </c>
      <c r="F217" s="7" t="s">
        <v>5763</v>
      </c>
      <c r="G217" s="7" t="s">
        <v>2084</v>
      </c>
      <c r="H217" s="7" t="s">
        <v>6861</v>
      </c>
      <c r="I217" s="7" t="s">
        <v>6862</v>
      </c>
      <c r="J217" s="7" t="s">
        <v>6885</v>
      </c>
      <c r="K217" s="7" t="s">
        <v>6886</v>
      </c>
      <c r="L217" s="7" t="s">
        <v>6887</v>
      </c>
      <c r="M217" s="7" t="s">
        <v>2078</v>
      </c>
      <c r="N217" s="9">
        <v>45992</v>
      </c>
      <c r="O217" s="9">
        <v>46356</v>
      </c>
      <c r="P217" s="7" t="s">
        <v>5763</v>
      </c>
      <c r="Q217" s="7" t="s">
        <v>6862</v>
      </c>
      <c r="R217" s="7" t="s">
        <v>6888</v>
      </c>
      <c r="S217" s="7" t="s">
        <v>6889</v>
      </c>
      <c r="T217" s="7" t="s">
        <v>2067</v>
      </c>
      <c r="U217" s="7" t="s">
        <v>5769</v>
      </c>
      <c r="V217" s="7" t="s">
        <v>2067</v>
      </c>
      <c r="W217" s="7" t="s">
        <v>2069</v>
      </c>
    </row>
    <row r="218" spans="1:23" ht="20.100000000000001" customHeight="1" x14ac:dyDescent="0.25">
      <c r="A218" s="3" t="s">
        <v>6902</v>
      </c>
      <c r="B218" s="4" t="s">
        <v>2084</v>
      </c>
      <c r="C218" s="4" t="s">
        <v>6903</v>
      </c>
      <c r="D218" s="4" t="s">
        <v>2059</v>
      </c>
      <c r="E218" s="4" t="s">
        <v>2673</v>
      </c>
      <c r="F218" s="4" t="s">
        <v>2674</v>
      </c>
      <c r="G218" s="4" t="s">
        <v>2084</v>
      </c>
      <c r="H218" s="4" t="s">
        <v>6891</v>
      </c>
      <c r="I218" s="4" t="s">
        <v>6862</v>
      </c>
      <c r="J218" s="4" t="s">
        <v>6904</v>
      </c>
      <c r="K218" s="4" t="s">
        <v>6905</v>
      </c>
      <c r="L218" s="4" t="s">
        <v>6906</v>
      </c>
      <c r="M218" s="4" t="s">
        <v>2078</v>
      </c>
      <c r="N218" s="8">
        <v>46164</v>
      </c>
      <c r="O218" s="8">
        <v>46294</v>
      </c>
      <c r="P218" s="4" t="s">
        <v>2674</v>
      </c>
      <c r="Q218" s="4" t="s">
        <v>6862</v>
      </c>
      <c r="R218" s="4" t="s">
        <v>6907</v>
      </c>
      <c r="S218" s="4" t="s">
        <v>6908</v>
      </c>
      <c r="T218" s="4" t="s">
        <v>2067</v>
      </c>
      <c r="U218" s="4" t="s">
        <v>2680</v>
      </c>
      <c r="V218" s="4" t="s">
        <v>2067</v>
      </c>
      <c r="W218" s="4" t="s">
        <v>2082</v>
      </c>
    </row>
    <row r="219" spans="1:23" ht="20.100000000000001" customHeight="1" x14ac:dyDescent="0.25">
      <c r="A219" s="6" t="s">
        <v>6951</v>
      </c>
      <c r="B219" s="7" t="s">
        <v>2084</v>
      </c>
      <c r="C219" s="7" t="s">
        <v>6952</v>
      </c>
      <c r="D219" s="7" t="s">
        <v>2059</v>
      </c>
      <c r="E219" s="7" t="s">
        <v>2111</v>
      </c>
      <c r="F219" s="7" t="s">
        <v>2112</v>
      </c>
      <c r="G219" s="7" t="s">
        <v>2084</v>
      </c>
      <c r="H219" s="7" t="s">
        <v>6947</v>
      </c>
      <c r="I219" s="7" t="s">
        <v>6940</v>
      </c>
      <c r="J219" s="7" t="s">
        <v>6953</v>
      </c>
      <c r="K219" s="7" t="s">
        <v>6954</v>
      </c>
      <c r="L219" s="7" t="s">
        <v>6955</v>
      </c>
      <c r="M219" s="7" t="s">
        <v>2078</v>
      </c>
      <c r="N219" s="9">
        <v>46052</v>
      </c>
      <c r="O219" s="9">
        <v>46355</v>
      </c>
      <c r="P219" s="7" t="s">
        <v>2112</v>
      </c>
      <c r="Q219" s="7" t="s">
        <v>6940</v>
      </c>
      <c r="R219" s="7" t="s">
        <v>6956</v>
      </c>
      <c r="S219" s="7" t="s">
        <v>6957</v>
      </c>
      <c r="T219" s="7" t="s">
        <v>2067</v>
      </c>
      <c r="U219" s="7" t="s">
        <v>2119</v>
      </c>
      <c r="V219" s="7" t="s">
        <v>2067</v>
      </c>
      <c r="W219" s="7" t="s">
        <v>2069</v>
      </c>
    </row>
    <row r="220" spans="1:23" ht="20.100000000000001" customHeight="1" x14ac:dyDescent="0.25">
      <c r="A220" s="3" t="s">
        <v>6958</v>
      </c>
      <c r="B220" s="4" t="s">
        <v>2084</v>
      </c>
      <c r="C220" s="4" t="s">
        <v>6959</v>
      </c>
      <c r="D220" s="4" t="s">
        <v>2059</v>
      </c>
      <c r="E220" s="4" t="s">
        <v>2131</v>
      </c>
      <c r="F220" s="4" t="s">
        <v>2132</v>
      </c>
      <c r="G220" s="4" t="s">
        <v>2084</v>
      </c>
      <c r="H220" s="4" t="s">
        <v>6960</v>
      </c>
      <c r="I220" s="4" t="s">
        <v>6961</v>
      </c>
      <c r="J220" s="4" t="s">
        <v>6962</v>
      </c>
      <c r="K220" s="4" t="s">
        <v>6963</v>
      </c>
      <c r="L220" s="4" t="s">
        <v>6964</v>
      </c>
      <c r="M220" s="4" t="s">
        <v>2078</v>
      </c>
      <c r="N220" s="8">
        <v>45992</v>
      </c>
      <c r="O220" s="8">
        <v>46356</v>
      </c>
      <c r="P220" s="4" t="s">
        <v>2132</v>
      </c>
      <c r="Q220" s="4" t="s">
        <v>6961</v>
      </c>
      <c r="R220" s="4" t="s">
        <v>6965</v>
      </c>
      <c r="S220" s="4" t="s">
        <v>6966</v>
      </c>
      <c r="T220" s="4" t="s">
        <v>2067</v>
      </c>
      <c r="U220" s="4" t="s">
        <v>2138</v>
      </c>
      <c r="V220" s="4" t="s">
        <v>2067</v>
      </c>
      <c r="W220" s="4" t="s">
        <v>2082</v>
      </c>
    </row>
    <row r="221" spans="1:23" ht="20.100000000000001" customHeight="1" x14ac:dyDescent="0.25">
      <c r="A221" s="6" t="s">
        <v>6990</v>
      </c>
      <c r="B221" s="7" t="s">
        <v>2084</v>
      </c>
      <c r="C221" s="7" t="s">
        <v>6991</v>
      </c>
      <c r="D221" s="7" t="s">
        <v>2059</v>
      </c>
      <c r="E221" s="7" t="s">
        <v>1947</v>
      </c>
      <c r="F221" s="7" t="s">
        <v>1948</v>
      </c>
      <c r="G221" s="7" t="s">
        <v>2084</v>
      </c>
      <c r="H221" s="7" t="s">
        <v>6983</v>
      </c>
      <c r="I221" s="7" t="s">
        <v>6984</v>
      </c>
      <c r="J221" s="7" t="s">
        <v>6992</v>
      </c>
      <c r="K221" s="7" t="s">
        <v>6993</v>
      </c>
      <c r="L221" s="7" t="s">
        <v>6994</v>
      </c>
      <c r="M221" s="7" t="s">
        <v>2078</v>
      </c>
      <c r="N221" s="9">
        <v>46000</v>
      </c>
      <c r="O221" s="9">
        <v>46355</v>
      </c>
      <c r="P221" s="7" t="s">
        <v>2090</v>
      </c>
      <c r="Q221" s="7" t="s">
        <v>6984</v>
      </c>
      <c r="R221" s="7" t="s">
        <v>6995</v>
      </c>
      <c r="S221" s="7" t="s">
        <v>6996</v>
      </c>
      <c r="T221" s="7" t="s">
        <v>2067</v>
      </c>
      <c r="U221" s="7" t="s">
        <v>2146</v>
      </c>
      <c r="V221" s="7" t="s">
        <v>2067</v>
      </c>
      <c r="W221" s="7" t="s">
        <v>2069</v>
      </c>
    </row>
    <row r="222" spans="1:23" ht="20.100000000000001" customHeight="1" x14ac:dyDescent="0.25">
      <c r="A222" s="3" t="s">
        <v>6997</v>
      </c>
      <c r="B222" s="4" t="s">
        <v>2084</v>
      </c>
      <c r="C222" s="4" t="s">
        <v>6998</v>
      </c>
      <c r="D222" s="4" t="s">
        <v>2059</v>
      </c>
      <c r="E222" s="4" t="s">
        <v>1947</v>
      </c>
      <c r="F222" s="4" t="s">
        <v>1948</v>
      </c>
      <c r="G222" s="4" t="s">
        <v>2084</v>
      </c>
      <c r="H222" s="4" t="s">
        <v>6983</v>
      </c>
      <c r="I222" s="4" t="s">
        <v>6984</v>
      </c>
      <c r="J222" s="4" t="s">
        <v>6999</v>
      </c>
      <c r="K222" s="4" t="s">
        <v>7000</v>
      </c>
      <c r="L222" s="4" t="s">
        <v>7001</v>
      </c>
      <c r="M222" s="4" t="s">
        <v>2078</v>
      </c>
      <c r="N222" s="8">
        <v>46000</v>
      </c>
      <c r="O222" s="8">
        <v>46355</v>
      </c>
      <c r="P222" s="4" t="s">
        <v>2090</v>
      </c>
      <c r="Q222" s="4" t="s">
        <v>6984</v>
      </c>
      <c r="R222" s="4" t="s">
        <v>2844</v>
      </c>
      <c r="S222" s="4" t="s">
        <v>7002</v>
      </c>
      <c r="T222" s="4" t="s">
        <v>2067</v>
      </c>
      <c r="U222" s="4" t="s">
        <v>2146</v>
      </c>
      <c r="V222" s="4" t="s">
        <v>2067</v>
      </c>
      <c r="W222" s="4" t="s">
        <v>2069</v>
      </c>
    </row>
    <row r="223" spans="1:23" ht="20.100000000000001" customHeight="1" x14ac:dyDescent="0.25">
      <c r="A223" s="6" t="s">
        <v>7072</v>
      </c>
      <c r="B223" s="7" t="s">
        <v>2084</v>
      </c>
      <c r="C223" s="7" t="s">
        <v>7073</v>
      </c>
      <c r="D223" s="7" t="s">
        <v>2059</v>
      </c>
      <c r="E223" s="7" t="s">
        <v>2673</v>
      </c>
      <c r="F223" s="7" t="s">
        <v>2674</v>
      </c>
      <c r="G223" s="7" t="s">
        <v>2084</v>
      </c>
      <c r="H223" s="7" t="s">
        <v>7074</v>
      </c>
      <c r="I223" s="7" t="s">
        <v>7067</v>
      </c>
      <c r="J223" s="7" t="s">
        <v>7075</v>
      </c>
      <c r="K223" s="7" t="s">
        <v>7076</v>
      </c>
      <c r="L223" s="7" t="s">
        <v>7077</v>
      </c>
      <c r="M223" s="7" t="s">
        <v>2078</v>
      </c>
      <c r="N223" s="9">
        <v>46052</v>
      </c>
      <c r="O223" s="9">
        <v>46355</v>
      </c>
      <c r="P223" s="7" t="s">
        <v>2674</v>
      </c>
      <c r="Q223" s="7" t="s">
        <v>7067</v>
      </c>
      <c r="R223" s="7" t="s">
        <v>7078</v>
      </c>
      <c r="S223" s="7" t="s">
        <v>7079</v>
      </c>
      <c r="T223" s="7" t="s">
        <v>2067</v>
      </c>
      <c r="U223" s="7" t="s">
        <v>2680</v>
      </c>
      <c r="V223" s="7" t="s">
        <v>2067</v>
      </c>
      <c r="W223" s="7" t="s">
        <v>2069</v>
      </c>
    </row>
    <row r="224" spans="1:23" ht="20.100000000000001" customHeight="1" x14ac:dyDescent="0.25">
      <c r="A224" s="3" t="s">
        <v>7086</v>
      </c>
      <c r="B224" s="4" t="s">
        <v>2084</v>
      </c>
      <c r="C224" s="4" t="s">
        <v>7087</v>
      </c>
      <c r="D224" s="4" t="s">
        <v>2059</v>
      </c>
      <c r="E224" s="4" t="s">
        <v>1947</v>
      </c>
      <c r="F224" s="4" t="s">
        <v>1948</v>
      </c>
      <c r="G224" s="4" t="s">
        <v>2084</v>
      </c>
      <c r="H224" s="4" t="s">
        <v>7066</v>
      </c>
      <c r="I224" s="4" t="s">
        <v>7067</v>
      </c>
      <c r="J224" s="4" t="s">
        <v>7088</v>
      </c>
      <c r="K224" s="4" t="s">
        <v>7089</v>
      </c>
      <c r="L224" s="4" t="s">
        <v>7090</v>
      </c>
      <c r="M224" s="4" t="s">
        <v>2078</v>
      </c>
      <c r="N224" s="8">
        <v>46112</v>
      </c>
      <c r="O224" s="8">
        <v>46356</v>
      </c>
      <c r="P224" s="4" t="s">
        <v>2090</v>
      </c>
      <c r="Q224" s="4" t="s">
        <v>7067</v>
      </c>
      <c r="R224" s="4" t="s">
        <v>3754</v>
      </c>
      <c r="S224" s="4" t="s">
        <v>7091</v>
      </c>
      <c r="T224" s="4" t="s">
        <v>2067</v>
      </c>
      <c r="U224" s="4" t="s">
        <v>2146</v>
      </c>
      <c r="V224" s="4" t="s">
        <v>2067</v>
      </c>
      <c r="W224" s="4" t="s">
        <v>2082</v>
      </c>
    </row>
    <row r="225" spans="1:23" ht="20.100000000000001" customHeight="1" x14ac:dyDescent="0.25">
      <c r="A225" s="6" t="s">
        <v>7100</v>
      </c>
      <c r="B225" s="7" t="s">
        <v>2084</v>
      </c>
      <c r="C225" s="7" t="s">
        <v>7101</v>
      </c>
      <c r="D225" s="7" t="s">
        <v>2059</v>
      </c>
      <c r="E225" s="7" t="s">
        <v>1947</v>
      </c>
      <c r="F225" s="7" t="s">
        <v>1948</v>
      </c>
      <c r="G225" s="7" t="s">
        <v>2084</v>
      </c>
      <c r="H225" s="7" t="s">
        <v>7093</v>
      </c>
      <c r="I225" s="7" t="s">
        <v>7094</v>
      </c>
      <c r="J225" s="7" t="s">
        <v>7102</v>
      </c>
      <c r="K225" s="7" t="s">
        <v>7103</v>
      </c>
      <c r="L225" s="7" t="s">
        <v>7104</v>
      </c>
      <c r="M225" s="7" t="s">
        <v>2078</v>
      </c>
      <c r="N225" s="9">
        <v>46052</v>
      </c>
      <c r="O225" s="9">
        <v>46355</v>
      </c>
      <c r="P225" s="7" t="s">
        <v>2090</v>
      </c>
      <c r="Q225" s="7" t="s">
        <v>7094</v>
      </c>
      <c r="R225" s="7" t="s">
        <v>7105</v>
      </c>
      <c r="S225" s="7" t="s">
        <v>7106</v>
      </c>
      <c r="T225" s="7" t="s">
        <v>2067</v>
      </c>
      <c r="U225" s="7" t="s">
        <v>2146</v>
      </c>
      <c r="V225" s="7" t="s">
        <v>2067</v>
      </c>
      <c r="W225" s="7" t="s">
        <v>2069</v>
      </c>
    </row>
    <row r="226" spans="1:23" ht="20.100000000000001" customHeight="1" x14ac:dyDescent="0.25">
      <c r="A226" s="3" t="s">
        <v>7114</v>
      </c>
      <c r="B226" s="4" t="s">
        <v>2084</v>
      </c>
      <c r="C226" s="4" t="s">
        <v>7115</v>
      </c>
      <c r="D226" s="4" t="s">
        <v>2059</v>
      </c>
      <c r="E226" s="4" t="s">
        <v>1947</v>
      </c>
      <c r="F226" s="4" t="s">
        <v>1948</v>
      </c>
      <c r="G226" s="4" t="s">
        <v>2084</v>
      </c>
      <c r="H226" s="4" t="s">
        <v>7108</v>
      </c>
      <c r="I226" s="4" t="s">
        <v>7094</v>
      </c>
      <c r="J226" s="4" t="s">
        <v>7116</v>
      </c>
      <c r="K226" s="4" t="s">
        <v>7117</v>
      </c>
      <c r="L226" s="4" t="s">
        <v>7118</v>
      </c>
      <c r="M226" s="4" t="s">
        <v>2078</v>
      </c>
      <c r="N226" s="8">
        <v>46234</v>
      </c>
      <c r="O226" s="8">
        <v>46356</v>
      </c>
      <c r="P226" s="4" t="s">
        <v>2090</v>
      </c>
      <c r="Q226" s="4" t="s">
        <v>7094</v>
      </c>
      <c r="R226" s="4" t="s">
        <v>7119</v>
      </c>
      <c r="S226" s="4" t="s">
        <v>7120</v>
      </c>
      <c r="T226" s="4" t="s">
        <v>2067</v>
      </c>
      <c r="U226" s="4" t="s">
        <v>2146</v>
      </c>
      <c r="V226" s="4" t="s">
        <v>2067</v>
      </c>
      <c r="W226" s="4" t="s">
        <v>2069</v>
      </c>
    </row>
    <row r="227" spans="1:23" ht="20.100000000000001" customHeight="1" x14ac:dyDescent="0.25">
      <c r="A227" s="6" t="s">
        <v>7145</v>
      </c>
      <c r="B227" s="7" t="s">
        <v>2084</v>
      </c>
      <c r="C227" s="7" t="s">
        <v>7146</v>
      </c>
      <c r="D227" s="7" t="s">
        <v>2059</v>
      </c>
      <c r="E227" s="7" t="s">
        <v>2673</v>
      </c>
      <c r="F227" s="7" t="s">
        <v>2674</v>
      </c>
      <c r="G227" s="7" t="s">
        <v>2084</v>
      </c>
      <c r="H227" s="7" t="s">
        <v>2038</v>
      </c>
      <c r="I227" s="7" t="s">
        <v>1989</v>
      </c>
      <c r="J227" s="7" t="s">
        <v>7147</v>
      </c>
      <c r="K227" s="7" t="s">
        <v>7148</v>
      </c>
      <c r="L227" s="7" t="s">
        <v>7149</v>
      </c>
      <c r="M227" s="7" t="s">
        <v>2078</v>
      </c>
      <c r="N227" s="9">
        <v>46234</v>
      </c>
      <c r="O227" s="9">
        <v>46356</v>
      </c>
      <c r="P227" s="7" t="s">
        <v>2674</v>
      </c>
      <c r="Q227" s="7" t="s">
        <v>1989</v>
      </c>
      <c r="R227" s="7" t="s">
        <v>7150</v>
      </c>
      <c r="S227" s="7" t="s">
        <v>7151</v>
      </c>
      <c r="T227" s="7" t="s">
        <v>2067</v>
      </c>
      <c r="U227" s="7" t="s">
        <v>2680</v>
      </c>
      <c r="V227" s="7" t="s">
        <v>2067</v>
      </c>
      <c r="W227" s="7" t="s">
        <v>2069</v>
      </c>
    </row>
    <row r="228" spans="1:23" ht="20.100000000000001" customHeight="1" x14ac:dyDescent="0.25">
      <c r="A228" s="3" t="s">
        <v>7198</v>
      </c>
      <c r="B228" s="4" t="s">
        <v>2084</v>
      </c>
      <c r="C228" s="4" t="s">
        <v>7199</v>
      </c>
      <c r="D228" s="4" t="s">
        <v>2059</v>
      </c>
      <c r="E228" s="4" t="s">
        <v>1947</v>
      </c>
      <c r="F228" s="4" t="s">
        <v>1948</v>
      </c>
      <c r="G228" s="4" t="s">
        <v>2084</v>
      </c>
      <c r="H228" s="4" t="s">
        <v>7200</v>
      </c>
      <c r="I228" s="4" t="s">
        <v>7188</v>
      </c>
      <c r="J228" s="4" t="s">
        <v>7201</v>
      </c>
      <c r="K228" s="4" t="s">
        <v>7202</v>
      </c>
      <c r="L228" s="4" t="s">
        <v>7203</v>
      </c>
      <c r="M228" s="4" t="s">
        <v>2078</v>
      </c>
      <c r="N228" s="8">
        <v>46234</v>
      </c>
      <c r="O228" s="8">
        <v>46356</v>
      </c>
      <c r="P228" s="4" t="s">
        <v>2090</v>
      </c>
      <c r="Q228" s="4" t="s">
        <v>7188</v>
      </c>
      <c r="R228" s="4" t="s">
        <v>5481</v>
      </c>
      <c r="S228" s="4" t="s">
        <v>7204</v>
      </c>
      <c r="T228" s="4" t="s">
        <v>2067</v>
      </c>
      <c r="U228" s="4" t="s">
        <v>2146</v>
      </c>
      <c r="V228" s="4" t="s">
        <v>2067</v>
      </c>
      <c r="W228" s="4" t="s">
        <v>2069</v>
      </c>
    </row>
    <row r="229" spans="1:23" ht="20.100000000000001" customHeight="1" x14ac:dyDescent="0.25">
      <c r="A229" s="6" t="s">
        <v>7240</v>
      </c>
      <c r="B229" s="7" t="s">
        <v>2084</v>
      </c>
      <c r="C229" s="7" t="s">
        <v>7241</v>
      </c>
      <c r="D229" s="7" t="s">
        <v>2059</v>
      </c>
      <c r="E229" s="7" t="s">
        <v>2189</v>
      </c>
      <c r="F229" s="7" t="s">
        <v>2190</v>
      </c>
      <c r="G229" s="7" t="s">
        <v>2084</v>
      </c>
      <c r="H229" s="7" t="s">
        <v>2024</v>
      </c>
      <c r="I229" s="7" t="s">
        <v>2025</v>
      </c>
      <c r="J229" s="7" t="s">
        <v>7242</v>
      </c>
      <c r="K229" s="7" t="s">
        <v>7243</v>
      </c>
      <c r="L229" s="7" t="s">
        <v>7244</v>
      </c>
      <c r="M229" s="7" t="s">
        <v>2078</v>
      </c>
      <c r="N229" s="9">
        <v>46234</v>
      </c>
      <c r="O229" s="9">
        <v>46356</v>
      </c>
      <c r="P229" s="7" t="s">
        <v>2195</v>
      </c>
      <c r="Q229" s="7" t="s">
        <v>2025</v>
      </c>
      <c r="R229" s="7" t="s">
        <v>7245</v>
      </c>
      <c r="S229" s="7" t="s">
        <v>7246</v>
      </c>
      <c r="T229" s="7" t="s">
        <v>2067</v>
      </c>
      <c r="U229" s="7" t="s">
        <v>2198</v>
      </c>
      <c r="V229" s="7" t="s">
        <v>2067</v>
      </c>
      <c r="W229" s="7" t="s">
        <v>2069</v>
      </c>
    </row>
    <row r="230" spans="1:23" ht="20.100000000000001" customHeight="1" x14ac:dyDescent="0.25">
      <c r="A230" s="3" t="s">
        <v>7265</v>
      </c>
      <c r="B230" s="4" t="s">
        <v>2084</v>
      </c>
      <c r="C230" s="4" t="s">
        <v>7266</v>
      </c>
      <c r="D230" s="4" t="s">
        <v>2059</v>
      </c>
      <c r="E230" s="4" t="s">
        <v>1947</v>
      </c>
      <c r="F230" s="4" t="s">
        <v>1948</v>
      </c>
      <c r="G230" s="4" t="s">
        <v>2084</v>
      </c>
      <c r="H230" s="4" t="s">
        <v>7267</v>
      </c>
      <c r="I230" s="4" t="s">
        <v>2025</v>
      </c>
      <c r="J230" s="4" t="s">
        <v>7268</v>
      </c>
      <c r="K230" s="4" t="s">
        <v>7269</v>
      </c>
      <c r="L230" s="4" t="s">
        <v>7270</v>
      </c>
      <c r="M230" s="4" t="s">
        <v>2078</v>
      </c>
      <c r="N230" s="8">
        <v>45992</v>
      </c>
      <c r="O230" s="8">
        <v>46356</v>
      </c>
      <c r="P230" s="4" t="s">
        <v>2090</v>
      </c>
      <c r="Q230" s="4" t="s">
        <v>2025</v>
      </c>
      <c r="R230" s="4" t="s">
        <v>7271</v>
      </c>
      <c r="S230" s="4" t="s">
        <v>7272</v>
      </c>
      <c r="T230" s="4" t="s">
        <v>2067</v>
      </c>
      <c r="U230" s="4" t="s">
        <v>2146</v>
      </c>
      <c r="V230" s="4" t="s">
        <v>2067</v>
      </c>
      <c r="W230" s="4" t="s">
        <v>2069</v>
      </c>
    </row>
    <row r="231" spans="1:23" ht="20.100000000000001" customHeight="1" x14ac:dyDescent="0.25">
      <c r="A231" s="6" t="s">
        <v>7323</v>
      </c>
      <c r="B231" s="7" t="s">
        <v>2084</v>
      </c>
      <c r="C231" s="7" t="s">
        <v>7324</v>
      </c>
      <c r="D231" s="7" t="s">
        <v>2059</v>
      </c>
      <c r="E231" s="7" t="s">
        <v>1965</v>
      </c>
      <c r="F231" s="7" t="s">
        <v>1966</v>
      </c>
      <c r="G231" s="7" t="s">
        <v>2084</v>
      </c>
      <c r="H231" s="7" t="s">
        <v>7234</v>
      </c>
      <c r="I231" s="7" t="s">
        <v>2025</v>
      </c>
      <c r="J231" s="7" t="s">
        <v>7325</v>
      </c>
      <c r="K231" s="7" t="s">
        <v>7326</v>
      </c>
      <c r="L231" s="7" t="s">
        <v>7327</v>
      </c>
      <c r="M231" s="7" t="s">
        <v>2078</v>
      </c>
      <c r="N231" s="9">
        <v>46052</v>
      </c>
      <c r="O231" s="9">
        <v>46355</v>
      </c>
      <c r="P231" s="7" t="s">
        <v>1966</v>
      </c>
      <c r="Q231" s="7" t="s">
        <v>2025</v>
      </c>
      <c r="R231" s="7" t="s">
        <v>7328</v>
      </c>
      <c r="S231" s="7" t="s">
        <v>7329</v>
      </c>
      <c r="T231" s="7" t="s">
        <v>2067</v>
      </c>
      <c r="U231" s="7" t="s">
        <v>2174</v>
      </c>
      <c r="V231" s="7" t="s">
        <v>2067</v>
      </c>
      <c r="W231" s="7" t="s">
        <v>2069</v>
      </c>
    </row>
    <row r="232" spans="1:23" ht="20.100000000000001" customHeight="1" x14ac:dyDescent="0.25">
      <c r="A232" s="3" t="s">
        <v>7330</v>
      </c>
      <c r="B232" s="4" t="s">
        <v>2084</v>
      </c>
      <c r="C232" s="4" t="s">
        <v>7331</v>
      </c>
      <c r="D232" s="4" t="s">
        <v>2059</v>
      </c>
      <c r="E232" s="4" t="s">
        <v>1947</v>
      </c>
      <c r="F232" s="4" t="s">
        <v>1948</v>
      </c>
      <c r="G232" s="4" t="s">
        <v>2084</v>
      </c>
      <c r="H232" s="4" t="s">
        <v>2024</v>
      </c>
      <c r="I232" s="4" t="s">
        <v>2025</v>
      </c>
      <c r="J232" s="4" t="s">
        <v>7332</v>
      </c>
      <c r="K232" s="4" t="s">
        <v>7333</v>
      </c>
      <c r="L232" s="4" t="s">
        <v>7334</v>
      </c>
      <c r="M232" s="4" t="s">
        <v>2078</v>
      </c>
      <c r="N232" s="8">
        <v>46052</v>
      </c>
      <c r="O232" s="8">
        <v>46296</v>
      </c>
      <c r="P232" s="4" t="s">
        <v>2090</v>
      </c>
      <c r="Q232" s="4" t="s">
        <v>2025</v>
      </c>
      <c r="R232" s="4" t="s">
        <v>7335</v>
      </c>
      <c r="S232" s="4" t="s">
        <v>7336</v>
      </c>
      <c r="T232" s="4" t="s">
        <v>2067</v>
      </c>
      <c r="U232" s="4" t="s">
        <v>2146</v>
      </c>
      <c r="V232" s="4" t="s">
        <v>2067</v>
      </c>
      <c r="W232" s="4" t="s">
        <v>2069</v>
      </c>
    </row>
    <row r="233" spans="1:23" ht="20.100000000000001" customHeight="1" x14ac:dyDescent="0.25">
      <c r="A233" s="6" t="s">
        <v>7337</v>
      </c>
      <c r="B233" s="7" t="s">
        <v>2084</v>
      </c>
      <c r="C233" s="7" t="s">
        <v>7338</v>
      </c>
      <c r="D233" s="7" t="s">
        <v>2059</v>
      </c>
      <c r="E233" s="7" t="s">
        <v>2189</v>
      </c>
      <c r="F233" s="7" t="s">
        <v>2190</v>
      </c>
      <c r="G233" s="7" t="s">
        <v>2084</v>
      </c>
      <c r="H233" s="7" t="s">
        <v>2024</v>
      </c>
      <c r="I233" s="7" t="s">
        <v>2025</v>
      </c>
      <c r="J233" s="7" t="s">
        <v>7339</v>
      </c>
      <c r="K233" s="7" t="s">
        <v>7340</v>
      </c>
      <c r="L233" s="7" t="s">
        <v>7341</v>
      </c>
      <c r="M233" s="7" t="s">
        <v>2078</v>
      </c>
      <c r="N233" s="9">
        <v>46234</v>
      </c>
      <c r="O233" s="9">
        <v>46356</v>
      </c>
      <c r="P233" s="7" t="s">
        <v>2195</v>
      </c>
      <c r="Q233" s="7" t="s">
        <v>2025</v>
      </c>
      <c r="R233" s="7" t="s">
        <v>7342</v>
      </c>
      <c r="S233" s="7" t="s">
        <v>7343</v>
      </c>
      <c r="T233" s="7" t="s">
        <v>2067</v>
      </c>
      <c r="U233" s="7" t="s">
        <v>2198</v>
      </c>
      <c r="V233" s="7" t="s">
        <v>2067</v>
      </c>
      <c r="W233" s="7" t="s">
        <v>2069</v>
      </c>
    </row>
    <row r="234" spans="1:23" ht="20.100000000000001" customHeight="1" x14ac:dyDescent="0.25">
      <c r="A234" s="3" t="s">
        <v>7344</v>
      </c>
      <c r="B234" s="4" t="s">
        <v>2084</v>
      </c>
      <c r="C234" s="4" t="s">
        <v>7345</v>
      </c>
      <c r="D234" s="4" t="s">
        <v>2059</v>
      </c>
      <c r="E234" s="4" t="s">
        <v>1947</v>
      </c>
      <c r="F234" s="4" t="s">
        <v>1948</v>
      </c>
      <c r="G234" s="4" t="s">
        <v>2084</v>
      </c>
      <c r="H234" s="4" t="s">
        <v>2031</v>
      </c>
      <c r="I234" s="4" t="s">
        <v>2025</v>
      </c>
      <c r="J234" s="4" t="s">
        <v>7346</v>
      </c>
      <c r="K234" s="4" t="s">
        <v>7347</v>
      </c>
      <c r="L234" s="4" t="s">
        <v>7348</v>
      </c>
      <c r="M234" s="4" t="s">
        <v>2078</v>
      </c>
      <c r="N234" s="8">
        <v>46234</v>
      </c>
      <c r="O234" s="8">
        <v>46356</v>
      </c>
      <c r="P234" s="4" t="s">
        <v>2090</v>
      </c>
      <c r="Q234" s="4" t="s">
        <v>2025</v>
      </c>
      <c r="R234" s="4" t="s">
        <v>2663</v>
      </c>
      <c r="S234" s="4" t="s">
        <v>7349</v>
      </c>
      <c r="T234" s="4" t="s">
        <v>2067</v>
      </c>
      <c r="U234" s="4" t="s">
        <v>2146</v>
      </c>
      <c r="V234" s="4" t="s">
        <v>2067</v>
      </c>
      <c r="W234" s="4" t="s">
        <v>2069</v>
      </c>
    </row>
    <row r="235" spans="1:23" ht="20.100000000000001" customHeight="1" x14ac:dyDescent="0.25">
      <c r="A235" s="6" t="s">
        <v>2022</v>
      </c>
      <c r="B235" s="7" t="s">
        <v>2084</v>
      </c>
      <c r="C235" s="7" t="s">
        <v>2023</v>
      </c>
      <c r="D235" s="7" t="s">
        <v>2059</v>
      </c>
      <c r="E235" s="7" t="s">
        <v>1947</v>
      </c>
      <c r="F235" s="7" t="s">
        <v>1948</v>
      </c>
      <c r="G235" s="7" t="s">
        <v>2084</v>
      </c>
      <c r="H235" s="7" t="s">
        <v>2024</v>
      </c>
      <c r="I235" s="7" t="s">
        <v>2025</v>
      </c>
      <c r="J235" s="7" t="s">
        <v>7350</v>
      </c>
      <c r="K235" s="7" t="s">
        <v>7351</v>
      </c>
      <c r="L235" s="7" t="s">
        <v>7352</v>
      </c>
      <c r="M235" s="7" t="s">
        <v>2078</v>
      </c>
      <c r="N235" s="9">
        <v>46234</v>
      </c>
      <c r="O235" s="9">
        <v>46356</v>
      </c>
      <c r="P235" s="7" t="s">
        <v>2090</v>
      </c>
      <c r="Q235" s="7" t="s">
        <v>2025</v>
      </c>
      <c r="R235" s="7" t="s">
        <v>7353</v>
      </c>
      <c r="S235" s="7" t="s">
        <v>7354</v>
      </c>
      <c r="T235" s="7" t="s">
        <v>2067</v>
      </c>
      <c r="U235" s="7" t="s">
        <v>2146</v>
      </c>
      <c r="V235" s="7" t="s">
        <v>2067</v>
      </c>
      <c r="W235" s="7" t="s">
        <v>2069</v>
      </c>
    </row>
    <row r="236" spans="1:23" ht="20.100000000000001" customHeight="1" x14ac:dyDescent="0.25">
      <c r="A236" s="3" t="s">
        <v>7361</v>
      </c>
      <c r="B236" s="4" t="s">
        <v>2084</v>
      </c>
      <c r="C236" s="4" t="s">
        <v>7362</v>
      </c>
      <c r="D236" s="4" t="s">
        <v>2059</v>
      </c>
      <c r="E236" s="4" t="s">
        <v>1947</v>
      </c>
      <c r="F236" s="4" t="s">
        <v>1948</v>
      </c>
      <c r="G236" s="4" t="s">
        <v>2084</v>
      </c>
      <c r="H236" s="4" t="s">
        <v>7363</v>
      </c>
      <c r="I236" s="4" t="s">
        <v>1970</v>
      </c>
      <c r="J236" s="4" t="s">
        <v>7364</v>
      </c>
      <c r="K236" s="4" t="s">
        <v>7365</v>
      </c>
      <c r="L236" s="4" t="s">
        <v>7366</v>
      </c>
      <c r="M236" s="4" t="s">
        <v>2064</v>
      </c>
      <c r="N236" s="8">
        <v>45992</v>
      </c>
      <c r="O236" s="8"/>
      <c r="P236" s="4" t="s">
        <v>2090</v>
      </c>
      <c r="Q236" s="4" t="s">
        <v>1970</v>
      </c>
      <c r="R236" s="4" t="s">
        <v>7367</v>
      </c>
      <c r="S236" s="4" t="s">
        <v>7368</v>
      </c>
      <c r="T236" s="4" t="s">
        <v>2067</v>
      </c>
      <c r="U236" s="4" t="s">
        <v>3437</v>
      </c>
      <c r="V236" s="4" t="s">
        <v>2067</v>
      </c>
      <c r="W236" s="4" t="s">
        <v>2069</v>
      </c>
    </row>
    <row r="237" spans="1:23" ht="20.100000000000001" customHeight="1" x14ac:dyDescent="0.25">
      <c r="A237" s="6" t="s">
        <v>7376</v>
      </c>
      <c r="B237" s="7" t="s">
        <v>2084</v>
      </c>
      <c r="C237" s="7" t="s">
        <v>7377</v>
      </c>
      <c r="D237" s="7" t="s">
        <v>2059</v>
      </c>
      <c r="E237" s="7" t="s">
        <v>1947</v>
      </c>
      <c r="F237" s="7" t="s">
        <v>1948</v>
      </c>
      <c r="G237" s="7" t="s">
        <v>2084</v>
      </c>
      <c r="H237" s="7" t="s">
        <v>7378</v>
      </c>
      <c r="I237" s="7" t="s">
        <v>1970</v>
      </c>
      <c r="J237" s="7" t="s">
        <v>7379</v>
      </c>
      <c r="K237" s="7" t="s">
        <v>7380</v>
      </c>
      <c r="L237" s="7" t="s">
        <v>7381</v>
      </c>
      <c r="M237" s="7" t="s">
        <v>2078</v>
      </c>
      <c r="N237" s="9">
        <v>45992</v>
      </c>
      <c r="O237" s="9">
        <v>46356</v>
      </c>
      <c r="P237" s="7" t="s">
        <v>2090</v>
      </c>
      <c r="Q237" s="7" t="s">
        <v>1970</v>
      </c>
      <c r="R237" s="7" t="s">
        <v>7382</v>
      </c>
      <c r="S237" s="7" t="s">
        <v>7383</v>
      </c>
      <c r="T237" s="7" t="s">
        <v>2067</v>
      </c>
      <c r="U237" s="7" t="s">
        <v>2146</v>
      </c>
      <c r="V237" s="7" t="s">
        <v>2067</v>
      </c>
      <c r="W237" s="7" t="s">
        <v>2069</v>
      </c>
    </row>
    <row r="238" spans="1:23" ht="20.100000000000001" customHeight="1" x14ac:dyDescent="0.25">
      <c r="A238" s="3" t="s">
        <v>7396</v>
      </c>
      <c r="B238" s="4" t="s">
        <v>2057</v>
      </c>
      <c r="C238" s="4" t="s">
        <v>7397</v>
      </c>
      <c r="D238" s="4" t="s">
        <v>2059</v>
      </c>
      <c r="E238" s="4" t="s">
        <v>1965</v>
      </c>
      <c r="F238" s="4" t="s">
        <v>1966</v>
      </c>
      <c r="G238" s="4" t="s">
        <v>2057</v>
      </c>
      <c r="H238" s="4" t="s">
        <v>7370</v>
      </c>
      <c r="I238" s="4" t="s">
        <v>1970</v>
      </c>
      <c r="J238" s="4" t="s">
        <v>7398</v>
      </c>
      <c r="K238" s="4" t="s">
        <v>7399</v>
      </c>
      <c r="L238" s="4" t="s">
        <v>7400</v>
      </c>
      <c r="M238" s="4" t="s">
        <v>2064</v>
      </c>
      <c r="N238" s="8">
        <v>41659</v>
      </c>
      <c r="O238" s="8"/>
      <c r="P238" s="4" t="s">
        <v>1966</v>
      </c>
      <c r="Q238" s="4" t="s">
        <v>1970</v>
      </c>
      <c r="R238" s="4" t="s">
        <v>7401</v>
      </c>
      <c r="S238" s="4" t="s">
        <v>7402</v>
      </c>
      <c r="T238" s="4" t="s">
        <v>2067</v>
      </c>
      <c r="U238" s="4" t="s">
        <v>2174</v>
      </c>
      <c r="V238" s="4" t="s">
        <v>2067</v>
      </c>
      <c r="W238" s="4" t="s">
        <v>2069</v>
      </c>
    </row>
    <row r="239" spans="1:23" ht="20.100000000000001" customHeight="1" x14ac:dyDescent="0.25">
      <c r="A239" s="6" t="s">
        <v>7416</v>
      </c>
      <c r="B239" s="7" t="s">
        <v>2084</v>
      </c>
      <c r="C239" s="7" t="s">
        <v>7417</v>
      </c>
      <c r="D239" s="7" t="s">
        <v>2059</v>
      </c>
      <c r="E239" s="7" t="s">
        <v>1947</v>
      </c>
      <c r="F239" s="7" t="s">
        <v>1948</v>
      </c>
      <c r="G239" s="7" t="s">
        <v>2084</v>
      </c>
      <c r="H239" s="7" t="s">
        <v>7378</v>
      </c>
      <c r="I239" s="7" t="s">
        <v>1970</v>
      </c>
      <c r="J239" s="7" t="s">
        <v>7418</v>
      </c>
      <c r="K239" s="7" t="s">
        <v>7419</v>
      </c>
      <c r="L239" s="7" t="s">
        <v>7420</v>
      </c>
      <c r="M239" s="7" t="s">
        <v>2064</v>
      </c>
      <c r="N239" s="9">
        <v>45992</v>
      </c>
      <c r="O239" s="9"/>
      <c r="P239" s="7" t="s">
        <v>2090</v>
      </c>
      <c r="Q239" s="7" t="s">
        <v>1970</v>
      </c>
      <c r="R239" s="7" t="s">
        <v>7421</v>
      </c>
      <c r="S239" s="7" t="s">
        <v>7422</v>
      </c>
      <c r="T239" s="7" t="s">
        <v>2067</v>
      </c>
      <c r="U239" s="7" t="s">
        <v>2146</v>
      </c>
      <c r="V239" s="7" t="s">
        <v>2067</v>
      </c>
      <c r="W239" s="7" t="s">
        <v>2069</v>
      </c>
    </row>
    <row r="240" spans="1:23" ht="20.100000000000001" customHeight="1" x14ac:dyDescent="0.25">
      <c r="A240" s="3" t="s">
        <v>7428</v>
      </c>
      <c r="B240" s="4" t="s">
        <v>2084</v>
      </c>
      <c r="C240" s="4" t="s">
        <v>7429</v>
      </c>
      <c r="D240" s="4" t="s">
        <v>2059</v>
      </c>
      <c r="E240" s="4" t="s">
        <v>1947</v>
      </c>
      <c r="F240" s="4" t="s">
        <v>1948</v>
      </c>
      <c r="G240" s="4" t="s">
        <v>2084</v>
      </c>
      <c r="H240" s="4" t="s">
        <v>7378</v>
      </c>
      <c r="I240" s="4" t="s">
        <v>1970</v>
      </c>
      <c r="J240" s="4" t="s">
        <v>7430</v>
      </c>
      <c r="K240" s="4" t="s">
        <v>7431</v>
      </c>
      <c r="L240" s="4" t="s">
        <v>7432</v>
      </c>
      <c r="M240" s="4" t="s">
        <v>2064</v>
      </c>
      <c r="N240" s="8">
        <v>45992</v>
      </c>
      <c r="O240" s="8"/>
      <c r="P240" s="4" t="s">
        <v>2090</v>
      </c>
      <c r="Q240" s="4" t="s">
        <v>1970</v>
      </c>
      <c r="R240" s="4" t="s">
        <v>7433</v>
      </c>
      <c r="S240" s="4" t="s">
        <v>7434</v>
      </c>
      <c r="T240" s="4" t="s">
        <v>2067</v>
      </c>
      <c r="U240" s="4" t="s">
        <v>2146</v>
      </c>
      <c r="V240" s="4" t="s">
        <v>2067</v>
      </c>
      <c r="W240" s="4" t="s">
        <v>2069</v>
      </c>
    </row>
    <row r="241" spans="1:23" ht="20.100000000000001" customHeight="1" x14ac:dyDescent="0.25">
      <c r="A241" s="6" t="s">
        <v>7447</v>
      </c>
      <c r="B241" s="7" t="s">
        <v>2057</v>
      </c>
      <c r="C241" s="7" t="s">
        <v>7448</v>
      </c>
      <c r="D241" s="7" t="s">
        <v>2059</v>
      </c>
      <c r="E241" s="7" t="s">
        <v>1965</v>
      </c>
      <c r="F241" s="7" t="s">
        <v>1966</v>
      </c>
      <c r="G241" s="7" t="s">
        <v>2057</v>
      </c>
      <c r="H241" s="7" t="s">
        <v>7370</v>
      </c>
      <c r="I241" s="7" t="s">
        <v>1970</v>
      </c>
      <c r="J241" s="7" t="s">
        <v>7449</v>
      </c>
      <c r="K241" s="7" t="s">
        <v>7450</v>
      </c>
      <c r="L241" s="7" t="s">
        <v>7451</v>
      </c>
      <c r="M241" s="7" t="s">
        <v>2078</v>
      </c>
      <c r="N241" s="9">
        <v>46234</v>
      </c>
      <c r="O241" s="9">
        <v>46356</v>
      </c>
      <c r="P241" s="7" t="s">
        <v>1966</v>
      </c>
      <c r="Q241" s="7" t="s">
        <v>1970</v>
      </c>
      <c r="R241" s="7" t="s">
        <v>7452</v>
      </c>
      <c r="S241" s="7" t="s">
        <v>2886</v>
      </c>
      <c r="T241" s="7" t="s">
        <v>2067</v>
      </c>
      <c r="U241" s="7" t="s">
        <v>2174</v>
      </c>
      <c r="V241" s="7" t="s">
        <v>2067</v>
      </c>
      <c r="W241" s="7" t="s">
        <v>2069</v>
      </c>
    </row>
    <row r="242" spans="1:23" ht="20.100000000000001" customHeight="1" x14ac:dyDescent="0.25">
      <c r="A242" s="3" t="s">
        <v>7479</v>
      </c>
      <c r="B242" s="4" t="s">
        <v>2057</v>
      </c>
      <c r="C242" s="4" t="s">
        <v>7480</v>
      </c>
      <c r="D242" s="4" t="s">
        <v>2059</v>
      </c>
      <c r="E242" s="4" t="s">
        <v>2189</v>
      </c>
      <c r="F242" s="4" t="s">
        <v>2190</v>
      </c>
      <c r="G242" s="4" t="s">
        <v>2057</v>
      </c>
      <c r="H242" s="4" t="s">
        <v>7466</v>
      </c>
      <c r="I242" s="4" t="s">
        <v>1970</v>
      </c>
      <c r="J242" s="4" t="s">
        <v>7481</v>
      </c>
      <c r="K242" s="4" t="s">
        <v>7482</v>
      </c>
      <c r="L242" s="4" t="s">
        <v>7483</v>
      </c>
      <c r="M242" s="4" t="s">
        <v>2078</v>
      </c>
      <c r="N242" s="8">
        <v>46234</v>
      </c>
      <c r="O242" s="8">
        <v>46356</v>
      </c>
      <c r="P242" s="4" t="s">
        <v>2195</v>
      </c>
      <c r="Q242" s="4" t="s">
        <v>1970</v>
      </c>
      <c r="R242" s="4" t="s">
        <v>7484</v>
      </c>
      <c r="S242" s="4" t="s">
        <v>7485</v>
      </c>
      <c r="T242" s="4" t="s">
        <v>2067</v>
      </c>
      <c r="U242" s="4" t="s">
        <v>2198</v>
      </c>
      <c r="V242" s="4" t="s">
        <v>2067</v>
      </c>
      <c r="W242" s="4" t="s">
        <v>2069</v>
      </c>
    </row>
    <row r="243" spans="1:23" ht="20.100000000000001" customHeight="1" x14ac:dyDescent="0.25">
      <c r="A243" s="6" t="s">
        <v>7486</v>
      </c>
      <c r="B243" s="7" t="s">
        <v>2057</v>
      </c>
      <c r="C243" s="7" t="s">
        <v>7487</v>
      </c>
      <c r="D243" s="7" t="s">
        <v>2059</v>
      </c>
      <c r="E243" s="7" t="s">
        <v>1947</v>
      </c>
      <c r="F243" s="7" t="s">
        <v>1948</v>
      </c>
      <c r="G243" s="7" t="s">
        <v>2057</v>
      </c>
      <c r="H243" s="7" t="s">
        <v>7466</v>
      </c>
      <c r="I243" s="7" t="s">
        <v>1970</v>
      </c>
      <c r="J243" s="7" t="s">
        <v>7488</v>
      </c>
      <c r="K243" s="7" t="s">
        <v>7489</v>
      </c>
      <c r="L243" s="7" t="s">
        <v>7490</v>
      </c>
      <c r="M243" s="7" t="s">
        <v>2064</v>
      </c>
      <c r="N243" s="9">
        <v>46052</v>
      </c>
      <c r="O243" s="9"/>
      <c r="P243" s="7" t="s">
        <v>2090</v>
      </c>
      <c r="Q243" s="7" t="s">
        <v>1970</v>
      </c>
      <c r="R243" s="7" t="s">
        <v>7491</v>
      </c>
      <c r="S243" s="7" t="s">
        <v>7492</v>
      </c>
      <c r="T243" s="7" t="s">
        <v>2067</v>
      </c>
      <c r="U243" s="7" t="s">
        <v>3153</v>
      </c>
      <c r="V243" s="7" t="s">
        <v>2067</v>
      </c>
      <c r="W243" s="7" t="s">
        <v>2069</v>
      </c>
    </row>
    <row r="244" spans="1:23" ht="20.100000000000001" customHeight="1" x14ac:dyDescent="0.25">
      <c r="A244" s="3" t="s">
        <v>7539</v>
      </c>
      <c r="B244" s="4" t="s">
        <v>2057</v>
      </c>
      <c r="C244" s="4" t="s">
        <v>7540</v>
      </c>
      <c r="D244" s="4" t="s">
        <v>2059</v>
      </c>
      <c r="E244" s="4" t="s">
        <v>1947</v>
      </c>
      <c r="F244" s="4" t="s">
        <v>1948</v>
      </c>
      <c r="G244" s="4" t="s">
        <v>2057</v>
      </c>
      <c r="H244" s="4" t="s">
        <v>7541</v>
      </c>
      <c r="I244" s="4" t="s">
        <v>1970</v>
      </c>
      <c r="J244" s="4" t="s">
        <v>7542</v>
      </c>
      <c r="K244" s="4" t="s">
        <v>7543</v>
      </c>
      <c r="L244" s="4" t="s">
        <v>7544</v>
      </c>
      <c r="M244" s="4" t="s">
        <v>2064</v>
      </c>
      <c r="N244" s="8">
        <v>41306</v>
      </c>
      <c r="O244" s="8"/>
      <c r="P244" s="4" t="s">
        <v>2090</v>
      </c>
      <c r="Q244" s="4" t="s">
        <v>1970</v>
      </c>
      <c r="R244" s="4" t="s">
        <v>7545</v>
      </c>
      <c r="S244" s="4" t="s">
        <v>7546</v>
      </c>
      <c r="T244" s="4" t="s">
        <v>2067</v>
      </c>
      <c r="U244" s="4" t="s">
        <v>3153</v>
      </c>
      <c r="V244" s="4" t="s">
        <v>2067</v>
      </c>
      <c r="W244" s="4" t="s">
        <v>2069</v>
      </c>
    </row>
    <row r="245" spans="1:23" ht="20.100000000000001" customHeight="1" x14ac:dyDescent="0.25">
      <c r="A245" s="6" t="s">
        <v>7547</v>
      </c>
      <c r="B245" s="7" t="s">
        <v>2084</v>
      </c>
      <c r="C245" s="7" t="s">
        <v>7548</v>
      </c>
      <c r="D245" s="7" t="s">
        <v>2059</v>
      </c>
      <c r="E245" s="7" t="s">
        <v>2131</v>
      </c>
      <c r="F245" s="7" t="s">
        <v>2132</v>
      </c>
      <c r="G245" s="7" t="s">
        <v>2084</v>
      </c>
      <c r="H245" s="7" t="s">
        <v>7549</v>
      </c>
      <c r="I245" s="7" t="s">
        <v>1970</v>
      </c>
      <c r="J245" s="7" t="s">
        <v>7550</v>
      </c>
      <c r="K245" s="7" t="s">
        <v>7551</v>
      </c>
      <c r="L245" s="7" t="s">
        <v>7552</v>
      </c>
      <c r="M245" s="7" t="s">
        <v>2078</v>
      </c>
      <c r="N245" s="9">
        <v>45992</v>
      </c>
      <c r="O245" s="9">
        <v>46356</v>
      </c>
      <c r="P245" s="7" t="s">
        <v>2132</v>
      </c>
      <c r="Q245" s="7" t="s">
        <v>1970</v>
      </c>
      <c r="R245" s="7" t="s">
        <v>7553</v>
      </c>
      <c r="S245" s="7" t="s">
        <v>7554</v>
      </c>
      <c r="T245" s="7" t="s">
        <v>2067</v>
      </c>
      <c r="U245" s="7" t="s">
        <v>2138</v>
      </c>
      <c r="V245" s="7" t="s">
        <v>2067</v>
      </c>
      <c r="W245" s="7" t="s">
        <v>2069</v>
      </c>
    </row>
    <row r="246" spans="1:23" ht="20.100000000000001" customHeight="1" x14ac:dyDescent="0.25">
      <c r="A246" s="3" t="s">
        <v>7560</v>
      </c>
      <c r="B246" s="4" t="s">
        <v>2057</v>
      </c>
      <c r="C246" s="4" t="s">
        <v>7561</v>
      </c>
      <c r="D246" s="4" t="s">
        <v>2059</v>
      </c>
      <c r="E246" s="4" t="s">
        <v>2189</v>
      </c>
      <c r="F246" s="4" t="s">
        <v>2190</v>
      </c>
      <c r="G246" s="4" t="s">
        <v>2057</v>
      </c>
      <c r="H246" s="4" t="s">
        <v>1969</v>
      </c>
      <c r="I246" s="4" t="s">
        <v>1970</v>
      </c>
      <c r="J246" s="4" t="s">
        <v>7562</v>
      </c>
      <c r="K246" s="4" t="s">
        <v>7563</v>
      </c>
      <c r="L246" s="4" t="s">
        <v>7564</v>
      </c>
      <c r="M246" s="4" t="s">
        <v>2078</v>
      </c>
      <c r="N246" s="8">
        <v>46234</v>
      </c>
      <c r="O246" s="8">
        <v>46356</v>
      </c>
      <c r="P246" s="4" t="s">
        <v>2195</v>
      </c>
      <c r="Q246" s="4" t="s">
        <v>1970</v>
      </c>
      <c r="R246" s="4" t="s">
        <v>7565</v>
      </c>
      <c r="S246" s="4" t="s">
        <v>7566</v>
      </c>
      <c r="T246" s="4" t="s">
        <v>2067</v>
      </c>
      <c r="U246" s="4" t="s">
        <v>2198</v>
      </c>
      <c r="V246" s="4" t="s">
        <v>2067</v>
      </c>
      <c r="W246" s="4" t="s">
        <v>2082</v>
      </c>
    </row>
    <row r="247" spans="1:23" ht="20.100000000000001" customHeight="1" x14ac:dyDescent="0.25">
      <c r="A247" s="6" t="s">
        <v>7579</v>
      </c>
      <c r="B247" s="7" t="s">
        <v>2084</v>
      </c>
      <c r="C247" s="7" t="s">
        <v>7580</v>
      </c>
      <c r="D247" s="7" t="s">
        <v>2059</v>
      </c>
      <c r="E247" s="7" t="s">
        <v>1965</v>
      </c>
      <c r="F247" s="7" t="s">
        <v>1966</v>
      </c>
      <c r="G247" s="7" t="s">
        <v>2084</v>
      </c>
      <c r="H247" s="7" t="s">
        <v>7378</v>
      </c>
      <c r="I247" s="7" t="s">
        <v>1970</v>
      </c>
      <c r="J247" s="7" t="s">
        <v>7581</v>
      </c>
      <c r="K247" s="7" t="s">
        <v>7582</v>
      </c>
      <c r="L247" s="7" t="s">
        <v>7583</v>
      </c>
      <c r="M247" s="7" t="s">
        <v>2078</v>
      </c>
      <c r="N247" s="9">
        <v>45992</v>
      </c>
      <c r="O247" s="9">
        <v>46356</v>
      </c>
      <c r="P247" s="7" t="s">
        <v>1966</v>
      </c>
      <c r="Q247" s="7" t="s">
        <v>1970</v>
      </c>
      <c r="R247" s="7" t="s">
        <v>7584</v>
      </c>
      <c r="S247" s="7" t="s">
        <v>7585</v>
      </c>
      <c r="T247" s="7" t="s">
        <v>2067</v>
      </c>
      <c r="U247" s="7" t="s">
        <v>2174</v>
      </c>
      <c r="V247" s="7" t="s">
        <v>2067</v>
      </c>
      <c r="W247" s="7" t="s">
        <v>2069</v>
      </c>
    </row>
    <row r="248" spans="1:23" ht="20.100000000000001" customHeight="1" x14ac:dyDescent="0.25">
      <c r="A248" s="3" t="s">
        <v>7592</v>
      </c>
      <c r="B248" s="4" t="s">
        <v>2057</v>
      </c>
      <c r="C248" s="4" t="s">
        <v>7593</v>
      </c>
      <c r="D248" s="4" t="s">
        <v>2059</v>
      </c>
      <c r="E248" s="4" t="s">
        <v>2189</v>
      </c>
      <c r="F248" s="4" t="s">
        <v>2190</v>
      </c>
      <c r="G248" s="4" t="s">
        <v>2057</v>
      </c>
      <c r="H248" s="4" t="s">
        <v>1969</v>
      </c>
      <c r="I248" s="4" t="s">
        <v>1970</v>
      </c>
      <c r="J248" s="4" t="s">
        <v>7594</v>
      </c>
      <c r="K248" s="4" t="s">
        <v>7595</v>
      </c>
      <c r="L248" s="4" t="s">
        <v>7596</v>
      </c>
      <c r="M248" s="4" t="s">
        <v>2078</v>
      </c>
      <c r="N248" s="8">
        <v>46234</v>
      </c>
      <c r="O248" s="8">
        <v>46356</v>
      </c>
      <c r="P248" s="4" t="s">
        <v>2195</v>
      </c>
      <c r="Q248" s="4" t="s">
        <v>1970</v>
      </c>
      <c r="R248" s="4" t="s">
        <v>3711</v>
      </c>
      <c r="S248" s="4" t="s">
        <v>7597</v>
      </c>
      <c r="T248" s="4" t="s">
        <v>2067</v>
      </c>
      <c r="U248" s="4" t="s">
        <v>2198</v>
      </c>
      <c r="V248" s="4" t="s">
        <v>2067</v>
      </c>
      <c r="W248" s="4" t="s">
        <v>2082</v>
      </c>
    </row>
    <row r="249" spans="1:23" ht="20.100000000000001" customHeight="1" x14ac:dyDescent="0.25">
      <c r="A249" s="6" t="s">
        <v>7598</v>
      </c>
      <c r="B249" s="7" t="s">
        <v>2084</v>
      </c>
      <c r="C249" s="7" t="s">
        <v>7599</v>
      </c>
      <c r="D249" s="7" t="s">
        <v>2059</v>
      </c>
      <c r="E249" s="7" t="s">
        <v>2131</v>
      </c>
      <c r="F249" s="7" t="s">
        <v>2132</v>
      </c>
      <c r="G249" s="7" t="s">
        <v>2084</v>
      </c>
      <c r="H249" s="7" t="s">
        <v>7378</v>
      </c>
      <c r="I249" s="7" t="s">
        <v>1970</v>
      </c>
      <c r="J249" s="7" t="s">
        <v>7600</v>
      </c>
      <c r="K249" s="7" t="s">
        <v>7601</v>
      </c>
      <c r="L249" s="7" t="s">
        <v>7602</v>
      </c>
      <c r="M249" s="7" t="s">
        <v>2078</v>
      </c>
      <c r="N249" s="9">
        <v>45992</v>
      </c>
      <c r="O249" s="9">
        <v>46356</v>
      </c>
      <c r="P249" s="7" t="s">
        <v>2132</v>
      </c>
      <c r="Q249" s="7" t="s">
        <v>1970</v>
      </c>
      <c r="R249" s="7" t="s">
        <v>2126</v>
      </c>
      <c r="S249" s="7" t="s">
        <v>7603</v>
      </c>
      <c r="T249" s="7" t="s">
        <v>2067</v>
      </c>
      <c r="U249" s="7" t="s">
        <v>2138</v>
      </c>
      <c r="V249" s="7" t="s">
        <v>2067</v>
      </c>
      <c r="W249" s="7" t="s">
        <v>2069</v>
      </c>
    </row>
    <row r="250" spans="1:23" ht="20.100000000000001" customHeight="1" x14ac:dyDescent="0.25">
      <c r="A250" s="3" t="s">
        <v>7604</v>
      </c>
      <c r="B250" s="4" t="s">
        <v>2084</v>
      </c>
      <c r="C250" s="4" t="s">
        <v>7605</v>
      </c>
      <c r="D250" s="4" t="s">
        <v>2059</v>
      </c>
      <c r="E250" s="4" t="s">
        <v>2673</v>
      </c>
      <c r="F250" s="4" t="s">
        <v>2674</v>
      </c>
      <c r="G250" s="4" t="s">
        <v>2084</v>
      </c>
      <c r="H250" s="4" t="s">
        <v>7363</v>
      </c>
      <c r="I250" s="4" t="s">
        <v>1970</v>
      </c>
      <c r="J250" s="4" t="s">
        <v>7606</v>
      </c>
      <c r="K250" s="4" t="s">
        <v>7607</v>
      </c>
      <c r="L250" s="4" t="s">
        <v>7608</v>
      </c>
      <c r="M250" s="4" t="s">
        <v>2078</v>
      </c>
      <c r="N250" s="8">
        <v>45992</v>
      </c>
      <c r="O250" s="8">
        <v>46356</v>
      </c>
      <c r="P250" s="4" t="s">
        <v>2674</v>
      </c>
      <c r="Q250" s="4" t="s">
        <v>1970</v>
      </c>
      <c r="R250" s="4" t="s">
        <v>2605</v>
      </c>
      <c r="S250" s="4" t="s">
        <v>7609</v>
      </c>
      <c r="T250" s="4" t="s">
        <v>2067</v>
      </c>
      <c r="U250" s="4" t="s">
        <v>2680</v>
      </c>
      <c r="V250" s="4" t="s">
        <v>2067</v>
      </c>
      <c r="W250" s="4" t="s">
        <v>2069</v>
      </c>
    </row>
    <row r="251" spans="1:23" ht="20.100000000000001" customHeight="1" x14ac:dyDescent="0.25">
      <c r="A251" s="6" t="s">
        <v>7616</v>
      </c>
      <c r="B251" s="7" t="s">
        <v>2057</v>
      </c>
      <c r="C251" s="7" t="s">
        <v>7617</v>
      </c>
      <c r="D251" s="7" t="s">
        <v>2059</v>
      </c>
      <c r="E251" s="7" t="s">
        <v>1965</v>
      </c>
      <c r="F251" s="7" t="s">
        <v>1966</v>
      </c>
      <c r="G251" s="7" t="s">
        <v>2057</v>
      </c>
      <c r="H251" s="7" t="s">
        <v>7370</v>
      </c>
      <c r="I251" s="7" t="s">
        <v>1970</v>
      </c>
      <c r="J251" s="7" t="s">
        <v>7618</v>
      </c>
      <c r="K251" s="7" t="s">
        <v>7619</v>
      </c>
      <c r="L251" s="7" t="s">
        <v>7620</v>
      </c>
      <c r="M251" s="7" t="s">
        <v>2078</v>
      </c>
      <c r="N251" s="9">
        <v>46234</v>
      </c>
      <c r="O251" s="9">
        <v>46356</v>
      </c>
      <c r="P251" s="7" t="s">
        <v>1966</v>
      </c>
      <c r="Q251" s="7" t="s">
        <v>1970</v>
      </c>
      <c r="R251" s="7" t="s">
        <v>7621</v>
      </c>
      <c r="S251" s="7" t="s">
        <v>7622</v>
      </c>
      <c r="T251" s="7" t="s">
        <v>2067</v>
      </c>
      <c r="U251" s="7" t="s">
        <v>2174</v>
      </c>
      <c r="V251" s="7" t="s">
        <v>2067</v>
      </c>
      <c r="W251" s="7" t="s">
        <v>2069</v>
      </c>
    </row>
    <row r="252" spans="1:23" ht="20.100000000000001" customHeight="1" x14ac:dyDescent="0.25">
      <c r="A252" s="3" t="s">
        <v>7645</v>
      </c>
      <c r="B252" s="4" t="s">
        <v>2057</v>
      </c>
      <c r="C252" s="4" t="s">
        <v>7646</v>
      </c>
      <c r="D252" s="4" t="s">
        <v>2059</v>
      </c>
      <c r="E252" s="4" t="s">
        <v>1947</v>
      </c>
      <c r="F252" s="4" t="s">
        <v>2427</v>
      </c>
      <c r="G252" s="4" t="s">
        <v>2057</v>
      </c>
      <c r="H252" s="4" t="s">
        <v>7370</v>
      </c>
      <c r="I252" s="4" t="s">
        <v>1970</v>
      </c>
      <c r="J252" s="4" t="s">
        <v>7647</v>
      </c>
      <c r="K252" s="4" t="s">
        <v>7648</v>
      </c>
      <c r="L252" s="4" t="s">
        <v>7649</v>
      </c>
      <c r="M252" s="4" t="s">
        <v>2078</v>
      </c>
      <c r="N252" s="8">
        <v>46234</v>
      </c>
      <c r="O252" s="8">
        <v>46356</v>
      </c>
      <c r="P252" s="4" t="s">
        <v>2427</v>
      </c>
      <c r="Q252" s="4" t="s">
        <v>1970</v>
      </c>
      <c r="R252" s="4" t="s">
        <v>7650</v>
      </c>
      <c r="S252" s="4" t="s">
        <v>7651</v>
      </c>
      <c r="T252" s="4" t="s">
        <v>2067</v>
      </c>
      <c r="U252" s="4" t="s">
        <v>3337</v>
      </c>
      <c r="V252" s="4" t="s">
        <v>2067</v>
      </c>
      <c r="W252" s="4" t="s">
        <v>2069</v>
      </c>
    </row>
    <row r="253" spans="1:23" ht="20.100000000000001" customHeight="1" x14ac:dyDescent="0.25">
      <c r="A253" s="6" t="s">
        <v>7669</v>
      </c>
      <c r="B253" s="7" t="s">
        <v>2057</v>
      </c>
      <c r="C253" s="7" t="s">
        <v>7670</v>
      </c>
      <c r="D253" s="7" t="s">
        <v>2059</v>
      </c>
      <c r="E253" s="7" t="s">
        <v>1947</v>
      </c>
      <c r="F253" s="7" t="s">
        <v>1948</v>
      </c>
      <c r="G253" s="7" t="s">
        <v>2057</v>
      </c>
      <c r="H253" s="7" t="s">
        <v>7671</v>
      </c>
      <c r="I253" s="7" t="s">
        <v>1970</v>
      </c>
      <c r="J253" s="7" t="s">
        <v>7672</v>
      </c>
      <c r="K253" s="7" t="s">
        <v>7673</v>
      </c>
      <c r="L253" s="7" t="s">
        <v>7674</v>
      </c>
      <c r="M253" s="7" t="s">
        <v>2064</v>
      </c>
      <c r="N253" s="9">
        <v>40756</v>
      </c>
      <c r="O253" s="9"/>
      <c r="P253" s="7" t="s">
        <v>2090</v>
      </c>
      <c r="Q253" s="7" t="s">
        <v>1970</v>
      </c>
      <c r="R253" s="7" t="s">
        <v>7675</v>
      </c>
      <c r="S253" s="7" t="s">
        <v>7676</v>
      </c>
      <c r="T253" s="7" t="s">
        <v>2067</v>
      </c>
      <c r="U253" s="7" t="s">
        <v>2146</v>
      </c>
      <c r="V253" s="7" t="s">
        <v>2067</v>
      </c>
      <c r="W253" s="7" t="s">
        <v>2069</v>
      </c>
    </row>
    <row r="254" spans="1:23" ht="20.100000000000001" customHeight="1" x14ac:dyDescent="0.25">
      <c r="A254" s="3" t="s">
        <v>7684</v>
      </c>
      <c r="B254" s="4" t="s">
        <v>2084</v>
      </c>
      <c r="C254" s="4" t="s">
        <v>7685</v>
      </c>
      <c r="D254" s="4" t="s">
        <v>2059</v>
      </c>
      <c r="E254" s="4" t="s">
        <v>1947</v>
      </c>
      <c r="F254" s="4" t="s">
        <v>2427</v>
      </c>
      <c r="G254" s="4" t="s">
        <v>2084</v>
      </c>
      <c r="H254" s="4" t="s">
        <v>7686</v>
      </c>
      <c r="I254" s="4" t="s">
        <v>1970</v>
      </c>
      <c r="J254" s="4" t="s">
        <v>7687</v>
      </c>
      <c r="K254" s="4" t="s">
        <v>7688</v>
      </c>
      <c r="L254" s="4" t="s">
        <v>7689</v>
      </c>
      <c r="M254" s="4" t="s">
        <v>2078</v>
      </c>
      <c r="N254" s="8">
        <v>46234</v>
      </c>
      <c r="O254" s="8">
        <v>46356</v>
      </c>
      <c r="P254" s="4" t="s">
        <v>2427</v>
      </c>
      <c r="Q254" s="4" t="s">
        <v>1970</v>
      </c>
      <c r="R254" s="4" t="s">
        <v>7690</v>
      </c>
      <c r="S254" s="4" t="s">
        <v>7691</v>
      </c>
      <c r="T254" s="4" t="s">
        <v>2067</v>
      </c>
      <c r="U254" s="4" t="s">
        <v>3337</v>
      </c>
      <c r="V254" s="4" t="s">
        <v>2067</v>
      </c>
      <c r="W254" s="4" t="s">
        <v>2082</v>
      </c>
    </row>
    <row r="255" spans="1:23" ht="20.100000000000001" customHeight="1" x14ac:dyDescent="0.25">
      <c r="A255" s="6" t="s">
        <v>7698</v>
      </c>
      <c r="B255" s="7" t="s">
        <v>2057</v>
      </c>
      <c r="C255" s="7" t="s">
        <v>7699</v>
      </c>
      <c r="D255" s="7" t="s">
        <v>2059</v>
      </c>
      <c r="E255" s="7" t="s">
        <v>1947</v>
      </c>
      <c r="F255" s="7" t="s">
        <v>1948</v>
      </c>
      <c r="G255" s="7" t="s">
        <v>2057</v>
      </c>
      <c r="H255" s="7" t="s">
        <v>7370</v>
      </c>
      <c r="I255" s="7" t="s">
        <v>1970</v>
      </c>
      <c r="J255" s="7" t="s">
        <v>7700</v>
      </c>
      <c r="K255" s="7" t="s">
        <v>7701</v>
      </c>
      <c r="L255" s="7" t="s">
        <v>7702</v>
      </c>
      <c r="M255" s="7" t="s">
        <v>2064</v>
      </c>
      <c r="N255" s="9">
        <v>45992</v>
      </c>
      <c r="O255" s="9"/>
      <c r="P255" s="7" t="s">
        <v>2090</v>
      </c>
      <c r="Q255" s="7" t="s">
        <v>1970</v>
      </c>
      <c r="R255" s="7" t="s">
        <v>4007</v>
      </c>
      <c r="S255" s="7" t="s">
        <v>7703</v>
      </c>
      <c r="T255" s="7" t="s">
        <v>2067</v>
      </c>
      <c r="U255" s="7" t="s">
        <v>3153</v>
      </c>
      <c r="V255" s="7" t="s">
        <v>2067</v>
      </c>
      <c r="W255" s="7" t="s">
        <v>2069</v>
      </c>
    </row>
    <row r="256" spans="1:23" ht="20.100000000000001" customHeight="1" x14ac:dyDescent="0.25">
      <c r="A256" s="3" t="s">
        <v>7704</v>
      </c>
      <c r="B256" s="4" t="s">
        <v>2057</v>
      </c>
      <c r="C256" s="4" t="s">
        <v>7705</v>
      </c>
      <c r="D256" s="4" t="s">
        <v>2059</v>
      </c>
      <c r="E256" s="4" t="s">
        <v>2189</v>
      </c>
      <c r="F256" s="4" t="s">
        <v>2190</v>
      </c>
      <c r="G256" s="4" t="s">
        <v>2057</v>
      </c>
      <c r="H256" s="4" t="s">
        <v>7706</v>
      </c>
      <c r="I256" s="4" t="s">
        <v>1970</v>
      </c>
      <c r="J256" s="4" t="s">
        <v>7707</v>
      </c>
      <c r="K256" s="4" t="s">
        <v>7708</v>
      </c>
      <c r="L256" s="4" t="s">
        <v>7709</v>
      </c>
      <c r="M256" s="4" t="s">
        <v>2078</v>
      </c>
      <c r="N256" s="8">
        <v>46234</v>
      </c>
      <c r="O256" s="8">
        <v>46356</v>
      </c>
      <c r="P256" s="4" t="s">
        <v>2195</v>
      </c>
      <c r="Q256" s="4" t="s">
        <v>1970</v>
      </c>
      <c r="R256" s="4" t="s">
        <v>7710</v>
      </c>
      <c r="S256" s="4" t="s">
        <v>7711</v>
      </c>
      <c r="T256" s="4" t="s">
        <v>2067</v>
      </c>
      <c r="U256" s="4" t="s">
        <v>2198</v>
      </c>
      <c r="V256" s="4" t="s">
        <v>2067</v>
      </c>
      <c r="W256" s="4" t="s">
        <v>2082</v>
      </c>
    </row>
    <row r="257" spans="1:23" ht="20.100000000000001" customHeight="1" x14ac:dyDescent="0.25">
      <c r="A257" s="6" t="s">
        <v>7723</v>
      </c>
      <c r="B257" s="7" t="s">
        <v>2057</v>
      </c>
      <c r="C257" s="7" t="s">
        <v>7724</v>
      </c>
      <c r="D257" s="7" t="s">
        <v>2059</v>
      </c>
      <c r="E257" s="7" t="s">
        <v>1965</v>
      </c>
      <c r="F257" s="7" t="s">
        <v>1966</v>
      </c>
      <c r="G257" s="7" t="s">
        <v>2057</v>
      </c>
      <c r="H257" s="7" t="s">
        <v>7370</v>
      </c>
      <c r="I257" s="7" t="s">
        <v>1970</v>
      </c>
      <c r="J257" s="7" t="s">
        <v>7725</v>
      </c>
      <c r="K257" s="7" t="s">
        <v>7726</v>
      </c>
      <c r="L257" s="7" t="s">
        <v>7727</v>
      </c>
      <c r="M257" s="7" t="s">
        <v>2078</v>
      </c>
      <c r="N257" s="9">
        <v>46234</v>
      </c>
      <c r="O257" s="9">
        <v>46356</v>
      </c>
      <c r="P257" s="7" t="s">
        <v>1966</v>
      </c>
      <c r="Q257" s="7" t="s">
        <v>1970</v>
      </c>
      <c r="R257" s="7" t="s">
        <v>7728</v>
      </c>
      <c r="S257" s="7" t="s">
        <v>7729</v>
      </c>
      <c r="T257" s="7" t="s">
        <v>2067</v>
      </c>
      <c r="U257" s="7" t="s">
        <v>2174</v>
      </c>
      <c r="V257" s="7" t="s">
        <v>2067</v>
      </c>
      <c r="W257" s="7" t="s">
        <v>2069</v>
      </c>
    </row>
    <row r="258" spans="1:23" ht="20.100000000000001" customHeight="1" x14ac:dyDescent="0.25">
      <c r="A258" s="3" t="s">
        <v>7730</v>
      </c>
      <c r="B258" s="4" t="s">
        <v>2057</v>
      </c>
      <c r="C258" s="4" t="s">
        <v>7731</v>
      </c>
      <c r="D258" s="4" t="s">
        <v>2059</v>
      </c>
      <c r="E258" s="4" t="s">
        <v>1965</v>
      </c>
      <c r="F258" s="4" t="s">
        <v>1966</v>
      </c>
      <c r="G258" s="4" t="s">
        <v>2057</v>
      </c>
      <c r="H258" s="4" t="s">
        <v>7541</v>
      </c>
      <c r="I258" s="4" t="s">
        <v>1970</v>
      </c>
      <c r="J258" s="4" t="s">
        <v>7732</v>
      </c>
      <c r="K258" s="4" t="s">
        <v>7733</v>
      </c>
      <c r="L258" s="4" t="s">
        <v>7734</v>
      </c>
      <c r="M258" s="4" t="s">
        <v>2078</v>
      </c>
      <c r="N258" s="8">
        <v>46234</v>
      </c>
      <c r="O258" s="8">
        <v>46356</v>
      </c>
      <c r="P258" s="4" t="s">
        <v>1966</v>
      </c>
      <c r="Q258" s="4" t="s">
        <v>1970</v>
      </c>
      <c r="R258" s="4" t="s">
        <v>7735</v>
      </c>
      <c r="S258" s="4" t="s">
        <v>7736</v>
      </c>
      <c r="T258" s="4" t="s">
        <v>2067</v>
      </c>
      <c r="U258" s="4" t="s">
        <v>2174</v>
      </c>
      <c r="V258" s="4" t="s">
        <v>2067</v>
      </c>
      <c r="W258" s="4" t="s">
        <v>2069</v>
      </c>
    </row>
    <row r="259" spans="1:23" ht="20.100000000000001" customHeight="1" x14ac:dyDescent="0.25">
      <c r="A259" s="6" t="s">
        <v>7737</v>
      </c>
      <c r="B259" s="7" t="s">
        <v>2057</v>
      </c>
      <c r="C259" s="7" t="s">
        <v>7738</v>
      </c>
      <c r="D259" s="7" t="s">
        <v>2059</v>
      </c>
      <c r="E259" s="7" t="s">
        <v>2189</v>
      </c>
      <c r="F259" s="7" t="s">
        <v>2190</v>
      </c>
      <c r="G259" s="7" t="s">
        <v>2057</v>
      </c>
      <c r="H259" s="7" t="s">
        <v>7466</v>
      </c>
      <c r="I259" s="7" t="s">
        <v>1970</v>
      </c>
      <c r="J259" s="7" t="s">
        <v>7739</v>
      </c>
      <c r="K259" s="7" t="s">
        <v>7740</v>
      </c>
      <c r="L259" s="7" t="s">
        <v>7741</v>
      </c>
      <c r="M259" s="7" t="s">
        <v>2078</v>
      </c>
      <c r="N259" s="9">
        <v>46234</v>
      </c>
      <c r="O259" s="9">
        <v>46356</v>
      </c>
      <c r="P259" s="7" t="s">
        <v>2195</v>
      </c>
      <c r="Q259" s="7" t="s">
        <v>1970</v>
      </c>
      <c r="R259" s="7" t="s">
        <v>7742</v>
      </c>
      <c r="S259" s="7" t="s">
        <v>7743</v>
      </c>
      <c r="T259" s="7" t="s">
        <v>2067</v>
      </c>
      <c r="U259" s="7" t="s">
        <v>2198</v>
      </c>
      <c r="V259" s="7" t="s">
        <v>2067</v>
      </c>
      <c r="W259" s="7" t="s">
        <v>2069</v>
      </c>
    </row>
    <row r="260" spans="1:23" ht="20.100000000000001" customHeight="1" x14ac:dyDescent="0.25">
      <c r="A260" s="3" t="s">
        <v>7750</v>
      </c>
      <c r="B260" s="4" t="s">
        <v>2057</v>
      </c>
      <c r="C260" s="4" t="s">
        <v>7751</v>
      </c>
      <c r="D260" s="4" t="s">
        <v>2059</v>
      </c>
      <c r="E260" s="4" t="s">
        <v>1947</v>
      </c>
      <c r="F260" s="4" t="s">
        <v>1948</v>
      </c>
      <c r="G260" s="4" t="s">
        <v>2057</v>
      </c>
      <c r="H260" s="4" t="s">
        <v>7466</v>
      </c>
      <c r="I260" s="4" t="s">
        <v>1970</v>
      </c>
      <c r="J260" s="4" t="s">
        <v>7752</v>
      </c>
      <c r="K260" s="4" t="s">
        <v>7753</v>
      </c>
      <c r="L260" s="4" t="s">
        <v>7754</v>
      </c>
      <c r="M260" s="4" t="s">
        <v>2064</v>
      </c>
      <c r="N260" s="8">
        <v>46052</v>
      </c>
      <c r="O260" s="8"/>
      <c r="P260" s="4" t="s">
        <v>2090</v>
      </c>
      <c r="Q260" s="4" t="s">
        <v>1970</v>
      </c>
      <c r="R260" s="4" t="s">
        <v>7755</v>
      </c>
      <c r="S260" s="4" t="s">
        <v>7756</v>
      </c>
      <c r="T260" s="4" t="s">
        <v>2067</v>
      </c>
      <c r="U260" s="4" t="s">
        <v>3153</v>
      </c>
      <c r="V260" s="4" t="s">
        <v>2067</v>
      </c>
      <c r="W260" s="4" t="s">
        <v>2069</v>
      </c>
    </row>
    <row r="261" spans="1:23" ht="20.100000000000001" customHeight="1" x14ac:dyDescent="0.25">
      <c r="A261" s="6" t="s">
        <v>7757</v>
      </c>
      <c r="B261" s="7" t="s">
        <v>2057</v>
      </c>
      <c r="C261" s="7" t="s">
        <v>7758</v>
      </c>
      <c r="D261" s="7" t="s">
        <v>2059</v>
      </c>
      <c r="E261" s="7" t="s">
        <v>2189</v>
      </c>
      <c r="F261" s="7" t="s">
        <v>2190</v>
      </c>
      <c r="G261" s="7" t="s">
        <v>2057</v>
      </c>
      <c r="H261" s="7" t="s">
        <v>7541</v>
      </c>
      <c r="I261" s="7" t="s">
        <v>1970</v>
      </c>
      <c r="J261" s="7" t="s">
        <v>7759</v>
      </c>
      <c r="K261" s="7" t="s">
        <v>7760</v>
      </c>
      <c r="L261" s="7" t="s">
        <v>7761</v>
      </c>
      <c r="M261" s="7" t="s">
        <v>2078</v>
      </c>
      <c r="N261" s="9">
        <v>46234</v>
      </c>
      <c r="O261" s="9">
        <v>46356</v>
      </c>
      <c r="P261" s="7" t="s">
        <v>2195</v>
      </c>
      <c r="Q261" s="7" t="s">
        <v>1970</v>
      </c>
      <c r="R261" s="7" t="s">
        <v>7762</v>
      </c>
      <c r="S261" s="7" t="s">
        <v>7763</v>
      </c>
      <c r="T261" s="7" t="s">
        <v>2067</v>
      </c>
      <c r="U261" s="7" t="s">
        <v>2198</v>
      </c>
      <c r="V261" s="7" t="s">
        <v>2067</v>
      </c>
      <c r="W261" s="7" t="s">
        <v>2069</v>
      </c>
    </row>
    <row r="262" spans="1:23" ht="20.100000000000001" customHeight="1" x14ac:dyDescent="0.25">
      <c r="A262" s="3" t="s">
        <v>7764</v>
      </c>
      <c r="B262" s="4" t="s">
        <v>2057</v>
      </c>
      <c r="C262" s="4" t="s">
        <v>7765</v>
      </c>
      <c r="D262" s="4" t="s">
        <v>2059</v>
      </c>
      <c r="E262" s="4" t="s">
        <v>2189</v>
      </c>
      <c r="F262" s="4" t="s">
        <v>2190</v>
      </c>
      <c r="G262" s="4" t="s">
        <v>2057</v>
      </c>
      <c r="H262" s="4" t="s">
        <v>1969</v>
      </c>
      <c r="I262" s="4" t="s">
        <v>1970</v>
      </c>
      <c r="J262" s="4" t="s">
        <v>7766</v>
      </c>
      <c r="K262" s="4" t="s">
        <v>7767</v>
      </c>
      <c r="L262" s="4" t="s">
        <v>7768</v>
      </c>
      <c r="M262" s="4" t="s">
        <v>2078</v>
      </c>
      <c r="N262" s="8">
        <v>46234</v>
      </c>
      <c r="O262" s="8">
        <v>46356</v>
      </c>
      <c r="P262" s="4" t="s">
        <v>2195</v>
      </c>
      <c r="Q262" s="4" t="s">
        <v>1970</v>
      </c>
      <c r="R262" s="4" t="s">
        <v>7769</v>
      </c>
      <c r="S262" s="4" t="s">
        <v>7770</v>
      </c>
      <c r="T262" s="4" t="s">
        <v>2067</v>
      </c>
      <c r="U262" s="4" t="s">
        <v>2198</v>
      </c>
      <c r="V262" s="4" t="s">
        <v>2067</v>
      </c>
      <c r="W262" s="4" t="s">
        <v>2082</v>
      </c>
    </row>
    <row r="263" spans="1:23" ht="20.100000000000001" customHeight="1" x14ac:dyDescent="0.25">
      <c r="A263" s="6" t="s">
        <v>7771</v>
      </c>
      <c r="B263" s="7" t="s">
        <v>2057</v>
      </c>
      <c r="C263" s="7" t="s">
        <v>7772</v>
      </c>
      <c r="D263" s="7" t="s">
        <v>2059</v>
      </c>
      <c r="E263" s="7" t="s">
        <v>2189</v>
      </c>
      <c r="F263" s="7" t="s">
        <v>2190</v>
      </c>
      <c r="G263" s="7" t="s">
        <v>2057</v>
      </c>
      <c r="H263" s="7" t="s">
        <v>7541</v>
      </c>
      <c r="I263" s="7" t="s">
        <v>1970</v>
      </c>
      <c r="J263" s="7" t="s">
        <v>7773</v>
      </c>
      <c r="K263" s="7" t="s">
        <v>7774</v>
      </c>
      <c r="L263" s="7" t="s">
        <v>7775</v>
      </c>
      <c r="M263" s="7" t="s">
        <v>2078</v>
      </c>
      <c r="N263" s="9">
        <v>46234</v>
      </c>
      <c r="O263" s="9">
        <v>46356</v>
      </c>
      <c r="P263" s="7" t="s">
        <v>2195</v>
      </c>
      <c r="Q263" s="7" t="s">
        <v>1970</v>
      </c>
      <c r="R263" s="7" t="s">
        <v>7776</v>
      </c>
      <c r="S263" s="7" t="s">
        <v>7777</v>
      </c>
      <c r="T263" s="7" t="s">
        <v>2067</v>
      </c>
      <c r="U263" s="7" t="s">
        <v>2198</v>
      </c>
      <c r="V263" s="7" t="s">
        <v>2067</v>
      </c>
      <c r="W263" s="7" t="s">
        <v>2069</v>
      </c>
    </row>
    <row r="264" spans="1:23" ht="20.100000000000001" customHeight="1" x14ac:dyDescent="0.25">
      <c r="A264" s="3" t="s">
        <v>7811</v>
      </c>
      <c r="B264" s="4" t="s">
        <v>2057</v>
      </c>
      <c r="C264" s="4" t="s">
        <v>7812</v>
      </c>
      <c r="D264" s="4" t="s">
        <v>2059</v>
      </c>
      <c r="E264" s="4" t="s">
        <v>2189</v>
      </c>
      <c r="F264" s="4" t="s">
        <v>2190</v>
      </c>
      <c r="G264" s="4" t="s">
        <v>2057</v>
      </c>
      <c r="H264" s="4" t="s">
        <v>7527</v>
      </c>
      <c r="I264" s="4" t="s">
        <v>1970</v>
      </c>
      <c r="J264" s="4" t="s">
        <v>7813</v>
      </c>
      <c r="K264" s="4" t="s">
        <v>7814</v>
      </c>
      <c r="L264" s="4" t="s">
        <v>7815</v>
      </c>
      <c r="M264" s="4" t="s">
        <v>2078</v>
      </c>
      <c r="N264" s="8">
        <v>46234</v>
      </c>
      <c r="O264" s="8">
        <v>46356</v>
      </c>
      <c r="P264" s="4" t="s">
        <v>2195</v>
      </c>
      <c r="Q264" s="4" t="s">
        <v>1970</v>
      </c>
      <c r="R264" s="4" t="s">
        <v>7816</v>
      </c>
      <c r="S264" s="4" t="s">
        <v>7817</v>
      </c>
      <c r="T264" s="4" t="s">
        <v>2067</v>
      </c>
      <c r="U264" s="4" t="s">
        <v>2198</v>
      </c>
      <c r="V264" s="4" t="s">
        <v>2067</v>
      </c>
      <c r="W264" s="4" t="s">
        <v>2082</v>
      </c>
    </row>
    <row r="265" spans="1:23" ht="20.100000000000001" customHeight="1" x14ac:dyDescent="0.25">
      <c r="A265" s="6" t="s">
        <v>7824</v>
      </c>
      <c r="B265" s="7" t="s">
        <v>2057</v>
      </c>
      <c r="C265" s="7" t="s">
        <v>7825</v>
      </c>
      <c r="D265" s="7" t="s">
        <v>2059</v>
      </c>
      <c r="E265" s="7" t="s">
        <v>1940</v>
      </c>
      <c r="F265" s="7" t="s">
        <v>1941</v>
      </c>
      <c r="G265" s="7" t="s">
        <v>2057</v>
      </c>
      <c r="H265" s="7" t="s">
        <v>7527</v>
      </c>
      <c r="I265" s="7" t="s">
        <v>1970</v>
      </c>
      <c r="J265" s="7" t="s">
        <v>7826</v>
      </c>
      <c r="K265" s="7" t="s">
        <v>7827</v>
      </c>
      <c r="L265" s="7" t="s">
        <v>7828</v>
      </c>
      <c r="M265" s="7" t="s">
        <v>2078</v>
      </c>
      <c r="N265" s="9">
        <v>46234</v>
      </c>
      <c r="O265" s="9">
        <v>46356</v>
      </c>
      <c r="P265" s="7" t="s">
        <v>1941</v>
      </c>
      <c r="Q265" s="7" t="s">
        <v>1970</v>
      </c>
      <c r="R265" s="7" t="s">
        <v>7829</v>
      </c>
      <c r="S265" s="7" t="s">
        <v>7830</v>
      </c>
      <c r="T265" s="7" t="s">
        <v>2067</v>
      </c>
      <c r="U265" s="7" t="s">
        <v>2068</v>
      </c>
      <c r="V265" s="7" t="s">
        <v>2067</v>
      </c>
      <c r="W265" s="7" t="s">
        <v>2082</v>
      </c>
    </row>
    <row r="266" spans="1:23" ht="20.100000000000001" customHeight="1" x14ac:dyDescent="0.25">
      <c r="A266" s="3" t="s">
        <v>7831</v>
      </c>
      <c r="B266" s="4" t="s">
        <v>2057</v>
      </c>
      <c r="C266" s="4" t="s">
        <v>7832</v>
      </c>
      <c r="D266" s="4" t="s">
        <v>2059</v>
      </c>
      <c r="E266" s="4" t="s">
        <v>1947</v>
      </c>
      <c r="F266" s="4" t="s">
        <v>1948</v>
      </c>
      <c r="G266" s="4" t="s">
        <v>2057</v>
      </c>
      <c r="H266" s="4" t="s">
        <v>1969</v>
      </c>
      <c r="I266" s="4" t="s">
        <v>1970</v>
      </c>
      <c r="J266" s="4" t="s">
        <v>7833</v>
      </c>
      <c r="K266" s="4" t="s">
        <v>7834</v>
      </c>
      <c r="L266" s="4" t="s">
        <v>7835</v>
      </c>
      <c r="M266" s="4" t="s">
        <v>2078</v>
      </c>
      <c r="N266" s="8">
        <v>46234</v>
      </c>
      <c r="O266" s="8">
        <v>46356</v>
      </c>
      <c r="P266" s="4" t="s">
        <v>2090</v>
      </c>
      <c r="Q266" s="4" t="s">
        <v>1970</v>
      </c>
      <c r="R266" s="4" t="s">
        <v>7836</v>
      </c>
      <c r="S266" s="4" t="s">
        <v>7837</v>
      </c>
      <c r="T266" s="4" t="s">
        <v>2067</v>
      </c>
      <c r="U266" s="4" t="s">
        <v>3153</v>
      </c>
      <c r="V266" s="4" t="s">
        <v>2067</v>
      </c>
      <c r="W266" s="4" t="s">
        <v>2082</v>
      </c>
    </row>
    <row r="267" spans="1:23" ht="20.100000000000001" customHeight="1" x14ac:dyDescent="0.25">
      <c r="A267" s="6" t="s">
        <v>7838</v>
      </c>
      <c r="B267" s="7" t="s">
        <v>2057</v>
      </c>
      <c r="C267" s="7" t="s">
        <v>7839</v>
      </c>
      <c r="D267" s="7" t="s">
        <v>2059</v>
      </c>
      <c r="E267" s="7" t="s">
        <v>1947</v>
      </c>
      <c r="F267" s="7" t="s">
        <v>2329</v>
      </c>
      <c r="G267" s="7" t="s">
        <v>2057</v>
      </c>
      <c r="H267" s="7" t="s">
        <v>7541</v>
      </c>
      <c r="I267" s="7" t="s">
        <v>1970</v>
      </c>
      <c r="J267" s="7" t="s">
        <v>7840</v>
      </c>
      <c r="K267" s="7" t="s">
        <v>7841</v>
      </c>
      <c r="L267" s="7" t="s">
        <v>7842</v>
      </c>
      <c r="M267" s="7" t="s">
        <v>2064</v>
      </c>
      <c r="N267" s="9">
        <v>46052</v>
      </c>
      <c r="O267" s="9"/>
      <c r="P267" s="7" t="s">
        <v>2333</v>
      </c>
      <c r="Q267" s="7" t="s">
        <v>1970</v>
      </c>
      <c r="R267" s="7" t="s">
        <v>7843</v>
      </c>
      <c r="S267" s="7" t="s">
        <v>7844</v>
      </c>
      <c r="T267" s="7" t="s">
        <v>2067</v>
      </c>
      <c r="U267" s="7" t="s">
        <v>2336</v>
      </c>
      <c r="V267" s="7" t="s">
        <v>2067</v>
      </c>
      <c r="W267" s="7" t="s">
        <v>2069</v>
      </c>
    </row>
    <row r="268" spans="1:23" ht="20.100000000000001" customHeight="1" x14ac:dyDescent="0.25">
      <c r="A268" s="3" t="s">
        <v>7845</v>
      </c>
      <c r="B268" s="4" t="s">
        <v>2057</v>
      </c>
      <c r="C268" s="4" t="s">
        <v>7846</v>
      </c>
      <c r="D268" s="4" t="s">
        <v>2059</v>
      </c>
      <c r="E268" s="4" t="s">
        <v>1965</v>
      </c>
      <c r="F268" s="4" t="s">
        <v>1966</v>
      </c>
      <c r="G268" s="4" t="s">
        <v>2057</v>
      </c>
      <c r="H268" s="4" t="s">
        <v>7541</v>
      </c>
      <c r="I268" s="4" t="s">
        <v>1970</v>
      </c>
      <c r="J268" s="4" t="s">
        <v>7847</v>
      </c>
      <c r="K268" s="4" t="s">
        <v>7848</v>
      </c>
      <c r="L268" s="4" t="s">
        <v>7849</v>
      </c>
      <c r="M268" s="4" t="s">
        <v>2078</v>
      </c>
      <c r="N268" s="8">
        <v>46234</v>
      </c>
      <c r="O268" s="8">
        <v>46356</v>
      </c>
      <c r="P268" s="4" t="s">
        <v>1966</v>
      </c>
      <c r="Q268" s="4" t="s">
        <v>1970</v>
      </c>
      <c r="R268" s="4" t="s">
        <v>7850</v>
      </c>
      <c r="S268" s="4" t="s">
        <v>7851</v>
      </c>
      <c r="T268" s="4" t="s">
        <v>2067</v>
      </c>
      <c r="U268" s="4" t="s">
        <v>2174</v>
      </c>
      <c r="V268" s="4" t="s">
        <v>2067</v>
      </c>
      <c r="W268" s="4" t="s">
        <v>2069</v>
      </c>
    </row>
    <row r="269" spans="1:23" ht="20.100000000000001" customHeight="1" x14ac:dyDescent="0.25">
      <c r="A269" s="6" t="s">
        <v>7852</v>
      </c>
      <c r="B269" s="7" t="s">
        <v>2057</v>
      </c>
      <c r="C269" s="7" t="s">
        <v>7853</v>
      </c>
      <c r="D269" s="7" t="s">
        <v>2059</v>
      </c>
      <c r="E269" s="7" t="s">
        <v>1940</v>
      </c>
      <c r="F269" s="7" t="s">
        <v>1941</v>
      </c>
      <c r="G269" s="7" t="s">
        <v>2057</v>
      </c>
      <c r="H269" s="7" t="s">
        <v>1969</v>
      </c>
      <c r="I269" s="7" t="s">
        <v>1970</v>
      </c>
      <c r="J269" s="7" t="s">
        <v>7854</v>
      </c>
      <c r="K269" s="7" t="s">
        <v>7855</v>
      </c>
      <c r="L269" s="7" t="s">
        <v>7856</v>
      </c>
      <c r="M269" s="7" t="s">
        <v>2078</v>
      </c>
      <c r="N269" s="9">
        <v>46234</v>
      </c>
      <c r="O269" s="9">
        <v>46356</v>
      </c>
      <c r="P269" s="7" t="s">
        <v>1941</v>
      </c>
      <c r="Q269" s="7" t="s">
        <v>1970</v>
      </c>
      <c r="R269" s="7" t="s">
        <v>7857</v>
      </c>
      <c r="S269" s="7" t="s">
        <v>7858</v>
      </c>
      <c r="T269" s="7" t="s">
        <v>2067</v>
      </c>
      <c r="U269" s="7" t="s">
        <v>2068</v>
      </c>
      <c r="V269" s="7" t="s">
        <v>2067</v>
      </c>
      <c r="W269" s="7" t="s">
        <v>2082</v>
      </c>
    </row>
    <row r="270" spans="1:23" ht="20.100000000000001" customHeight="1" x14ac:dyDescent="0.25">
      <c r="A270" s="3" t="s">
        <v>7871</v>
      </c>
      <c r="B270" s="4" t="s">
        <v>2084</v>
      </c>
      <c r="C270" s="4" t="s">
        <v>7872</v>
      </c>
      <c r="D270" s="4" t="s">
        <v>2059</v>
      </c>
      <c r="E270" s="4" t="s">
        <v>1947</v>
      </c>
      <c r="F270" s="4" t="s">
        <v>2121</v>
      </c>
      <c r="G270" s="4" t="s">
        <v>2084</v>
      </c>
      <c r="H270" s="4" t="s">
        <v>7410</v>
      </c>
      <c r="I270" s="4" t="s">
        <v>1970</v>
      </c>
      <c r="J270" s="4" t="s">
        <v>7873</v>
      </c>
      <c r="K270" s="4" t="s">
        <v>7874</v>
      </c>
      <c r="L270" s="4" t="s">
        <v>7875</v>
      </c>
      <c r="M270" s="4" t="s">
        <v>2064</v>
      </c>
      <c r="N270" s="8">
        <v>45992</v>
      </c>
      <c r="O270" s="8"/>
      <c r="P270" s="4" t="s">
        <v>2090</v>
      </c>
      <c r="Q270" s="4" t="s">
        <v>1970</v>
      </c>
      <c r="R270" s="4" t="s">
        <v>7876</v>
      </c>
      <c r="S270" s="4" t="s">
        <v>7877</v>
      </c>
      <c r="T270" s="4" t="s">
        <v>2067</v>
      </c>
      <c r="U270" s="4" t="s">
        <v>2128</v>
      </c>
      <c r="V270" s="4" t="s">
        <v>2067</v>
      </c>
      <c r="W270" s="4" t="s">
        <v>2069</v>
      </c>
    </row>
    <row r="271" spans="1:23" ht="20.100000000000001" customHeight="1" x14ac:dyDescent="0.25">
      <c r="A271" s="6" t="s">
        <v>7890</v>
      </c>
      <c r="B271" s="7" t="s">
        <v>2084</v>
      </c>
      <c r="C271" s="7" t="s">
        <v>7891</v>
      </c>
      <c r="D271" s="7" t="s">
        <v>2059</v>
      </c>
      <c r="E271" s="7" t="s">
        <v>1947</v>
      </c>
      <c r="F271" s="7" t="s">
        <v>1948</v>
      </c>
      <c r="G271" s="7" t="s">
        <v>2084</v>
      </c>
      <c r="H271" s="7" t="s">
        <v>7378</v>
      </c>
      <c r="I271" s="7" t="s">
        <v>1970</v>
      </c>
      <c r="J271" s="7" t="s">
        <v>7892</v>
      </c>
      <c r="K271" s="7" t="s">
        <v>7893</v>
      </c>
      <c r="L271" s="7" t="s">
        <v>7894</v>
      </c>
      <c r="M271" s="7" t="s">
        <v>2064</v>
      </c>
      <c r="N271" s="9">
        <v>45992</v>
      </c>
      <c r="O271" s="9"/>
      <c r="P271" s="7" t="s">
        <v>2090</v>
      </c>
      <c r="Q271" s="7" t="s">
        <v>1970</v>
      </c>
      <c r="R271" s="7" t="s">
        <v>7895</v>
      </c>
      <c r="S271" s="7" t="s">
        <v>7896</v>
      </c>
      <c r="T271" s="7" t="s">
        <v>2067</v>
      </c>
      <c r="U271" s="7" t="s">
        <v>2146</v>
      </c>
      <c r="V271" s="7" t="s">
        <v>2067</v>
      </c>
      <c r="W271" s="7" t="s">
        <v>2069</v>
      </c>
    </row>
    <row r="272" spans="1:23" ht="20.100000000000001" customHeight="1" x14ac:dyDescent="0.25">
      <c r="A272" s="3" t="s">
        <v>7903</v>
      </c>
      <c r="B272" s="4" t="s">
        <v>2057</v>
      </c>
      <c r="C272" s="4" t="s">
        <v>7904</v>
      </c>
      <c r="D272" s="4" t="s">
        <v>2059</v>
      </c>
      <c r="E272" s="4" t="s">
        <v>1947</v>
      </c>
      <c r="F272" s="4" t="s">
        <v>1948</v>
      </c>
      <c r="G272" s="4" t="s">
        <v>2057</v>
      </c>
      <c r="H272" s="4" t="s">
        <v>7541</v>
      </c>
      <c r="I272" s="4" t="s">
        <v>1970</v>
      </c>
      <c r="J272" s="4" t="s">
        <v>7905</v>
      </c>
      <c r="K272" s="4" t="s">
        <v>7906</v>
      </c>
      <c r="L272" s="4" t="s">
        <v>7907</v>
      </c>
      <c r="M272" s="4" t="s">
        <v>2078</v>
      </c>
      <c r="N272" s="8">
        <v>46234</v>
      </c>
      <c r="O272" s="8">
        <v>46356</v>
      </c>
      <c r="P272" s="4" t="s">
        <v>2090</v>
      </c>
      <c r="Q272" s="4" t="s">
        <v>1970</v>
      </c>
      <c r="R272" s="4" t="s">
        <v>2825</v>
      </c>
      <c r="S272" s="4" t="s">
        <v>7908</v>
      </c>
      <c r="T272" s="4" t="s">
        <v>2067</v>
      </c>
      <c r="U272" s="4" t="s">
        <v>3153</v>
      </c>
      <c r="V272" s="4" t="s">
        <v>2067</v>
      </c>
      <c r="W272" s="4" t="s">
        <v>2069</v>
      </c>
    </row>
    <row r="273" spans="1:23" ht="20.100000000000001" customHeight="1" x14ac:dyDescent="0.25">
      <c r="A273" s="6" t="s">
        <v>7909</v>
      </c>
      <c r="B273" s="7" t="s">
        <v>2057</v>
      </c>
      <c r="C273" s="7" t="s">
        <v>7910</v>
      </c>
      <c r="D273" s="7" t="s">
        <v>2059</v>
      </c>
      <c r="E273" s="7" t="s">
        <v>1940</v>
      </c>
      <c r="F273" s="7" t="s">
        <v>1941</v>
      </c>
      <c r="G273" s="7" t="s">
        <v>2057</v>
      </c>
      <c r="H273" s="7" t="s">
        <v>7706</v>
      </c>
      <c r="I273" s="7" t="s">
        <v>1970</v>
      </c>
      <c r="J273" s="7" t="s">
        <v>7911</v>
      </c>
      <c r="K273" s="7" t="s">
        <v>7912</v>
      </c>
      <c r="L273" s="7" t="s">
        <v>7913</v>
      </c>
      <c r="M273" s="7" t="s">
        <v>2078</v>
      </c>
      <c r="N273" s="9">
        <v>46234</v>
      </c>
      <c r="O273" s="9">
        <v>46356</v>
      </c>
      <c r="P273" s="7" t="s">
        <v>1941</v>
      </c>
      <c r="Q273" s="7" t="s">
        <v>1970</v>
      </c>
      <c r="R273" s="7" t="s">
        <v>7914</v>
      </c>
      <c r="S273" s="7" t="s">
        <v>7915</v>
      </c>
      <c r="T273" s="7" t="s">
        <v>2067</v>
      </c>
      <c r="U273" s="7" t="s">
        <v>2068</v>
      </c>
      <c r="V273" s="7" t="s">
        <v>2067</v>
      </c>
      <c r="W273" s="7" t="s">
        <v>2082</v>
      </c>
    </row>
    <row r="274" spans="1:23" ht="20.100000000000001" customHeight="1" x14ac:dyDescent="0.25">
      <c r="A274" s="3" t="s">
        <v>7916</v>
      </c>
      <c r="B274" s="4" t="s">
        <v>2084</v>
      </c>
      <c r="C274" s="4" t="s">
        <v>7917</v>
      </c>
      <c r="D274" s="4" t="s">
        <v>2059</v>
      </c>
      <c r="E274" s="4" t="s">
        <v>1947</v>
      </c>
      <c r="F274" s="4" t="s">
        <v>1948</v>
      </c>
      <c r="G274" s="4" t="s">
        <v>2084</v>
      </c>
      <c r="H274" s="4" t="s">
        <v>7686</v>
      </c>
      <c r="I274" s="4" t="s">
        <v>1970</v>
      </c>
      <c r="J274" s="4" t="s">
        <v>7918</v>
      </c>
      <c r="K274" s="4" t="s">
        <v>7919</v>
      </c>
      <c r="L274" s="4" t="s">
        <v>7920</v>
      </c>
      <c r="M274" s="4" t="s">
        <v>2078</v>
      </c>
      <c r="N274" s="8">
        <v>46234</v>
      </c>
      <c r="O274" s="8">
        <v>46356</v>
      </c>
      <c r="P274" s="4" t="s">
        <v>2090</v>
      </c>
      <c r="Q274" s="4" t="s">
        <v>1970</v>
      </c>
      <c r="R274" s="4" t="s">
        <v>7921</v>
      </c>
      <c r="S274" s="4" t="s">
        <v>7922</v>
      </c>
      <c r="T274" s="4" t="s">
        <v>2067</v>
      </c>
      <c r="U274" s="4" t="s">
        <v>3153</v>
      </c>
      <c r="V274" s="4" t="s">
        <v>2067</v>
      </c>
      <c r="W274" s="4" t="s">
        <v>2082</v>
      </c>
    </row>
    <row r="275" spans="1:23" ht="20.100000000000001" customHeight="1" x14ac:dyDescent="0.25">
      <c r="A275" s="6" t="s">
        <v>7923</v>
      </c>
      <c r="B275" s="7" t="s">
        <v>2084</v>
      </c>
      <c r="C275" s="7" t="s">
        <v>7924</v>
      </c>
      <c r="D275" s="7" t="s">
        <v>2059</v>
      </c>
      <c r="E275" s="7" t="s">
        <v>4160</v>
      </c>
      <c r="F275" s="7" t="s">
        <v>4161</v>
      </c>
      <c r="G275" s="7" t="s">
        <v>2084</v>
      </c>
      <c r="H275" s="7" t="s">
        <v>7925</v>
      </c>
      <c r="I275" s="7" t="s">
        <v>1970</v>
      </c>
      <c r="J275" s="7" t="s">
        <v>7926</v>
      </c>
      <c r="K275" s="7" t="s">
        <v>7927</v>
      </c>
      <c r="L275" s="7" t="s">
        <v>7928</v>
      </c>
      <c r="M275" s="7" t="s">
        <v>2078</v>
      </c>
      <c r="N275" s="9">
        <v>45992</v>
      </c>
      <c r="O275" s="9">
        <v>46356</v>
      </c>
      <c r="P275" s="7" t="s">
        <v>4161</v>
      </c>
      <c r="Q275" s="7" t="s">
        <v>1970</v>
      </c>
      <c r="R275" s="7" t="s">
        <v>7929</v>
      </c>
      <c r="S275" s="7" t="s">
        <v>7930</v>
      </c>
      <c r="T275" s="7" t="s">
        <v>2067</v>
      </c>
      <c r="U275" s="7" t="s">
        <v>4167</v>
      </c>
      <c r="V275" s="7" t="s">
        <v>2067</v>
      </c>
      <c r="W275" s="7" t="s">
        <v>2082</v>
      </c>
    </row>
    <row r="276" spans="1:23" ht="20.100000000000001" customHeight="1" x14ac:dyDescent="0.25">
      <c r="A276" s="3" t="s">
        <v>1967</v>
      </c>
      <c r="B276" s="4" t="s">
        <v>2057</v>
      </c>
      <c r="C276" s="4" t="s">
        <v>1968</v>
      </c>
      <c r="D276" s="4" t="s">
        <v>2059</v>
      </c>
      <c r="E276" s="4" t="s">
        <v>1940</v>
      </c>
      <c r="F276" s="4" t="s">
        <v>1941</v>
      </c>
      <c r="G276" s="4" t="s">
        <v>2057</v>
      </c>
      <c r="H276" s="4" t="s">
        <v>1969</v>
      </c>
      <c r="I276" s="4" t="s">
        <v>1970</v>
      </c>
      <c r="J276" s="4" t="s">
        <v>7953</v>
      </c>
      <c r="K276" s="4" t="s">
        <v>7954</v>
      </c>
      <c r="L276" s="4" t="s">
        <v>1853</v>
      </c>
      <c r="M276" s="4" t="s">
        <v>2078</v>
      </c>
      <c r="N276" s="8">
        <v>46234</v>
      </c>
      <c r="O276" s="8">
        <v>46356</v>
      </c>
      <c r="P276" s="4" t="s">
        <v>1941</v>
      </c>
      <c r="Q276" s="4" t="s">
        <v>1970</v>
      </c>
      <c r="R276" s="4" t="s">
        <v>7955</v>
      </c>
      <c r="S276" s="4" t="s">
        <v>7956</v>
      </c>
      <c r="T276" s="4" t="s">
        <v>2067</v>
      </c>
      <c r="U276" s="4" t="s">
        <v>2068</v>
      </c>
      <c r="V276" s="4" t="s">
        <v>2067</v>
      </c>
      <c r="W276" s="4" t="s">
        <v>2082</v>
      </c>
    </row>
    <row r="277" spans="1:23" ht="20.100000000000001" customHeight="1" x14ac:dyDescent="0.25">
      <c r="A277" s="6" t="s">
        <v>7974</v>
      </c>
      <c r="B277" s="7" t="s">
        <v>2057</v>
      </c>
      <c r="C277" s="7" t="s">
        <v>7975</v>
      </c>
      <c r="D277" s="7" t="s">
        <v>2059</v>
      </c>
      <c r="E277" s="7" t="s">
        <v>2189</v>
      </c>
      <c r="F277" s="7" t="s">
        <v>2190</v>
      </c>
      <c r="G277" s="7" t="s">
        <v>2057</v>
      </c>
      <c r="H277" s="7" t="s">
        <v>7527</v>
      </c>
      <c r="I277" s="7" t="s">
        <v>1970</v>
      </c>
      <c r="J277" s="7" t="s">
        <v>7976</v>
      </c>
      <c r="K277" s="7" t="s">
        <v>7977</v>
      </c>
      <c r="L277" s="7" t="s">
        <v>7978</v>
      </c>
      <c r="M277" s="7" t="s">
        <v>2078</v>
      </c>
      <c r="N277" s="9">
        <v>46234</v>
      </c>
      <c r="O277" s="9">
        <v>46356</v>
      </c>
      <c r="P277" s="7" t="s">
        <v>2195</v>
      </c>
      <c r="Q277" s="7" t="s">
        <v>1970</v>
      </c>
      <c r="R277" s="7" t="s">
        <v>7979</v>
      </c>
      <c r="S277" s="7" t="s">
        <v>7980</v>
      </c>
      <c r="T277" s="7" t="s">
        <v>2067</v>
      </c>
      <c r="U277" s="7" t="s">
        <v>2198</v>
      </c>
      <c r="V277" s="7" t="s">
        <v>2067</v>
      </c>
      <c r="W277" s="7" t="s">
        <v>2082</v>
      </c>
    </row>
    <row r="278" spans="1:23" ht="20.100000000000001" customHeight="1" x14ac:dyDescent="0.25">
      <c r="A278" s="3" t="s">
        <v>7993</v>
      </c>
      <c r="B278" s="4" t="s">
        <v>2084</v>
      </c>
      <c r="C278" s="4" t="s">
        <v>7994</v>
      </c>
      <c r="D278" s="4" t="s">
        <v>2059</v>
      </c>
      <c r="E278" s="4" t="s">
        <v>1940</v>
      </c>
      <c r="F278" s="4" t="s">
        <v>1941</v>
      </c>
      <c r="G278" s="4" t="s">
        <v>2084</v>
      </c>
      <c r="H278" s="4" t="s">
        <v>7686</v>
      </c>
      <c r="I278" s="4" t="s">
        <v>1970</v>
      </c>
      <c r="J278" s="4" t="s">
        <v>4649</v>
      </c>
      <c r="K278" s="4" t="s">
        <v>7995</v>
      </c>
      <c r="L278" s="4" t="s">
        <v>7996</v>
      </c>
      <c r="M278" s="4" t="s">
        <v>2078</v>
      </c>
      <c r="N278" s="8">
        <v>46237</v>
      </c>
      <c r="O278" s="8">
        <v>46356</v>
      </c>
      <c r="P278" s="4" t="s">
        <v>1941</v>
      </c>
      <c r="Q278" s="4" t="s">
        <v>1970</v>
      </c>
      <c r="R278" s="4" t="s">
        <v>7997</v>
      </c>
      <c r="S278" s="4" t="s">
        <v>7998</v>
      </c>
      <c r="T278" s="4" t="s">
        <v>2067</v>
      </c>
      <c r="U278" s="4" t="s">
        <v>2068</v>
      </c>
      <c r="V278" s="4" t="s">
        <v>2067</v>
      </c>
      <c r="W278" s="4" t="s">
        <v>2082</v>
      </c>
    </row>
    <row r="279" spans="1:23" ht="20.100000000000001" customHeight="1" x14ac:dyDescent="0.25">
      <c r="A279" s="6" t="s">
        <v>7999</v>
      </c>
      <c r="B279" s="7" t="s">
        <v>2057</v>
      </c>
      <c r="C279" s="7" t="s">
        <v>8000</v>
      </c>
      <c r="D279" s="7" t="s">
        <v>2059</v>
      </c>
      <c r="E279" s="7" t="s">
        <v>1947</v>
      </c>
      <c r="F279" s="7" t="s">
        <v>1948</v>
      </c>
      <c r="G279" s="7" t="s">
        <v>2057</v>
      </c>
      <c r="H279" s="7" t="s">
        <v>7370</v>
      </c>
      <c r="I279" s="7" t="s">
        <v>1970</v>
      </c>
      <c r="J279" s="7" t="s">
        <v>8001</v>
      </c>
      <c r="K279" s="7" t="s">
        <v>8002</v>
      </c>
      <c r="L279" s="7" t="s">
        <v>8003</v>
      </c>
      <c r="M279" s="7" t="s">
        <v>2078</v>
      </c>
      <c r="N279" s="9">
        <v>46108</v>
      </c>
      <c r="O279" s="9">
        <v>46356</v>
      </c>
      <c r="P279" s="7" t="s">
        <v>2090</v>
      </c>
      <c r="Q279" s="7" t="s">
        <v>1970</v>
      </c>
      <c r="R279" s="7" t="s">
        <v>8004</v>
      </c>
      <c r="S279" s="7" t="s">
        <v>8005</v>
      </c>
      <c r="T279" s="7" t="s">
        <v>2067</v>
      </c>
      <c r="U279" s="7" t="s">
        <v>2146</v>
      </c>
      <c r="V279" s="7" t="s">
        <v>2067</v>
      </c>
      <c r="W279" s="7" t="s">
        <v>2069</v>
      </c>
    </row>
    <row r="280" spans="1:23" ht="20.100000000000001" customHeight="1" x14ac:dyDescent="0.25">
      <c r="A280" s="3" t="s">
        <v>8012</v>
      </c>
      <c r="B280" s="4" t="s">
        <v>2057</v>
      </c>
      <c r="C280" s="4" t="s">
        <v>8013</v>
      </c>
      <c r="D280" s="4" t="s">
        <v>2059</v>
      </c>
      <c r="E280" s="4" t="s">
        <v>2189</v>
      </c>
      <c r="F280" s="4" t="s">
        <v>2190</v>
      </c>
      <c r="G280" s="4" t="s">
        <v>2057</v>
      </c>
      <c r="H280" s="4" t="s">
        <v>7527</v>
      </c>
      <c r="I280" s="4" t="s">
        <v>1970</v>
      </c>
      <c r="J280" s="4" t="s">
        <v>8014</v>
      </c>
      <c r="K280" s="4" t="s">
        <v>8015</v>
      </c>
      <c r="L280" s="4" t="s">
        <v>8016</v>
      </c>
      <c r="M280" s="4" t="s">
        <v>2078</v>
      </c>
      <c r="N280" s="8">
        <v>46234</v>
      </c>
      <c r="O280" s="8">
        <v>46356</v>
      </c>
      <c r="P280" s="4" t="s">
        <v>2195</v>
      </c>
      <c r="Q280" s="4" t="s">
        <v>1970</v>
      </c>
      <c r="R280" s="4" t="s">
        <v>7414</v>
      </c>
      <c r="S280" s="4" t="s">
        <v>8017</v>
      </c>
      <c r="T280" s="4" t="s">
        <v>2067</v>
      </c>
      <c r="U280" s="4" t="s">
        <v>2198</v>
      </c>
      <c r="V280" s="4" t="s">
        <v>2067</v>
      </c>
      <c r="W280" s="4" t="s">
        <v>2082</v>
      </c>
    </row>
    <row r="281" spans="1:23" ht="20.100000000000001" customHeight="1" x14ac:dyDescent="0.25">
      <c r="A281" s="6" t="s">
        <v>8041</v>
      </c>
      <c r="B281" s="7" t="s">
        <v>2084</v>
      </c>
      <c r="C281" s="7" t="s">
        <v>8042</v>
      </c>
      <c r="D281" s="7" t="s">
        <v>2059</v>
      </c>
      <c r="E281" s="7" t="s">
        <v>1947</v>
      </c>
      <c r="F281" s="7" t="s">
        <v>1948</v>
      </c>
      <c r="G281" s="7" t="s">
        <v>2084</v>
      </c>
      <c r="H281" s="7" t="s">
        <v>8043</v>
      </c>
      <c r="I281" s="7" t="s">
        <v>1970</v>
      </c>
      <c r="J281" s="7" t="s">
        <v>8044</v>
      </c>
      <c r="K281" s="7" t="s">
        <v>8045</v>
      </c>
      <c r="L281" s="7" t="s">
        <v>8046</v>
      </c>
      <c r="M281" s="7" t="s">
        <v>2078</v>
      </c>
      <c r="N281" s="9">
        <v>46234</v>
      </c>
      <c r="O281" s="9">
        <v>46356</v>
      </c>
      <c r="P281" s="7" t="s">
        <v>1953</v>
      </c>
      <c r="Q281" s="7" t="s">
        <v>1970</v>
      </c>
      <c r="R281" s="7" t="s">
        <v>8047</v>
      </c>
      <c r="S281" s="7" t="s">
        <v>8048</v>
      </c>
      <c r="T281" s="7" t="s">
        <v>2067</v>
      </c>
      <c r="U281" s="7" t="s">
        <v>2358</v>
      </c>
      <c r="V281" s="7" t="s">
        <v>2067</v>
      </c>
      <c r="W281" s="7" t="s">
        <v>2082</v>
      </c>
    </row>
    <row r="282" spans="1:23" ht="20.100000000000001" customHeight="1" x14ac:dyDescent="0.25">
      <c r="A282" s="3" t="s">
        <v>8055</v>
      </c>
      <c r="B282" s="4" t="s">
        <v>2057</v>
      </c>
      <c r="C282" s="4" t="s">
        <v>8056</v>
      </c>
      <c r="D282" s="4" t="s">
        <v>2059</v>
      </c>
      <c r="E282" s="4" t="s">
        <v>1947</v>
      </c>
      <c r="F282" s="4" t="s">
        <v>2121</v>
      </c>
      <c r="G282" s="4" t="s">
        <v>2057</v>
      </c>
      <c r="H282" s="4" t="s">
        <v>1969</v>
      </c>
      <c r="I282" s="4" t="s">
        <v>1970</v>
      </c>
      <c r="J282" s="4" t="s">
        <v>8057</v>
      </c>
      <c r="K282" s="4" t="s">
        <v>8058</v>
      </c>
      <c r="L282" s="4" t="s">
        <v>8059</v>
      </c>
      <c r="M282" s="4" t="s">
        <v>2078</v>
      </c>
      <c r="N282" s="8">
        <v>46234</v>
      </c>
      <c r="O282" s="8">
        <v>46356</v>
      </c>
      <c r="P282" s="4" t="s">
        <v>2121</v>
      </c>
      <c r="Q282" s="4" t="s">
        <v>1970</v>
      </c>
      <c r="R282" s="4" t="s">
        <v>8060</v>
      </c>
      <c r="S282" s="4" t="s">
        <v>8061</v>
      </c>
      <c r="T282" s="4" t="s">
        <v>2067</v>
      </c>
      <c r="U282" s="4" t="s">
        <v>2128</v>
      </c>
      <c r="V282" s="4" t="s">
        <v>2067</v>
      </c>
      <c r="W282" s="4" t="s">
        <v>2082</v>
      </c>
    </row>
    <row r="283" spans="1:23" ht="20.100000000000001" customHeight="1" x14ac:dyDescent="0.25">
      <c r="A283" s="6" t="s">
        <v>8062</v>
      </c>
      <c r="B283" s="7" t="s">
        <v>2057</v>
      </c>
      <c r="C283" s="7" t="s">
        <v>8063</v>
      </c>
      <c r="D283" s="7" t="s">
        <v>2059</v>
      </c>
      <c r="E283" s="7" t="s">
        <v>1965</v>
      </c>
      <c r="F283" s="7" t="s">
        <v>1966</v>
      </c>
      <c r="G283" s="7" t="s">
        <v>2057</v>
      </c>
      <c r="H283" s="7" t="s">
        <v>7527</v>
      </c>
      <c r="I283" s="7" t="s">
        <v>1970</v>
      </c>
      <c r="J283" s="7" t="s">
        <v>8064</v>
      </c>
      <c r="K283" s="7" t="s">
        <v>8065</v>
      </c>
      <c r="L283" s="7" t="s">
        <v>8066</v>
      </c>
      <c r="M283" s="7" t="s">
        <v>2078</v>
      </c>
      <c r="N283" s="9">
        <v>46234</v>
      </c>
      <c r="O283" s="9">
        <v>46356</v>
      </c>
      <c r="P283" s="7" t="s">
        <v>1966</v>
      </c>
      <c r="Q283" s="7" t="s">
        <v>1970</v>
      </c>
      <c r="R283" s="7" t="s">
        <v>2222</v>
      </c>
      <c r="S283" s="7" t="s">
        <v>8067</v>
      </c>
      <c r="T283" s="7" t="s">
        <v>2067</v>
      </c>
      <c r="U283" s="7" t="s">
        <v>2174</v>
      </c>
      <c r="V283" s="7" t="s">
        <v>2067</v>
      </c>
      <c r="W283" s="7" t="s">
        <v>2082</v>
      </c>
    </row>
    <row r="284" spans="1:23" ht="20.100000000000001" customHeight="1" x14ac:dyDescent="0.25">
      <c r="A284" s="3" t="s">
        <v>8068</v>
      </c>
      <c r="B284" s="4" t="s">
        <v>2057</v>
      </c>
      <c r="C284" s="4" t="s">
        <v>8069</v>
      </c>
      <c r="D284" s="4" t="s">
        <v>2059</v>
      </c>
      <c r="E284" s="4" t="s">
        <v>1947</v>
      </c>
      <c r="F284" s="4" t="s">
        <v>2427</v>
      </c>
      <c r="G284" s="4" t="s">
        <v>2057</v>
      </c>
      <c r="H284" s="4" t="s">
        <v>1969</v>
      </c>
      <c r="I284" s="4" t="s">
        <v>1970</v>
      </c>
      <c r="J284" s="4" t="s">
        <v>8070</v>
      </c>
      <c r="K284" s="4" t="s">
        <v>8071</v>
      </c>
      <c r="L284" s="4" t="s">
        <v>8072</v>
      </c>
      <c r="M284" s="4" t="s">
        <v>2078</v>
      </c>
      <c r="N284" s="8">
        <v>46234</v>
      </c>
      <c r="O284" s="8">
        <v>46356</v>
      </c>
      <c r="P284" s="4" t="s">
        <v>2090</v>
      </c>
      <c r="Q284" s="4" t="s">
        <v>1970</v>
      </c>
      <c r="R284" s="4" t="s">
        <v>8073</v>
      </c>
      <c r="S284" s="4" t="s">
        <v>8074</v>
      </c>
      <c r="T284" s="4" t="s">
        <v>2067</v>
      </c>
      <c r="U284" s="4" t="s">
        <v>3337</v>
      </c>
      <c r="V284" s="4" t="s">
        <v>2067</v>
      </c>
      <c r="W284" s="4" t="s">
        <v>2082</v>
      </c>
    </row>
    <row r="285" spans="1:23" ht="20.100000000000001" customHeight="1" x14ac:dyDescent="0.25">
      <c r="A285" s="6" t="s">
        <v>8160</v>
      </c>
      <c r="B285" s="7" t="s">
        <v>2057</v>
      </c>
      <c r="C285" s="7" t="s">
        <v>8161</v>
      </c>
      <c r="D285" s="7" t="s">
        <v>2059</v>
      </c>
      <c r="E285" s="7" t="s">
        <v>1947</v>
      </c>
      <c r="F285" s="7" t="s">
        <v>1948</v>
      </c>
      <c r="G285" s="7" t="s">
        <v>2057</v>
      </c>
      <c r="H285" s="7" t="s">
        <v>8107</v>
      </c>
      <c r="I285" s="7" t="s">
        <v>8108</v>
      </c>
      <c r="J285" s="7" t="s">
        <v>8162</v>
      </c>
      <c r="K285" s="7" t="s">
        <v>8163</v>
      </c>
      <c r="L285" s="7" t="s">
        <v>8164</v>
      </c>
      <c r="M285" s="7" t="s">
        <v>2078</v>
      </c>
      <c r="N285" s="9">
        <v>46234</v>
      </c>
      <c r="O285" s="9">
        <v>46356</v>
      </c>
      <c r="P285" s="7" t="s">
        <v>2090</v>
      </c>
      <c r="Q285" s="7" t="s">
        <v>8108</v>
      </c>
      <c r="R285" s="7" t="s">
        <v>8165</v>
      </c>
      <c r="S285" s="7" t="s">
        <v>8166</v>
      </c>
      <c r="T285" s="7" t="s">
        <v>2067</v>
      </c>
      <c r="U285" s="7" t="s">
        <v>8114</v>
      </c>
      <c r="V285" s="7" t="s">
        <v>2067</v>
      </c>
      <c r="W285" s="7" t="s">
        <v>2069</v>
      </c>
    </row>
    <row r="286" spans="1:23" ht="20.100000000000001" customHeight="1" x14ac:dyDescent="0.25">
      <c r="A286" s="3" t="s">
        <v>8167</v>
      </c>
      <c r="B286" s="4" t="s">
        <v>2057</v>
      </c>
      <c r="C286" s="4" t="s">
        <v>8168</v>
      </c>
      <c r="D286" s="4" t="s">
        <v>2059</v>
      </c>
      <c r="E286" s="4" t="s">
        <v>1947</v>
      </c>
      <c r="F286" s="4" t="s">
        <v>1948</v>
      </c>
      <c r="G286" s="4" t="s">
        <v>2057</v>
      </c>
      <c r="H286" s="4" t="s">
        <v>8116</v>
      </c>
      <c r="I286" s="4" t="s">
        <v>8108</v>
      </c>
      <c r="J286" s="4" t="s">
        <v>8169</v>
      </c>
      <c r="K286" s="4" t="s">
        <v>8170</v>
      </c>
      <c r="L286" s="4" t="s">
        <v>8171</v>
      </c>
      <c r="M286" s="4" t="s">
        <v>2064</v>
      </c>
      <c r="N286" s="8">
        <v>46052</v>
      </c>
      <c r="O286" s="8"/>
      <c r="P286" s="4" t="s">
        <v>2090</v>
      </c>
      <c r="Q286" s="4" t="s">
        <v>8108</v>
      </c>
      <c r="R286" s="4" t="s">
        <v>8172</v>
      </c>
      <c r="S286" s="4" t="s">
        <v>8173</v>
      </c>
      <c r="T286" s="4" t="s">
        <v>2067</v>
      </c>
      <c r="U286" s="4" t="s">
        <v>8114</v>
      </c>
      <c r="V286" s="4" t="s">
        <v>2067</v>
      </c>
      <c r="W286" s="4" t="s">
        <v>2069</v>
      </c>
    </row>
    <row r="287" spans="1:23" ht="20.100000000000001" customHeight="1" x14ac:dyDescent="0.25">
      <c r="A287" s="6" t="s">
        <v>8192</v>
      </c>
      <c r="B287" s="7" t="s">
        <v>2057</v>
      </c>
      <c r="C287" s="7" t="s">
        <v>8193</v>
      </c>
      <c r="D287" s="7" t="s">
        <v>2059</v>
      </c>
      <c r="E287" s="7" t="s">
        <v>1947</v>
      </c>
      <c r="F287" s="7" t="s">
        <v>1948</v>
      </c>
      <c r="G287" s="7" t="s">
        <v>2057</v>
      </c>
      <c r="H287" s="7" t="s">
        <v>8187</v>
      </c>
      <c r="I287" s="7" t="s">
        <v>8108</v>
      </c>
      <c r="J287" s="7" t="s">
        <v>8194</v>
      </c>
      <c r="K287" s="7" t="s">
        <v>8195</v>
      </c>
      <c r="L287" s="7" t="s">
        <v>8196</v>
      </c>
      <c r="M287" s="7" t="s">
        <v>2078</v>
      </c>
      <c r="N287" s="9">
        <v>46234</v>
      </c>
      <c r="O287" s="9">
        <v>46356</v>
      </c>
      <c r="P287" s="7" t="s">
        <v>2090</v>
      </c>
      <c r="Q287" s="7" t="s">
        <v>8108</v>
      </c>
      <c r="R287" s="7" t="s">
        <v>8197</v>
      </c>
      <c r="S287" s="7" t="s">
        <v>8198</v>
      </c>
      <c r="T287" s="7" t="s">
        <v>2067</v>
      </c>
      <c r="U287" s="7" t="s">
        <v>8114</v>
      </c>
      <c r="V287" s="7" t="s">
        <v>2067</v>
      </c>
      <c r="W287" s="7" t="s">
        <v>2082</v>
      </c>
    </row>
    <row r="288" spans="1:23" ht="20.100000000000001" customHeight="1" x14ac:dyDescent="0.25">
      <c r="A288" s="3" t="s">
        <v>8205</v>
      </c>
      <c r="B288" s="4" t="s">
        <v>2057</v>
      </c>
      <c r="C288" s="4" t="s">
        <v>8206</v>
      </c>
      <c r="D288" s="4" t="s">
        <v>2059</v>
      </c>
      <c r="E288" s="4" t="s">
        <v>1947</v>
      </c>
      <c r="F288" s="4" t="s">
        <v>1948</v>
      </c>
      <c r="G288" s="4" t="s">
        <v>2057</v>
      </c>
      <c r="H288" s="4" t="s">
        <v>8116</v>
      </c>
      <c r="I288" s="4" t="s">
        <v>8108</v>
      </c>
      <c r="J288" s="4" t="s">
        <v>8207</v>
      </c>
      <c r="K288" s="4" t="s">
        <v>8208</v>
      </c>
      <c r="L288" s="4" t="s">
        <v>8209</v>
      </c>
      <c r="M288" s="4" t="s">
        <v>2078</v>
      </c>
      <c r="N288" s="8">
        <v>46234</v>
      </c>
      <c r="O288" s="8">
        <v>46356</v>
      </c>
      <c r="P288" s="4" t="s">
        <v>2090</v>
      </c>
      <c r="Q288" s="4" t="s">
        <v>8108</v>
      </c>
      <c r="R288" s="4" t="s">
        <v>3724</v>
      </c>
      <c r="S288" s="4" t="s">
        <v>8210</v>
      </c>
      <c r="T288" s="4" t="s">
        <v>2067</v>
      </c>
      <c r="U288" s="4" t="s">
        <v>2146</v>
      </c>
      <c r="V288" s="4" t="s">
        <v>2067</v>
      </c>
      <c r="W288" s="4" t="s">
        <v>2069</v>
      </c>
    </row>
    <row r="289" spans="1:23" ht="20.100000000000001" customHeight="1" x14ac:dyDescent="0.25">
      <c r="A289" s="6" t="s">
        <v>8211</v>
      </c>
      <c r="B289" s="7" t="s">
        <v>2057</v>
      </c>
      <c r="C289" s="7" t="s">
        <v>8212</v>
      </c>
      <c r="D289" s="7" t="s">
        <v>2059</v>
      </c>
      <c r="E289" s="7" t="s">
        <v>1947</v>
      </c>
      <c r="F289" s="7" t="s">
        <v>1948</v>
      </c>
      <c r="G289" s="7" t="s">
        <v>2057</v>
      </c>
      <c r="H289" s="7" t="s">
        <v>8187</v>
      </c>
      <c r="I289" s="7" t="s">
        <v>8108</v>
      </c>
      <c r="J289" s="7" t="s">
        <v>4649</v>
      </c>
      <c r="K289" s="7" t="s">
        <v>8213</v>
      </c>
      <c r="L289" s="7" t="s">
        <v>8214</v>
      </c>
      <c r="M289" s="7" t="s">
        <v>2078</v>
      </c>
      <c r="N289" s="9">
        <v>46237</v>
      </c>
      <c r="O289" s="9">
        <v>46356</v>
      </c>
      <c r="P289" s="7" t="s">
        <v>2090</v>
      </c>
      <c r="Q289" s="7" t="s">
        <v>8108</v>
      </c>
      <c r="R289" s="7" t="s">
        <v>8215</v>
      </c>
      <c r="S289" s="7" t="s">
        <v>8216</v>
      </c>
      <c r="T289" s="7" t="s">
        <v>2067</v>
      </c>
      <c r="U289" s="7" t="s">
        <v>2146</v>
      </c>
      <c r="V289" s="7" t="s">
        <v>2067</v>
      </c>
      <c r="W289" s="7" t="s">
        <v>2082</v>
      </c>
    </row>
    <row r="290" spans="1:23" ht="20.100000000000001" customHeight="1" x14ac:dyDescent="0.25">
      <c r="A290" s="3" t="s">
        <v>8231</v>
      </c>
      <c r="B290" s="4" t="s">
        <v>2084</v>
      </c>
      <c r="C290" s="4" t="s">
        <v>8232</v>
      </c>
      <c r="D290" s="4" t="s">
        <v>2059</v>
      </c>
      <c r="E290" s="4" t="s">
        <v>2673</v>
      </c>
      <c r="F290" s="4" t="s">
        <v>2674</v>
      </c>
      <c r="G290" s="4" t="s">
        <v>2084</v>
      </c>
      <c r="H290" s="4" t="s">
        <v>8218</v>
      </c>
      <c r="I290" s="4" t="s">
        <v>8219</v>
      </c>
      <c r="J290" s="4" t="s">
        <v>8233</v>
      </c>
      <c r="K290" s="4" t="s">
        <v>8234</v>
      </c>
      <c r="L290" s="4" t="s">
        <v>8235</v>
      </c>
      <c r="M290" s="4" t="s">
        <v>2078</v>
      </c>
      <c r="N290" s="8">
        <v>45992</v>
      </c>
      <c r="O290" s="8">
        <v>46356</v>
      </c>
      <c r="P290" s="4" t="s">
        <v>2674</v>
      </c>
      <c r="Q290" s="4" t="s">
        <v>8219</v>
      </c>
      <c r="R290" s="4" t="s">
        <v>8236</v>
      </c>
      <c r="S290" s="4" t="s">
        <v>8237</v>
      </c>
      <c r="T290" s="4" t="s">
        <v>2067</v>
      </c>
      <c r="U290" s="4" t="s">
        <v>2680</v>
      </c>
      <c r="V290" s="4" t="s">
        <v>2067</v>
      </c>
      <c r="W290" s="4" t="s">
        <v>2069</v>
      </c>
    </row>
    <row r="291" spans="1:23" ht="20.100000000000001" customHeight="1" x14ac:dyDescent="0.25">
      <c r="A291" s="6" t="s">
        <v>8325</v>
      </c>
      <c r="B291" s="7" t="s">
        <v>2057</v>
      </c>
      <c r="C291" s="7" t="s">
        <v>8326</v>
      </c>
      <c r="D291" s="7" t="s">
        <v>2059</v>
      </c>
      <c r="E291" s="7" t="s">
        <v>2189</v>
      </c>
      <c r="F291" s="7" t="s">
        <v>2190</v>
      </c>
      <c r="G291" s="7" t="s">
        <v>2057</v>
      </c>
      <c r="H291" s="7" t="s">
        <v>8327</v>
      </c>
      <c r="I291" s="7" t="s">
        <v>8313</v>
      </c>
      <c r="J291" s="7" t="s">
        <v>8328</v>
      </c>
      <c r="K291" s="7" t="s">
        <v>8329</v>
      </c>
      <c r="L291" s="7" t="s">
        <v>8330</v>
      </c>
      <c r="M291" s="7" t="s">
        <v>2078</v>
      </c>
      <c r="N291" s="9">
        <v>46234</v>
      </c>
      <c r="O291" s="9">
        <v>46356</v>
      </c>
      <c r="P291" s="7" t="s">
        <v>2195</v>
      </c>
      <c r="Q291" s="7" t="s">
        <v>8313</v>
      </c>
      <c r="R291" s="7" t="s">
        <v>8331</v>
      </c>
      <c r="S291" s="7" t="s">
        <v>8332</v>
      </c>
      <c r="T291" s="7" t="s">
        <v>2067</v>
      </c>
      <c r="U291" s="7" t="s">
        <v>2198</v>
      </c>
      <c r="V291" s="7" t="s">
        <v>2067</v>
      </c>
      <c r="W291" s="7" t="s">
        <v>2082</v>
      </c>
    </row>
    <row r="292" spans="1:23" ht="20.100000000000001" customHeight="1" x14ac:dyDescent="0.25">
      <c r="A292" s="3" t="s">
        <v>8375</v>
      </c>
      <c r="B292" s="4" t="s">
        <v>2057</v>
      </c>
      <c r="C292" s="4" t="s">
        <v>8376</v>
      </c>
      <c r="D292" s="4" t="s">
        <v>2059</v>
      </c>
      <c r="E292" s="4" t="s">
        <v>2189</v>
      </c>
      <c r="F292" s="4" t="s">
        <v>2190</v>
      </c>
      <c r="G292" s="4" t="s">
        <v>2057</v>
      </c>
      <c r="H292" s="4" t="s">
        <v>8327</v>
      </c>
      <c r="I292" s="4" t="s">
        <v>8313</v>
      </c>
      <c r="J292" s="4" t="s">
        <v>8377</v>
      </c>
      <c r="K292" s="4" t="s">
        <v>6293</v>
      </c>
      <c r="L292" s="4" t="s">
        <v>6294</v>
      </c>
      <c r="M292" s="4" t="s">
        <v>2078</v>
      </c>
      <c r="N292" s="8">
        <v>46234</v>
      </c>
      <c r="O292" s="8">
        <v>46356</v>
      </c>
      <c r="P292" s="4" t="s">
        <v>2195</v>
      </c>
      <c r="Q292" s="4" t="s">
        <v>8313</v>
      </c>
      <c r="R292" s="4" t="s">
        <v>5891</v>
      </c>
      <c r="S292" s="4" t="s">
        <v>8378</v>
      </c>
      <c r="T292" s="4" t="s">
        <v>2067</v>
      </c>
      <c r="U292" s="4" t="s">
        <v>2198</v>
      </c>
      <c r="V292" s="4" t="s">
        <v>2067</v>
      </c>
      <c r="W292" s="4" t="s">
        <v>2082</v>
      </c>
    </row>
    <row r="293" spans="1:23" ht="20.100000000000001" customHeight="1" x14ac:dyDescent="0.25">
      <c r="A293" s="6" t="s">
        <v>8420</v>
      </c>
      <c r="B293" s="7" t="s">
        <v>2057</v>
      </c>
      <c r="C293" s="7" t="s">
        <v>8421</v>
      </c>
      <c r="D293" s="7" t="s">
        <v>2059</v>
      </c>
      <c r="E293" s="7" t="s">
        <v>2189</v>
      </c>
      <c r="F293" s="7" t="s">
        <v>2190</v>
      </c>
      <c r="G293" s="7" t="s">
        <v>2057</v>
      </c>
      <c r="H293" s="7" t="s">
        <v>8392</v>
      </c>
      <c r="I293" s="7" t="s">
        <v>8393</v>
      </c>
      <c r="J293" s="7" t="s">
        <v>8422</v>
      </c>
      <c r="K293" s="7" t="s">
        <v>8423</v>
      </c>
      <c r="L293" s="7" t="s">
        <v>8424</v>
      </c>
      <c r="M293" s="7" t="s">
        <v>2078</v>
      </c>
      <c r="N293" s="9">
        <v>46234</v>
      </c>
      <c r="O293" s="9">
        <v>46356</v>
      </c>
      <c r="P293" s="7" t="s">
        <v>2195</v>
      </c>
      <c r="Q293" s="7" t="s">
        <v>8393</v>
      </c>
      <c r="R293" s="7" t="s">
        <v>5074</v>
      </c>
      <c r="S293" s="7" t="s">
        <v>8425</v>
      </c>
      <c r="T293" s="7" t="s">
        <v>2067</v>
      </c>
      <c r="U293" s="7" t="s">
        <v>2198</v>
      </c>
      <c r="V293" s="7" t="s">
        <v>2067</v>
      </c>
      <c r="W293" s="7" t="s">
        <v>2069</v>
      </c>
    </row>
    <row r="294" spans="1:23" ht="20.100000000000001" customHeight="1" x14ac:dyDescent="0.25">
      <c r="A294" s="3" t="s">
        <v>8453</v>
      </c>
      <c r="B294" s="4" t="s">
        <v>2057</v>
      </c>
      <c r="C294" s="4" t="s">
        <v>8454</v>
      </c>
      <c r="D294" s="4" t="s">
        <v>2059</v>
      </c>
      <c r="E294" s="4" t="s">
        <v>2189</v>
      </c>
      <c r="F294" s="4" t="s">
        <v>2190</v>
      </c>
      <c r="G294" s="4" t="s">
        <v>2057</v>
      </c>
      <c r="H294" s="4" t="s">
        <v>8407</v>
      </c>
      <c r="I294" s="4" t="s">
        <v>8393</v>
      </c>
      <c r="J294" s="4" t="s">
        <v>8455</v>
      </c>
      <c r="K294" s="4" t="s">
        <v>8456</v>
      </c>
      <c r="L294" s="4" t="s">
        <v>8457</v>
      </c>
      <c r="M294" s="4" t="s">
        <v>2078</v>
      </c>
      <c r="N294" s="8">
        <v>46234</v>
      </c>
      <c r="O294" s="8">
        <v>46356</v>
      </c>
      <c r="P294" s="4" t="s">
        <v>2195</v>
      </c>
      <c r="Q294" s="4" t="s">
        <v>8393</v>
      </c>
      <c r="R294" s="4" t="s">
        <v>3532</v>
      </c>
      <c r="S294" s="4" t="s">
        <v>8458</v>
      </c>
      <c r="T294" s="4" t="s">
        <v>2067</v>
      </c>
      <c r="U294" s="4" t="s">
        <v>2198</v>
      </c>
      <c r="V294" s="4" t="s">
        <v>2067</v>
      </c>
      <c r="W294" s="4" t="s">
        <v>2069</v>
      </c>
    </row>
    <row r="295" spans="1:23" ht="20.100000000000001" customHeight="1" x14ac:dyDescent="0.25">
      <c r="A295" s="6" t="s">
        <v>8500</v>
      </c>
      <c r="B295" s="7" t="s">
        <v>2057</v>
      </c>
      <c r="C295" s="7" t="s">
        <v>8501</v>
      </c>
      <c r="D295" s="7" t="s">
        <v>2059</v>
      </c>
      <c r="E295" s="7" t="s">
        <v>1965</v>
      </c>
      <c r="F295" s="7" t="s">
        <v>1966</v>
      </c>
      <c r="G295" s="7" t="s">
        <v>2057</v>
      </c>
      <c r="H295" s="7" t="s">
        <v>8502</v>
      </c>
      <c r="I295" s="7" t="s">
        <v>8393</v>
      </c>
      <c r="J295" s="7" t="s">
        <v>8503</v>
      </c>
      <c r="K295" s="7" t="s">
        <v>8504</v>
      </c>
      <c r="L295" s="7" t="s">
        <v>8505</v>
      </c>
      <c r="M295" s="7" t="s">
        <v>2078</v>
      </c>
      <c r="N295" s="9">
        <v>46234</v>
      </c>
      <c r="O295" s="9">
        <v>46356</v>
      </c>
      <c r="P295" s="7" t="s">
        <v>1966</v>
      </c>
      <c r="Q295" s="7" t="s">
        <v>8393</v>
      </c>
      <c r="R295" s="7" t="s">
        <v>6516</v>
      </c>
      <c r="S295" s="7" t="s">
        <v>8506</v>
      </c>
      <c r="T295" s="7" t="s">
        <v>2067</v>
      </c>
      <c r="U295" s="7" t="s">
        <v>2174</v>
      </c>
      <c r="V295" s="7" t="s">
        <v>2067</v>
      </c>
      <c r="W295" s="7" t="s">
        <v>2082</v>
      </c>
    </row>
    <row r="296" spans="1:23" ht="20.100000000000001" customHeight="1" x14ac:dyDescent="0.25">
      <c r="A296" s="3" t="s">
        <v>8519</v>
      </c>
      <c r="B296" s="4" t="s">
        <v>2057</v>
      </c>
      <c r="C296" s="4" t="s">
        <v>8520</v>
      </c>
      <c r="D296" s="4" t="s">
        <v>2059</v>
      </c>
      <c r="E296" s="4" t="s">
        <v>2131</v>
      </c>
      <c r="F296" s="4" t="s">
        <v>2132</v>
      </c>
      <c r="G296" s="4" t="s">
        <v>2057</v>
      </c>
      <c r="H296" s="4" t="s">
        <v>8400</v>
      </c>
      <c r="I296" s="4" t="s">
        <v>8393</v>
      </c>
      <c r="J296" s="4" t="s">
        <v>8521</v>
      </c>
      <c r="K296" s="4" t="s">
        <v>8522</v>
      </c>
      <c r="L296" s="4" t="s">
        <v>8523</v>
      </c>
      <c r="M296" s="4" t="s">
        <v>2078</v>
      </c>
      <c r="N296" s="8">
        <v>46234</v>
      </c>
      <c r="O296" s="8">
        <v>46356</v>
      </c>
      <c r="P296" s="4" t="s">
        <v>2132</v>
      </c>
      <c r="Q296" s="4" t="s">
        <v>8393</v>
      </c>
      <c r="R296" s="4" t="s">
        <v>8524</v>
      </c>
      <c r="S296" s="4" t="s">
        <v>8525</v>
      </c>
      <c r="T296" s="4" t="s">
        <v>2067</v>
      </c>
      <c r="U296" s="4" t="s">
        <v>2138</v>
      </c>
      <c r="V296" s="4" t="s">
        <v>2067</v>
      </c>
      <c r="W296" s="4" t="s">
        <v>2082</v>
      </c>
    </row>
    <row r="297" spans="1:23" ht="20.100000000000001" customHeight="1" x14ac:dyDescent="0.25">
      <c r="A297" s="6" t="s">
        <v>8526</v>
      </c>
      <c r="B297" s="7" t="s">
        <v>2057</v>
      </c>
      <c r="C297" s="7" t="s">
        <v>8527</v>
      </c>
      <c r="D297" s="7" t="s">
        <v>2059</v>
      </c>
      <c r="E297" s="7" t="s">
        <v>1947</v>
      </c>
      <c r="F297" s="7" t="s">
        <v>1948</v>
      </c>
      <c r="G297" s="7" t="s">
        <v>2057</v>
      </c>
      <c r="H297" s="7" t="s">
        <v>8392</v>
      </c>
      <c r="I297" s="7" t="s">
        <v>8393</v>
      </c>
      <c r="J297" s="7" t="s">
        <v>8528</v>
      </c>
      <c r="K297" s="7" t="s">
        <v>8529</v>
      </c>
      <c r="L297" s="7" t="s">
        <v>8530</v>
      </c>
      <c r="M297" s="7" t="s">
        <v>2078</v>
      </c>
      <c r="N297" s="9">
        <v>46234</v>
      </c>
      <c r="O297" s="9">
        <v>46356</v>
      </c>
      <c r="P297" s="7" t="s">
        <v>2112</v>
      </c>
      <c r="Q297" s="7" t="s">
        <v>8393</v>
      </c>
      <c r="R297" s="7" t="s">
        <v>8531</v>
      </c>
      <c r="S297" s="7" t="s">
        <v>8532</v>
      </c>
      <c r="T297" s="7" t="s">
        <v>2067</v>
      </c>
      <c r="U297" s="7" t="s">
        <v>2119</v>
      </c>
      <c r="V297" s="7" t="s">
        <v>2067</v>
      </c>
      <c r="W297" s="7" t="s">
        <v>2069</v>
      </c>
    </row>
    <row r="298" spans="1:23" ht="20.100000000000001" customHeight="1" x14ac:dyDescent="0.25">
      <c r="A298" s="3" t="s">
        <v>1990</v>
      </c>
      <c r="B298" s="4" t="s">
        <v>2084</v>
      </c>
      <c r="C298" s="4" t="s">
        <v>1991</v>
      </c>
      <c r="D298" s="4" t="s">
        <v>2059</v>
      </c>
      <c r="E298" s="4" t="s">
        <v>1947</v>
      </c>
      <c r="F298" s="4" t="s">
        <v>1948</v>
      </c>
      <c r="G298" s="4" t="s">
        <v>2084</v>
      </c>
      <c r="H298" s="4" t="s">
        <v>1992</v>
      </c>
      <c r="I298" s="4" t="s">
        <v>1993</v>
      </c>
      <c r="J298" s="4" t="s">
        <v>8592</v>
      </c>
      <c r="K298" s="4" t="s">
        <v>8593</v>
      </c>
      <c r="L298" s="4" t="s">
        <v>8594</v>
      </c>
      <c r="M298" s="4" t="s">
        <v>2078</v>
      </c>
      <c r="N298" s="8">
        <v>45992</v>
      </c>
      <c r="O298" s="8">
        <v>46356</v>
      </c>
      <c r="P298" s="4" t="s">
        <v>2090</v>
      </c>
      <c r="Q298" s="4" t="s">
        <v>1993</v>
      </c>
      <c r="R298" s="4" t="s">
        <v>8595</v>
      </c>
      <c r="S298" s="4" t="s">
        <v>8596</v>
      </c>
      <c r="T298" s="4" t="s">
        <v>2067</v>
      </c>
      <c r="U298" s="4" t="s">
        <v>2146</v>
      </c>
      <c r="V298" s="4" t="s">
        <v>2067</v>
      </c>
      <c r="W298" s="4" t="s">
        <v>2069</v>
      </c>
    </row>
    <row r="299" spans="1:23" ht="20.100000000000001" customHeight="1" x14ac:dyDescent="0.25">
      <c r="A299" s="6" t="s">
        <v>8622</v>
      </c>
      <c r="B299" s="7" t="s">
        <v>2084</v>
      </c>
      <c r="C299" s="7" t="s">
        <v>8623</v>
      </c>
      <c r="D299" s="7" t="s">
        <v>2059</v>
      </c>
      <c r="E299" s="7" t="s">
        <v>1947</v>
      </c>
      <c r="F299" s="7" t="s">
        <v>1948</v>
      </c>
      <c r="G299" s="7" t="s">
        <v>2084</v>
      </c>
      <c r="H299" s="7" t="s">
        <v>8604</v>
      </c>
      <c r="I299" s="7" t="s">
        <v>1993</v>
      </c>
      <c r="J299" s="7" t="s">
        <v>8624</v>
      </c>
      <c r="K299" s="7" t="s">
        <v>8625</v>
      </c>
      <c r="L299" s="7" t="s">
        <v>8626</v>
      </c>
      <c r="M299" s="7" t="s">
        <v>2078</v>
      </c>
      <c r="N299" s="9">
        <v>46234</v>
      </c>
      <c r="O299" s="9">
        <v>46356</v>
      </c>
      <c r="P299" s="7" t="s">
        <v>2090</v>
      </c>
      <c r="Q299" s="7" t="s">
        <v>1993</v>
      </c>
      <c r="R299" s="7" t="s">
        <v>7209</v>
      </c>
      <c r="S299" s="7" t="s">
        <v>8627</v>
      </c>
      <c r="T299" s="7" t="s">
        <v>2067</v>
      </c>
      <c r="U299" s="7" t="s">
        <v>2146</v>
      </c>
      <c r="V299" s="7" t="s">
        <v>2067</v>
      </c>
      <c r="W299" s="7" t="s">
        <v>2082</v>
      </c>
    </row>
    <row r="300" spans="1:23" ht="20.100000000000001" customHeight="1" x14ac:dyDescent="0.25">
      <c r="A300" s="3" t="s">
        <v>8680</v>
      </c>
      <c r="B300" s="4" t="s">
        <v>2084</v>
      </c>
      <c r="C300" s="4" t="s">
        <v>8681</v>
      </c>
      <c r="D300" s="4" t="s">
        <v>2059</v>
      </c>
      <c r="E300" s="4" t="s">
        <v>1947</v>
      </c>
      <c r="F300" s="4" t="s">
        <v>1948</v>
      </c>
      <c r="G300" s="4" t="s">
        <v>2084</v>
      </c>
      <c r="H300" s="4" t="s">
        <v>8682</v>
      </c>
      <c r="I300" s="4" t="s">
        <v>8648</v>
      </c>
      <c r="J300" s="4" t="s">
        <v>8683</v>
      </c>
      <c r="K300" s="4" t="s">
        <v>8684</v>
      </c>
      <c r="L300" s="4" t="s">
        <v>8685</v>
      </c>
      <c r="M300" s="4" t="s">
        <v>2078</v>
      </c>
      <c r="N300" s="8">
        <v>46234</v>
      </c>
      <c r="O300" s="8">
        <v>46356</v>
      </c>
      <c r="P300" s="4" t="s">
        <v>2090</v>
      </c>
      <c r="Q300" s="4" t="s">
        <v>8648</v>
      </c>
      <c r="R300" s="4" t="s">
        <v>5195</v>
      </c>
      <c r="S300" s="4" t="s">
        <v>8686</v>
      </c>
      <c r="T300" s="4" t="s">
        <v>2067</v>
      </c>
      <c r="U300" s="4" t="s">
        <v>2146</v>
      </c>
      <c r="V300" s="4" t="s">
        <v>2067</v>
      </c>
      <c r="W300" s="4" t="s">
        <v>2082</v>
      </c>
    </row>
    <row r="301" spans="1:23" ht="20.100000000000001" customHeight="1" x14ac:dyDescent="0.25">
      <c r="A301" s="6" t="s">
        <v>8716</v>
      </c>
      <c r="B301" s="7" t="s">
        <v>2084</v>
      </c>
      <c r="C301" s="7" t="s">
        <v>8717</v>
      </c>
      <c r="D301" s="7" t="s">
        <v>2059</v>
      </c>
      <c r="E301" s="7" t="s">
        <v>1947</v>
      </c>
      <c r="F301" s="7" t="s">
        <v>1948</v>
      </c>
      <c r="G301" s="7" t="s">
        <v>2084</v>
      </c>
      <c r="H301" s="7" t="s">
        <v>8655</v>
      </c>
      <c r="I301" s="7" t="s">
        <v>8648</v>
      </c>
      <c r="J301" s="7" t="s">
        <v>8718</v>
      </c>
      <c r="K301" s="7" t="s">
        <v>8719</v>
      </c>
      <c r="L301" s="7" t="s">
        <v>8720</v>
      </c>
      <c r="M301" s="7" t="s">
        <v>2078</v>
      </c>
      <c r="N301" s="9">
        <v>45992</v>
      </c>
      <c r="O301" s="9">
        <v>46356</v>
      </c>
      <c r="P301" s="7" t="s">
        <v>2090</v>
      </c>
      <c r="Q301" s="7" t="s">
        <v>8648</v>
      </c>
      <c r="R301" s="7" t="s">
        <v>8721</v>
      </c>
      <c r="S301" s="7" t="s">
        <v>8722</v>
      </c>
      <c r="T301" s="7" t="s">
        <v>2067</v>
      </c>
      <c r="U301" s="7" t="s">
        <v>2146</v>
      </c>
      <c r="V301" s="7" t="s">
        <v>2067</v>
      </c>
      <c r="W301" s="7" t="s">
        <v>2069</v>
      </c>
    </row>
    <row r="302" spans="1:23" ht="20.100000000000001" customHeight="1" x14ac:dyDescent="0.25">
      <c r="A302" s="3" t="s">
        <v>8761</v>
      </c>
      <c r="B302" s="4" t="s">
        <v>2084</v>
      </c>
      <c r="C302" s="4" t="s">
        <v>8762</v>
      </c>
      <c r="D302" s="4" t="s">
        <v>8736</v>
      </c>
      <c r="E302" s="4" t="s">
        <v>1947</v>
      </c>
      <c r="F302" s="4" t="s">
        <v>1948</v>
      </c>
      <c r="G302" s="4" t="s">
        <v>2084</v>
      </c>
      <c r="H302" s="4" t="s">
        <v>8763</v>
      </c>
      <c r="I302" s="4" t="s">
        <v>1939</v>
      </c>
      <c r="J302" s="4" t="s">
        <v>8764</v>
      </c>
      <c r="K302" s="4" t="s">
        <v>8765</v>
      </c>
      <c r="L302" s="4" t="s">
        <v>8766</v>
      </c>
      <c r="M302" s="4" t="s">
        <v>2064</v>
      </c>
      <c r="N302" s="8">
        <v>43151</v>
      </c>
      <c r="O302" s="8"/>
      <c r="P302" s="4" t="s">
        <v>2090</v>
      </c>
      <c r="Q302" s="4" t="s">
        <v>1939</v>
      </c>
      <c r="R302" s="4" t="s">
        <v>8767</v>
      </c>
      <c r="S302" s="4" t="s">
        <v>8768</v>
      </c>
      <c r="T302" s="4" t="s">
        <v>2067</v>
      </c>
      <c r="U302" s="4" t="s">
        <v>2146</v>
      </c>
      <c r="V302" s="4" t="s">
        <v>2067</v>
      </c>
      <c r="W302" s="4" t="s">
        <v>2069</v>
      </c>
    </row>
    <row r="303" spans="1:23" ht="20.100000000000001" customHeight="1" x14ac:dyDescent="0.25">
      <c r="A303" s="6" t="s">
        <v>8769</v>
      </c>
      <c r="B303" s="7" t="s">
        <v>2057</v>
      </c>
      <c r="C303" s="7" t="s">
        <v>8770</v>
      </c>
      <c r="D303" s="7" t="s">
        <v>8736</v>
      </c>
      <c r="E303" s="7" t="s">
        <v>2189</v>
      </c>
      <c r="F303" s="7" t="s">
        <v>2190</v>
      </c>
      <c r="G303" s="7" t="s">
        <v>2057</v>
      </c>
      <c r="H303" s="7" t="s">
        <v>8771</v>
      </c>
      <c r="I303" s="7" t="s">
        <v>1939</v>
      </c>
      <c r="J303" s="7" t="s">
        <v>8772</v>
      </c>
      <c r="K303" s="7" t="s">
        <v>8773</v>
      </c>
      <c r="L303" s="7" t="s">
        <v>8774</v>
      </c>
      <c r="M303" s="7" t="s">
        <v>2078</v>
      </c>
      <c r="N303" s="9">
        <v>46052</v>
      </c>
      <c r="O303" s="9">
        <v>46356</v>
      </c>
      <c r="P303" s="7" t="s">
        <v>2195</v>
      </c>
      <c r="Q303" s="7" t="s">
        <v>1939</v>
      </c>
      <c r="R303" s="7" t="s">
        <v>8775</v>
      </c>
      <c r="S303" s="7" t="s">
        <v>8776</v>
      </c>
      <c r="T303" s="7" t="s">
        <v>2067</v>
      </c>
      <c r="U303" s="7" t="s">
        <v>2198</v>
      </c>
      <c r="V303" s="7" t="s">
        <v>2067</v>
      </c>
      <c r="W303" s="7" t="s">
        <v>2069</v>
      </c>
    </row>
    <row r="304" spans="1:23" ht="20.100000000000001" customHeight="1" x14ac:dyDescent="0.25">
      <c r="A304" s="3" t="s">
        <v>8783</v>
      </c>
      <c r="B304" s="4" t="s">
        <v>2057</v>
      </c>
      <c r="C304" s="4" t="s">
        <v>8784</v>
      </c>
      <c r="D304" s="4" t="s">
        <v>8736</v>
      </c>
      <c r="E304" s="4" t="s">
        <v>8785</v>
      </c>
      <c r="F304" s="4" t="s">
        <v>8786</v>
      </c>
      <c r="G304" s="4" t="s">
        <v>2057</v>
      </c>
      <c r="H304" s="4" t="s">
        <v>8750</v>
      </c>
      <c r="I304" s="4" t="s">
        <v>1939</v>
      </c>
      <c r="J304" s="4" t="s">
        <v>8787</v>
      </c>
      <c r="K304" s="4" t="s">
        <v>8788</v>
      </c>
      <c r="L304" s="4" t="s">
        <v>8789</v>
      </c>
      <c r="M304" s="4" t="s">
        <v>2064</v>
      </c>
      <c r="N304" s="8">
        <v>45327</v>
      </c>
      <c r="O304" s="8"/>
      <c r="P304" s="4" t="s">
        <v>8786</v>
      </c>
      <c r="Q304" s="4" t="s">
        <v>1939</v>
      </c>
      <c r="R304" s="4" t="s">
        <v>8790</v>
      </c>
      <c r="S304" s="4" t="s">
        <v>8791</v>
      </c>
      <c r="T304" s="4" t="s">
        <v>2067</v>
      </c>
      <c r="U304" s="4" t="s">
        <v>8792</v>
      </c>
      <c r="V304" s="4" t="s">
        <v>2067</v>
      </c>
      <c r="W304" s="4" t="s">
        <v>2069</v>
      </c>
    </row>
    <row r="305" spans="1:23" ht="20.100000000000001" customHeight="1" x14ac:dyDescent="0.25">
      <c r="A305" s="6" t="s">
        <v>8800</v>
      </c>
      <c r="B305" s="7" t="s">
        <v>2084</v>
      </c>
      <c r="C305" s="7" t="s">
        <v>8801</v>
      </c>
      <c r="D305" s="7" t="s">
        <v>8736</v>
      </c>
      <c r="E305" s="7" t="s">
        <v>1947</v>
      </c>
      <c r="F305" s="7" t="s">
        <v>1948</v>
      </c>
      <c r="G305" s="7" t="s">
        <v>2084</v>
      </c>
      <c r="H305" s="7" t="s">
        <v>1982</v>
      </c>
      <c r="I305" s="7" t="s">
        <v>1939</v>
      </c>
      <c r="J305" s="7" t="s">
        <v>8802</v>
      </c>
      <c r="K305" s="7" t="s">
        <v>8803</v>
      </c>
      <c r="L305" s="7" t="s">
        <v>8804</v>
      </c>
      <c r="M305" s="7" t="s">
        <v>2064</v>
      </c>
      <c r="N305" s="9">
        <v>43649</v>
      </c>
      <c r="O305" s="9"/>
      <c r="P305" s="7" t="s">
        <v>2090</v>
      </c>
      <c r="Q305" s="7" t="s">
        <v>1939</v>
      </c>
      <c r="R305" s="7" t="s">
        <v>4702</v>
      </c>
      <c r="S305" s="7" t="s">
        <v>8805</v>
      </c>
      <c r="T305" s="7" t="s">
        <v>2067</v>
      </c>
      <c r="U305" s="7" t="s">
        <v>2093</v>
      </c>
      <c r="V305" s="7" t="s">
        <v>2067</v>
      </c>
      <c r="W305" s="7" t="s">
        <v>2069</v>
      </c>
    </row>
    <row r="306" spans="1:23" ht="20.100000000000001" customHeight="1" x14ac:dyDescent="0.25">
      <c r="A306" s="3" t="s">
        <v>8818</v>
      </c>
      <c r="B306" s="4" t="s">
        <v>2084</v>
      </c>
      <c r="C306" s="4" t="s">
        <v>8819</v>
      </c>
      <c r="D306" s="4" t="s">
        <v>8736</v>
      </c>
      <c r="E306" s="4" t="s">
        <v>1947</v>
      </c>
      <c r="F306" s="4" t="s">
        <v>1948</v>
      </c>
      <c r="G306" s="4" t="s">
        <v>2084</v>
      </c>
      <c r="H306" s="4" t="s">
        <v>1982</v>
      </c>
      <c r="I306" s="4" t="s">
        <v>1939</v>
      </c>
      <c r="J306" s="4" t="s">
        <v>8820</v>
      </c>
      <c r="K306" s="4" t="s">
        <v>8821</v>
      </c>
      <c r="L306" s="4" t="s">
        <v>8822</v>
      </c>
      <c r="M306" s="4" t="s">
        <v>2064</v>
      </c>
      <c r="N306" s="8">
        <v>44671</v>
      </c>
      <c r="O306" s="8"/>
      <c r="P306" s="4" t="s">
        <v>2090</v>
      </c>
      <c r="Q306" s="4" t="s">
        <v>1939</v>
      </c>
      <c r="R306" s="4" t="s">
        <v>8373</v>
      </c>
      <c r="S306" s="4" t="s">
        <v>8823</v>
      </c>
      <c r="T306" s="4" t="s">
        <v>2067</v>
      </c>
      <c r="U306" s="4" t="s">
        <v>8824</v>
      </c>
      <c r="V306" s="4" t="s">
        <v>2067</v>
      </c>
      <c r="W306" s="4" t="s">
        <v>2069</v>
      </c>
    </row>
    <row r="307" spans="1:23" ht="20.100000000000001" customHeight="1" x14ac:dyDescent="0.25">
      <c r="A307" s="6" t="s">
        <v>8842</v>
      </c>
      <c r="B307" s="7" t="s">
        <v>2057</v>
      </c>
      <c r="C307" s="7" t="s">
        <v>8843</v>
      </c>
      <c r="D307" s="7" t="s">
        <v>8736</v>
      </c>
      <c r="E307" s="7" t="s">
        <v>7056</v>
      </c>
      <c r="F307" s="7" t="s">
        <v>7057</v>
      </c>
      <c r="G307" s="7" t="s">
        <v>2057</v>
      </c>
      <c r="H307" s="7" t="s">
        <v>8750</v>
      </c>
      <c r="I307" s="7" t="s">
        <v>1939</v>
      </c>
      <c r="J307" s="7" t="s">
        <v>8844</v>
      </c>
      <c r="K307" s="7" t="s">
        <v>8845</v>
      </c>
      <c r="L307" s="7" t="s">
        <v>8846</v>
      </c>
      <c r="M307" s="7" t="s">
        <v>2064</v>
      </c>
      <c r="N307" s="9">
        <v>45327</v>
      </c>
      <c r="O307" s="9"/>
      <c r="P307" s="7" t="s">
        <v>7057</v>
      </c>
      <c r="Q307" s="7" t="s">
        <v>1939</v>
      </c>
      <c r="R307" s="7" t="s">
        <v>8847</v>
      </c>
      <c r="S307" s="7" t="s">
        <v>8848</v>
      </c>
      <c r="T307" s="7" t="s">
        <v>2067</v>
      </c>
      <c r="U307" s="7" t="s">
        <v>7064</v>
      </c>
      <c r="V307" s="7" t="s">
        <v>2067</v>
      </c>
      <c r="W307" s="7" t="s">
        <v>2069</v>
      </c>
    </row>
    <row r="308" spans="1:23" ht="20.100000000000001" customHeight="1" x14ac:dyDescent="0.25">
      <c r="A308" s="3" t="s">
        <v>8891</v>
      </c>
      <c r="B308" s="4" t="s">
        <v>2084</v>
      </c>
      <c r="C308" s="4" t="s">
        <v>8892</v>
      </c>
      <c r="D308" s="4" t="s">
        <v>8736</v>
      </c>
      <c r="E308" s="4" t="s">
        <v>6128</v>
      </c>
      <c r="F308" s="4" t="s">
        <v>6129</v>
      </c>
      <c r="G308" s="4" t="s">
        <v>2084</v>
      </c>
      <c r="H308" s="4" t="s">
        <v>1938</v>
      </c>
      <c r="I308" s="4" t="s">
        <v>1939</v>
      </c>
      <c r="J308" s="4" t="s">
        <v>8893</v>
      </c>
      <c r="K308" s="4" t="s">
        <v>8894</v>
      </c>
      <c r="L308" s="4" t="s">
        <v>8895</v>
      </c>
      <c r="M308" s="4" t="s">
        <v>2078</v>
      </c>
      <c r="N308" s="8">
        <v>46024</v>
      </c>
      <c r="O308" s="8">
        <v>46356</v>
      </c>
      <c r="P308" s="4" t="s">
        <v>6129</v>
      </c>
      <c r="Q308" s="4" t="s">
        <v>1939</v>
      </c>
      <c r="R308" s="4" t="s">
        <v>6494</v>
      </c>
      <c r="S308" s="4" t="s">
        <v>8896</v>
      </c>
      <c r="T308" s="4" t="s">
        <v>2067</v>
      </c>
      <c r="U308" s="4" t="s">
        <v>6135</v>
      </c>
      <c r="V308" s="4" t="s">
        <v>2067</v>
      </c>
      <c r="W308" s="4" t="s">
        <v>2069</v>
      </c>
    </row>
    <row r="309" spans="1:23" ht="20.100000000000001" customHeight="1" x14ac:dyDescent="0.25">
      <c r="A309" s="6" t="s">
        <v>8897</v>
      </c>
      <c r="B309" s="7" t="s">
        <v>2057</v>
      </c>
      <c r="C309" s="7" t="s">
        <v>8898</v>
      </c>
      <c r="D309" s="7" t="s">
        <v>8736</v>
      </c>
      <c r="E309" s="7" t="s">
        <v>1965</v>
      </c>
      <c r="F309" s="7" t="s">
        <v>1966</v>
      </c>
      <c r="G309" s="7" t="s">
        <v>2057</v>
      </c>
      <c r="H309" s="7" t="s">
        <v>8794</v>
      </c>
      <c r="I309" s="7" t="s">
        <v>1939</v>
      </c>
      <c r="J309" s="7" t="s">
        <v>8899</v>
      </c>
      <c r="K309" s="7" t="s">
        <v>8900</v>
      </c>
      <c r="L309" s="7" t="s">
        <v>8901</v>
      </c>
      <c r="M309" s="7" t="s">
        <v>2078</v>
      </c>
      <c r="N309" s="9">
        <v>46052</v>
      </c>
      <c r="O309" s="9">
        <v>46356</v>
      </c>
      <c r="P309" s="7" t="s">
        <v>1966</v>
      </c>
      <c r="Q309" s="7" t="s">
        <v>1939</v>
      </c>
      <c r="R309" s="7" t="s">
        <v>8902</v>
      </c>
      <c r="S309" s="7" t="s">
        <v>8903</v>
      </c>
      <c r="T309" s="7" t="s">
        <v>2067</v>
      </c>
      <c r="U309" s="7" t="s">
        <v>2174</v>
      </c>
      <c r="V309" s="7" t="s">
        <v>2067</v>
      </c>
      <c r="W309" s="7" t="s">
        <v>2069</v>
      </c>
    </row>
    <row r="310" spans="1:23" ht="20.100000000000001" customHeight="1" x14ac:dyDescent="0.25">
      <c r="A310" s="3" t="s">
        <v>8904</v>
      </c>
      <c r="B310" s="4" t="s">
        <v>2057</v>
      </c>
      <c r="C310" s="4" t="s">
        <v>8905</v>
      </c>
      <c r="D310" s="4" t="s">
        <v>8736</v>
      </c>
      <c r="E310" s="4" t="s">
        <v>1965</v>
      </c>
      <c r="F310" s="4" t="s">
        <v>1966</v>
      </c>
      <c r="G310" s="4" t="s">
        <v>2057</v>
      </c>
      <c r="H310" s="4" t="s">
        <v>8750</v>
      </c>
      <c r="I310" s="4" t="s">
        <v>1939</v>
      </c>
      <c r="J310" s="4" t="s">
        <v>8906</v>
      </c>
      <c r="K310" s="4" t="s">
        <v>8907</v>
      </c>
      <c r="L310" s="4" t="s">
        <v>8908</v>
      </c>
      <c r="M310" s="4" t="s">
        <v>2064</v>
      </c>
      <c r="N310" s="8">
        <v>45327</v>
      </c>
      <c r="O310" s="8"/>
      <c r="P310" s="4" t="s">
        <v>1966</v>
      </c>
      <c r="Q310" s="4" t="s">
        <v>1939</v>
      </c>
      <c r="R310" s="4" t="s">
        <v>2126</v>
      </c>
      <c r="S310" s="4" t="s">
        <v>8909</v>
      </c>
      <c r="T310" s="4" t="s">
        <v>2067</v>
      </c>
      <c r="U310" s="4" t="s">
        <v>2174</v>
      </c>
      <c r="V310" s="4" t="s">
        <v>2067</v>
      </c>
      <c r="W310" s="4" t="s">
        <v>2069</v>
      </c>
    </row>
    <row r="311" spans="1:23" ht="20.100000000000001" customHeight="1" x14ac:dyDescent="0.25">
      <c r="A311" s="6" t="s">
        <v>1962</v>
      </c>
      <c r="B311" s="7" t="s">
        <v>2057</v>
      </c>
      <c r="C311" s="7" t="s">
        <v>1963</v>
      </c>
      <c r="D311" s="7" t="s">
        <v>8736</v>
      </c>
      <c r="E311" s="7" t="s">
        <v>1965</v>
      </c>
      <c r="F311" s="7" t="s">
        <v>1966</v>
      </c>
      <c r="G311" s="7" t="s">
        <v>2057</v>
      </c>
      <c r="H311" s="7" t="s">
        <v>1964</v>
      </c>
      <c r="I311" s="7" t="s">
        <v>1939</v>
      </c>
      <c r="J311" s="7" t="s">
        <v>8940</v>
      </c>
      <c r="K311" s="7" t="s">
        <v>8941</v>
      </c>
      <c r="L311" s="7" t="s">
        <v>8942</v>
      </c>
      <c r="M311" s="7" t="s">
        <v>2064</v>
      </c>
      <c r="N311" s="9">
        <v>45327</v>
      </c>
      <c r="O311" s="9"/>
      <c r="P311" s="7" t="s">
        <v>1966</v>
      </c>
      <c r="Q311" s="7" t="s">
        <v>1939</v>
      </c>
      <c r="R311" s="7" t="s">
        <v>4121</v>
      </c>
      <c r="S311" s="7" t="s">
        <v>8943</v>
      </c>
      <c r="T311" s="7" t="s">
        <v>2067</v>
      </c>
      <c r="U311" s="7" t="s">
        <v>2174</v>
      </c>
      <c r="V311" s="7" t="s">
        <v>2067</v>
      </c>
      <c r="W311" s="7" t="s">
        <v>2069</v>
      </c>
    </row>
    <row r="312" spans="1:23" ht="20.100000000000001" customHeight="1" x14ac:dyDescent="0.25">
      <c r="A312" s="3" t="s">
        <v>8944</v>
      </c>
      <c r="B312" s="4" t="s">
        <v>2057</v>
      </c>
      <c r="C312" s="4" t="s">
        <v>8945</v>
      </c>
      <c r="D312" s="4" t="s">
        <v>8736</v>
      </c>
      <c r="E312" s="4" t="s">
        <v>2111</v>
      </c>
      <c r="F312" s="4" t="s">
        <v>2112</v>
      </c>
      <c r="G312" s="4" t="s">
        <v>2057</v>
      </c>
      <c r="H312" s="4" t="s">
        <v>8737</v>
      </c>
      <c r="I312" s="4" t="s">
        <v>1939</v>
      </c>
      <c r="J312" s="4" t="s">
        <v>8946</v>
      </c>
      <c r="K312" s="4" t="s">
        <v>8947</v>
      </c>
      <c r="L312" s="4" t="s">
        <v>8948</v>
      </c>
      <c r="M312" s="4" t="s">
        <v>2078</v>
      </c>
      <c r="N312" s="8">
        <v>46052</v>
      </c>
      <c r="O312" s="8">
        <v>46356</v>
      </c>
      <c r="P312" s="4" t="s">
        <v>2112</v>
      </c>
      <c r="Q312" s="4" t="s">
        <v>1939</v>
      </c>
      <c r="R312" s="4" t="s">
        <v>8949</v>
      </c>
      <c r="S312" s="4" t="s">
        <v>8950</v>
      </c>
      <c r="T312" s="4" t="s">
        <v>2067</v>
      </c>
      <c r="U312" s="4" t="s">
        <v>2119</v>
      </c>
      <c r="V312" s="4" t="s">
        <v>2067</v>
      </c>
      <c r="W312" s="4" t="s">
        <v>2069</v>
      </c>
    </row>
    <row r="313" spans="1:23" ht="20.100000000000001" customHeight="1" x14ac:dyDescent="0.25">
      <c r="A313" s="6" t="s">
        <v>9002</v>
      </c>
      <c r="B313" s="7" t="s">
        <v>2057</v>
      </c>
      <c r="C313" s="7" t="s">
        <v>9003</v>
      </c>
      <c r="D313" s="7" t="s">
        <v>8736</v>
      </c>
      <c r="E313" s="7" t="s">
        <v>2189</v>
      </c>
      <c r="F313" s="7" t="s">
        <v>2190</v>
      </c>
      <c r="G313" s="7" t="s">
        <v>2057</v>
      </c>
      <c r="H313" s="7" t="s">
        <v>1946</v>
      </c>
      <c r="I313" s="7" t="s">
        <v>1939</v>
      </c>
      <c r="J313" s="7" t="s">
        <v>9004</v>
      </c>
      <c r="K313" s="7" t="s">
        <v>9005</v>
      </c>
      <c r="L313" s="7" t="s">
        <v>9006</v>
      </c>
      <c r="M313" s="7" t="s">
        <v>3316</v>
      </c>
      <c r="N313" s="9">
        <v>44916</v>
      </c>
      <c r="O313" s="9">
        <v>46356</v>
      </c>
      <c r="P313" s="7" t="s">
        <v>2195</v>
      </c>
      <c r="Q313" s="7" t="s">
        <v>1939</v>
      </c>
      <c r="R313" s="7" t="s">
        <v>9007</v>
      </c>
      <c r="S313" s="7" t="s">
        <v>9008</v>
      </c>
      <c r="T313" s="7" t="s">
        <v>2067</v>
      </c>
      <c r="U313" s="7" t="s">
        <v>2198</v>
      </c>
      <c r="V313" s="7" t="s">
        <v>2067</v>
      </c>
      <c r="W313" s="7" t="s">
        <v>2069</v>
      </c>
    </row>
    <row r="314" spans="1:23" ht="20.100000000000001" customHeight="1" x14ac:dyDescent="0.25">
      <c r="A314" s="3" t="s">
        <v>9050</v>
      </c>
      <c r="B314" s="4" t="s">
        <v>2084</v>
      </c>
      <c r="C314" s="4" t="s">
        <v>9051</v>
      </c>
      <c r="D314" s="4" t="s">
        <v>8736</v>
      </c>
      <c r="E314" s="4" t="s">
        <v>1947</v>
      </c>
      <c r="F314" s="4" t="s">
        <v>1948</v>
      </c>
      <c r="G314" s="4" t="s">
        <v>2084</v>
      </c>
      <c r="H314" s="4" t="s">
        <v>1982</v>
      </c>
      <c r="I314" s="4" t="s">
        <v>1939</v>
      </c>
      <c r="J314" s="4" t="s">
        <v>9052</v>
      </c>
      <c r="K314" s="4" t="s">
        <v>9053</v>
      </c>
      <c r="L314" s="4" t="s">
        <v>9054</v>
      </c>
      <c r="M314" s="4" t="s">
        <v>2078</v>
      </c>
      <c r="N314" s="8">
        <v>46052</v>
      </c>
      <c r="O314" s="8">
        <v>46356</v>
      </c>
      <c r="P314" s="4" t="s">
        <v>2090</v>
      </c>
      <c r="Q314" s="4" t="s">
        <v>1939</v>
      </c>
      <c r="R314" s="4" t="s">
        <v>9055</v>
      </c>
      <c r="S314" s="4" t="s">
        <v>9056</v>
      </c>
      <c r="T314" s="4" t="s">
        <v>2067</v>
      </c>
      <c r="U314" s="4" t="s">
        <v>2146</v>
      </c>
      <c r="V314" s="4" t="s">
        <v>2067</v>
      </c>
      <c r="W314" s="4" t="s">
        <v>2069</v>
      </c>
    </row>
    <row r="315" spans="1:23" ht="20.100000000000001" customHeight="1" x14ac:dyDescent="0.25">
      <c r="A315" s="6" t="s">
        <v>9068</v>
      </c>
      <c r="B315" s="7" t="s">
        <v>2084</v>
      </c>
      <c r="C315" s="7" t="s">
        <v>9069</v>
      </c>
      <c r="D315" s="7" t="s">
        <v>8736</v>
      </c>
      <c r="E315" s="7" t="s">
        <v>1979</v>
      </c>
      <c r="F315" s="7" t="s">
        <v>1980</v>
      </c>
      <c r="G315" s="7" t="s">
        <v>2084</v>
      </c>
      <c r="H315" s="7" t="s">
        <v>8763</v>
      </c>
      <c r="I315" s="7" t="s">
        <v>1939</v>
      </c>
      <c r="J315" s="7" t="s">
        <v>9070</v>
      </c>
      <c r="K315" s="7" t="s">
        <v>9071</v>
      </c>
      <c r="L315" s="7" t="s">
        <v>9072</v>
      </c>
      <c r="M315" s="7" t="s">
        <v>2064</v>
      </c>
      <c r="N315" s="9">
        <v>45447</v>
      </c>
      <c r="O315" s="9"/>
      <c r="P315" s="7" t="s">
        <v>1980</v>
      </c>
      <c r="Q315" s="7" t="s">
        <v>1939</v>
      </c>
      <c r="R315" s="7" t="s">
        <v>2222</v>
      </c>
      <c r="S315" s="7" t="s">
        <v>9073</v>
      </c>
      <c r="T315" s="7" t="s">
        <v>2067</v>
      </c>
      <c r="U315" s="7" t="s">
        <v>2299</v>
      </c>
      <c r="V315" s="7" t="s">
        <v>2067</v>
      </c>
      <c r="W315" s="7" t="s">
        <v>2069</v>
      </c>
    </row>
    <row r="316" spans="1:23" ht="20.100000000000001" customHeight="1" x14ac:dyDescent="0.25">
      <c r="A316" s="3" t="s">
        <v>9104</v>
      </c>
      <c r="B316" s="4" t="s">
        <v>2057</v>
      </c>
      <c r="C316" s="4" t="s">
        <v>9105</v>
      </c>
      <c r="D316" s="4" t="s">
        <v>8736</v>
      </c>
      <c r="E316" s="4" t="s">
        <v>1947</v>
      </c>
      <c r="F316" s="4" t="s">
        <v>1948</v>
      </c>
      <c r="G316" s="4" t="s">
        <v>2057</v>
      </c>
      <c r="H316" s="4" t="s">
        <v>8750</v>
      </c>
      <c r="I316" s="4" t="s">
        <v>1939</v>
      </c>
      <c r="J316" s="4" t="s">
        <v>9106</v>
      </c>
      <c r="K316" s="4" t="s">
        <v>9107</v>
      </c>
      <c r="L316" s="4" t="s">
        <v>9108</v>
      </c>
      <c r="M316" s="4" t="s">
        <v>2064</v>
      </c>
      <c r="N316" s="8">
        <v>45344</v>
      </c>
      <c r="O316" s="8"/>
      <c r="P316" s="4" t="s">
        <v>2090</v>
      </c>
      <c r="Q316" s="4" t="s">
        <v>1939</v>
      </c>
      <c r="R316" s="4" t="s">
        <v>9109</v>
      </c>
      <c r="S316" s="4" t="s">
        <v>9110</v>
      </c>
      <c r="T316" s="4" t="s">
        <v>2067</v>
      </c>
      <c r="U316" s="4" t="s">
        <v>8824</v>
      </c>
      <c r="V316" s="4" t="s">
        <v>2067</v>
      </c>
      <c r="W316" s="4" t="s">
        <v>2069</v>
      </c>
    </row>
    <row r="317" spans="1:23" ht="20.100000000000001" customHeight="1" x14ac:dyDescent="0.25">
      <c r="A317" s="6" t="s">
        <v>9111</v>
      </c>
      <c r="B317" s="7" t="s">
        <v>2057</v>
      </c>
      <c r="C317" s="7" t="s">
        <v>9112</v>
      </c>
      <c r="D317" s="7" t="s">
        <v>8736</v>
      </c>
      <c r="E317" s="7" t="s">
        <v>2189</v>
      </c>
      <c r="F317" s="7" t="s">
        <v>2190</v>
      </c>
      <c r="G317" s="7" t="s">
        <v>2057</v>
      </c>
      <c r="H317" s="7" t="s">
        <v>8737</v>
      </c>
      <c r="I317" s="7" t="s">
        <v>1939</v>
      </c>
      <c r="J317" s="7" t="s">
        <v>9113</v>
      </c>
      <c r="K317" s="7" t="s">
        <v>9114</v>
      </c>
      <c r="L317" s="7" t="s">
        <v>9115</v>
      </c>
      <c r="M317" s="7" t="s">
        <v>2078</v>
      </c>
      <c r="N317" s="9">
        <v>46052</v>
      </c>
      <c r="O317" s="9">
        <v>46356</v>
      </c>
      <c r="P317" s="7" t="s">
        <v>2195</v>
      </c>
      <c r="Q317" s="7" t="s">
        <v>1939</v>
      </c>
      <c r="R317" s="7" t="s">
        <v>9116</v>
      </c>
      <c r="S317" s="7" t="s">
        <v>9117</v>
      </c>
      <c r="T317" s="7" t="s">
        <v>2067</v>
      </c>
      <c r="U317" s="7" t="s">
        <v>2198</v>
      </c>
      <c r="V317" s="7" t="s">
        <v>2067</v>
      </c>
      <c r="W317" s="7" t="s">
        <v>2069</v>
      </c>
    </row>
    <row r="318" spans="1:23" ht="20.100000000000001" customHeight="1" x14ac:dyDescent="0.25">
      <c r="A318" s="3" t="s">
        <v>9146</v>
      </c>
      <c r="B318" s="4" t="s">
        <v>2057</v>
      </c>
      <c r="C318" s="4" t="s">
        <v>9147</v>
      </c>
      <c r="D318" s="4" t="s">
        <v>8736</v>
      </c>
      <c r="E318" s="4" t="s">
        <v>1952</v>
      </c>
      <c r="F318" s="4" t="s">
        <v>1953</v>
      </c>
      <c r="G318" s="4" t="s">
        <v>2057</v>
      </c>
      <c r="H318" s="4" t="s">
        <v>8771</v>
      </c>
      <c r="I318" s="4" t="s">
        <v>1939</v>
      </c>
      <c r="J318" s="4" t="s">
        <v>9148</v>
      </c>
      <c r="K318" s="4" t="s">
        <v>9149</v>
      </c>
      <c r="L318" s="4" t="s">
        <v>9150</v>
      </c>
      <c r="M318" s="4" t="s">
        <v>2078</v>
      </c>
      <c r="N318" s="8">
        <v>46052</v>
      </c>
      <c r="O318" s="8">
        <v>46356</v>
      </c>
      <c r="P318" s="4" t="s">
        <v>1953</v>
      </c>
      <c r="Q318" s="4" t="s">
        <v>1939</v>
      </c>
      <c r="R318" s="4" t="s">
        <v>9151</v>
      </c>
      <c r="S318" s="4" t="s">
        <v>9152</v>
      </c>
      <c r="T318" s="4" t="s">
        <v>2067</v>
      </c>
      <c r="U318" s="4" t="s">
        <v>2358</v>
      </c>
      <c r="V318" s="4" t="s">
        <v>2067</v>
      </c>
      <c r="W318" s="4" t="s">
        <v>2069</v>
      </c>
    </row>
    <row r="319" spans="1:23" ht="20.100000000000001" customHeight="1" x14ac:dyDescent="0.25">
      <c r="A319" s="6" t="s">
        <v>9153</v>
      </c>
      <c r="B319" s="7" t="s">
        <v>2057</v>
      </c>
      <c r="C319" s="7" t="s">
        <v>9154</v>
      </c>
      <c r="D319" s="7" t="s">
        <v>8736</v>
      </c>
      <c r="E319" s="7" t="s">
        <v>1947</v>
      </c>
      <c r="F319" s="7" t="s">
        <v>1948</v>
      </c>
      <c r="G319" s="7" t="s">
        <v>2057</v>
      </c>
      <c r="H319" s="7" t="s">
        <v>8771</v>
      </c>
      <c r="I319" s="7" t="s">
        <v>1939</v>
      </c>
      <c r="J319" s="7" t="s">
        <v>9155</v>
      </c>
      <c r="K319" s="7" t="s">
        <v>9156</v>
      </c>
      <c r="L319" s="7" t="s">
        <v>9157</v>
      </c>
      <c r="M319" s="7" t="s">
        <v>2078</v>
      </c>
      <c r="N319" s="9">
        <v>45992</v>
      </c>
      <c r="O319" s="9">
        <v>46356</v>
      </c>
      <c r="P319" s="7" t="s">
        <v>2090</v>
      </c>
      <c r="Q319" s="7" t="s">
        <v>1939</v>
      </c>
      <c r="R319" s="7" t="s">
        <v>9158</v>
      </c>
      <c r="S319" s="7" t="s">
        <v>9159</v>
      </c>
      <c r="T319" s="7" t="s">
        <v>2067</v>
      </c>
      <c r="U319" s="7" t="s">
        <v>3437</v>
      </c>
      <c r="V319" s="7" t="s">
        <v>2067</v>
      </c>
      <c r="W319" s="7" t="s">
        <v>2069</v>
      </c>
    </row>
    <row r="320" spans="1:23" ht="20.100000000000001" customHeight="1" x14ac:dyDescent="0.25">
      <c r="A320" s="3" t="s">
        <v>9200</v>
      </c>
      <c r="B320" s="4" t="s">
        <v>2084</v>
      </c>
      <c r="C320" s="4" t="s">
        <v>9201</v>
      </c>
      <c r="D320" s="4" t="s">
        <v>8736</v>
      </c>
      <c r="E320" s="4" t="s">
        <v>1979</v>
      </c>
      <c r="F320" s="4" t="s">
        <v>2728</v>
      </c>
      <c r="G320" s="4" t="s">
        <v>2084</v>
      </c>
      <c r="H320" s="4" t="s">
        <v>8879</v>
      </c>
      <c r="I320" s="4" t="s">
        <v>1939</v>
      </c>
      <c r="J320" s="4" t="s">
        <v>9202</v>
      </c>
      <c r="K320" s="4" t="s">
        <v>9203</v>
      </c>
      <c r="L320" s="4" t="s">
        <v>9204</v>
      </c>
      <c r="M320" s="4" t="s">
        <v>2064</v>
      </c>
      <c r="N320" s="8">
        <v>45708</v>
      </c>
      <c r="O320" s="8"/>
      <c r="P320" s="4" t="s">
        <v>2728</v>
      </c>
      <c r="Q320" s="4" t="s">
        <v>1939</v>
      </c>
      <c r="R320" s="4" t="s">
        <v>2605</v>
      </c>
      <c r="S320" s="4" t="s">
        <v>9205</v>
      </c>
      <c r="T320" s="4" t="s">
        <v>2067</v>
      </c>
      <c r="U320" s="4" t="s">
        <v>2728</v>
      </c>
      <c r="V320" s="4" t="s">
        <v>2067</v>
      </c>
      <c r="W320" s="4" t="s">
        <v>2069</v>
      </c>
    </row>
    <row r="321" spans="1:23" ht="20.100000000000001" customHeight="1" x14ac:dyDescent="0.25">
      <c r="A321" s="6" t="s">
        <v>9226</v>
      </c>
      <c r="B321" s="7" t="s">
        <v>2057</v>
      </c>
      <c r="C321" s="7" t="s">
        <v>9227</v>
      </c>
      <c r="D321" s="7" t="s">
        <v>8736</v>
      </c>
      <c r="E321" s="7" t="s">
        <v>1947</v>
      </c>
      <c r="F321" s="7" t="s">
        <v>1948</v>
      </c>
      <c r="G321" s="7" t="s">
        <v>2057</v>
      </c>
      <c r="H321" s="7" t="s">
        <v>9228</v>
      </c>
      <c r="I321" s="7" t="s">
        <v>1939</v>
      </c>
      <c r="J321" s="7" t="s">
        <v>9229</v>
      </c>
      <c r="K321" s="7" t="s">
        <v>9230</v>
      </c>
      <c r="L321" s="7" t="s">
        <v>9231</v>
      </c>
      <c r="M321" s="7" t="s">
        <v>2064</v>
      </c>
      <c r="N321" s="9">
        <v>45748</v>
      </c>
      <c r="O321" s="9"/>
      <c r="P321" s="7" t="s">
        <v>2090</v>
      </c>
      <c r="Q321" s="7" t="s">
        <v>1939</v>
      </c>
      <c r="R321" s="7" t="s">
        <v>3724</v>
      </c>
      <c r="S321" s="7" t="s">
        <v>9232</v>
      </c>
      <c r="T321" s="7" t="s">
        <v>2067</v>
      </c>
      <c r="U321" s="7" t="s">
        <v>3153</v>
      </c>
      <c r="V321" s="7" t="s">
        <v>2067</v>
      </c>
      <c r="W321" s="7" t="s">
        <v>2069</v>
      </c>
    </row>
    <row r="322" spans="1:23" ht="20.100000000000001" customHeight="1" x14ac:dyDescent="0.25">
      <c r="A322" s="3" t="s">
        <v>9274</v>
      </c>
      <c r="B322" s="4" t="s">
        <v>2084</v>
      </c>
      <c r="C322" s="4" t="s">
        <v>9275</v>
      </c>
      <c r="D322" s="4" t="s">
        <v>8736</v>
      </c>
      <c r="E322" s="4" t="s">
        <v>1965</v>
      </c>
      <c r="F322" s="4" t="s">
        <v>1966</v>
      </c>
      <c r="G322" s="4" t="s">
        <v>2084</v>
      </c>
      <c r="H322" s="4" t="s">
        <v>9125</v>
      </c>
      <c r="I322" s="4" t="s">
        <v>1939</v>
      </c>
      <c r="J322" s="4" t="s">
        <v>9276</v>
      </c>
      <c r="K322" s="4" t="s">
        <v>9277</v>
      </c>
      <c r="L322" s="4" t="s">
        <v>9278</v>
      </c>
      <c r="M322" s="4" t="s">
        <v>2078</v>
      </c>
      <c r="N322" s="8">
        <v>45992</v>
      </c>
      <c r="O322" s="8">
        <v>46356</v>
      </c>
      <c r="P322" s="4" t="s">
        <v>1966</v>
      </c>
      <c r="Q322" s="4" t="s">
        <v>1939</v>
      </c>
      <c r="R322" s="4" t="s">
        <v>9279</v>
      </c>
      <c r="S322" s="4" t="s">
        <v>9280</v>
      </c>
      <c r="T322" s="4" t="s">
        <v>2067</v>
      </c>
      <c r="U322" s="4" t="s">
        <v>2174</v>
      </c>
      <c r="V322" s="4" t="s">
        <v>2067</v>
      </c>
      <c r="W322" s="4" t="s">
        <v>2069</v>
      </c>
    </row>
    <row r="323" spans="1:23" ht="20.100000000000001" customHeight="1" x14ac:dyDescent="0.25">
      <c r="A323" s="6" t="s">
        <v>9337</v>
      </c>
      <c r="B323" s="7" t="s">
        <v>2084</v>
      </c>
      <c r="C323" s="7" t="s">
        <v>9338</v>
      </c>
      <c r="D323" s="7" t="s">
        <v>8736</v>
      </c>
      <c r="E323" s="7" t="s">
        <v>1965</v>
      </c>
      <c r="F323" s="7" t="s">
        <v>1966</v>
      </c>
      <c r="G323" s="7" t="s">
        <v>2084</v>
      </c>
      <c r="H323" s="7" t="s">
        <v>1982</v>
      </c>
      <c r="I323" s="7" t="s">
        <v>1939</v>
      </c>
      <c r="J323" s="7" t="s">
        <v>9339</v>
      </c>
      <c r="K323" s="7" t="s">
        <v>9340</v>
      </c>
      <c r="L323" s="7" t="s">
        <v>9341</v>
      </c>
      <c r="M323" s="7" t="s">
        <v>2078</v>
      </c>
      <c r="N323" s="9">
        <v>46052</v>
      </c>
      <c r="O323" s="9">
        <v>46356</v>
      </c>
      <c r="P323" s="7" t="s">
        <v>1966</v>
      </c>
      <c r="Q323" s="7" t="s">
        <v>1939</v>
      </c>
      <c r="R323" s="7" t="s">
        <v>9342</v>
      </c>
      <c r="S323" s="7" t="s">
        <v>9343</v>
      </c>
      <c r="T323" s="7" t="s">
        <v>2067</v>
      </c>
      <c r="U323" s="7" t="s">
        <v>2174</v>
      </c>
      <c r="V323" s="7" t="s">
        <v>2067</v>
      </c>
      <c r="W323" s="7" t="s">
        <v>2069</v>
      </c>
    </row>
    <row r="324" spans="1:23" ht="20.100000000000001" customHeight="1" x14ac:dyDescent="0.25">
      <c r="A324" s="3" t="s">
        <v>9383</v>
      </c>
      <c r="B324" s="4" t="s">
        <v>2084</v>
      </c>
      <c r="C324" s="4" t="s">
        <v>9384</v>
      </c>
      <c r="D324" s="4" t="s">
        <v>8736</v>
      </c>
      <c r="E324" s="4" t="s">
        <v>1947</v>
      </c>
      <c r="F324" s="4" t="s">
        <v>1948</v>
      </c>
      <c r="G324" s="4" t="s">
        <v>2084</v>
      </c>
      <c r="H324" s="4" t="s">
        <v>2040</v>
      </c>
      <c r="I324" s="4" t="s">
        <v>1939</v>
      </c>
      <c r="J324" s="4" t="s">
        <v>9385</v>
      </c>
      <c r="K324" s="4" t="s">
        <v>9386</v>
      </c>
      <c r="L324" s="4" t="s">
        <v>9387</v>
      </c>
      <c r="M324" s="4" t="s">
        <v>2078</v>
      </c>
      <c r="N324" s="8">
        <v>46052</v>
      </c>
      <c r="O324" s="8">
        <v>46356</v>
      </c>
      <c r="P324" s="4" t="s">
        <v>2090</v>
      </c>
      <c r="Q324" s="4" t="s">
        <v>1939</v>
      </c>
      <c r="R324" s="4" t="s">
        <v>9388</v>
      </c>
      <c r="S324" s="4" t="s">
        <v>9389</v>
      </c>
      <c r="T324" s="4" t="s">
        <v>2067</v>
      </c>
      <c r="U324" s="4" t="s">
        <v>2146</v>
      </c>
      <c r="V324" s="4" t="s">
        <v>2067</v>
      </c>
      <c r="W324" s="4" t="s">
        <v>2069</v>
      </c>
    </row>
    <row r="325" spans="1:23" ht="20.100000000000001" customHeight="1" x14ac:dyDescent="0.25">
      <c r="A325" s="6" t="s">
        <v>9396</v>
      </c>
      <c r="B325" s="7" t="s">
        <v>2084</v>
      </c>
      <c r="C325" s="7" t="s">
        <v>9397</v>
      </c>
      <c r="D325" s="7" t="s">
        <v>8736</v>
      </c>
      <c r="E325" s="7" t="s">
        <v>1940</v>
      </c>
      <c r="F325" s="7" t="s">
        <v>1941</v>
      </c>
      <c r="G325" s="7" t="s">
        <v>2084</v>
      </c>
      <c r="H325" s="7" t="s">
        <v>1938</v>
      </c>
      <c r="I325" s="7" t="s">
        <v>1939</v>
      </c>
      <c r="J325" s="7" t="s">
        <v>9398</v>
      </c>
      <c r="K325" s="7" t="s">
        <v>9399</v>
      </c>
      <c r="L325" s="7" t="s">
        <v>9400</v>
      </c>
      <c r="M325" s="7" t="s">
        <v>2078</v>
      </c>
      <c r="N325" s="9">
        <v>46105</v>
      </c>
      <c r="O325" s="9">
        <v>46356</v>
      </c>
      <c r="P325" s="7" t="s">
        <v>1941</v>
      </c>
      <c r="Q325" s="7" t="s">
        <v>1939</v>
      </c>
      <c r="R325" s="7" t="s">
        <v>9401</v>
      </c>
      <c r="S325" s="7" t="s">
        <v>9402</v>
      </c>
      <c r="T325" s="7" t="s">
        <v>2067</v>
      </c>
      <c r="U325" s="7" t="s">
        <v>2068</v>
      </c>
      <c r="V325" s="7" t="s">
        <v>2067</v>
      </c>
      <c r="W325" s="7" t="s">
        <v>2069</v>
      </c>
    </row>
    <row r="326" spans="1:23" ht="20.100000000000001" customHeight="1" x14ac:dyDescent="0.25">
      <c r="A326" s="3" t="s">
        <v>9453</v>
      </c>
      <c r="B326" s="4" t="s">
        <v>2057</v>
      </c>
      <c r="C326" s="4" t="s">
        <v>9454</v>
      </c>
      <c r="D326" s="4" t="s">
        <v>8736</v>
      </c>
      <c r="E326" s="4" t="s">
        <v>1947</v>
      </c>
      <c r="F326" s="4" t="s">
        <v>1948</v>
      </c>
      <c r="G326" s="4" t="s">
        <v>2057</v>
      </c>
      <c r="H326" s="4" t="s">
        <v>8794</v>
      </c>
      <c r="I326" s="4" t="s">
        <v>1939</v>
      </c>
      <c r="J326" s="4" t="s">
        <v>9455</v>
      </c>
      <c r="K326" s="4" t="s">
        <v>9456</v>
      </c>
      <c r="L326" s="4" t="s">
        <v>9457</v>
      </c>
      <c r="M326" s="4" t="s">
        <v>2078</v>
      </c>
      <c r="N326" s="8">
        <v>46234</v>
      </c>
      <c r="O326" s="8">
        <v>46356</v>
      </c>
      <c r="P326" s="4" t="s">
        <v>2090</v>
      </c>
      <c r="Q326" s="4" t="s">
        <v>1939</v>
      </c>
      <c r="R326" s="4" t="s">
        <v>9458</v>
      </c>
      <c r="S326" s="4" t="s">
        <v>9459</v>
      </c>
      <c r="T326" s="4" t="s">
        <v>2067</v>
      </c>
      <c r="U326" s="4" t="s">
        <v>2146</v>
      </c>
      <c r="V326" s="4" t="s">
        <v>2067</v>
      </c>
      <c r="W326" s="4" t="s">
        <v>2069</v>
      </c>
    </row>
    <row r="327" spans="1:23" ht="20.100000000000001" customHeight="1" x14ac:dyDescent="0.25">
      <c r="A327" s="6" t="s">
        <v>9466</v>
      </c>
      <c r="B327" s="7" t="s">
        <v>2084</v>
      </c>
      <c r="C327" s="7" t="s">
        <v>9467</v>
      </c>
      <c r="D327" s="7" t="s">
        <v>8736</v>
      </c>
      <c r="E327" s="7" t="s">
        <v>5762</v>
      </c>
      <c r="F327" s="7" t="s">
        <v>5763</v>
      </c>
      <c r="G327" s="7" t="s">
        <v>2084</v>
      </c>
      <c r="H327" s="7" t="s">
        <v>8879</v>
      </c>
      <c r="I327" s="7" t="s">
        <v>1939</v>
      </c>
      <c r="J327" s="7" t="s">
        <v>9468</v>
      </c>
      <c r="K327" s="7" t="s">
        <v>9469</v>
      </c>
      <c r="L327" s="7" t="s">
        <v>9470</v>
      </c>
      <c r="M327" s="7" t="s">
        <v>2078</v>
      </c>
      <c r="N327" s="9">
        <v>46164</v>
      </c>
      <c r="O327" s="9">
        <v>46356</v>
      </c>
      <c r="P327" s="7" t="s">
        <v>5763</v>
      </c>
      <c r="Q327" s="7" t="s">
        <v>1939</v>
      </c>
      <c r="R327" s="7" t="s">
        <v>2711</v>
      </c>
      <c r="S327" s="7" t="s">
        <v>9471</v>
      </c>
      <c r="T327" s="7" t="s">
        <v>2067</v>
      </c>
      <c r="U327" s="7" t="s">
        <v>5769</v>
      </c>
      <c r="V327" s="7" t="s">
        <v>2067</v>
      </c>
      <c r="W327" s="7" t="s">
        <v>2069</v>
      </c>
    </row>
    <row r="328" spans="1:23" ht="20.100000000000001" customHeight="1" x14ac:dyDescent="0.25">
      <c r="A328" s="3" t="s">
        <v>9513</v>
      </c>
      <c r="B328" s="4" t="s">
        <v>2084</v>
      </c>
      <c r="C328" s="4" t="s">
        <v>9514</v>
      </c>
      <c r="D328" s="4" t="s">
        <v>8736</v>
      </c>
      <c r="E328" s="4" t="s">
        <v>1965</v>
      </c>
      <c r="F328" s="4" t="s">
        <v>1966</v>
      </c>
      <c r="G328" s="4" t="s">
        <v>2084</v>
      </c>
      <c r="H328" s="4" t="s">
        <v>1938</v>
      </c>
      <c r="I328" s="4" t="s">
        <v>1939</v>
      </c>
      <c r="J328" s="4" t="s">
        <v>9515</v>
      </c>
      <c r="K328" s="4" t="s">
        <v>9516</v>
      </c>
      <c r="L328" s="4" t="s">
        <v>9517</v>
      </c>
      <c r="M328" s="4" t="s">
        <v>2078</v>
      </c>
      <c r="N328" s="8">
        <v>46224</v>
      </c>
      <c r="O328" s="8">
        <v>46356</v>
      </c>
      <c r="P328" s="4" t="s">
        <v>1966</v>
      </c>
      <c r="Q328" s="4" t="s">
        <v>1939</v>
      </c>
      <c r="R328" s="4" t="s">
        <v>9518</v>
      </c>
      <c r="S328" s="4" t="s">
        <v>9519</v>
      </c>
      <c r="T328" s="4" t="s">
        <v>2067</v>
      </c>
      <c r="U328" s="4" t="s">
        <v>2174</v>
      </c>
      <c r="V328" s="4" t="s">
        <v>2067</v>
      </c>
      <c r="W328" s="4" t="s">
        <v>2069</v>
      </c>
    </row>
    <row r="329" spans="1:23" ht="20.100000000000001" customHeight="1" x14ac:dyDescent="0.25">
      <c r="A329" s="6" t="s">
        <v>1942</v>
      </c>
      <c r="B329" s="7" t="s">
        <v>2057</v>
      </c>
      <c r="C329" s="7" t="s">
        <v>1943</v>
      </c>
      <c r="D329" s="7" t="s">
        <v>8736</v>
      </c>
      <c r="E329" s="7" t="s">
        <v>1947</v>
      </c>
      <c r="F329" s="7" t="s">
        <v>1948</v>
      </c>
      <c r="G329" s="7" t="s">
        <v>2057</v>
      </c>
      <c r="H329" s="7" t="s">
        <v>1946</v>
      </c>
      <c r="I329" s="7" t="s">
        <v>1939</v>
      </c>
      <c r="J329" s="7" t="s">
        <v>9543</v>
      </c>
      <c r="K329" s="7" t="s">
        <v>9544</v>
      </c>
      <c r="L329" s="7" t="s">
        <v>9545</v>
      </c>
      <c r="M329" s="7" t="s">
        <v>2078</v>
      </c>
      <c r="N329" s="9">
        <v>46106</v>
      </c>
      <c r="O329" s="9">
        <v>46356</v>
      </c>
      <c r="P329" s="7" t="s">
        <v>2090</v>
      </c>
      <c r="Q329" s="7" t="s">
        <v>1939</v>
      </c>
      <c r="R329" s="7" t="s">
        <v>9546</v>
      </c>
      <c r="S329" s="7" t="s">
        <v>9547</v>
      </c>
      <c r="T329" s="7" t="s">
        <v>2067</v>
      </c>
      <c r="U329" s="7" t="s">
        <v>8824</v>
      </c>
      <c r="V329" s="7" t="s">
        <v>2067</v>
      </c>
      <c r="W329" s="7" t="s">
        <v>2069</v>
      </c>
    </row>
    <row r="330" spans="1:23" ht="20.100000000000001" customHeight="1" x14ac:dyDescent="0.25">
      <c r="A330" s="3" t="s">
        <v>9626</v>
      </c>
      <c r="B330" s="4" t="s">
        <v>2057</v>
      </c>
      <c r="C330" s="4" t="s">
        <v>9627</v>
      </c>
      <c r="D330" s="4" t="s">
        <v>8736</v>
      </c>
      <c r="E330" s="4" t="s">
        <v>1947</v>
      </c>
      <c r="F330" s="4" t="s">
        <v>1948</v>
      </c>
      <c r="G330" s="4" t="s">
        <v>2057</v>
      </c>
      <c r="H330" s="4" t="s">
        <v>8794</v>
      </c>
      <c r="I330" s="4" t="s">
        <v>1939</v>
      </c>
      <c r="J330" s="4" t="s">
        <v>9628</v>
      </c>
      <c r="K330" s="4" t="s">
        <v>9629</v>
      </c>
      <c r="L330" s="4" t="s">
        <v>9630</v>
      </c>
      <c r="M330" s="4" t="s">
        <v>2078</v>
      </c>
      <c r="N330" s="8">
        <v>46052</v>
      </c>
      <c r="O330" s="8">
        <v>46356</v>
      </c>
      <c r="P330" s="4" t="s">
        <v>2090</v>
      </c>
      <c r="Q330" s="4" t="s">
        <v>1939</v>
      </c>
      <c r="R330" s="4" t="s">
        <v>9631</v>
      </c>
      <c r="S330" s="4" t="s">
        <v>9632</v>
      </c>
      <c r="T330" s="4" t="s">
        <v>2067</v>
      </c>
      <c r="U330" s="4" t="s">
        <v>3153</v>
      </c>
      <c r="V330" s="4" t="s">
        <v>2067</v>
      </c>
      <c r="W330" s="4" t="s">
        <v>2069</v>
      </c>
    </row>
    <row r="331" spans="1:23" ht="20.100000000000001" customHeight="1" x14ac:dyDescent="0.25">
      <c r="A331" s="6" t="s">
        <v>9639</v>
      </c>
      <c r="B331" s="7" t="s">
        <v>2084</v>
      </c>
      <c r="C331" s="7" t="s">
        <v>9640</v>
      </c>
      <c r="D331" s="7" t="s">
        <v>8736</v>
      </c>
      <c r="E331" s="7" t="s">
        <v>1947</v>
      </c>
      <c r="F331" s="7" t="s">
        <v>1948</v>
      </c>
      <c r="G331" s="7" t="s">
        <v>2084</v>
      </c>
      <c r="H331" s="7" t="s">
        <v>8879</v>
      </c>
      <c r="I331" s="7" t="s">
        <v>1939</v>
      </c>
      <c r="J331" s="7" t="s">
        <v>9641</v>
      </c>
      <c r="K331" s="7" t="s">
        <v>9642</v>
      </c>
      <c r="L331" s="7" t="s">
        <v>9643</v>
      </c>
      <c r="M331" s="7" t="s">
        <v>2078</v>
      </c>
      <c r="N331" s="9">
        <v>46066</v>
      </c>
      <c r="O331" s="9">
        <v>46356</v>
      </c>
      <c r="P331" s="7" t="s">
        <v>2090</v>
      </c>
      <c r="Q331" s="7" t="s">
        <v>1939</v>
      </c>
      <c r="R331" s="7" t="s">
        <v>9644</v>
      </c>
      <c r="S331" s="7" t="s">
        <v>9645</v>
      </c>
      <c r="T331" s="7" t="s">
        <v>2067</v>
      </c>
      <c r="U331" s="7" t="s">
        <v>2146</v>
      </c>
      <c r="V331" s="7" t="s">
        <v>2067</v>
      </c>
      <c r="W331" s="7" t="s">
        <v>2069</v>
      </c>
    </row>
    <row r="332" spans="1:23" ht="20.100000000000001" customHeight="1" x14ac:dyDescent="0.25">
      <c r="A332" s="3" t="s">
        <v>9740</v>
      </c>
      <c r="B332" s="4" t="s">
        <v>2057</v>
      </c>
      <c r="C332" s="4" t="s">
        <v>9741</v>
      </c>
      <c r="D332" s="4" t="s">
        <v>8736</v>
      </c>
      <c r="E332" s="4" t="s">
        <v>1947</v>
      </c>
      <c r="F332" s="4" t="s">
        <v>1948</v>
      </c>
      <c r="G332" s="4" t="s">
        <v>2057</v>
      </c>
      <c r="H332" s="4" t="s">
        <v>8750</v>
      </c>
      <c r="I332" s="4" t="s">
        <v>1939</v>
      </c>
      <c r="J332" s="4" t="s">
        <v>9742</v>
      </c>
      <c r="K332" s="4" t="s">
        <v>9743</v>
      </c>
      <c r="L332" s="4" t="s">
        <v>9744</v>
      </c>
      <c r="M332" s="4" t="s">
        <v>2078</v>
      </c>
      <c r="N332" s="8">
        <v>46105</v>
      </c>
      <c r="O332" s="8">
        <v>46356</v>
      </c>
      <c r="P332" s="4" t="s">
        <v>2090</v>
      </c>
      <c r="Q332" s="4" t="s">
        <v>1939</v>
      </c>
      <c r="R332" s="4" t="s">
        <v>9745</v>
      </c>
      <c r="S332" s="4" t="s">
        <v>9746</v>
      </c>
      <c r="T332" s="4" t="s">
        <v>2067</v>
      </c>
      <c r="U332" s="4" t="s">
        <v>8824</v>
      </c>
      <c r="V332" s="4" t="s">
        <v>2067</v>
      </c>
      <c r="W332" s="4" t="s">
        <v>2069</v>
      </c>
    </row>
    <row r="333" spans="1:23" ht="20.100000000000001" customHeight="1" x14ac:dyDescent="0.25">
      <c r="A333" s="6" t="s">
        <v>9793</v>
      </c>
      <c r="B333" s="7" t="s">
        <v>2084</v>
      </c>
      <c r="C333" s="7" t="s">
        <v>9794</v>
      </c>
      <c r="D333" s="7" t="s">
        <v>8736</v>
      </c>
      <c r="E333" s="7" t="s">
        <v>1947</v>
      </c>
      <c r="F333" s="7" t="s">
        <v>1948</v>
      </c>
      <c r="G333" s="7" t="s">
        <v>2084</v>
      </c>
      <c r="H333" s="7" t="s">
        <v>8879</v>
      </c>
      <c r="I333" s="7" t="s">
        <v>1939</v>
      </c>
      <c r="J333" s="7" t="s">
        <v>4649</v>
      </c>
      <c r="K333" s="7" t="s">
        <v>9795</v>
      </c>
      <c r="L333" s="7" t="s">
        <v>9796</v>
      </c>
      <c r="M333" s="7" t="s">
        <v>2078</v>
      </c>
      <c r="N333" s="9">
        <v>46237</v>
      </c>
      <c r="O333" s="9">
        <v>46356</v>
      </c>
      <c r="P333" s="7" t="s">
        <v>2090</v>
      </c>
      <c r="Q333" s="7" t="s">
        <v>1939</v>
      </c>
      <c r="R333" s="7" t="s">
        <v>3151</v>
      </c>
      <c r="S333" s="7" t="s">
        <v>9797</v>
      </c>
      <c r="T333" s="7" t="s">
        <v>2067</v>
      </c>
      <c r="U333" s="7" t="s">
        <v>2146</v>
      </c>
      <c r="V333" s="7" t="s">
        <v>2067</v>
      </c>
      <c r="W333" s="7" t="s">
        <v>2069</v>
      </c>
    </row>
    <row r="334" spans="1:23" ht="20.100000000000001" customHeight="1" x14ac:dyDescent="0.25">
      <c r="A334" s="3" t="s">
        <v>9798</v>
      </c>
      <c r="B334" s="4" t="s">
        <v>2057</v>
      </c>
      <c r="C334" s="4" t="s">
        <v>9799</v>
      </c>
      <c r="D334" s="4" t="s">
        <v>8736</v>
      </c>
      <c r="E334" s="4" t="s">
        <v>1947</v>
      </c>
      <c r="F334" s="4" t="s">
        <v>2238</v>
      </c>
      <c r="G334" s="4" t="s">
        <v>2057</v>
      </c>
      <c r="H334" s="4" t="s">
        <v>1964</v>
      </c>
      <c r="I334" s="4" t="s">
        <v>1939</v>
      </c>
      <c r="J334" s="4" t="s">
        <v>4649</v>
      </c>
      <c r="K334" s="4" t="s">
        <v>9800</v>
      </c>
      <c r="L334" s="4" t="s">
        <v>9801</v>
      </c>
      <c r="M334" s="4" t="s">
        <v>2078</v>
      </c>
      <c r="N334" s="8">
        <v>46237</v>
      </c>
      <c r="O334" s="8">
        <v>46356</v>
      </c>
      <c r="P334" s="4" t="s">
        <v>2090</v>
      </c>
      <c r="Q334" s="4" t="s">
        <v>1939</v>
      </c>
      <c r="R334" s="4" t="s">
        <v>9802</v>
      </c>
      <c r="S334" s="4" t="s">
        <v>9803</v>
      </c>
      <c r="T334" s="4" t="s">
        <v>2067</v>
      </c>
      <c r="U334" s="4" t="s">
        <v>2244</v>
      </c>
      <c r="V334" s="4" t="s">
        <v>2067</v>
      </c>
      <c r="W334" s="4" t="s">
        <v>2069</v>
      </c>
    </row>
    <row r="335" spans="1:23" ht="20.100000000000001" customHeight="1" x14ac:dyDescent="0.25">
      <c r="A335" s="6" t="s">
        <v>9804</v>
      </c>
      <c r="B335" s="7" t="s">
        <v>2057</v>
      </c>
      <c r="C335" s="7" t="s">
        <v>9805</v>
      </c>
      <c r="D335" s="7" t="s">
        <v>8736</v>
      </c>
      <c r="E335" s="7" t="s">
        <v>1947</v>
      </c>
      <c r="F335" s="7" t="s">
        <v>1948</v>
      </c>
      <c r="G335" s="7" t="s">
        <v>2057</v>
      </c>
      <c r="H335" s="7" t="s">
        <v>8794</v>
      </c>
      <c r="I335" s="7" t="s">
        <v>1939</v>
      </c>
      <c r="J335" s="7" t="s">
        <v>4649</v>
      </c>
      <c r="K335" s="7" t="s">
        <v>9806</v>
      </c>
      <c r="L335" s="7" t="s">
        <v>9807</v>
      </c>
      <c r="M335" s="7" t="s">
        <v>2078</v>
      </c>
      <c r="N335" s="9">
        <v>46237</v>
      </c>
      <c r="O335" s="9">
        <v>46356</v>
      </c>
      <c r="P335" s="7" t="s">
        <v>2090</v>
      </c>
      <c r="Q335" s="7" t="s">
        <v>1939</v>
      </c>
      <c r="R335" s="7" t="s">
        <v>9808</v>
      </c>
      <c r="S335" s="7" t="s">
        <v>9809</v>
      </c>
      <c r="T335" s="7" t="s">
        <v>2067</v>
      </c>
      <c r="U335" s="7" t="s">
        <v>2244</v>
      </c>
      <c r="V335" s="7" t="s">
        <v>2067</v>
      </c>
      <c r="W335" s="7" t="s">
        <v>2069</v>
      </c>
    </row>
    <row r="336" spans="1:23" ht="20.100000000000001" customHeight="1" x14ac:dyDescent="0.25">
      <c r="A336" s="3" t="s">
        <v>9810</v>
      </c>
      <c r="B336" s="4" t="s">
        <v>2057</v>
      </c>
      <c r="C336" s="4" t="s">
        <v>9811</v>
      </c>
      <c r="D336" s="4" t="s">
        <v>8736</v>
      </c>
      <c r="E336" s="4" t="s">
        <v>1947</v>
      </c>
      <c r="F336" s="4" t="s">
        <v>2238</v>
      </c>
      <c r="G336" s="4" t="s">
        <v>2057</v>
      </c>
      <c r="H336" s="4" t="s">
        <v>9391</v>
      </c>
      <c r="I336" s="4" t="s">
        <v>1939</v>
      </c>
      <c r="J336" s="4" t="s">
        <v>4649</v>
      </c>
      <c r="K336" s="4" t="s">
        <v>9812</v>
      </c>
      <c r="L336" s="4" t="s">
        <v>9813</v>
      </c>
      <c r="M336" s="4" t="s">
        <v>2078</v>
      </c>
      <c r="N336" s="8">
        <v>46237</v>
      </c>
      <c r="O336" s="8">
        <v>46356</v>
      </c>
      <c r="P336" s="4" t="s">
        <v>2090</v>
      </c>
      <c r="Q336" s="4" t="s">
        <v>1939</v>
      </c>
      <c r="R336" s="4" t="s">
        <v>9814</v>
      </c>
      <c r="S336" s="4" t="s">
        <v>9815</v>
      </c>
      <c r="T336" s="4" t="s">
        <v>2067</v>
      </c>
      <c r="U336" s="4" t="s">
        <v>2244</v>
      </c>
      <c r="V336" s="4" t="s">
        <v>2067</v>
      </c>
      <c r="W336" s="4" t="s">
        <v>2069</v>
      </c>
    </row>
    <row r="337" spans="1:23" ht="20.100000000000001" customHeight="1" x14ac:dyDescent="0.25">
      <c r="A337" s="6" t="s">
        <v>9839</v>
      </c>
      <c r="B337" s="7" t="s">
        <v>2084</v>
      </c>
      <c r="C337" s="7" t="s">
        <v>9840</v>
      </c>
      <c r="D337" s="7" t="s">
        <v>8736</v>
      </c>
      <c r="E337" s="7" t="s">
        <v>1947</v>
      </c>
      <c r="F337" s="7" t="s">
        <v>1948</v>
      </c>
      <c r="G337" s="7" t="s">
        <v>2084</v>
      </c>
      <c r="H337" s="7" t="s">
        <v>8879</v>
      </c>
      <c r="I337" s="7" t="s">
        <v>1939</v>
      </c>
      <c r="J337" s="7" t="s">
        <v>9841</v>
      </c>
      <c r="K337" s="7" t="s">
        <v>9842</v>
      </c>
      <c r="L337" s="7" t="s">
        <v>9843</v>
      </c>
      <c r="M337" s="7" t="s">
        <v>2078</v>
      </c>
      <c r="N337" s="9">
        <v>46052</v>
      </c>
      <c r="O337" s="9">
        <v>46356</v>
      </c>
      <c r="P337" s="7" t="s">
        <v>2090</v>
      </c>
      <c r="Q337" s="7" t="s">
        <v>1939</v>
      </c>
      <c r="R337" s="7" t="s">
        <v>9844</v>
      </c>
      <c r="S337" s="7" t="s">
        <v>9845</v>
      </c>
      <c r="T337" s="7" t="s">
        <v>2067</v>
      </c>
      <c r="U337" s="7" t="s">
        <v>2146</v>
      </c>
      <c r="V337" s="7" t="s">
        <v>2067</v>
      </c>
      <c r="W337" s="7" t="s">
        <v>2069</v>
      </c>
    </row>
    <row r="338" spans="1:23" ht="20.100000000000001" customHeight="1" x14ac:dyDescent="0.25">
      <c r="A338" s="3" t="s">
        <v>9846</v>
      </c>
      <c r="B338" s="4" t="s">
        <v>2057</v>
      </c>
      <c r="C338" s="4" t="s">
        <v>9847</v>
      </c>
      <c r="D338" s="4" t="s">
        <v>8736</v>
      </c>
      <c r="E338" s="4" t="s">
        <v>1947</v>
      </c>
      <c r="F338" s="4" t="s">
        <v>1948</v>
      </c>
      <c r="G338" s="4" t="s">
        <v>2057</v>
      </c>
      <c r="H338" s="4" t="s">
        <v>8794</v>
      </c>
      <c r="I338" s="4" t="s">
        <v>1939</v>
      </c>
      <c r="J338" s="4" t="s">
        <v>9848</v>
      </c>
      <c r="K338" s="4" t="s">
        <v>9849</v>
      </c>
      <c r="L338" s="4" t="s">
        <v>9850</v>
      </c>
      <c r="M338" s="4" t="s">
        <v>2078</v>
      </c>
      <c r="N338" s="8">
        <v>46139</v>
      </c>
      <c r="O338" s="8">
        <v>46356</v>
      </c>
      <c r="P338" s="4" t="s">
        <v>2090</v>
      </c>
      <c r="Q338" s="4" t="s">
        <v>1939</v>
      </c>
      <c r="R338" s="4" t="s">
        <v>3383</v>
      </c>
      <c r="S338" s="4" t="s">
        <v>9851</v>
      </c>
      <c r="T338" s="4" t="s">
        <v>2067</v>
      </c>
      <c r="U338" s="4" t="s">
        <v>2146</v>
      </c>
      <c r="V338" s="4" t="s">
        <v>2067</v>
      </c>
      <c r="W338" s="4" t="s">
        <v>2069</v>
      </c>
    </row>
    <row r="339" spans="1:23" ht="20.100000000000001" customHeight="1" x14ac:dyDescent="0.25">
      <c r="A339" s="6" t="s">
        <v>9875</v>
      </c>
      <c r="B339" s="7" t="s">
        <v>2084</v>
      </c>
      <c r="C339" s="7" t="s">
        <v>9876</v>
      </c>
      <c r="D339" s="7" t="s">
        <v>8736</v>
      </c>
      <c r="E339" s="7" t="s">
        <v>1947</v>
      </c>
      <c r="F339" s="7" t="s">
        <v>1948</v>
      </c>
      <c r="G339" s="7" t="s">
        <v>2084</v>
      </c>
      <c r="H339" s="7" t="s">
        <v>8879</v>
      </c>
      <c r="I339" s="7" t="s">
        <v>1939</v>
      </c>
      <c r="J339" s="7" t="s">
        <v>9877</v>
      </c>
      <c r="K339" s="7" t="s">
        <v>9878</v>
      </c>
      <c r="L339" s="7" t="s">
        <v>9879</v>
      </c>
      <c r="M339" s="7" t="s">
        <v>2078</v>
      </c>
      <c r="N339" s="9">
        <v>46234</v>
      </c>
      <c r="O339" s="9">
        <v>46356</v>
      </c>
      <c r="P339" s="7" t="s">
        <v>2090</v>
      </c>
      <c r="Q339" s="7" t="s">
        <v>1939</v>
      </c>
      <c r="R339" s="7" t="s">
        <v>9880</v>
      </c>
      <c r="S339" s="7" t="s">
        <v>9881</v>
      </c>
      <c r="T339" s="7" t="s">
        <v>2067</v>
      </c>
      <c r="U339" s="7" t="s">
        <v>2146</v>
      </c>
      <c r="V339" s="7" t="s">
        <v>2067</v>
      </c>
      <c r="W339" s="7" t="s">
        <v>2069</v>
      </c>
    </row>
    <row r="340" spans="1:23" ht="20.100000000000001" customHeight="1" x14ac:dyDescent="0.25">
      <c r="A340" s="3" t="s">
        <v>9906</v>
      </c>
      <c r="B340" s="4" t="s">
        <v>2057</v>
      </c>
      <c r="C340" s="4" t="s">
        <v>9907</v>
      </c>
      <c r="D340" s="4" t="s">
        <v>8736</v>
      </c>
      <c r="E340" s="4" t="s">
        <v>1940</v>
      </c>
      <c r="F340" s="4" t="s">
        <v>1941</v>
      </c>
      <c r="G340" s="4" t="s">
        <v>2057</v>
      </c>
      <c r="H340" s="4" t="s">
        <v>8750</v>
      </c>
      <c r="I340" s="4" t="s">
        <v>1939</v>
      </c>
      <c r="J340" s="4" t="s">
        <v>9908</v>
      </c>
      <c r="K340" s="4" t="s">
        <v>9909</v>
      </c>
      <c r="L340" s="4" t="s">
        <v>9910</v>
      </c>
      <c r="M340" s="4" t="s">
        <v>2078</v>
      </c>
      <c r="N340" s="8">
        <v>46052</v>
      </c>
      <c r="O340" s="8">
        <v>46356</v>
      </c>
      <c r="P340" s="4" t="s">
        <v>1941</v>
      </c>
      <c r="Q340" s="4" t="s">
        <v>1939</v>
      </c>
      <c r="R340" s="4" t="s">
        <v>9911</v>
      </c>
      <c r="S340" s="4" t="s">
        <v>9912</v>
      </c>
      <c r="T340" s="4" t="s">
        <v>2067</v>
      </c>
      <c r="U340" s="4" t="s">
        <v>2068</v>
      </c>
      <c r="V340" s="4" t="s">
        <v>2067</v>
      </c>
      <c r="W340" s="4" t="s">
        <v>2069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3"/>
  <sheetViews>
    <sheetView workbookViewId="0"/>
  </sheetViews>
  <sheetFormatPr baseColWidth="10" defaultColWidth="9.140625" defaultRowHeight="15" x14ac:dyDescent="0.25"/>
  <sheetData>
    <row r="1" spans="1:2" ht="21" x14ac:dyDescent="0.35">
      <c r="A1" s="10" t="s">
        <v>9940</v>
      </c>
    </row>
    <row r="3" spans="1:2" x14ac:dyDescent="0.25">
      <c r="A3" s="11" t="s">
        <v>9941</v>
      </c>
      <c r="B3" s="11" t="s">
        <v>9942</v>
      </c>
    </row>
    <row r="4" spans="1:2" x14ac:dyDescent="0.25">
      <c r="A4" s="12" t="s">
        <v>2057</v>
      </c>
      <c r="B4" s="13">
        <v>491</v>
      </c>
    </row>
    <row r="5" spans="1:2" x14ac:dyDescent="0.25">
      <c r="A5" s="12" t="s">
        <v>2084</v>
      </c>
      <c r="B5" s="13">
        <v>411</v>
      </c>
    </row>
    <row r="6" spans="1:2" x14ac:dyDescent="0.25">
      <c r="A6" s="14" t="s">
        <v>9943</v>
      </c>
      <c r="B6" s="15">
        <f>SUM(B4:B5)</f>
        <v>902</v>
      </c>
    </row>
    <row r="9" spans="1:2" x14ac:dyDescent="0.25">
      <c r="A9" s="11" t="s">
        <v>9944</v>
      </c>
      <c r="B9" s="11" t="s">
        <v>9945</v>
      </c>
    </row>
    <row r="10" spans="1:2" x14ac:dyDescent="0.25">
      <c r="A10" s="12" t="s">
        <v>1947</v>
      </c>
      <c r="B10" s="13">
        <v>394</v>
      </c>
    </row>
    <row r="11" spans="1:2" x14ac:dyDescent="0.25">
      <c r="A11" s="12" t="s">
        <v>1952</v>
      </c>
      <c r="B11" s="13">
        <v>40</v>
      </c>
    </row>
    <row r="12" spans="1:2" x14ac:dyDescent="0.25">
      <c r="A12" s="12" t="s">
        <v>1940</v>
      </c>
      <c r="B12" s="13">
        <v>25</v>
      </c>
    </row>
    <row r="13" spans="1:2" x14ac:dyDescent="0.25">
      <c r="A13" s="12" t="s">
        <v>2189</v>
      </c>
      <c r="B13" s="13">
        <v>7</v>
      </c>
    </row>
    <row r="14" spans="1:2" x14ac:dyDescent="0.25">
      <c r="A14" s="12" t="s">
        <v>2673</v>
      </c>
      <c r="B14" s="13">
        <v>6</v>
      </c>
    </row>
    <row r="15" spans="1:2" x14ac:dyDescent="0.25">
      <c r="A15" s="12" t="s">
        <v>2111</v>
      </c>
      <c r="B15" s="13">
        <v>5</v>
      </c>
    </row>
    <row r="16" spans="1:2" x14ac:dyDescent="0.25">
      <c r="A16" s="12" t="s">
        <v>2131</v>
      </c>
      <c r="B16" s="13">
        <v>3</v>
      </c>
    </row>
    <row r="17" spans="1:2" x14ac:dyDescent="0.25">
      <c r="A17" s="12" t="s">
        <v>1965</v>
      </c>
      <c r="B17" s="13">
        <v>3</v>
      </c>
    </row>
    <row r="18" spans="1:2" x14ac:dyDescent="0.25">
      <c r="A18" s="12" t="s">
        <v>1983</v>
      </c>
      <c r="B18" s="13">
        <v>2</v>
      </c>
    </row>
    <row r="19" spans="1:2" x14ac:dyDescent="0.25">
      <c r="A19" s="12" t="s">
        <v>9946</v>
      </c>
      <c r="B19" s="13">
        <v>2</v>
      </c>
    </row>
    <row r="20" spans="1:2" x14ac:dyDescent="0.25">
      <c r="A20" s="12" t="s">
        <v>5762</v>
      </c>
      <c r="B20" s="13">
        <v>1</v>
      </c>
    </row>
    <row r="21" spans="1:2" x14ac:dyDescent="0.25">
      <c r="A21" s="12" t="s">
        <v>6137</v>
      </c>
      <c r="B21" s="13">
        <v>1</v>
      </c>
    </row>
    <row r="22" spans="1:2" x14ac:dyDescent="0.25">
      <c r="A22" s="12" t="s">
        <v>3064</v>
      </c>
      <c r="B22" s="13">
        <v>1</v>
      </c>
    </row>
    <row r="23" spans="1:2" x14ac:dyDescent="0.25">
      <c r="A23" s="12" t="s">
        <v>3520</v>
      </c>
      <c r="B23" s="13">
        <v>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Consolidado_Unicos</vt:lpstr>
      <vt:lpstr>Duplicados</vt:lpstr>
      <vt:lpstr>Busqueda_por_Nombre</vt:lpstr>
      <vt:lpstr>PLANTA_BASE</vt:lpstr>
      <vt:lpstr>Faltantes_Planta</vt:lpstr>
      <vt:lpstr>Resumen_y_Graficos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YEISON HERNAN OLAYA TRIVIÑO</cp:lastModifiedBy>
  <dcterms:created xsi:type="dcterms:W3CDTF">2026-08-03T19:45:19Z</dcterms:created>
  <dcterms:modified xsi:type="dcterms:W3CDTF">2026-08-03T19:57:53Z</dcterms:modified>
</cp:coreProperties>
</file>